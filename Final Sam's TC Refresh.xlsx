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wal-mart.com/personal/bpcowar_homeoffice_wal-mart_com/Documents/DWS/Thin Clients/Refresh/"/>
    </mc:Choice>
  </mc:AlternateContent>
  <xr:revisionPtr revIDLastSave="54" documentId="8_{98B817AD-00B8-49BD-90AB-3F826E0F2BA5}" xr6:coauthVersionLast="47" xr6:coauthVersionMax="47" xr10:uidLastSave="{37D22BFF-FA8C-4F8D-9A70-B4F20FF91341}"/>
  <bookViews>
    <workbookView xWindow="-156" yWindow="-156" windowWidth="41592" windowHeight="16872" xr2:uid="{4457239F-122B-450A-9C21-8A9F0D984619}"/>
  </bookViews>
  <sheets>
    <sheet name="Final Sam's TC Refresh" sheetId="1" r:id="rId1"/>
    <sheet name="Site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27" i="1" l="1"/>
  <c r="K1230" i="1"/>
  <c r="J1831" i="1"/>
  <c r="L1831" i="1" s="1"/>
  <c r="J461" i="1"/>
  <c r="N461" i="1" s="1"/>
  <c r="J1202" i="1"/>
  <c r="N1202" i="1" s="1"/>
  <c r="J2329" i="1"/>
  <c r="K2329" i="1" s="1"/>
  <c r="J2702" i="1"/>
  <c r="K2702" i="1" s="1"/>
  <c r="J1279" i="1"/>
  <c r="M1279" i="1" s="1"/>
  <c r="J522" i="1"/>
  <c r="L522" i="1" s="1"/>
  <c r="J521" i="1"/>
  <c r="O521" i="1" s="1"/>
  <c r="J1120" i="1"/>
  <c r="L1120" i="1" s="1"/>
  <c r="J1119" i="1"/>
  <c r="K1119" i="1" s="1"/>
  <c r="J1118" i="1"/>
  <c r="N1118" i="1" s="1"/>
  <c r="J1117" i="1"/>
  <c r="K1117" i="1" s="1"/>
  <c r="J1591" i="1"/>
  <c r="N1591" i="1" s="1"/>
  <c r="J1590" i="1"/>
  <c r="M1590" i="1" s="1"/>
  <c r="J541" i="1"/>
  <c r="O541" i="1" s="1"/>
  <c r="J271" i="1"/>
  <c r="O271" i="1" s="1"/>
  <c r="J1231" i="1"/>
  <c r="L1231" i="1" s="1"/>
  <c r="J1230" i="1"/>
  <c r="L1230" i="1" s="1"/>
  <c r="J363" i="1"/>
  <c r="N363" i="1" s="1"/>
  <c r="J3034" i="1"/>
  <c r="K3034" i="1" s="1"/>
  <c r="J2337" i="1"/>
  <c r="L2337" i="1" s="1"/>
  <c r="J1433" i="1"/>
  <c r="M1433" i="1" s="1"/>
  <c r="J2852" i="1"/>
  <c r="N2852" i="1" s="1"/>
  <c r="J2960" i="1"/>
  <c r="M2960" i="1" s="1"/>
  <c r="J1127" i="1"/>
  <c r="L1127" i="1" s="1"/>
  <c r="J2376" i="1"/>
  <c r="M2376" i="1" s="1"/>
  <c r="J2375" i="1"/>
  <c r="N2375" i="1" s="1"/>
  <c r="J1687" i="1"/>
  <c r="J3394" i="1"/>
  <c r="L3394" i="1" s="1"/>
  <c r="J3393" i="1"/>
  <c r="M3393" i="1" s="1"/>
  <c r="J2918" i="1"/>
  <c r="N2918" i="1" s="1"/>
  <c r="J1572" i="1"/>
  <c r="L1572" i="1" s="1"/>
  <c r="J1571" i="1"/>
  <c r="L1571" i="1" s="1"/>
  <c r="J571" i="1"/>
  <c r="M571" i="1" s="1"/>
  <c r="J611" i="1"/>
  <c r="N611" i="1" s="1"/>
  <c r="J2992" i="1"/>
  <c r="N2992" i="1" s="1"/>
  <c r="J2991" i="1"/>
  <c r="L2991" i="1" s="1"/>
  <c r="J3316" i="1"/>
  <c r="M3316" i="1" s="1"/>
  <c r="J2685" i="1"/>
  <c r="N2685" i="1" s="1"/>
  <c r="J105" i="1"/>
  <c r="L105" i="1" s="1"/>
  <c r="J3515" i="1"/>
  <c r="L3515" i="1" s="1"/>
  <c r="J2474" i="1"/>
  <c r="M2474" i="1" s="1"/>
  <c r="J2069" i="1"/>
  <c r="N2069" i="1" s="1"/>
  <c r="J1731" i="1"/>
  <c r="L1731" i="1" s="1"/>
  <c r="J756" i="1"/>
  <c r="L756" i="1" s="1"/>
  <c r="J644" i="1"/>
  <c r="M644" i="1" s="1"/>
  <c r="J2828" i="1"/>
  <c r="N2828" i="1" s="1"/>
  <c r="J1033" i="1"/>
  <c r="M1033" i="1" s="1"/>
  <c r="J2658" i="1"/>
  <c r="L2658" i="1" s="1"/>
  <c r="J2321" i="1"/>
  <c r="J836" i="1"/>
  <c r="K836" i="1" s="1"/>
  <c r="J162" i="1"/>
  <c r="J590" i="1"/>
  <c r="J589" i="1"/>
  <c r="J1787" i="1"/>
  <c r="J3156" i="1"/>
  <c r="L3156" i="1" s="1"/>
  <c r="J44" i="1"/>
  <c r="L44" i="1" s="1"/>
  <c r="J1541" i="1"/>
  <c r="J2671" i="1"/>
  <c r="K2671" i="1" s="1"/>
  <c r="J3547" i="1"/>
  <c r="J1362" i="1"/>
  <c r="J501" i="1"/>
  <c r="J65" i="1"/>
  <c r="J2283" i="1"/>
  <c r="L2283" i="1" s="1"/>
  <c r="J2282" i="1"/>
  <c r="L2282" i="1" s="1"/>
  <c r="J469" i="1"/>
  <c r="O469" i="1" s="1"/>
  <c r="J3305" i="1"/>
  <c r="K3305" i="1" s="1"/>
  <c r="J3304" i="1"/>
  <c r="J972" i="1"/>
  <c r="O972" i="1" s="1"/>
  <c r="J971" i="1"/>
  <c r="J1845" i="1"/>
  <c r="J1239" i="1"/>
  <c r="L1239" i="1" s="1"/>
  <c r="J2850" i="1"/>
  <c r="L2850" i="1" s="1"/>
  <c r="J54" i="1"/>
  <c r="N54" i="1" s="1"/>
  <c r="J2235" i="1"/>
  <c r="J1100" i="1"/>
  <c r="J1099" i="1"/>
  <c r="M1099" i="1" s="1"/>
  <c r="J3150" i="1"/>
  <c r="J1808" i="1"/>
  <c r="N1808" i="1" s="1"/>
  <c r="J1807" i="1"/>
  <c r="K1807" i="1" s="1"/>
  <c r="J1806" i="1"/>
  <c r="M1806" i="1" s="1"/>
  <c r="J2699" i="1"/>
  <c r="K2699" i="1" s="1"/>
  <c r="J2161" i="1"/>
  <c r="N2161" i="1" s="1"/>
  <c r="J2765" i="1"/>
  <c r="J1801" i="1"/>
  <c r="J3115" i="1"/>
  <c r="J2015" i="1"/>
  <c r="N2015" i="1" s="1"/>
  <c r="J1521" i="1"/>
  <c r="K1521" i="1" s="1"/>
  <c r="J1520" i="1"/>
  <c r="N1520" i="1" s="1"/>
  <c r="J1306" i="1"/>
  <c r="J2966" i="1"/>
  <c r="J2098" i="1"/>
  <c r="J2097" i="1"/>
  <c r="M2097" i="1" s="1"/>
  <c r="J1598" i="1"/>
  <c r="J1597" i="1"/>
  <c r="N1597" i="1" s="1"/>
  <c r="J2603" i="1"/>
  <c r="J3184" i="1"/>
  <c r="K3184" i="1" s="1"/>
  <c r="J3183" i="1"/>
  <c r="J137" i="1"/>
  <c r="M137" i="1" s="1"/>
  <c r="J1381" i="1"/>
  <c r="J2560" i="1"/>
  <c r="J393" i="1"/>
  <c r="J3371" i="1"/>
  <c r="J398" i="1"/>
  <c r="N398" i="1" s="1"/>
  <c r="J950" i="1"/>
  <c r="K950" i="1" s="1"/>
  <c r="J949" i="1"/>
  <c r="M949" i="1" s="1"/>
  <c r="J1376" i="1"/>
  <c r="J1375" i="1"/>
  <c r="J1052" i="1"/>
  <c r="J3507" i="1"/>
  <c r="L3507" i="1" s="1"/>
  <c r="J2614" i="1"/>
  <c r="J2890" i="1"/>
  <c r="K2890" i="1" s="1"/>
  <c r="J2889" i="1"/>
  <c r="J2888" i="1"/>
  <c r="K2888" i="1" s="1"/>
  <c r="J3178" i="1"/>
  <c r="J2720" i="1"/>
  <c r="M2720" i="1" s="1"/>
  <c r="J1190" i="1"/>
  <c r="O1190" i="1" s="1"/>
  <c r="J1953" i="1"/>
  <c r="J1952" i="1"/>
  <c r="J2872" i="1"/>
  <c r="J1283" i="1"/>
  <c r="J3494" i="1"/>
  <c r="J2082" i="1"/>
  <c r="K2082" i="1" s="1"/>
  <c r="J2381" i="1"/>
  <c r="J2973" i="1"/>
  <c r="J2305" i="1"/>
  <c r="M2305" i="1" s="1"/>
  <c r="J1546" i="1"/>
  <c r="J2442" i="1"/>
  <c r="L2442" i="1" s="1"/>
  <c r="J2786" i="1"/>
  <c r="J1825" i="1"/>
  <c r="J358" i="1"/>
  <c r="J2258" i="1"/>
  <c r="J3359" i="1"/>
  <c r="L3359" i="1" s="1"/>
  <c r="J3358" i="1"/>
  <c r="J1018" i="1"/>
  <c r="L1018" i="1" s="1"/>
  <c r="J2436" i="1"/>
  <c r="O2436" i="1" s="1"/>
  <c r="J1881" i="1"/>
  <c r="J1880" i="1"/>
  <c r="O1880" i="1" s="1"/>
  <c r="J1437" i="1"/>
  <c r="J1321" i="1"/>
  <c r="J1219" i="1"/>
  <c r="J783" i="1"/>
  <c r="J2060" i="1"/>
  <c r="J2059" i="1"/>
  <c r="J1397" i="1"/>
  <c r="K1397" i="1" s="1"/>
  <c r="J3057" i="1"/>
  <c r="J2196" i="1"/>
  <c r="J2208" i="1"/>
  <c r="J209" i="1"/>
  <c r="J208" i="1"/>
  <c r="J2910" i="1"/>
  <c r="J605" i="1"/>
  <c r="L605" i="1" s="1"/>
  <c r="J3428" i="1"/>
  <c r="O3428" i="1" s="1"/>
  <c r="J3427" i="1"/>
  <c r="J3426" i="1"/>
  <c r="L3426" i="1" s="1"/>
  <c r="J1166" i="1"/>
  <c r="J1165" i="1"/>
  <c r="J1901" i="1"/>
  <c r="J3085" i="1"/>
  <c r="J215" i="1"/>
  <c r="O215" i="1" s="1"/>
  <c r="J214" i="1"/>
  <c r="J3530" i="1"/>
  <c r="K3530" i="1" s="1"/>
  <c r="J3529" i="1"/>
  <c r="J3528" i="1"/>
  <c r="J532" i="1"/>
  <c r="J531" i="1"/>
  <c r="J623" i="1"/>
  <c r="N623" i="1" s="1"/>
  <c r="J622" i="1"/>
  <c r="J8" i="1"/>
  <c r="J98" i="1"/>
  <c r="J1482" i="1"/>
  <c r="J2943" i="1"/>
  <c r="M2943" i="1" s="1"/>
  <c r="J26" i="1"/>
  <c r="J25" i="1"/>
  <c r="L25" i="1" s="1"/>
  <c r="J2299" i="1"/>
  <c r="J3618" i="1"/>
  <c r="J922" i="1"/>
  <c r="J888" i="1"/>
  <c r="J73" i="1"/>
  <c r="J2795" i="1"/>
  <c r="J255" i="1"/>
  <c r="J254" i="1"/>
  <c r="J371" i="1"/>
  <c r="J993" i="1"/>
  <c r="J992" i="1"/>
  <c r="J456" i="1"/>
  <c r="J455" i="1"/>
  <c r="J830" i="1"/>
  <c r="J829" i="1"/>
  <c r="J3335" i="1"/>
  <c r="J475" i="1"/>
  <c r="J696" i="1"/>
  <c r="J451" i="1"/>
  <c r="J450" i="1"/>
  <c r="J2936" i="1"/>
  <c r="M2936" i="1" s="1"/>
  <c r="J910" i="1"/>
  <c r="J909" i="1"/>
  <c r="J930" i="1"/>
  <c r="J3387" i="1"/>
  <c r="J3386" i="1"/>
  <c r="J2274" i="1"/>
  <c r="J2273" i="1"/>
  <c r="J2388" i="1"/>
  <c r="K2388" i="1" s="1"/>
  <c r="J3609" i="1"/>
  <c r="J3608" i="1"/>
  <c r="J3096" i="1"/>
  <c r="J3229" i="1"/>
  <c r="J3228" i="1"/>
  <c r="J712" i="1"/>
  <c r="J711" i="1"/>
  <c r="J710" i="1"/>
  <c r="J340" i="1"/>
  <c r="J881" i="1"/>
  <c r="J880" i="1"/>
  <c r="J439" i="1"/>
  <c r="J2896" i="1"/>
  <c r="J1078" i="1"/>
  <c r="J1646" i="1"/>
  <c r="J2782" i="1"/>
  <c r="J1850" i="1"/>
  <c r="J2595" i="1"/>
  <c r="J1551" i="1"/>
  <c r="J2980" i="1"/>
  <c r="J2822" i="1"/>
  <c r="J2821" i="1"/>
  <c r="J1226" i="1"/>
  <c r="J3064" i="1"/>
  <c r="J3133" i="1"/>
  <c r="J870" i="1"/>
  <c r="J379" i="1"/>
  <c r="J484" i="1"/>
  <c r="J3262" i="1"/>
  <c r="J958" i="1"/>
  <c r="J957" i="1"/>
  <c r="J2190" i="1"/>
  <c r="J315" i="1"/>
  <c r="J1471" i="1"/>
  <c r="J1470" i="1"/>
  <c r="J2201" i="1"/>
  <c r="J736" i="1"/>
  <c r="J735" i="1"/>
  <c r="J2507" i="1"/>
  <c r="J83" i="1"/>
  <c r="J1561" i="1"/>
  <c r="J1327" i="1"/>
  <c r="J1981" i="1"/>
  <c r="J635" i="1"/>
  <c r="J634" i="1"/>
  <c r="J2314" i="1"/>
  <c r="J1664" i="1"/>
  <c r="J1663" i="1"/>
  <c r="J1650" i="1"/>
  <c r="J1134" i="1"/>
  <c r="J1974" i="1"/>
  <c r="N105" i="1" l="1"/>
  <c r="O2474" i="1"/>
  <c r="M3156" i="1"/>
  <c r="K44" i="1"/>
  <c r="M461" i="1"/>
  <c r="K137" i="1"/>
  <c r="N521" i="1"/>
  <c r="O398" i="1"/>
  <c r="M521" i="1"/>
  <c r="N1127" i="1"/>
  <c r="N2474" i="1"/>
  <c r="K2282" i="1"/>
  <c r="K2720" i="1"/>
  <c r="N1119" i="1"/>
  <c r="M1127" i="1"/>
  <c r="L2474" i="1"/>
  <c r="M2082" i="1"/>
  <c r="L1118" i="1"/>
  <c r="M3394" i="1"/>
  <c r="L1033" i="1"/>
  <c r="O1806" i="1"/>
  <c r="K1118" i="1"/>
  <c r="O1571" i="1"/>
  <c r="O2658" i="1"/>
  <c r="N1806" i="1"/>
  <c r="N3426" i="1"/>
  <c r="M1831" i="1"/>
  <c r="M1231" i="1"/>
  <c r="N1571" i="1"/>
  <c r="N2658" i="1"/>
  <c r="L2699" i="1"/>
  <c r="M3530" i="1"/>
  <c r="K1831" i="1"/>
  <c r="K1231" i="1"/>
  <c r="N3156" i="1"/>
  <c r="O1279" i="1"/>
  <c r="K2991" i="1"/>
  <c r="L461" i="1"/>
  <c r="O1120" i="1"/>
  <c r="O1117" i="1"/>
  <c r="O363" i="1"/>
  <c r="K1127" i="1"/>
  <c r="M1571" i="1"/>
  <c r="M105" i="1"/>
  <c r="N1731" i="1"/>
  <c r="M2658" i="1"/>
  <c r="L2671" i="1"/>
  <c r="M1239" i="1"/>
  <c r="N3359" i="1"/>
  <c r="N2943" i="1"/>
  <c r="K461" i="1"/>
  <c r="N1120" i="1"/>
  <c r="M1591" i="1"/>
  <c r="M363" i="1"/>
  <c r="O2375" i="1"/>
  <c r="K1571" i="1"/>
  <c r="O3515" i="1"/>
  <c r="M1731" i="1"/>
  <c r="K2658" i="1"/>
  <c r="N2329" i="1"/>
  <c r="M1120" i="1"/>
  <c r="L1591" i="1"/>
  <c r="L3034" i="1"/>
  <c r="M2375" i="1"/>
  <c r="O571" i="1"/>
  <c r="N3515" i="1"/>
  <c r="M836" i="1"/>
  <c r="N2283" i="1"/>
  <c r="K2850" i="1"/>
  <c r="O2097" i="1"/>
  <c r="O3507" i="1"/>
  <c r="N1397" i="1"/>
  <c r="N2936" i="1"/>
  <c r="O1831" i="1"/>
  <c r="M2329" i="1"/>
  <c r="K1120" i="1"/>
  <c r="O1231" i="1"/>
  <c r="O2337" i="1"/>
  <c r="L2375" i="1"/>
  <c r="L611" i="1"/>
  <c r="M3515" i="1"/>
  <c r="N644" i="1"/>
  <c r="L836" i="1"/>
  <c r="M2283" i="1"/>
  <c r="N1099" i="1"/>
  <c r="N1831" i="1"/>
  <c r="L2329" i="1"/>
  <c r="O1119" i="1"/>
  <c r="N1231" i="1"/>
  <c r="K1433" i="1"/>
  <c r="N3394" i="1"/>
  <c r="K611" i="1"/>
  <c r="K3515" i="1"/>
  <c r="K635" i="1"/>
  <c r="L635" i="1"/>
  <c r="M635" i="1"/>
  <c r="N635" i="1"/>
  <c r="O635" i="1"/>
  <c r="K2980" i="1"/>
  <c r="L2980" i="1"/>
  <c r="M2980" i="1"/>
  <c r="N2980" i="1"/>
  <c r="O2980" i="1"/>
  <c r="K3387" i="1"/>
  <c r="L3387" i="1"/>
  <c r="M3387" i="1"/>
  <c r="N3387" i="1"/>
  <c r="O3387" i="1"/>
  <c r="K2299" i="1"/>
  <c r="M2299" i="1"/>
  <c r="L2299" i="1"/>
  <c r="N2299" i="1"/>
  <c r="K2060" i="1"/>
  <c r="L2060" i="1"/>
  <c r="M2060" i="1"/>
  <c r="K1845" i="1"/>
  <c r="L1845" i="1"/>
  <c r="M1845" i="1"/>
  <c r="N1845" i="1"/>
  <c r="M2918" i="1"/>
  <c r="K2685" i="1"/>
  <c r="N1279" i="1"/>
  <c r="M541" i="1"/>
  <c r="O2852" i="1"/>
  <c r="L2918" i="1"/>
  <c r="O3316" i="1"/>
  <c r="L644" i="1"/>
  <c r="M3507" i="1"/>
  <c r="N1134" i="1"/>
  <c r="O1134" i="1"/>
  <c r="K1134" i="1"/>
  <c r="L1134" i="1"/>
  <c r="M1134" i="1"/>
  <c r="N1327" i="1"/>
  <c r="O1327" i="1"/>
  <c r="L1327" i="1"/>
  <c r="M1327" i="1"/>
  <c r="K1327" i="1"/>
  <c r="N1471" i="1"/>
  <c r="O1471" i="1"/>
  <c r="M1471" i="1"/>
  <c r="N870" i="1"/>
  <c r="O870" i="1"/>
  <c r="K870" i="1"/>
  <c r="L870" i="1"/>
  <c r="M870" i="1"/>
  <c r="N2595" i="1"/>
  <c r="O2595" i="1"/>
  <c r="K2595" i="1"/>
  <c r="L2595" i="1"/>
  <c r="N881" i="1"/>
  <c r="O881" i="1"/>
  <c r="K881" i="1"/>
  <c r="L881" i="1"/>
  <c r="M881" i="1"/>
  <c r="N3608" i="1"/>
  <c r="O3608" i="1"/>
  <c r="K3608" i="1"/>
  <c r="L3608" i="1"/>
  <c r="M3608" i="1"/>
  <c r="K909" i="1"/>
  <c r="L909" i="1"/>
  <c r="M909" i="1"/>
  <c r="N909" i="1"/>
  <c r="O909" i="1"/>
  <c r="M829" i="1"/>
  <c r="N829" i="1"/>
  <c r="O829" i="1"/>
  <c r="K829" i="1"/>
  <c r="L829" i="1"/>
  <c r="K255" i="1"/>
  <c r="L255" i="1"/>
  <c r="M255" i="1"/>
  <c r="N255" i="1"/>
  <c r="O255" i="1"/>
  <c r="O26" i="1"/>
  <c r="L26" i="1"/>
  <c r="K26" i="1"/>
  <c r="M26" i="1"/>
  <c r="N26" i="1"/>
  <c r="L532" i="1"/>
  <c r="K532" i="1"/>
  <c r="M532" i="1"/>
  <c r="N1165" i="1"/>
  <c r="M1165" i="1"/>
  <c r="O1165" i="1"/>
  <c r="N209" i="1"/>
  <c r="K209" i="1"/>
  <c r="L209" i="1"/>
  <c r="M209" i="1"/>
  <c r="O209" i="1"/>
  <c r="K1219" i="1"/>
  <c r="L1219" i="1"/>
  <c r="M1219" i="1"/>
  <c r="N1219" i="1"/>
  <c r="M2973" i="1"/>
  <c r="L2973" i="1"/>
  <c r="N2973" i="1"/>
  <c r="O2973" i="1"/>
  <c r="N2097" i="1"/>
  <c r="K2097" i="1"/>
  <c r="N1801" i="1"/>
  <c r="K1801" i="1"/>
  <c r="L1801" i="1"/>
  <c r="M1801" i="1"/>
  <c r="O1099" i="1"/>
  <c r="K1099" i="1"/>
  <c r="K972" i="1"/>
  <c r="L972" i="1"/>
  <c r="K1362" i="1"/>
  <c r="L1362" i="1"/>
  <c r="K590" i="1"/>
  <c r="L590" i="1"/>
  <c r="L1279" i="1"/>
  <c r="K1591" i="1"/>
  <c r="L541" i="1"/>
  <c r="N2337" i="1"/>
  <c r="M2852" i="1"/>
  <c r="K3394" i="1"/>
  <c r="K2918" i="1"/>
  <c r="N3316" i="1"/>
  <c r="K644" i="1"/>
  <c r="O1362" i="1"/>
  <c r="N972" i="1"/>
  <c r="L1099" i="1"/>
  <c r="L2097" i="1"/>
  <c r="K2973" i="1"/>
  <c r="O532" i="1"/>
  <c r="K1650" i="1"/>
  <c r="L1650" i="1"/>
  <c r="M1650" i="1"/>
  <c r="N1650" i="1"/>
  <c r="O1650" i="1"/>
  <c r="K1561" i="1"/>
  <c r="L1561" i="1"/>
  <c r="M1561" i="1"/>
  <c r="N1561" i="1"/>
  <c r="O1561" i="1"/>
  <c r="K315" i="1"/>
  <c r="L315" i="1"/>
  <c r="M315" i="1"/>
  <c r="N315" i="1"/>
  <c r="O315" i="1"/>
  <c r="K3133" i="1"/>
  <c r="L3133" i="1"/>
  <c r="M3133" i="1"/>
  <c r="N3133" i="1"/>
  <c r="O3133" i="1"/>
  <c r="K1850" i="1"/>
  <c r="L1850" i="1"/>
  <c r="M1850" i="1"/>
  <c r="O1850" i="1"/>
  <c r="K340" i="1"/>
  <c r="L340" i="1"/>
  <c r="M340" i="1"/>
  <c r="N340" i="1"/>
  <c r="O340" i="1"/>
  <c r="K3609" i="1"/>
  <c r="L3609" i="1"/>
  <c r="M3609" i="1"/>
  <c r="N3609" i="1"/>
  <c r="L910" i="1"/>
  <c r="K910" i="1"/>
  <c r="M910" i="1"/>
  <c r="N910" i="1"/>
  <c r="O910" i="1"/>
  <c r="L830" i="1"/>
  <c r="K830" i="1"/>
  <c r="M830" i="1"/>
  <c r="N830" i="1"/>
  <c r="L2795" i="1"/>
  <c r="N2795" i="1"/>
  <c r="O2795" i="1"/>
  <c r="L2943" i="1"/>
  <c r="O2943" i="1"/>
  <c r="K2943" i="1"/>
  <c r="L3528" i="1"/>
  <c r="M3528" i="1"/>
  <c r="K3528" i="1"/>
  <c r="N3528" i="1"/>
  <c r="O3528" i="1"/>
  <c r="L1166" i="1"/>
  <c r="M1166" i="1"/>
  <c r="K1166" i="1"/>
  <c r="N1166" i="1"/>
  <c r="O1166" i="1"/>
  <c r="L2208" i="1"/>
  <c r="O2208" i="1"/>
  <c r="K2208" i="1"/>
  <c r="M2208" i="1"/>
  <c r="L1321" i="1"/>
  <c r="O1321" i="1"/>
  <c r="K1321" i="1"/>
  <c r="N1321" i="1"/>
  <c r="L2258" i="1"/>
  <c r="K2258" i="1"/>
  <c r="M2258" i="1"/>
  <c r="N2258" i="1"/>
  <c r="O2258" i="1"/>
  <c r="L2381" i="1"/>
  <c r="N2381" i="1"/>
  <c r="K2381" i="1"/>
  <c r="M2381" i="1"/>
  <c r="O2381" i="1"/>
  <c r="L2720" i="1"/>
  <c r="N2720" i="1"/>
  <c r="O2720" i="1"/>
  <c r="L1375" i="1"/>
  <c r="K1375" i="1"/>
  <c r="L1381" i="1"/>
  <c r="K1381" i="1"/>
  <c r="M1381" i="1"/>
  <c r="N1381" i="1"/>
  <c r="L2098" i="1"/>
  <c r="K2098" i="1"/>
  <c r="M2098" i="1"/>
  <c r="N2098" i="1"/>
  <c r="O2098" i="1"/>
  <c r="L2765" i="1"/>
  <c r="N2765" i="1"/>
  <c r="O2765" i="1"/>
  <c r="L1100" i="1"/>
  <c r="K1100" i="1"/>
  <c r="M1100" i="1"/>
  <c r="N1100" i="1"/>
  <c r="O1100" i="1"/>
  <c r="K3304" i="1"/>
  <c r="L3304" i="1"/>
  <c r="M3304" i="1"/>
  <c r="N3304" i="1"/>
  <c r="O3304" i="1"/>
  <c r="K3547" i="1"/>
  <c r="L3547" i="1"/>
  <c r="M3547" i="1"/>
  <c r="N3547" i="1"/>
  <c r="O3547" i="1"/>
  <c r="K162" i="1"/>
  <c r="L162" i="1"/>
  <c r="M162" i="1"/>
  <c r="N162" i="1"/>
  <c r="O162" i="1"/>
  <c r="K1731" i="1"/>
  <c r="O1731" i="1"/>
  <c r="K2992" i="1"/>
  <c r="O2992" i="1"/>
  <c r="K1687" i="1"/>
  <c r="O1687" i="1"/>
  <c r="O1202" i="1"/>
  <c r="O2702" i="1"/>
  <c r="K1279" i="1"/>
  <c r="L521" i="1"/>
  <c r="M1119" i="1"/>
  <c r="N1117" i="1"/>
  <c r="O1590" i="1"/>
  <c r="K541" i="1"/>
  <c r="L363" i="1"/>
  <c r="M2337" i="1"/>
  <c r="L2852" i="1"/>
  <c r="K2375" i="1"/>
  <c r="O3393" i="1"/>
  <c r="N1572" i="1"/>
  <c r="N571" i="1"/>
  <c r="M2992" i="1"/>
  <c r="L3316" i="1"/>
  <c r="K2474" i="1"/>
  <c r="O756" i="1"/>
  <c r="O2828" i="1"/>
  <c r="O590" i="1"/>
  <c r="N1362" i="1"/>
  <c r="M972" i="1"/>
  <c r="O54" i="1"/>
  <c r="O1808" i="1"/>
  <c r="O1520" i="1"/>
  <c r="O1381" i="1"/>
  <c r="N949" i="1"/>
  <c r="N2890" i="1"/>
  <c r="N532" i="1"/>
  <c r="O2299" i="1"/>
  <c r="O3609" i="1"/>
  <c r="K484" i="1"/>
  <c r="L484" i="1"/>
  <c r="M484" i="1"/>
  <c r="N484" i="1"/>
  <c r="O484" i="1"/>
  <c r="K3229" i="1"/>
  <c r="L3229" i="1"/>
  <c r="N3229" i="1"/>
  <c r="O3229" i="1"/>
  <c r="M3229" i="1"/>
  <c r="K371" i="1"/>
  <c r="L371" i="1"/>
  <c r="M371" i="1"/>
  <c r="N371" i="1"/>
  <c r="O371" i="1"/>
  <c r="K3085" i="1"/>
  <c r="O3085" i="1"/>
  <c r="L3085" i="1"/>
  <c r="M3085" i="1"/>
  <c r="N3085" i="1"/>
  <c r="K1018" i="1"/>
  <c r="N1018" i="1"/>
  <c r="M1018" i="1"/>
  <c r="O1018" i="1"/>
  <c r="K1952" i="1"/>
  <c r="L1952" i="1"/>
  <c r="M1952" i="1"/>
  <c r="N1952" i="1"/>
  <c r="K2614" i="1"/>
  <c r="L2614" i="1"/>
  <c r="M2614" i="1"/>
  <c r="N2614" i="1"/>
  <c r="O2614" i="1"/>
  <c r="K1597" i="1"/>
  <c r="O1597" i="1"/>
  <c r="K2015" i="1"/>
  <c r="L2015" i="1"/>
  <c r="M2015" i="1"/>
  <c r="K65" i="1"/>
  <c r="L65" i="1"/>
  <c r="M65" i="1"/>
  <c r="N65" i="1"/>
  <c r="K1787" i="1"/>
  <c r="L1787" i="1"/>
  <c r="M1787" i="1"/>
  <c r="N1787" i="1"/>
  <c r="K1470" i="1"/>
  <c r="L1470" i="1"/>
  <c r="M1470" i="1"/>
  <c r="N1470" i="1"/>
  <c r="O1470" i="1"/>
  <c r="K1551" i="1"/>
  <c r="L1551" i="1"/>
  <c r="M1551" i="1"/>
  <c r="N1551" i="1"/>
  <c r="O1551" i="1"/>
  <c r="N3335" i="1"/>
  <c r="K3335" i="1"/>
  <c r="L3335" i="1"/>
  <c r="M3335" i="1"/>
  <c r="O3335" i="1"/>
  <c r="N25" i="1"/>
  <c r="K25" i="1"/>
  <c r="M25" i="1"/>
  <c r="O25" i="1"/>
  <c r="N208" i="1"/>
  <c r="O208" i="1"/>
  <c r="K208" i="1"/>
  <c r="N2305" i="1"/>
  <c r="O2305" i="1"/>
  <c r="K2305" i="1"/>
  <c r="L2305" i="1"/>
  <c r="N1953" i="1"/>
  <c r="K1953" i="1"/>
  <c r="M1953" i="1"/>
  <c r="O1953" i="1"/>
  <c r="N1598" i="1"/>
  <c r="K1598" i="1"/>
  <c r="L1598" i="1"/>
  <c r="M1598" i="1"/>
  <c r="O1598" i="1"/>
  <c r="N3150" i="1"/>
  <c r="K3150" i="1"/>
  <c r="L3150" i="1"/>
  <c r="M3150" i="1"/>
  <c r="O3150" i="1"/>
  <c r="M971" i="1"/>
  <c r="N971" i="1"/>
  <c r="O971" i="1"/>
  <c r="M501" i="1"/>
  <c r="N501" i="1"/>
  <c r="O501" i="1"/>
  <c r="M589" i="1"/>
  <c r="N589" i="1"/>
  <c r="O589" i="1"/>
  <c r="N2560" i="1"/>
  <c r="M2560" i="1"/>
  <c r="O2560" i="1"/>
  <c r="L1663" i="1"/>
  <c r="M1663" i="1"/>
  <c r="N1663" i="1"/>
  <c r="O1663" i="1"/>
  <c r="K1663" i="1"/>
  <c r="L83" i="1"/>
  <c r="M83" i="1"/>
  <c r="N83" i="1"/>
  <c r="O83" i="1"/>
  <c r="K83" i="1"/>
  <c r="L2190" i="1"/>
  <c r="M2190" i="1"/>
  <c r="N2190" i="1"/>
  <c r="O2190" i="1"/>
  <c r="K2190" i="1"/>
  <c r="L3064" i="1"/>
  <c r="M3064" i="1"/>
  <c r="N3064" i="1"/>
  <c r="O3064" i="1"/>
  <c r="K3064" i="1"/>
  <c r="L2782" i="1"/>
  <c r="M2782" i="1"/>
  <c r="N2782" i="1"/>
  <c r="O2782" i="1"/>
  <c r="K2782" i="1"/>
  <c r="L710" i="1"/>
  <c r="M710" i="1"/>
  <c r="N710" i="1"/>
  <c r="O710" i="1"/>
  <c r="K710" i="1"/>
  <c r="L2388" i="1"/>
  <c r="M2388" i="1"/>
  <c r="N2388" i="1"/>
  <c r="O2388" i="1"/>
  <c r="O2936" i="1"/>
  <c r="K2936" i="1"/>
  <c r="L2936" i="1"/>
  <c r="O455" i="1"/>
  <c r="L455" i="1"/>
  <c r="M455" i="1"/>
  <c r="N455" i="1"/>
  <c r="O73" i="1"/>
  <c r="K73" i="1"/>
  <c r="L73" i="1"/>
  <c r="M73" i="1"/>
  <c r="N73" i="1"/>
  <c r="O1482" i="1"/>
  <c r="N1482" i="1"/>
  <c r="K1482" i="1"/>
  <c r="L1482" i="1"/>
  <c r="M1482" i="1"/>
  <c r="O3529" i="1"/>
  <c r="K3529" i="1"/>
  <c r="L3529" i="1"/>
  <c r="M3529" i="1"/>
  <c r="N3529" i="1"/>
  <c r="O3426" i="1"/>
  <c r="M3426" i="1"/>
  <c r="K3426" i="1"/>
  <c r="O2196" i="1"/>
  <c r="M2196" i="1"/>
  <c r="L2196" i="1"/>
  <c r="N2196" i="1"/>
  <c r="O1437" i="1"/>
  <c r="K1437" i="1"/>
  <c r="L1437" i="1"/>
  <c r="M1437" i="1"/>
  <c r="N1437" i="1"/>
  <c r="O358" i="1"/>
  <c r="L358" i="1"/>
  <c r="K358" i="1"/>
  <c r="M358" i="1"/>
  <c r="O2082" i="1"/>
  <c r="L2082" i="1"/>
  <c r="N2082" i="1"/>
  <c r="O3178" i="1"/>
  <c r="L3178" i="1"/>
  <c r="K3178" i="1"/>
  <c r="M3178" i="1"/>
  <c r="N3178" i="1"/>
  <c r="O1376" i="1"/>
  <c r="L1376" i="1"/>
  <c r="K1376" i="1"/>
  <c r="M1376" i="1"/>
  <c r="N1376" i="1"/>
  <c r="O137" i="1"/>
  <c r="L137" i="1"/>
  <c r="N137" i="1"/>
  <c r="O2966" i="1"/>
  <c r="L2966" i="1"/>
  <c r="K2966" i="1"/>
  <c r="O2161" i="1"/>
  <c r="K2161" i="1"/>
  <c r="L2161" i="1"/>
  <c r="M2161" i="1"/>
  <c r="N2235" i="1"/>
  <c r="O2235" i="1"/>
  <c r="N3305" i="1"/>
  <c r="O3305" i="1"/>
  <c r="N2671" i="1"/>
  <c r="O2671" i="1"/>
  <c r="N836" i="1"/>
  <c r="O836" i="1"/>
  <c r="M1202" i="1"/>
  <c r="N2702" i="1"/>
  <c r="O522" i="1"/>
  <c r="K521" i="1"/>
  <c r="L1119" i="1"/>
  <c r="M1117" i="1"/>
  <c r="N1590" i="1"/>
  <c r="N271" i="1"/>
  <c r="O1230" i="1"/>
  <c r="K363" i="1"/>
  <c r="K2337" i="1"/>
  <c r="K2852" i="1"/>
  <c r="O2376" i="1"/>
  <c r="N1687" i="1"/>
  <c r="N3393" i="1"/>
  <c r="M1572" i="1"/>
  <c r="L571" i="1"/>
  <c r="L2992" i="1"/>
  <c r="K3316" i="1"/>
  <c r="O2069" i="1"/>
  <c r="N756" i="1"/>
  <c r="M2828" i="1"/>
  <c r="N590" i="1"/>
  <c r="M1362" i="1"/>
  <c r="L971" i="1"/>
  <c r="M2765" i="1"/>
  <c r="M1597" i="1"/>
  <c r="L2560" i="1"/>
  <c r="L2890" i="1"/>
  <c r="L1953" i="1"/>
  <c r="M2442" i="1"/>
  <c r="K2196" i="1"/>
  <c r="L1165" i="1"/>
  <c r="M2795" i="1"/>
  <c r="N1850" i="1"/>
  <c r="K2201" i="1"/>
  <c r="L2201" i="1"/>
  <c r="M2201" i="1"/>
  <c r="N2201" i="1"/>
  <c r="O2201" i="1"/>
  <c r="K439" i="1"/>
  <c r="L439" i="1"/>
  <c r="M439" i="1"/>
  <c r="N439" i="1"/>
  <c r="O439" i="1"/>
  <c r="K475" i="1"/>
  <c r="N475" i="1"/>
  <c r="O475" i="1"/>
  <c r="L475" i="1"/>
  <c r="M475" i="1"/>
  <c r="K623" i="1"/>
  <c r="M623" i="1"/>
  <c r="O623" i="1"/>
  <c r="K2910" i="1"/>
  <c r="O2910" i="1"/>
  <c r="L2910" i="1"/>
  <c r="M2910" i="1"/>
  <c r="N2910" i="1"/>
  <c r="K1546" i="1"/>
  <c r="N1546" i="1"/>
  <c r="L1546" i="1"/>
  <c r="M1546" i="1"/>
  <c r="O1546" i="1"/>
  <c r="K3371" i="1"/>
  <c r="M3371" i="1"/>
  <c r="N3371" i="1"/>
  <c r="O3371" i="1"/>
  <c r="K1808" i="1"/>
  <c r="L1808" i="1"/>
  <c r="O2015" i="1"/>
  <c r="O2060" i="1"/>
  <c r="K1974" i="1"/>
  <c r="L1974" i="1"/>
  <c r="M1974" i="1"/>
  <c r="N1974" i="1"/>
  <c r="O1974" i="1"/>
  <c r="K379" i="1"/>
  <c r="L379" i="1"/>
  <c r="M379" i="1"/>
  <c r="N379" i="1"/>
  <c r="O379" i="1"/>
  <c r="K3096" i="1"/>
  <c r="L3096" i="1"/>
  <c r="M3096" i="1"/>
  <c r="N3096" i="1"/>
  <c r="O3096" i="1"/>
  <c r="N254" i="1"/>
  <c r="O254" i="1"/>
  <c r="K254" i="1"/>
  <c r="L254" i="1"/>
  <c r="M254" i="1"/>
  <c r="N531" i="1"/>
  <c r="M531" i="1"/>
  <c r="K531" i="1"/>
  <c r="L531" i="1"/>
  <c r="O531" i="1"/>
  <c r="N783" i="1"/>
  <c r="L783" i="1"/>
  <c r="K783" i="1"/>
  <c r="M783" i="1"/>
  <c r="O783" i="1"/>
  <c r="N3358" i="1"/>
  <c r="L3358" i="1"/>
  <c r="K3358" i="1"/>
  <c r="M3358" i="1"/>
  <c r="O3358" i="1"/>
  <c r="N3507" i="1"/>
  <c r="K3507" i="1"/>
  <c r="N393" i="1"/>
  <c r="K393" i="1"/>
  <c r="L393" i="1"/>
  <c r="M393" i="1"/>
  <c r="N3115" i="1"/>
  <c r="K3115" i="1"/>
  <c r="M3115" i="1"/>
  <c r="O3115" i="1"/>
  <c r="N2060" i="1"/>
  <c r="N1052" i="1"/>
  <c r="K1052" i="1"/>
  <c r="L1052" i="1"/>
  <c r="M1052" i="1"/>
  <c r="O1052" i="1"/>
  <c r="O1664" i="1"/>
  <c r="K1664" i="1"/>
  <c r="N1664" i="1"/>
  <c r="L1664" i="1"/>
  <c r="M1664" i="1"/>
  <c r="O2507" i="1"/>
  <c r="K2507" i="1"/>
  <c r="L2507" i="1"/>
  <c r="M2507" i="1"/>
  <c r="N2507" i="1"/>
  <c r="O957" i="1"/>
  <c r="K957" i="1"/>
  <c r="L957" i="1"/>
  <c r="M957" i="1"/>
  <c r="N957" i="1"/>
  <c r="O1226" i="1"/>
  <c r="K1226" i="1"/>
  <c r="L1226" i="1"/>
  <c r="M1226" i="1"/>
  <c r="N1226" i="1"/>
  <c r="O1646" i="1"/>
  <c r="K1646" i="1"/>
  <c r="L1646" i="1"/>
  <c r="M1646" i="1"/>
  <c r="N1646" i="1"/>
  <c r="O711" i="1"/>
  <c r="K711" i="1"/>
  <c r="L711" i="1"/>
  <c r="M711" i="1"/>
  <c r="N711" i="1"/>
  <c r="O2273" i="1"/>
  <c r="K2273" i="1"/>
  <c r="L2273" i="1"/>
  <c r="M2273" i="1"/>
  <c r="N2273" i="1"/>
  <c r="K450" i="1"/>
  <c r="L450" i="1"/>
  <c r="M450" i="1"/>
  <c r="N450" i="1"/>
  <c r="O450" i="1"/>
  <c r="K456" i="1"/>
  <c r="L456" i="1"/>
  <c r="M456" i="1"/>
  <c r="N456" i="1"/>
  <c r="O456" i="1"/>
  <c r="M888" i="1"/>
  <c r="N888" i="1"/>
  <c r="O888" i="1"/>
  <c r="K888" i="1"/>
  <c r="L888" i="1"/>
  <c r="O98" i="1"/>
  <c r="K98" i="1"/>
  <c r="L98" i="1"/>
  <c r="M98" i="1"/>
  <c r="O3530" i="1"/>
  <c r="L3530" i="1"/>
  <c r="N3530" i="1"/>
  <c r="L3427" i="1"/>
  <c r="K3427" i="1"/>
  <c r="M3427" i="1"/>
  <c r="N3427" i="1"/>
  <c r="O3427" i="1"/>
  <c r="N3057" i="1"/>
  <c r="K3057" i="1"/>
  <c r="L3057" i="1"/>
  <c r="M3057" i="1"/>
  <c r="O3057" i="1"/>
  <c r="N1880" i="1"/>
  <c r="K1880" i="1"/>
  <c r="L1880" i="1"/>
  <c r="K1825" i="1"/>
  <c r="M1825" i="1"/>
  <c r="N1825" i="1"/>
  <c r="O1825" i="1"/>
  <c r="M3494" i="1"/>
  <c r="K3494" i="1"/>
  <c r="L3494" i="1"/>
  <c r="N3494" i="1"/>
  <c r="O3494" i="1"/>
  <c r="O2888" i="1"/>
  <c r="N2888" i="1"/>
  <c r="O949" i="1"/>
  <c r="K949" i="1"/>
  <c r="L949" i="1"/>
  <c r="O3183" i="1"/>
  <c r="K3183" i="1"/>
  <c r="L3183" i="1"/>
  <c r="M3183" i="1"/>
  <c r="N3183" i="1"/>
  <c r="O1306" i="1"/>
  <c r="L1306" i="1"/>
  <c r="M1306" i="1"/>
  <c r="N1306" i="1"/>
  <c r="M2699" i="1"/>
  <c r="N2699" i="1"/>
  <c r="O2699" i="1"/>
  <c r="K54" i="1"/>
  <c r="L54" i="1"/>
  <c r="M54" i="1"/>
  <c r="K469" i="1"/>
  <c r="L469" i="1"/>
  <c r="M469" i="1"/>
  <c r="K1541" i="1"/>
  <c r="L1541" i="1"/>
  <c r="M1541" i="1"/>
  <c r="K2321" i="1"/>
  <c r="L2321" i="1"/>
  <c r="M2321" i="1"/>
  <c r="L1202" i="1"/>
  <c r="M2702" i="1"/>
  <c r="N522" i="1"/>
  <c r="L1117" i="1"/>
  <c r="L1590" i="1"/>
  <c r="M271" i="1"/>
  <c r="N1230" i="1"/>
  <c r="O3034" i="1"/>
  <c r="O1433" i="1"/>
  <c r="N2960" i="1"/>
  <c r="N2376" i="1"/>
  <c r="M1687" i="1"/>
  <c r="L3393" i="1"/>
  <c r="K571" i="1"/>
  <c r="O2991" i="1"/>
  <c r="O2685" i="1"/>
  <c r="M2069" i="1"/>
  <c r="M756" i="1"/>
  <c r="L2828" i="1"/>
  <c r="M590" i="1"/>
  <c r="O1541" i="1"/>
  <c r="L501" i="1"/>
  <c r="N469" i="1"/>
  <c r="K971" i="1"/>
  <c r="M2235" i="1"/>
  <c r="M1808" i="1"/>
  <c r="K2765" i="1"/>
  <c r="K1306" i="1"/>
  <c r="L1597" i="1"/>
  <c r="K2560" i="1"/>
  <c r="O1375" i="1"/>
  <c r="O1952" i="1"/>
  <c r="M1880" i="1"/>
  <c r="N2208" i="1"/>
  <c r="K1165" i="1"/>
  <c r="L623" i="1"/>
  <c r="K2795" i="1"/>
  <c r="M2595" i="1"/>
  <c r="K522" i="1"/>
  <c r="N541" i="1"/>
  <c r="N1190" i="1"/>
  <c r="K1190" i="1"/>
  <c r="L1190" i="1"/>
  <c r="M1190" i="1"/>
  <c r="K2314" i="1"/>
  <c r="L2314" i="1"/>
  <c r="M2314" i="1"/>
  <c r="N2314" i="1"/>
  <c r="O2314" i="1"/>
  <c r="K735" i="1"/>
  <c r="L735" i="1"/>
  <c r="M735" i="1"/>
  <c r="N735" i="1"/>
  <c r="O735" i="1"/>
  <c r="K958" i="1"/>
  <c r="L958" i="1"/>
  <c r="M958" i="1"/>
  <c r="N958" i="1"/>
  <c r="O958" i="1"/>
  <c r="K2821" i="1"/>
  <c r="L2821" i="1"/>
  <c r="M2821" i="1"/>
  <c r="N2821" i="1"/>
  <c r="O2821" i="1"/>
  <c r="K1078" i="1"/>
  <c r="L1078" i="1"/>
  <c r="M1078" i="1"/>
  <c r="N1078" i="1"/>
  <c r="O1078" i="1"/>
  <c r="K712" i="1"/>
  <c r="L712" i="1"/>
  <c r="M712" i="1"/>
  <c r="N712" i="1"/>
  <c r="O712" i="1"/>
  <c r="K2274" i="1"/>
  <c r="L2274" i="1"/>
  <c r="M2274" i="1"/>
  <c r="N2274" i="1"/>
  <c r="O2274" i="1"/>
  <c r="M451" i="1"/>
  <c r="O451" i="1"/>
  <c r="K451" i="1"/>
  <c r="L451" i="1"/>
  <c r="N451" i="1"/>
  <c r="M992" i="1"/>
  <c r="K992" i="1"/>
  <c r="L992" i="1"/>
  <c r="N992" i="1"/>
  <c r="O992" i="1"/>
  <c r="M922" i="1"/>
  <c r="K922" i="1"/>
  <c r="L922" i="1"/>
  <c r="N922" i="1"/>
  <c r="O922" i="1"/>
  <c r="M8" i="1"/>
  <c r="N8" i="1"/>
  <c r="L8" i="1"/>
  <c r="O8" i="1"/>
  <c r="M214" i="1"/>
  <c r="K214" i="1"/>
  <c r="L214" i="1"/>
  <c r="N214" i="1"/>
  <c r="O214" i="1"/>
  <c r="M3428" i="1"/>
  <c r="L3428" i="1"/>
  <c r="K3428" i="1"/>
  <c r="N3428" i="1"/>
  <c r="M1397" i="1"/>
  <c r="L1397" i="1"/>
  <c r="O1397" i="1"/>
  <c r="M1881" i="1"/>
  <c r="O1881" i="1"/>
  <c r="K1881" i="1"/>
  <c r="L1881" i="1"/>
  <c r="N1881" i="1"/>
  <c r="M2786" i="1"/>
  <c r="O2786" i="1"/>
  <c r="K2786" i="1"/>
  <c r="L2786" i="1"/>
  <c r="N2786" i="1"/>
  <c r="M1283" i="1"/>
  <c r="K1283" i="1"/>
  <c r="L1283" i="1"/>
  <c r="M2889" i="1"/>
  <c r="K2889" i="1"/>
  <c r="L2889" i="1"/>
  <c r="N2889" i="1"/>
  <c r="O2889" i="1"/>
  <c r="M950" i="1"/>
  <c r="L950" i="1"/>
  <c r="N950" i="1"/>
  <c r="O950" i="1"/>
  <c r="M3184" i="1"/>
  <c r="O3184" i="1"/>
  <c r="M1520" i="1"/>
  <c r="K1520" i="1"/>
  <c r="L1520" i="1"/>
  <c r="O461" i="1"/>
  <c r="K1202" i="1"/>
  <c r="L2702" i="1"/>
  <c r="M522" i="1"/>
  <c r="O1118" i="1"/>
  <c r="O1591" i="1"/>
  <c r="K1590" i="1"/>
  <c r="L271" i="1"/>
  <c r="M1230" i="1"/>
  <c r="N3034" i="1"/>
  <c r="N1433" i="1"/>
  <c r="L2376" i="1"/>
  <c r="L1687" i="1"/>
  <c r="K3393" i="1"/>
  <c r="O611" i="1"/>
  <c r="N2991" i="1"/>
  <c r="M2685" i="1"/>
  <c r="L2069" i="1"/>
  <c r="K756" i="1"/>
  <c r="K2828" i="1"/>
  <c r="O2321" i="1"/>
  <c r="L589" i="1"/>
  <c r="N1541" i="1"/>
  <c r="K501" i="1"/>
  <c r="M3305" i="1"/>
  <c r="O1845" i="1"/>
  <c r="L2235" i="1"/>
  <c r="O1801" i="1"/>
  <c r="N2966" i="1"/>
  <c r="N3184" i="1"/>
  <c r="O393" i="1"/>
  <c r="N1375" i="1"/>
  <c r="M2888" i="1"/>
  <c r="O1283" i="1"/>
  <c r="L1825" i="1"/>
  <c r="M1321" i="1"/>
  <c r="M208" i="1"/>
  <c r="K8" i="1"/>
  <c r="K455" i="1"/>
  <c r="L1471" i="1"/>
  <c r="O1787" i="1"/>
  <c r="K1981" i="1"/>
  <c r="L1981" i="1"/>
  <c r="M1981" i="1"/>
  <c r="N1981" i="1"/>
  <c r="O1981" i="1"/>
  <c r="K880" i="1"/>
  <c r="L880" i="1"/>
  <c r="M880" i="1"/>
  <c r="N880" i="1"/>
  <c r="O880" i="1"/>
  <c r="N930" i="1"/>
  <c r="L930" i="1"/>
  <c r="M930" i="1"/>
  <c r="O930" i="1"/>
  <c r="K930" i="1"/>
  <c r="N1901" i="1"/>
  <c r="M1901" i="1"/>
  <c r="K1901" i="1"/>
  <c r="L1901" i="1"/>
  <c r="O1901" i="1"/>
  <c r="M3359" i="1"/>
  <c r="O3359" i="1"/>
  <c r="K3359" i="1"/>
  <c r="M634" i="1"/>
  <c r="N634" i="1"/>
  <c r="O634" i="1"/>
  <c r="K634" i="1"/>
  <c r="L634" i="1"/>
  <c r="M736" i="1"/>
  <c r="N736" i="1"/>
  <c r="O736" i="1"/>
  <c r="K736" i="1"/>
  <c r="L736" i="1"/>
  <c r="M3262" i="1"/>
  <c r="N3262" i="1"/>
  <c r="O3262" i="1"/>
  <c r="K3262" i="1"/>
  <c r="L3262" i="1"/>
  <c r="M2822" i="1"/>
  <c r="N2822" i="1"/>
  <c r="O2822" i="1"/>
  <c r="L2822" i="1"/>
  <c r="K2822" i="1"/>
  <c r="M2896" i="1"/>
  <c r="N2896" i="1"/>
  <c r="O2896" i="1"/>
  <c r="K2896" i="1"/>
  <c r="L2896" i="1"/>
  <c r="M3228" i="1"/>
  <c r="N3228" i="1"/>
  <c r="O3228" i="1"/>
  <c r="K3228" i="1"/>
  <c r="L3228" i="1"/>
  <c r="M3386" i="1"/>
  <c r="N3386" i="1"/>
  <c r="O3386" i="1"/>
  <c r="K3386" i="1"/>
  <c r="L3386" i="1"/>
  <c r="K696" i="1"/>
  <c r="L696" i="1"/>
  <c r="M696" i="1"/>
  <c r="N696" i="1"/>
  <c r="O696" i="1"/>
  <c r="O993" i="1"/>
  <c r="K993" i="1"/>
  <c r="L993" i="1"/>
  <c r="M993" i="1"/>
  <c r="N993" i="1"/>
  <c r="L3618" i="1"/>
  <c r="M3618" i="1"/>
  <c r="N3618" i="1"/>
  <c r="O3618" i="1"/>
  <c r="K3618" i="1"/>
  <c r="N622" i="1"/>
  <c r="K622" i="1"/>
  <c r="L622" i="1"/>
  <c r="M622" i="1"/>
  <c r="O622" i="1"/>
  <c r="N215" i="1"/>
  <c r="K215" i="1"/>
  <c r="L215" i="1"/>
  <c r="K605" i="1"/>
  <c r="M605" i="1"/>
  <c r="N605" i="1"/>
  <c r="O605" i="1"/>
  <c r="M2059" i="1"/>
  <c r="K2059" i="1"/>
  <c r="L2059" i="1"/>
  <c r="N2059" i="1"/>
  <c r="O2059" i="1"/>
  <c r="M2436" i="1"/>
  <c r="K2436" i="1"/>
  <c r="L2436" i="1"/>
  <c r="N2436" i="1"/>
  <c r="O2442" i="1"/>
  <c r="N2442" i="1"/>
  <c r="K2442" i="1"/>
  <c r="O2872" i="1"/>
  <c r="L2872" i="1"/>
  <c r="K2872" i="1"/>
  <c r="M2872" i="1"/>
  <c r="N2872" i="1"/>
  <c r="M2890" i="1"/>
  <c r="O2890" i="1"/>
  <c r="M398" i="1"/>
  <c r="K398" i="1"/>
  <c r="L398" i="1"/>
  <c r="M2603" i="1"/>
  <c r="K2603" i="1"/>
  <c r="L2603" i="1"/>
  <c r="N2603" i="1"/>
  <c r="O2603" i="1"/>
  <c r="M1521" i="1"/>
  <c r="L1521" i="1"/>
  <c r="N1521" i="1"/>
  <c r="O1521" i="1"/>
  <c r="L1807" i="1"/>
  <c r="M1807" i="1"/>
  <c r="N1807" i="1"/>
  <c r="O1807" i="1"/>
  <c r="O1239" i="1"/>
  <c r="K1239" i="1"/>
  <c r="O2283" i="1"/>
  <c r="K2283" i="1"/>
  <c r="O3156" i="1"/>
  <c r="K3156" i="1"/>
  <c r="O1033" i="1"/>
  <c r="K1033" i="1"/>
  <c r="O105" i="1"/>
  <c r="K105" i="1"/>
  <c r="O1572" i="1"/>
  <c r="K1572" i="1"/>
  <c r="O2960" i="1"/>
  <c r="K2960" i="1"/>
  <c r="O2329" i="1"/>
  <c r="M1118" i="1"/>
  <c r="K271" i="1"/>
  <c r="M3034" i="1"/>
  <c r="L1433" i="1"/>
  <c r="L2960" i="1"/>
  <c r="K2376" i="1"/>
  <c r="O3394" i="1"/>
  <c r="O2918" i="1"/>
  <c r="M611" i="1"/>
  <c r="M2991" i="1"/>
  <c r="L2685" i="1"/>
  <c r="K2069" i="1"/>
  <c r="O644" i="1"/>
  <c r="N1033" i="1"/>
  <c r="N2321" i="1"/>
  <c r="K589" i="1"/>
  <c r="M2671" i="1"/>
  <c r="O65" i="1"/>
  <c r="L3305" i="1"/>
  <c r="N1239" i="1"/>
  <c r="K2235" i="1"/>
  <c r="L3115" i="1"/>
  <c r="M2966" i="1"/>
  <c r="L3184" i="1"/>
  <c r="L3371" i="1"/>
  <c r="M1375" i="1"/>
  <c r="L2888" i="1"/>
  <c r="N1283" i="1"/>
  <c r="N358" i="1"/>
  <c r="O1219" i="1"/>
  <c r="L208" i="1"/>
  <c r="M215" i="1"/>
  <c r="N98" i="1"/>
  <c r="O830" i="1"/>
  <c r="K1471" i="1"/>
  <c r="L1806" i="1"/>
  <c r="O44" i="1"/>
  <c r="O2282" i="1"/>
  <c r="O2850" i="1"/>
  <c r="K1806" i="1"/>
  <c r="N44" i="1"/>
  <c r="N2282" i="1"/>
  <c r="N2850" i="1"/>
  <c r="M44" i="1"/>
  <c r="M2282" i="1"/>
  <c r="M2850" i="1"/>
  <c r="J144" i="1" l="1"/>
  <c r="K144" i="1" s="1"/>
  <c r="J707" i="1"/>
  <c r="K707" i="1" s="1"/>
  <c r="J2787" i="1"/>
  <c r="J1752" i="1"/>
  <c r="J3018" i="1"/>
  <c r="J1387" i="1"/>
  <c r="J3151" i="1"/>
  <c r="J2469" i="1"/>
  <c r="J1989" i="1"/>
  <c r="J3259" i="1"/>
  <c r="J1923" i="1"/>
  <c r="J3041" i="1"/>
  <c r="K3041" i="1" s="1"/>
  <c r="J260" i="1"/>
  <c r="J507" i="1"/>
  <c r="K507" i="1" s="1"/>
  <c r="J2270" i="1"/>
  <c r="J708" i="1"/>
  <c r="J2569" i="1"/>
  <c r="J1679" i="1"/>
  <c r="J1447" i="1"/>
  <c r="J3042" i="1"/>
  <c r="K3042" i="1" s="1"/>
  <c r="J3043" i="1"/>
  <c r="J665" i="1"/>
  <c r="K665" i="1" s="1"/>
  <c r="J871" i="1"/>
  <c r="K871" i="1" s="1"/>
  <c r="J508" i="1"/>
  <c r="K508" i="1" s="1"/>
  <c r="J3263" i="1"/>
  <c r="K3263" i="1" s="1"/>
  <c r="J709" i="1"/>
  <c r="J1631" i="1"/>
  <c r="J2672" i="1"/>
  <c r="J3454" i="1"/>
  <c r="J551" i="1"/>
  <c r="J1568" i="1"/>
  <c r="J3285" i="1"/>
  <c r="L3285" i="1" s="1"/>
  <c r="J3157" i="1"/>
  <c r="K3157" i="1" s="1"/>
  <c r="J485" i="1"/>
  <c r="J2197" i="1"/>
  <c r="K2197" i="1" s="1"/>
  <c r="J3455" i="1"/>
  <c r="K3455" i="1" s="1"/>
  <c r="J1492" i="1"/>
  <c r="J2993" i="1"/>
  <c r="J261" i="1"/>
  <c r="J2777" i="1"/>
  <c r="J939" i="1"/>
  <c r="K939" i="1" s="1"/>
  <c r="J462" i="1"/>
  <c r="J2030" i="1"/>
  <c r="J9" i="1"/>
  <c r="J2490" i="1"/>
  <c r="J2738" i="1"/>
  <c r="J3566" i="1"/>
  <c r="J411" i="1"/>
  <c r="J2651" i="1"/>
  <c r="K2651" i="1" s="1"/>
  <c r="J3446" i="1"/>
  <c r="J2757" i="1"/>
  <c r="J672" i="1"/>
  <c r="J1560" i="1"/>
  <c r="J3033" i="1"/>
  <c r="J2714" i="1"/>
  <c r="J3583" i="1"/>
  <c r="J742" i="1"/>
  <c r="K742" i="1" s="1"/>
  <c r="J533" i="1"/>
  <c r="J3044" i="1"/>
  <c r="K3044" i="1" s="1"/>
  <c r="J2346" i="1"/>
  <c r="K2346" i="1" s="1"/>
  <c r="J864" i="1"/>
  <c r="K864" i="1" s="1"/>
  <c r="J2673" i="1"/>
  <c r="J2944" i="1"/>
  <c r="J3540" i="1"/>
  <c r="J1859" i="1"/>
  <c r="J2536" i="1"/>
  <c r="J900" i="1"/>
  <c r="J304" i="1"/>
  <c r="J3158" i="1"/>
  <c r="J2038" i="1"/>
  <c r="J1472" i="1"/>
  <c r="J486" i="1"/>
  <c r="J1673" i="1"/>
  <c r="K1673" i="1" s="1"/>
  <c r="J1493" i="1"/>
  <c r="L1493" i="1" s="1"/>
  <c r="J1867" i="1"/>
  <c r="K1867" i="1" s="1"/>
  <c r="J1264" i="1"/>
  <c r="J749" i="1"/>
  <c r="J394" i="1"/>
  <c r="J1227" i="1"/>
  <c r="J3088" i="1"/>
  <c r="J2674" i="1"/>
  <c r="K2674" i="1" s="1"/>
  <c r="J2911" i="1"/>
  <c r="K2911" i="1" s="1"/>
  <c r="J2043" i="1"/>
  <c r="K2043" i="1" s="1"/>
  <c r="J2823" i="1"/>
  <c r="K2823" i="1" s="1"/>
  <c r="J1302" i="1"/>
  <c r="K1302" i="1" s="1"/>
  <c r="J3471" i="1"/>
  <c r="J195" i="1"/>
  <c r="J719" i="1"/>
  <c r="J1108" i="1"/>
  <c r="J3379" i="1"/>
  <c r="J1128" i="1"/>
  <c r="J1741" i="1"/>
  <c r="J457" i="1"/>
  <c r="J3009" i="1"/>
  <c r="J3035" i="1"/>
  <c r="J3541" i="1"/>
  <c r="K3541" i="1" s="1"/>
  <c r="J2879" i="1"/>
  <c r="J757" i="1"/>
  <c r="K757" i="1" s="1"/>
  <c r="J2680" i="1"/>
  <c r="K2680" i="1" s="1"/>
  <c r="J795" i="1"/>
  <c r="J3310" i="1"/>
  <c r="J1680" i="1"/>
  <c r="J596" i="1"/>
  <c r="J2377" i="1"/>
  <c r="K2377" i="1" s="1"/>
  <c r="J1579" i="1"/>
  <c r="J952" i="1"/>
  <c r="J624" i="1"/>
  <c r="J2994" i="1"/>
  <c r="J2561" i="1"/>
  <c r="J2581" i="1"/>
  <c r="J1642" i="1"/>
  <c r="J1506" i="1"/>
  <c r="K1506" i="1" s="1"/>
  <c r="J787" i="1"/>
  <c r="J2209" i="1"/>
  <c r="J2552" i="1"/>
  <c r="J2553" i="1"/>
  <c r="J249" i="1"/>
  <c r="J1511" i="1"/>
  <c r="J1026" i="1"/>
  <c r="J1498" i="1"/>
  <c r="K1498" i="1" s="1"/>
  <c r="J1405" i="1"/>
  <c r="J597" i="1"/>
  <c r="K597" i="1" s="1"/>
  <c r="J612" i="1"/>
  <c r="K612" i="1" s="1"/>
  <c r="J681" i="1"/>
  <c r="K681" i="1" s="1"/>
  <c r="J156" i="1"/>
  <c r="J3050" i="1"/>
  <c r="J1665" i="1"/>
  <c r="J1156" i="1"/>
  <c r="J1053" i="1"/>
  <c r="J1668" i="1"/>
  <c r="J3345" i="1"/>
  <c r="J2905" i="1"/>
  <c r="J1908" i="1"/>
  <c r="J3022" i="1"/>
  <c r="J1011" i="1"/>
  <c r="J3165" i="1"/>
  <c r="K3165" i="1" s="1"/>
  <c r="J1406" i="1"/>
  <c r="J985" i="1"/>
  <c r="K985" i="1" s="1"/>
  <c r="J3580" i="1"/>
  <c r="J2174" i="1"/>
  <c r="J1167" i="1"/>
  <c r="J3464" i="1"/>
  <c r="J353" i="1"/>
  <c r="J3325" i="1"/>
  <c r="K3325" i="1" s="1"/>
  <c r="J3121" i="1"/>
  <c r="J2514" i="1"/>
  <c r="K2514" i="1" s="1"/>
  <c r="J2620" i="1"/>
  <c r="K2620" i="1" s="1"/>
  <c r="J2241" i="1"/>
  <c r="K2241" i="1" s="1"/>
  <c r="J1203" i="1"/>
  <c r="K1203" i="1" s="1"/>
  <c r="J583" i="1"/>
  <c r="J3081" i="1"/>
  <c r="J737" i="1"/>
  <c r="J412" i="1"/>
  <c r="J3531" i="1"/>
  <c r="J38" i="1"/>
  <c r="J2808" i="1"/>
  <c r="J1121" i="1"/>
  <c r="J226" i="1"/>
  <c r="J3145" i="1"/>
  <c r="L3145" i="1" s="1"/>
  <c r="J1246" i="1"/>
  <c r="K1246" i="1" s="1"/>
  <c r="J3485" i="1"/>
  <c r="J2543" i="1"/>
  <c r="K2543" i="1" s="1"/>
  <c r="J2129" i="1"/>
  <c r="K2129" i="1" s="1"/>
  <c r="J1742" i="1"/>
  <c r="J1657" i="1"/>
  <c r="J1766" i="1"/>
  <c r="J2099" i="1"/>
  <c r="J2967" i="1"/>
  <c r="K2967" i="1" s="1"/>
  <c r="J3130" i="1"/>
  <c r="J2418" i="1"/>
  <c r="J1651" i="1"/>
  <c r="J1145" i="1"/>
  <c r="J2443" i="1"/>
  <c r="J2582" i="1"/>
  <c r="J872" i="1"/>
  <c r="J1788" i="1"/>
  <c r="K1788" i="1" s="1"/>
  <c r="J973" i="1"/>
  <c r="J3561" i="1"/>
  <c r="J1071" i="1"/>
  <c r="J502" i="1"/>
  <c r="J1809" i="1"/>
  <c r="J1314" i="1"/>
  <c r="J2675" i="1"/>
  <c r="J1296" i="1"/>
  <c r="K1296" i="1" s="1"/>
  <c r="J2102" i="1"/>
  <c r="J3289" i="1"/>
  <c r="J1632" i="1"/>
  <c r="J3380" i="1"/>
  <c r="J3433" i="1"/>
  <c r="J2995" i="1"/>
  <c r="J1622" i="1"/>
  <c r="J470" i="1"/>
  <c r="J882" i="1"/>
  <c r="J2615" i="1"/>
  <c r="J1034" i="1"/>
  <c r="J629" i="1"/>
  <c r="J413" i="1"/>
  <c r="J1946" i="1"/>
  <c r="J2788" i="1"/>
  <c r="J185" i="1"/>
  <c r="K185" i="1" s="1"/>
  <c r="J1220" i="1"/>
  <c r="J3508" i="1"/>
  <c r="J99" i="1"/>
  <c r="J1448" i="1"/>
  <c r="J1851" i="1"/>
  <c r="J2222" i="1"/>
  <c r="J2961" i="1"/>
  <c r="J2153" i="1"/>
  <c r="K2153" i="1" s="1"/>
  <c r="J3223" i="1"/>
  <c r="J2562" i="1"/>
  <c r="J1669" i="1"/>
  <c r="J2103" i="1"/>
  <c r="J1444" i="1"/>
  <c r="K1444" i="1" s="1"/>
  <c r="J2378" i="1"/>
  <c r="J2148" i="1"/>
  <c r="J216" i="1"/>
  <c r="J446" i="1"/>
  <c r="J738" i="1"/>
  <c r="J1027" i="1"/>
  <c r="J3051" i="1"/>
  <c r="J179" i="1"/>
  <c r="J2342" i="1"/>
  <c r="J1035" i="1"/>
  <c r="K1035" i="1" s="1"/>
  <c r="J1191" i="1"/>
  <c r="J2402" i="1"/>
  <c r="J3251" i="1"/>
  <c r="J1315" i="1"/>
  <c r="J125" i="1"/>
  <c r="J1297" i="1"/>
  <c r="J1234" i="1"/>
  <c r="J1652" i="1"/>
  <c r="K1652" i="1" s="1"/>
  <c r="J931" i="1"/>
  <c r="J3317" i="1"/>
  <c r="J100" i="1"/>
  <c r="J2269" i="1"/>
  <c r="J3456" i="1"/>
  <c r="J3173" i="1"/>
  <c r="J2223" i="1"/>
  <c r="J3134" i="1"/>
  <c r="K3134" i="1" s="1"/>
  <c r="J2884" i="1"/>
  <c r="J3516" i="1"/>
  <c r="J101" i="1"/>
  <c r="J2707" i="1"/>
  <c r="J2912" i="1"/>
  <c r="J2109" i="1"/>
  <c r="J50" i="1"/>
  <c r="J2508" i="1"/>
  <c r="K2508" i="1" s="1"/>
  <c r="J341" i="1"/>
  <c r="J889" i="1"/>
  <c r="J1247" i="1"/>
  <c r="J1670" i="1"/>
  <c r="K1670" i="1" s="1"/>
  <c r="J1975" i="1"/>
  <c r="J554" i="1"/>
  <c r="J1235" i="1"/>
  <c r="J701" i="1"/>
  <c r="J727" i="1"/>
  <c r="J2210" i="1"/>
  <c r="J2137" i="1"/>
  <c r="J1060" i="1"/>
  <c r="J2621" i="1"/>
  <c r="J2833" i="1"/>
  <c r="J440" i="1"/>
  <c r="J196" i="1"/>
  <c r="K196" i="1" s="1"/>
  <c r="J2275" i="1"/>
  <c r="J2725" i="1"/>
  <c r="J3244" i="1"/>
  <c r="J364" i="1"/>
  <c r="J1753" i="1"/>
  <c r="J1694" i="1"/>
  <c r="J1101" i="1"/>
  <c r="J19" i="1"/>
  <c r="K19" i="1" s="1"/>
  <c r="J2078" i="1"/>
  <c r="J2141" i="1"/>
  <c r="J959" i="1"/>
  <c r="J1754" i="1"/>
  <c r="J3591" i="1"/>
  <c r="K3591" i="1" s="1"/>
  <c r="J3429" i="1"/>
  <c r="J1774" i="1"/>
  <c r="J2365" i="1"/>
  <c r="J2162" i="1"/>
  <c r="J3360" i="1"/>
  <c r="J2122" i="1"/>
  <c r="J2703" i="1"/>
  <c r="J606" i="1"/>
  <c r="J2475" i="1"/>
  <c r="J1265" i="1"/>
  <c r="J788" i="1"/>
  <c r="K788" i="1" s="1"/>
  <c r="J1592" i="1"/>
  <c r="J126" i="1"/>
  <c r="J1248" i="1"/>
  <c r="J2024" i="1"/>
  <c r="J1341" i="1"/>
  <c r="J3290" i="1"/>
  <c r="J1814" i="1"/>
  <c r="J1924" i="1"/>
  <c r="K1924" i="1" s="1"/>
  <c r="J1743" i="1"/>
  <c r="J2596" i="1"/>
  <c r="J2774" i="1"/>
  <c r="J2300" i="1"/>
  <c r="J1536" i="1"/>
  <c r="J1802" i="1"/>
  <c r="J3318" i="1"/>
  <c r="J305" i="1"/>
  <c r="K305" i="1" s="1"/>
  <c r="J1494" i="1"/>
  <c r="J2644" i="1"/>
  <c r="J1398" i="1"/>
  <c r="J2224" i="1"/>
  <c r="J542" i="1"/>
  <c r="J3509" i="1"/>
  <c r="J2079" i="1"/>
  <c r="J911" i="1"/>
  <c r="K911" i="1" s="1"/>
  <c r="J579" i="1"/>
  <c r="J1257" i="1"/>
  <c r="J385" i="1"/>
  <c r="J3355" i="1"/>
  <c r="K3355" i="1" s="1"/>
  <c r="J3562" i="1"/>
  <c r="J1997" i="1"/>
  <c r="J476" i="1"/>
  <c r="J2853" i="1"/>
  <c r="J3596" i="1"/>
  <c r="J3010" i="1"/>
  <c r="J591" i="1"/>
  <c r="J2849" i="1"/>
  <c r="J3612" i="1"/>
  <c r="J2271" i="1"/>
  <c r="J2319" i="1"/>
  <c r="J2462" i="1"/>
  <c r="K2462" i="1" s="1"/>
  <c r="J3082" i="1"/>
  <c r="J2284" i="1"/>
  <c r="J1054" i="1"/>
  <c r="J1832" i="1"/>
  <c r="J2154" i="1"/>
  <c r="J1370" i="1"/>
  <c r="J2470" i="1"/>
  <c r="J1019" i="1"/>
  <c r="K1019" i="1" s="1"/>
  <c r="J210" i="1"/>
  <c r="J1674" i="1"/>
  <c r="J2721" i="1"/>
  <c r="K2721" i="1" s="1"/>
  <c r="J883" i="1"/>
  <c r="J923" i="1"/>
  <c r="J3089" i="1"/>
  <c r="J2748" i="1"/>
  <c r="K2748" i="1" s="1"/>
  <c r="J1425" i="1"/>
  <c r="J55" i="1"/>
  <c r="J2338" i="1"/>
  <c r="J562" i="1"/>
  <c r="J2039" i="1"/>
  <c r="J3447" i="1"/>
  <c r="K3447" i="1" s="1"/>
  <c r="J316" i="1"/>
  <c r="J2846" i="1"/>
  <c r="J924" i="1"/>
  <c r="J1363" i="1"/>
  <c r="J1204" i="1"/>
  <c r="J1775" i="1"/>
  <c r="J477" i="1"/>
  <c r="J1792" i="1"/>
  <c r="K1792" i="1" s="1"/>
  <c r="J1020" i="1"/>
  <c r="J1067" i="1"/>
  <c r="J10" i="1"/>
  <c r="J3230" i="1"/>
  <c r="J2020" i="1"/>
  <c r="J2937" i="1"/>
  <c r="J172" i="1"/>
  <c r="J1012" i="1"/>
  <c r="K1012" i="1" s="1"/>
  <c r="J1399" i="1"/>
  <c r="K1399" i="1" s="1"/>
  <c r="J3036" i="1"/>
  <c r="J3075" i="1"/>
  <c r="J1759" i="1"/>
  <c r="J414" i="1"/>
  <c r="J2829" i="1"/>
  <c r="J2659" i="1"/>
  <c r="J3395" i="1"/>
  <c r="K3395" i="1" s="1"/>
  <c r="J2867" i="1"/>
  <c r="K2867" i="1" s="1"/>
  <c r="J2080" i="1"/>
  <c r="J3422" i="1"/>
  <c r="J1316" i="1"/>
  <c r="J2016" i="1"/>
  <c r="J857" i="1"/>
  <c r="J2211" i="1"/>
  <c r="J733" i="1"/>
  <c r="K733" i="1" s="1"/>
  <c r="J1704" i="1"/>
  <c r="K1704" i="1" s="1"/>
  <c r="J625" i="1"/>
  <c r="J3567" i="1"/>
  <c r="J1438" i="1"/>
  <c r="J2722" i="1"/>
  <c r="J3563" i="1"/>
  <c r="J487" i="1"/>
  <c r="J843" i="1"/>
  <c r="K843" i="1" s="1"/>
  <c r="J2962" i="1"/>
  <c r="K2962" i="1" s="1"/>
  <c r="J763" i="1"/>
  <c r="J2285" i="1"/>
  <c r="J163" i="1"/>
  <c r="J3548" i="1"/>
  <c r="K3548" i="1" s="1"/>
  <c r="J3311" i="1"/>
  <c r="J2924" i="1"/>
  <c r="J1755" i="1"/>
  <c r="K1755" i="1" s="1"/>
  <c r="J2796" i="1"/>
  <c r="K2796" i="1" s="1"/>
  <c r="J998" i="1"/>
  <c r="J488" i="1"/>
  <c r="J3510" i="1"/>
  <c r="J180" i="1"/>
  <c r="J3372" i="1"/>
  <c r="K3372" i="1" s="1"/>
  <c r="J300" i="1"/>
  <c r="K300" i="1" s="1"/>
  <c r="J1512" i="1"/>
  <c r="K1512" i="1" s="1"/>
  <c r="J1623" i="1"/>
  <c r="J217" i="1"/>
  <c r="J912" i="1"/>
  <c r="J2225" i="1"/>
  <c r="J1258" i="1"/>
  <c r="J2087" i="1"/>
  <c r="K2087" i="1" s="1"/>
  <c r="J3584" i="1"/>
  <c r="L3584" i="1" s="1"/>
  <c r="J723" i="1"/>
  <c r="J2088" i="1"/>
  <c r="J2263" i="1"/>
  <c r="J2481" i="1"/>
  <c r="J211" i="1"/>
  <c r="J3373" i="1"/>
  <c r="J1838" i="1"/>
  <c r="J1079" i="1"/>
  <c r="K1079" i="1" s="1"/>
  <c r="J386" i="1"/>
  <c r="J3472" i="1"/>
  <c r="J2044" i="1"/>
  <c r="J106" i="1"/>
  <c r="J2395" i="1"/>
  <c r="J1936" i="1"/>
  <c r="J890" i="1"/>
  <c r="J3511" i="1"/>
  <c r="K3511" i="1" s="1"/>
  <c r="J1072" i="1"/>
  <c r="K1072" i="1" s="1"/>
  <c r="J1382" i="1"/>
  <c r="J607" i="1"/>
  <c r="J2544" i="1"/>
  <c r="J913" i="1"/>
  <c r="J917" i="1"/>
  <c r="J509" i="1"/>
  <c r="J2509" i="1"/>
  <c r="K2509" i="1" s="1"/>
  <c r="J1666" i="1"/>
  <c r="K1666" i="1" s="1"/>
  <c r="J1937" i="1"/>
  <c r="J713" i="1"/>
  <c r="K713" i="1" s="1"/>
  <c r="J1445" i="1"/>
  <c r="J1698" i="1"/>
  <c r="J3185" i="1"/>
  <c r="J1483" i="1"/>
  <c r="J1061" i="1"/>
  <c r="K1061" i="1" s="1"/>
  <c r="J974" i="1"/>
  <c r="K974" i="1" s="1"/>
  <c r="J2563" i="1"/>
  <c r="J295" i="1"/>
  <c r="J2655" i="1"/>
  <c r="J1353" i="1"/>
  <c r="J1995" i="1"/>
  <c r="J1028" i="1"/>
  <c r="J3367" i="1"/>
  <c r="K3367" i="1" s="1"/>
  <c r="J2410" i="1"/>
  <c r="K2410" i="1" s="1"/>
  <c r="J342" i="1"/>
  <c r="J3512" i="1"/>
  <c r="J1573" i="1"/>
  <c r="J1967" i="1"/>
  <c r="K1967" i="1" s="1"/>
  <c r="J1185" i="1"/>
  <c r="J2974" i="1"/>
  <c r="J2411" i="1"/>
  <c r="K2411" i="1" s="1"/>
  <c r="J3278" i="1"/>
  <c r="K3278" i="1" s="1"/>
  <c r="J2783" i="1"/>
  <c r="J2676" i="1"/>
  <c r="J3478" i="1"/>
  <c r="J503" i="1"/>
  <c r="J1055" i="1"/>
  <c r="K1055" i="1" s="1"/>
  <c r="J1760" i="1"/>
  <c r="J463" i="1"/>
  <c r="K463" i="1" s="1"/>
  <c r="J3272" i="1"/>
  <c r="K3272" i="1" s="1"/>
  <c r="J1882" i="1"/>
  <c r="J3430" i="1"/>
  <c r="J2379" i="1"/>
  <c r="J3549" i="1"/>
  <c r="J1998" i="1"/>
  <c r="J1688" i="1"/>
  <c r="K1688" i="1" s="1"/>
  <c r="J1062" i="1"/>
  <c r="J107" i="1"/>
  <c r="J534" i="1"/>
  <c r="J558" i="1"/>
  <c r="J372" i="1"/>
  <c r="J3434" i="1"/>
  <c r="J1174" i="1"/>
  <c r="J3532" i="1"/>
  <c r="K3532" i="1" s="1"/>
  <c r="J688" i="1"/>
  <c r="J2289" i="1"/>
  <c r="J3306" i="1"/>
  <c r="J2343" i="1"/>
  <c r="J1364" i="1"/>
  <c r="J750" i="1"/>
  <c r="J2089" i="1"/>
  <c r="J157" i="1"/>
  <c r="K157" i="1" s="1"/>
  <c r="J1699" i="1"/>
  <c r="K1699" i="1" s="1"/>
  <c r="J1334" i="1"/>
  <c r="J262" i="1"/>
  <c r="J3065" i="1"/>
  <c r="J191" i="1"/>
  <c r="J164" i="1"/>
  <c r="J1112" i="1"/>
  <c r="J2834" i="1"/>
  <c r="K2834" i="1" s="1"/>
  <c r="J2322" i="1"/>
  <c r="K2322" i="1" s="1"/>
  <c r="J823" i="1"/>
  <c r="J2486" i="1"/>
  <c r="J1439" i="1"/>
  <c r="J2880" i="1"/>
  <c r="J296" i="1"/>
  <c r="J2681" i="1"/>
  <c r="J3465" i="1"/>
  <c r="K3465" i="1" s="1"/>
  <c r="J1925" i="1"/>
  <c r="K1925" i="1" s="1"/>
  <c r="J284" i="1"/>
  <c r="J118" i="1"/>
  <c r="J1871" i="1"/>
  <c r="J914" i="1"/>
  <c r="J1713" i="1"/>
  <c r="J2425" i="1"/>
  <c r="J3103" i="1"/>
  <c r="K3103" i="1" s="1"/>
  <c r="J776" i="1"/>
  <c r="K776" i="1" s="1"/>
  <c r="J2403" i="1"/>
  <c r="J932" i="1"/>
  <c r="J572" i="1"/>
  <c r="J1947" i="1"/>
  <c r="J1537" i="1"/>
  <c r="J1700" i="1"/>
  <c r="J2645" i="1"/>
  <c r="K2645" i="1" s="1"/>
  <c r="J387" i="1"/>
  <c r="K387" i="1" s="1"/>
  <c r="J1348" i="1"/>
  <c r="J354" i="1"/>
  <c r="J1954" i="1"/>
  <c r="J3564" i="1"/>
  <c r="J20" i="1"/>
  <c r="K20" i="1" s="1"/>
  <c r="J999" i="1"/>
  <c r="J906" i="1"/>
  <c r="K906" i="1" s="1"/>
  <c r="J2938" i="1"/>
  <c r="K2938" i="1" s="1"/>
  <c r="J3517" i="1"/>
  <c r="J2366" i="1"/>
  <c r="J1449" i="1"/>
  <c r="J165" i="1"/>
  <c r="J2242" i="1"/>
  <c r="J3179" i="1"/>
  <c r="J2813" i="1"/>
  <c r="L2813" i="1" s="1"/>
  <c r="J3052" i="1"/>
  <c r="J933" i="1"/>
  <c r="J2455" i="1"/>
  <c r="J682" i="1"/>
  <c r="J3407" i="1"/>
  <c r="J831" i="1"/>
  <c r="J2500" i="1"/>
  <c r="J3319" i="1"/>
  <c r="K3319" i="1" s="1"/>
  <c r="J1249" i="1"/>
  <c r="J1484" i="1"/>
  <c r="J1852" i="1"/>
  <c r="J3076" i="1"/>
  <c r="J1615" i="1"/>
  <c r="J3597" i="1"/>
  <c r="J3602" i="1"/>
  <c r="J1793" i="1"/>
  <c r="K1793" i="1" s="1"/>
  <c r="J3146" i="1"/>
  <c r="K3146" i="1" s="1"/>
  <c r="J2913" i="1"/>
  <c r="J1794" i="1"/>
  <c r="J2010" i="1"/>
  <c r="J724" i="1"/>
  <c r="J1780" i="1"/>
  <c r="J689" i="1"/>
  <c r="J3014" i="1"/>
  <c r="K3014" i="1" s="1"/>
  <c r="J1192" i="1"/>
  <c r="K1192" i="1" s="1"/>
  <c r="J233" i="1"/>
  <c r="J1186" i="1"/>
  <c r="J598" i="1"/>
  <c r="J11" i="1"/>
  <c r="J777" i="1"/>
  <c r="J1196" i="1"/>
  <c r="J2914" i="1"/>
  <c r="K2914" i="1" s="1"/>
  <c r="J272" i="1"/>
  <c r="K272" i="1" s="1"/>
  <c r="J45" i="1"/>
  <c r="J1476" i="1"/>
  <c r="J145" i="1"/>
  <c r="J523" i="1"/>
  <c r="J2123" i="1"/>
  <c r="J1810" i="1"/>
  <c r="K1810" i="1" s="1"/>
  <c r="J1039" i="1"/>
  <c r="K1039" i="1" s="1"/>
  <c r="J510" i="1"/>
  <c r="J511" i="1"/>
  <c r="J2175" i="1"/>
  <c r="J2690" i="1"/>
  <c r="K2690" i="1" s="1"/>
  <c r="J1328" i="1"/>
  <c r="J1056" i="1"/>
  <c r="J1168" i="1"/>
  <c r="K1168" i="1" s="1"/>
  <c r="J1289" i="1"/>
  <c r="K1289" i="1" s="1"/>
  <c r="J3194" i="1"/>
  <c r="J1391" i="1"/>
  <c r="J84" i="1"/>
  <c r="J3159" i="1"/>
  <c r="J2691" i="1"/>
  <c r="K2691" i="1" s="1"/>
  <c r="J796" i="1"/>
  <c r="J563" i="1"/>
  <c r="K563" i="1" s="1"/>
  <c r="J1902" i="1"/>
  <c r="K1902" i="1" s="1"/>
  <c r="J1303" i="1"/>
  <c r="J3500" i="1"/>
  <c r="J1624" i="1"/>
  <c r="J2169" i="1"/>
  <c r="J3273" i="1"/>
  <c r="J2031" i="1"/>
  <c r="J1826" i="1"/>
  <c r="J873" i="1"/>
  <c r="J1562" i="1"/>
  <c r="J2656" i="1"/>
  <c r="J960" i="1"/>
  <c r="J940" i="1"/>
  <c r="J1208" i="1"/>
  <c r="J328" i="1"/>
  <c r="J2510" i="1"/>
  <c r="K2510" i="1" s="1"/>
  <c r="J2437" i="1"/>
  <c r="J1552" i="1"/>
  <c r="J1853" i="1"/>
  <c r="J3186" i="1"/>
  <c r="J953" i="1"/>
  <c r="J1574" i="1"/>
  <c r="J1767" i="1"/>
  <c r="J2665" i="1"/>
  <c r="K2665" i="1" s="1"/>
  <c r="J2301" i="1"/>
  <c r="K2301" i="1" s="1"/>
  <c r="J3019" i="1"/>
  <c r="J2491" i="1"/>
  <c r="J2202" i="1"/>
  <c r="J1854" i="1"/>
  <c r="J2677" i="1"/>
  <c r="J714" i="1"/>
  <c r="J3110" i="1"/>
  <c r="K3110" i="1" s="1"/>
  <c r="J2634" i="1"/>
  <c r="K2634" i="1" s="1"/>
  <c r="J2183" i="1"/>
  <c r="J3011" i="1"/>
  <c r="J3066" i="1"/>
  <c r="J3198" i="1"/>
  <c r="J2155" i="1"/>
  <c r="J764" i="1"/>
  <c r="J1926" i="1"/>
  <c r="K1926" i="1" s="1"/>
  <c r="J1354" i="1"/>
  <c r="K1354" i="1" s="1"/>
  <c r="J1547" i="1"/>
  <c r="J3457" i="1"/>
  <c r="J149" i="1"/>
  <c r="J3613" i="1"/>
  <c r="J2110" i="1"/>
  <c r="J464" i="1"/>
  <c r="J1941" i="1"/>
  <c r="K1941" i="1" s="1"/>
  <c r="J2419" i="1"/>
  <c r="K2419" i="1" s="1"/>
  <c r="J3381" i="1"/>
  <c r="J1465" i="1"/>
  <c r="J2501" i="1"/>
  <c r="J851" i="1"/>
  <c r="K851" i="1" s="1"/>
  <c r="J613" i="1"/>
  <c r="J2142" i="1"/>
  <c r="J2431" i="1"/>
  <c r="K2431" i="1" s="1"/>
  <c r="J1400" i="1"/>
  <c r="K1400" i="1" s="1"/>
  <c r="J3402" i="1"/>
  <c r="J403" i="1"/>
  <c r="J720" i="1"/>
  <c r="J3122" i="1"/>
  <c r="J2064" i="1"/>
  <c r="K2064" i="1" s="1"/>
  <c r="J784" i="1"/>
  <c r="J2830" i="1"/>
  <c r="K2830" i="1" s="1"/>
  <c r="J3090" i="1"/>
  <c r="K3090" i="1" s="1"/>
  <c r="J2981" i="1"/>
  <c r="J263" i="1"/>
  <c r="J186" i="1"/>
  <c r="J2309" i="1"/>
  <c r="J1087" i="1"/>
  <c r="J673" i="1"/>
  <c r="J234" i="1"/>
  <c r="L234" i="1" s="1"/>
  <c r="J458" i="1"/>
  <c r="J592" i="1"/>
  <c r="J702" i="1"/>
  <c r="J2450" i="1"/>
  <c r="J380" i="1"/>
  <c r="J1815" i="1"/>
  <c r="J1450" i="1"/>
  <c r="J1625" i="1"/>
  <c r="K1625" i="1" s="1"/>
  <c r="J2216" i="1"/>
  <c r="J2831" i="1"/>
  <c r="J1868" i="1"/>
  <c r="J3585" i="1"/>
  <c r="J1931" i="1"/>
  <c r="J1909" i="1"/>
  <c r="J986" i="1"/>
  <c r="J1021" i="1"/>
  <c r="K1021" i="1" s="1"/>
  <c r="J1883" i="1"/>
  <c r="K1883" i="1" s="1"/>
  <c r="J66" i="1"/>
  <c r="J1747" i="1"/>
  <c r="J743" i="1"/>
  <c r="J39" i="1"/>
  <c r="J3236" i="1"/>
  <c r="J1626" i="1"/>
  <c r="J2226" i="1"/>
  <c r="K2226" i="1" s="1"/>
  <c r="J535" i="1"/>
  <c r="K535" i="1" s="1"/>
  <c r="J2149" i="1"/>
  <c r="J1317" i="1"/>
  <c r="J1460" i="1"/>
  <c r="J3286" i="1"/>
  <c r="J3368" i="1"/>
  <c r="J1872" i="1"/>
  <c r="J3412" i="1"/>
  <c r="K3412" i="1" s="1"/>
  <c r="J434" i="1"/>
  <c r="K434" i="1" s="1"/>
  <c r="J3279" i="1"/>
  <c r="J373" i="1"/>
  <c r="J2660" i="1"/>
  <c r="J3501" i="1"/>
  <c r="J3091" i="1"/>
  <c r="J2532" i="1"/>
  <c r="J1636" i="1"/>
  <c r="K1636" i="1" s="1"/>
  <c r="J2996" i="1"/>
  <c r="K2996" i="1" s="1"/>
  <c r="J1701" i="1"/>
  <c r="J3264" i="1"/>
  <c r="J2330" i="1"/>
  <c r="J2919" i="1"/>
  <c r="J2315" i="1"/>
  <c r="J2809" i="1"/>
  <c r="J2682" i="1"/>
  <c r="K2682" i="1" s="1"/>
  <c r="J3240" i="1"/>
  <c r="K3240" i="1" s="1"/>
  <c r="J3473" i="1"/>
  <c r="K3473" i="1" s="1"/>
  <c r="J2032" i="1"/>
  <c r="J3574" i="1"/>
  <c r="J2616" i="1"/>
  <c r="J2163" i="1"/>
  <c r="J2005" i="1"/>
  <c r="J1637" i="1"/>
  <c r="K1637" i="1" s="1"/>
  <c r="J934" i="1"/>
  <c r="K934" i="1" s="1"/>
  <c r="J2617" i="1"/>
  <c r="K2617" i="1" s="1"/>
  <c r="J805" i="1"/>
  <c r="J2797" i="1"/>
  <c r="J1781" i="1"/>
  <c r="J703" i="1"/>
  <c r="J2715" i="1"/>
  <c r="J941" i="1"/>
  <c r="K941" i="1" s="1"/>
  <c r="J704" i="1"/>
  <c r="L704" i="1" s="1"/>
  <c r="J654" i="1"/>
  <c r="J1122" i="1"/>
  <c r="J2554" i="1"/>
  <c r="J3382" i="1"/>
  <c r="J3097" i="1"/>
  <c r="J987" i="1"/>
  <c r="J3147" i="1"/>
  <c r="K3147" i="1" s="1"/>
  <c r="J739" i="1"/>
  <c r="K739" i="1" s="1"/>
  <c r="J3205" i="1"/>
  <c r="J3361" i="1"/>
  <c r="J3152" i="1"/>
  <c r="J3346" i="1"/>
  <c r="J765" i="1"/>
  <c r="J2628" i="1"/>
  <c r="J1221" i="1"/>
  <c r="K1221" i="1" s="1"/>
  <c r="J3116" i="1"/>
  <c r="K3116" i="1" s="1"/>
  <c r="J1714" i="1"/>
  <c r="J489" i="1"/>
  <c r="J1426" i="1"/>
  <c r="J322" i="1"/>
  <c r="J2810" i="1"/>
  <c r="J666" i="1"/>
  <c r="J2236" i="1"/>
  <c r="K2236" i="1" s="1"/>
  <c r="J1040" i="1"/>
  <c r="K1040" i="1" s="1"/>
  <c r="J1522" i="1"/>
  <c r="J1982" i="1"/>
  <c r="J935" i="1"/>
  <c r="J2331" i="1"/>
  <c r="J3045" i="1"/>
  <c r="J2017" i="1"/>
  <c r="J2323" i="1"/>
  <c r="L2323" i="1" s="1"/>
  <c r="J3295" i="1"/>
  <c r="K3295" i="1" s="1"/>
  <c r="J1795" i="1"/>
  <c r="J407" i="1"/>
  <c r="J1719" i="1"/>
  <c r="J256" i="1"/>
  <c r="J365" i="1"/>
  <c r="J3474" i="1"/>
  <c r="J2963" i="1"/>
  <c r="K2963" i="1" s="1"/>
  <c r="J132" i="1"/>
  <c r="K132" i="1" s="1"/>
  <c r="J74" i="1"/>
  <c r="J3614" i="1"/>
  <c r="J3030" i="1"/>
  <c r="J33" i="1"/>
  <c r="J192" i="1"/>
  <c r="J1371" i="1"/>
  <c r="J2033" i="1"/>
  <c r="K2033" i="1" s="1"/>
  <c r="J2344" i="1"/>
  <c r="K2344" i="1" s="1"/>
  <c r="J545" i="1"/>
  <c r="K545" i="1" s="1"/>
  <c r="J2515" i="1"/>
  <c r="J2731" i="1"/>
  <c r="J1958" i="1"/>
  <c r="J3004" i="1"/>
  <c r="J1175" i="1"/>
  <c r="J3252" i="1"/>
  <c r="K3252" i="1" s="1"/>
  <c r="J1903" i="1"/>
  <c r="L1903" i="1" s="1"/>
  <c r="J1569" i="1"/>
  <c r="K1569" i="1" s="1"/>
  <c r="J1205" i="1"/>
  <c r="J715" i="1"/>
  <c r="J60" i="1"/>
  <c r="J2847" i="1"/>
  <c r="J3320" i="1"/>
  <c r="J645" i="1"/>
  <c r="K645" i="1" s="1"/>
  <c r="J1329" i="1"/>
  <c r="K1329" i="1" s="1"/>
  <c r="J441" i="1"/>
  <c r="J2739" i="1"/>
  <c r="J3603" i="1"/>
  <c r="J655" i="1"/>
  <c r="J1538" i="1"/>
  <c r="J2789" i="1"/>
  <c r="J3413" i="1"/>
  <c r="K3413" i="1" s="1"/>
  <c r="J3015" i="1"/>
  <c r="K3015" i="1" s="1"/>
  <c r="J1846" i="1"/>
  <c r="J329" i="1"/>
  <c r="J3135" i="1"/>
  <c r="J306" i="1"/>
  <c r="J1675" i="1"/>
  <c r="J630" i="1"/>
  <c r="J1440" i="1"/>
  <c r="K1440" i="1" s="1"/>
  <c r="J442" i="1"/>
  <c r="K442" i="1" s="1"/>
  <c r="J1653" i="1"/>
  <c r="J1349" i="1"/>
  <c r="J2227" i="1"/>
  <c r="J3265" i="1"/>
  <c r="J3215" i="1"/>
  <c r="J3216" i="1"/>
  <c r="J78" i="1"/>
  <c r="K78" i="1" s="1"/>
  <c r="J2396" i="1"/>
  <c r="K2396" i="1" s="1"/>
  <c r="J1548" i="1"/>
  <c r="J2835" i="1"/>
  <c r="J1209" i="1"/>
  <c r="J1528" i="1"/>
  <c r="J1401" i="1"/>
  <c r="J3486" i="1"/>
  <c r="J978" i="1"/>
  <c r="K978" i="1" s="1"/>
  <c r="J3466" i="1"/>
  <c r="K3466" i="1" s="1"/>
  <c r="J46" i="1"/>
  <c r="J343" i="1"/>
  <c r="J778" i="1"/>
  <c r="J2516" i="1"/>
  <c r="J1415" i="1"/>
  <c r="J3231" i="1"/>
  <c r="J1580" i="1"/>
  <c r="K1580" i="1" s="1"/>
  <c r="J1976" i="1"/>
  <c r="K1976" i="1" s="1"/>
  <c r="J2939" i="1"/>
  <c r="J697" i="1"/>
  <c r="J758" i="1"/>
  <c r="J61" i="1"/>
  <c r="J1004" i="1"/>
  <c r="J674" i="1"/>
  <c r="J2881" i="1"/>
  <c r="K2881" i="1" s="1"/>
  <c r="J667" i="1"/>
  <c r="K667" i="1" s="1"/>
  <c r="J690" i="1"/>
  <c r="K690" i="1" s="1"/>
  <c r="J2840" i="1"/>
  <c r="J852" i="1"/>
  <c r="J2115" i="1"/>
  <c r="J1796" i="1"/>
  <c r="J1169" i="1"/>
  <c r="J3435" i="1"/>
  <c r="K3435" i="1" s="1"/>
  <c r="J2228" i="1"/>
  <c r="K2228" i="1" s="1"/>
  <c r="J3554" i="1"/>
  <c r="K3554" i="1" s="1"/>
  <c r="J614" i="1"/>
  <c r="J2638" i="1"/>
  <c r="J399" i="1"/>
  <c r="J3431" i="1"/>
  <c r="J3487" i="1"/>
  <c r="J212" i="1"/>
  <c r="K212" i="1" s="1"/>
  <c r="J197" i="1"/>
  <c r="K197" i="1" s="1"/>
  <c r="J2124" i="1"/>
  <c r="J3296" i="1"/>
  <c r="J660" i="1"/>
  <c r="J2723" i="1"/>
  <c r="J1847" i="1"/>
  <c r="J954" i="1"/>
  <c r="K954" i="1" s="1"/>
  <c r="J3341" i="1"/>
  <c r="K3341" i="1" s="1"/>
  <c r="J3195" i="1"/>
  <c r="J3058" i="1"/>
  <c r="J3199" i="1"/>
  <c r="J961" i="1"/>
  <c r="J494" i="1"/>
  <c r="J3131" i="1"/>
  <c r="J3330" i="1"/>
  <c r="K3330" i="1" s="1"/>
  <c r="J2629" i="1"/>
  <c r="K2629" i="1" s="1"/>
  <c r="J2891" i="1"/>
  <c r="J277" i="1"/>
  <c r="J1365" i="1"/>
  <c r="J3336" i="1"/>
  <c r="J580" i="1"/>
  <c r="J1839" i="1"/>
  <c r="J2661" i="1"/>
  <c r="K2661" i="1" s="1"/>
  <c r="J3180" i="1"/>
  <c r="K3180" i="1" s="1"/>
  <c r="J1904" i="1"/>
  <c r="J2952" i="1"/>
  <c r="J1681" i="1"/>
  <c r="J1894" i="1"/>
  <c r="J1411" i="1"/>
  <c r="J1274" i="1"/>
  <c r="J67" i="1"/>
  <c r="K67" i="1" s="1"/>
  <c r="J2920" i="1"/>
  <c r="K2920" i="1" s="1"/>
  <c r="J2906" i="1"/>
  <c r="J1477" i="1"/>
  <c r="J2517" i="1"/>
  <c r="J2630" i="1"/>
  <c r="J2841" i="1"/>
  <c r="J240" i="1"/>
  <c r="K240" i="1" s="1"/>
  <c r="J675" i="1"/>
  <c r="K675" i="1" s="1"/>
  <c r="J490" i="1"/>
  <c r="J646" i="1"/>
  <c r="J1563" i="1"/>
  <c r="J1720" i="1"/>
  <c r="J1581" i="1"/>
  <c r="J3550" i="1"/>
  <c r="J2784" i="1"/>
  <c r="K2784" i="1" s="1"/>
  <c r="J278" i="1"/>
  <c r="K278" i="1" s="1"/>
  <c r="J2987" i="1"/>
  <c r="K2987" i="1" s="1"/>
  <c r="J3604" i="1"/>
  <c r="J491" i="1"/>
  <c r="J366" i="1"/>
  <c r="J814" i="1"/>
  <c r="J2666" i="1"/>
  <c r="J1608" i="1"/>
  <c r="K1608" i="1" s="1"/>
  <c r="J3542" i="1"/>
  <c r="K3542" i="1" s="1"/>
  <c r="J2463" i="1"/>
  <c r="K2463" i="1" s="1"/>
  <c r="J1499" i="1"/>
  <c r="J3388" i="1"/>
  <c r="J2622" i="1"/>
  <c r="J815" i="1"/>
  <c r="J3053" i="1"/>
  <c r="J3083" i="1"/>
  <c r="K3083" i="1" s="1"/>
  <c r="J138" i="1"/>
  <c r="K138" i="1" s="1"/>
  <c r="J2150" i="1"/>
  <c r="J555" i="1"/>
  <c r="J2623" i="1"/>
  <c r="J942" i="1"/>
  <c r="J806" i="1"/>
  <c r="J1350" i="1"/>
  <c r="J1638" i="1"/>
  <c r="K1638" i="1" s="1"/>
  <c r="J698" i="1"/>
  <c r="K698" i="1" s="1"/>
  <c r="J1041" i="1"/>
  <c r="J3524" i="1"/>
  <c r="J2964" i="1"/>
  <c r="J3555" i="1"/>
  <c r="J3202" i="1"/>
  <c r="J1473" i="1"/>
  <c r="J355" i="1"/>
  <c r="K355" i="1" s="1"/>
  <c r="J3467" i="1"/>
  <c r="L3467" i="1" s="1"/>
  <c r="J2662" i="1"/>
  <c r="J2854" i="1"/>
  <c r="J1461" i="1"/>
  <c r="J235" i="1"/>
  <c r="J3369" i="1"/>
  <c r="J2742" i="1"/>
  <c r="J1063" i="1"/>
  <c r="K1063" i="1" s="1"/>
  <c r="J2652" i="1"/>
  <c r="K2652" i="1" s="1"/>
  <c r="J1599" i="1"/>
  <c r="J546" i="1"/>
  <c r="J789" i="1"/>
  <c r="J744" i="1"/>
  <c r="J2700" i="1"/>
  <c r="J3575" i="1"/>
  <c r="J2471" i="1"/>
  <c r="K2471" i="1" s="1"/>
  <c r="J1129" i="1"/>
  <c r="K1129" i="1" s="1"/>
  <c r="J3581" i="1"/>
  <c r="J1917" i="1"/>
  <c r="J3605" i="1"/>
  <c r="J564" i="1"/>
  <c r="J2472" i="1"/>
  <c r="J925" i="1"/>
  <c r="J3518" i="1"/>
  <c r="K3518" i="1" s="1"/>
  <c r="J1689" i="1"/>
  <c r="K1689" i="1" s="1"/>
  <c r="J273" i="1"/>
  <c r="J779" i="1"/>
  <c r="J47" i="1"/>
  <c r="J2294" i="1"/>
  <c r="J2464" i="1"/>
  <c r="J2021" i="1"/>
  <c r="J367" i="1"/>
  <c r="K367" i="1" s="1"/>
  <c r="J2639" i="1"/>
  <c r="K2639" i="1" s="1"/>
  <c r="J111" i="1"/>
  <c r="K111" i="1" s="1"/>
  <c r="J2006" i="1"/>
  <c r="J1575" i="1"/>
  <c r="J584" i="1"/>
  <c r="J3153" i="1"/>
  <c r="J2982" i="1"/>
  <c r="J771" i="1"/>
  <c r="K771" i="1" s="1"/>
  <c r="J3488" i="1"/>
  <c r="K3488" i="1" s="1"/>
  <c r="J2040" i="1"/>
  <c r="K2040" i="1" s="1"/>
  <c r="J631" i="1"/>
  <c r="J3374" i="1"/>
  <c r="J3551" i="1"/>
  <c r="J359" i="1"/>
  <c r="J2814" i="1"/>
  <c r="J619" i="1"/>
  <c r="K619" i="1" s="1"/>
  <c r="J1968" i="1"/>
  <c r="K1968" i="1" s="1"/>
  <c r="J3016" i="1"/>
  <c r="J979" i="1"/>
  <c r="J962" i="1"/>
  <c r="J759" i="1"/>
  <c r="J877" i="1"/>
  <c r="J745" i="1"/>
  <c r="J2570" i="1"/>
  <c r="K2570" i="1" s="1"/>
  <c r="J1633" i="1"/>
  <c r="K1633" i="1" s="1"/>
  <c r="J1113" i="1"/>
  <c r="J844" i="1"/>
  <c r="J1222" i="1"/>
  <c r="J1715" i="1"/>
  <c r="J2203" i="1"/>
  <c r="J1123" i="1"/>
  <c r="J2164" i="1"/>
  <c r="K2164" i="1" s="1"/>
  <c r="J2597" i="1"/>
  <c r="K2597" i="1" s="1"/>
  <c r="J1983" i="1"/>
  <c r="J3299" i="1"/>
  <c r="J289" i="1"/>
  <c r="J2432" i="1"/>
  <c r="J2766" i="1"/>
  <c r="J62" i="1"/>
  <c r="J1102" i="1"/>
  <c r="K1102" i="1" s="1"/>
  <c r="J2873" i="1"/>
  <c r="K2873" i="1" s="1"/>
  <c r="J3610" i="1"/>
  <c r="J1776" i="1"/>
  <c r="J3383" i="1"/>
  <c r="J1304" i="1"/>
  <c r="J3023" i="1"/>
  <c r="J975" i="1"/>
  <c r="K975" i="1" s="1"/>
  <c r="J2988" i="1"/>
  <c r="K2988" i="1" s="1"/>
  <c r="J3253" i="1"/>
  <c r="J2635" i="1"/>
  <c r="J236" i="1"/>
  <c r="J3396" i="1"/>
  <c r="J2264" i="1"/>
  <c r="J1523" i="1"/>
  <c r="J547" i="1"/>
  <c r="K547" i="1" s="1"/>
  <c r="J1695" i="1"/>
  <c r="K1695" i="1" s="1"/>
  <c r="J1416" i="1"/>
  <c r="J429" i="1"/>
  <c r="J1860" i="1"/>
  <c r="J760" i="1"/>
  <c r="J408" i="1"/>
  <c r="J1318" i="1"/>
  <c r="K1318" i="1" s="1"/>
  <c r="J3084" i="1"/>
  <c r="K3084" i="1" s="1"/>
  <c r="J2" i="1"/>
  <c r="K2" i="1" s="1"/>
  <c r="J3565" i="1"/>
  <c r="J3389" i="1"/>
  <c r="J301" i="1"/>
  <c r="J2695" i="1"/>
  <c r="J2451" i="1"/>
  <c r="J884" i="1"/>
  <c r="K884" i="1" s="1"/>
  <c r="J3111" i="1"/>
  <c r="K3111" i="1" s="1"/>
  <c r="J360" i="1"/>
  <c r="K360" i="1" s="1"/>
  <c r="J2929" i="1"/>
  <c r="J218" i="1"/>
  <c r="J1485" i="1"/>
  <c r="J3224" i="1"/>
  <c r="J2389" i="1"/>
  <c r="J3054" i="1"/>
  <c r="K3054" i="1" s="1"/>
  <c r="J3160" i="1"/>
  <c r="K3160" i="1" s="1"/>
  <c r="J504" i="1"/>
  <c r="J1088" i="1"/>
  <c r="J1068" i="1"/>
  <c r="J285" i="1"/>
  <c r="J307" i="1"/>
  <c r="J1820" i="1"/>
  <c r="J2860" i="1"/>
  <c r="K2860" i="1" s="1"/>
  <c r="J1593" i="1"/>
  <c r="K1593" i="1" s="1"/>
  <c r="J2290" i="1"/>
  <c r="J2851" i="1"/>
  <c r="J478" i="1"/>
  <c r="J2143" i="1"/>
  <c r="J2487" i="1"/>
  <c r="J3" i="1"/>
  <c r="J1582" i="1"/>
  <c r="K1582" i="1" s="1"/>
  <c r="J3266" i="1"/>
  <c r="K3266" i="1" s="1"/>
  <c r="J1549" i="1"/>
  <c r="J2156" i="1"/>
  <c r="J2492" i="1"/>
  <c r="J3576" i="1"/>
  <c r="J2953" i="1"/>
  <c r="J3059" i="1"/>
  <c r="J3300" i="1"/>
  <c r="K3300" i="1" s="1"/>
  <c r="J2954" i="1"/>
  <c r="K2954" i="1" s="1"/>
  <c r="J1157" i="1"/>
  <c r="J1158" i="1"/>
  <c r="J2212" i="1"/>
  <c r="J3077" i="1"/>
  <c r="J1407" i="1"/>
  <c r="J3217" i="1"/>
  <c r="J3352" i="1"/>
  <c r="K3352" i="1" s="1"/>
  <c r="J2295" i="1"/>
  <c r="K2295" i="1" s="1"/>
  <c r="J797" i="1"/>
  <c r="J2907" i="1"/>
  <c r="J894" i="1"/>
  <c r="J1466" i="1"/>
  <c r="J1811" i="1"/>
  <c r="J581" i="1"/>
  <c r="J2116" i="1"/>
  <c r="K2116" i="1" s="1"/>
  <c r="J1732" i="1"/>
  <c r="K1732" i="1" s="1"/>
  <c r="J1069" i="1"/>
  <c r="J495" i="1"/>
  <c r="J3218" i="1"/>
  <c r="J3436" i="1"/>
  <c r="J746" i="1"/>
  <c r="J1733" i="1"/>
  <c r="J785" i="1"/>
  <c r="K785" i="1" s="1"/>
  <c r="J1910" i="1"/>
  <c r="K1910" i="1" s="1"/>
  <c r="J3408" i="1"/>
  <c r="K3408" i="1" s="1"/>
  <c r="J3037" i="1"/>
  <c r="J3586" i="1"/>
  <c r="J3347" i="1"/>
  <c r="J1676" i="1"/>
  <c r="J1197" i="1"/>
  <c r="J2525" i="1"/>
  <c r="K2525" i="1" s="1"/>
  <c r="J1748" i="1"/>
  <c r="K1748" i="1" s="1"/>
  <c r="J2526" i="1"/>
  <c r="K2526" i="1" s="1"/>
  <c r="J1095" i="1"/>
  <c r="J2692" i="1"/>
  <c r="J2624" i="1"/>
  <c r="J108" i="1"/>
  <c r="J2332" i="1"/>
  <c r="J761" i="1"/>
  <c r="K761" i="1" s="1"/>
  <c r="J2631" i="1"/>
  <c r="K2631" i="1" s="1"/>
  <c r="J3267" i="1"/>
  <c r="J1789" i="1"/>
  <c r="J3587" i="1"/>
  <c r="J3437" i="1"/>
  <c r="J1135" i="1"/>
  <c r="J2708" i="1"/>
  <c r="J1932" i="1"/>
  <c r="K1932" i="1" s="1"/>
  <c r="J2521" i="1"/>
  <c r="K2521" i="1" s="1"/>
  <c r="J1990" i="1"/>
  <c r="J2007" i="1"/>
  <c r="J2753" i="1"/>
  <c r="J3362" i="1"/>
  <c r="J1080" i="1"/>
  <c r="J2604" i="1"/>
  <c r="J2836" i="1"/>
  <c r="K2836" i="1" s="1"/>
  <c r="J3342" i="1"/>
  <c r="K3342" i="1" s="1"/>
  <c r="J955" i="1"/>
  <c r="J2217" i="1"/>
  <c r="J536" i="1"/>
  <c r="J585" i="1"/>
  <c r="J615" i="1"/>
  <c r="J430" i="1"/>
  <c r="J3414" i="1"/>
  <c r="K3414" i="1" s="1"/>
  <c r="J980" i="1"/>
  <c r="K980" i="1" s="1"/>
  <c r="J452" i="1"/>
  <c r="J2354" i="1"/>
  <c r="J2778" i="1"/>
  <c r="J404" i="1"/>
  <c r="J2213" i="1"/>
  <c r="J1884" i="1"/>
  <c r="J2767" i="1"/>
  <c r="K2767" i="1" s="1"/>
  <c r="J2104" i="1"/>
  <c r="K2104" i="1" s="1"/>
  <c r="J447" i="1"/>
  <c r="J453" i="1"/>
  <c r="J425" i="1"/>
  <c r="J198" i="1"/>
  <c r="J1198" i="1"/>
  <c r="J426" i="1"/>
  <c r="J1709" i="1"/>
  <c r="K1709" i="1" s="1"/>
  <c r="J21" i="1"/>
  <c r="K21" i="1" s="1"/>
  <c r="J1351" i="1"/>
  <c r="J27" i="1"/>
  <c r="J2583" i="1"/>
  <c r="J3005" i="1"/>
  <c r="J181" i="1"/>
  <c r="J2347" i="1"/>
  <c r="J3403" i="1"/>
  <c r="K3403" i="1" s="1"/>
  <c r="J626" i="1"/>
  <c r="K626" i="1" s="1"/>
  <c r="J56" i="1"/>
  <c r="K56" i="1" s="1"/>
  <c r="J2815" i="1"/>
  <c r="J3331" i="1"/>
  <c r="J1861" i="1"/>
  <c r="J3006" i="1"/>
  <c r="J1827" i="1"/>
  <c r="J1790" i="1"/>
  <c r="K1790" i="1" s="1"/>
  <c r="J1812" i="1"/>
  <c r="K1812" i="1" s="1"/>
  <c r="J2111" i="1"/>
  <c r="K2111" i="1" s="1"/>
  <c r="J1275" i="1"/>
  <c r="J2824" i="1"/>
  <c r="J3397" i="1"/>
  <c r="J330" i="1"/>
  <c r="J3190" i="1"/>
  <c r="J907" i="1"/>
  <c r="K907" i="1" s="1"/>
  <c r="J112" i="1"/>
  <c r="K112" i="1" s="1"/>
  <c r="J3000" i="1"/>
  <c r="J1848" i="1"/>
  <c r="J2420" i="1"/>
  <c r="J187" i="1"/>
  <c r="J12" i="1"/>
  <c r="J2908" i="1"/>
  <c r="J2925" i="1"/>
  <c r="K2925" i="1" s="1"/>
  <c r="J3363" i="1"/>
  <c r="K3363" i="1" s="1"/>
  <c r="J1089" i="1"/>
  <c r="J2259" i="1"/>
  <c r="J2640" i="1"/>
  <c r="J2564" i="1"/>
  <c r="J636" i="1"/>
  <c r="J2025" i="1"/>
  <c r="J2855" i="1"/>
  <c r="K2855" i="1" s="1"/>
  <c r="J1782" i="1"/>
  <c r="K1782" i="1" s="1"/>
  <c r="J2444" i="1"/>
  <c r="J1170" i="1"/>
  <c r="J3020" i="1"/>
  <c r="J3237" i="1"/>
  <c r="J918" i="1"/>
  <c r="J1284" i="1"/>
  <c r="J1240" i="1"/>
  <c r="K1240" i="1" s="1"/>
  <c r="J1942" i="1"/>
  <c r="K1942" i="1" s="1"/>
  <c r="J816" i="1"/>
  <c r="J3245" i="1"/>
  <c r="J2065" i="1"/>
  <c r="J3092" i="1"/>
  <c r="J2704" i="1"/>
  <c r="J593" i="1"/>
  <c r="J565" i="1"/>
  <c r="K565" i="1" s="1"/>
  <c r="J368" i="1"/>
  <c r="K368" i="1" s="1"/>
  <c r="J2476" i="1"/>
  <c r="J734" i="1"/>
  <c r="J1895" i="1"/>
  <c r="J1241" i="1"/>
  <c r="J418" i="1"/>
  <c r="J1022" i="1"/>
  <c r="J1677" i="1"/>
  <c r="K1677" i="1" s="1"/>
  <c r="J3219" i="1"/>
  <c r="K3219" i="1" s="1"/>
  <c r="J3533" i="1"/>
  <c r="J676" i="1"/>
  <c r="J1849" i="1"/>
  <c r="J2803" i="1"/>
  <c r="J2249" i="1"/>
  <c r="J3291" i="1"/>
  <c r="K3291" i="1" s="1"/>
  <c r="J2412" i="1"/>
  <c r="K2412" i="1" s="1"/>
  <c r="J1918" i="1"/>
  <c r="K1918" i="1" s="1"/>
  <c r="J548" i="1"/>
  <c r="J2250" i="1"/>
  <c r="J2350" i="1"/>
  <c r="J264" i="1"/>
  <c r="J1783" i="1"/>
  <c r="J2868" i="1"/>
  <c r="K2868" i="1" s="1"/>
  <c r="J3598" i="1"/>
  <c r="K3598" i="1" s="1"/>
  <c r="J2070" i="1"/>
  <c r="K2070" i="1" s="1"/>
  <c r="J2758" i="1"/>
  <c r="J3203" i="1"/>
  <c r="J91" i="1"/>
  <c r="J3534" i="1"/>
  <c r="J2351" i="1"/>
  <c r="J2709" i="1"/>
  <c r="K2709" i="1" s="1"/>
  <c r="J1307" i="1"/>
  <c r="K1307" i="1" s="1"/>
  <c r="J2798" i="1"/>
  <c r="J2522" i="1"/>
  <c r="J3140" i="1"/>
  <c r="J331" i="1"/>
  <c r="J2397" i="1"/>
  <c r="J2533" i="1"/>
  <c r="J146" i="1"/>
  <c r="K146" i="1" s="1"/>
  <c r="J241" i="1"/>
  <c r="L241" i="1" s="1"/>
  <c r="J981" i="1"/>
  <c r="J257" i="1"/>
  <c r="J258" i="1"/>
  <c r="J2523" i="1"/>
  <c r="J219" i="1"/>
  <c r="J2093" i="1"/>
  <c r="J2191" i="1"/>
  <c r="K2191" i="1" s="1"/>
  <c r="J2433" i="1"/>
  <c r="K2433" i="1" s="1"/>
  <c r="J1242" i="1"/>
  <c r="J2071" i="1"/>
  <c r="J982" i="1"/>
  <c r="J1564" i="1"/>
  <c r="J1643" i="1"/>
  <c r="J1721" i="1"/>
  <c r="J1159" i="1"/>
  <c r="K1159" i="1" s="1"/>
  <c r="J2192" i="1"/>
  <c r="K2192" i="1" s="1"/>
  <c r="J691" i="1"/>
  <c r="J3404" i="1"/>
  <c r="J2861" i="1"/>
  <c r="J2359" i="1"/>
  <c r="J2302" i="1"/>
  <c r="J3268" i="1"/>
  <c r="J323" i="1"/>
  <c r="K323" i="1" s="1"/>
  <c r="J2176" i="1"/>
  <c r="K2176" i="1" s="1"/>
  <c r="J3093" i="1"/>
  <c r="J2477" i="1"/>
  <c r="J1046" i="1"/>
  <c r="J2945" i="1"/>
  <c r="J2352" i="1"/>
  <c r="J2355" i="1"/>
  <c r="J839" i="1"/>
  <c r="K839" i="1" s="1"/>
  <c r="J2034" i="1"/>
  <c r="K2034" i="1" s="1"/>
  <c r="J3461" i="1"/>
  <c r="J3398" i="1"/>
  <c r="J336" i="1"/>
  <c r="J1855" i="1"/>
  <c r="J3297" i="1"/>
  <c r="L3297" i="1" s="1"/>
  <c r="J2571" i="1"/>
  <c r="J1259" i="1"/>
  <c r="K1259" i="1" s="1"/>
  <c r="J1616" i="1"/>
  <c r="K1616" i="1" s="1"/>
  <c r="J471" i="1"/>
  <c r="K471" i="1" s="1"/>
  <c r="J3418" i="1"/>
  <c r="J3060" i="1"/>
  <c r="J2518" i="1"/>
  <c r="J1000" i="1"/>
  <c r="J943" i="1"/>
  <c r="J381" i="1"/>
  <c r="K381" i="1" s="1"/>
  <c r="J3141" i="1"/>
  <c r="K3141" i="1" s="1"/>
  <c r="J2816" i="1"/>
  <c r="K2816" i="1" s="1"/>
  <c r="J1446" i="1"/>
  <c r="J3280" i="1"/>
  <c r="J150" i="1"/>
  <c r="J1408" i="1"/>
  <c r="J85" i="1"/>
  <c r="J3326" i="1"/>
  <c r="J3448" i="1"/>
  <c r="K3448" i="1" s="1"/>
  <c r="J647" i="1"/>
  <c r="J1260" i="1"/>
  <c r="J858" i="1"/>
  <c r="J2333" i="1"/>
  <c r="J3007" i="1"/>
  <c r="J2710" i="1"/>
  <c r="J2334" i="1"/>
  <c r="J201" i="1"/>
  <c r="K201" i="1" s="1"/>
  <c r="J3312" i="1"/>
  <c r="J807" i="1"/>
  <c r="J2989" i="1"/>
  <c r="J2045" i="1"/>
  <c r="J808" i="1"/>
  <c r="J2779" i="1"/>
  <c r="J1266" i="1"/>
  <c r="J1342" i="1"/>
  <c r="K1342" i="1" s="1"/>
  <c r="J919" i="1"/>
  <c r="J963" i="1"/>
  <c r="J677" i="1"/>
  <c r="J2557" i="1"/>
  <c r="J2335" i="1"/>
  <c r="J3327" i="1"/>
  <c r="J1308" i="1"/>
  <c r="J2214" i="1"/>
  <c r="J2081" i="1"/>
  <c r="J747" i="1"/>
  <c r="J2478" i="1"/>
  <c r="J1627" i="1"/>
  <c r="J3441" i="1"/>
  <c r="J2398" i="1"/>
  <c r="J3241" i="1"/>
  <c r="J3479" i="1"/>
  <c r="J926" i="1"/>
  <c r="J2165" i="1"/>
  <c r="J1474" i="1"/>
  <c r="J3078" i="1"/>
  <c r="J1999" i="1"/>
  <c r="J3123" i="1"/>
  <c r="J2198" i="1"/>
  <c r="J2026" i="1"/>
  <c r="J1064" i="1"/>
  <c r="J705" i="1"/>
  <c r="J2360" i="1"/>
  <c r="J1639" i="1"/>
  <c r="J3307" i="1"/>
  <c r="J1869" i="1"/>
  <c r="J2199" i="1"/>
  <c r="J3384" i="1"/>
  <c r="J2862" i="1"/>
  <c r="K2862" i="1" s="1"/>
  <c r="J1377" i="1"/>
  <c r="J133" i="1"/>
  <c r="J1309" i="1"/>
  <c r="J349" i="1"/>
  <c r="J983" i="1"/>
  <c r="J2399" i="1"/>
  <c r="J2367" i="1"/>
  <c r="J2935" i="1"/>
  <c r="K2935" i="1" s="1"/>
  <c r="J1601" i="1"/>
  <c r="J2804" i="1"/>
  <c r="J2316" i="1"/>
  <c r="J2361" i="1"/>
  <c r="J242" i="1"/>
  <c r="J2527" i="1"/>
  <c r="J68" i="1"/>
  <c r="J537" i="1"/>
  <c r="J139" i="1"/>
  <c r="J2310" i="1"/>
  <c r="J1969" i="1"/>
  <c r="J552" i="1"/>
  <c r="J2456" i="1"/>
  <c r="J127" i="1"/>
  <c r="J874" i="1"/>
  <c r="J1500" i="1"/>
  <c r="J419" i="1"/>
  <c r="J751" i="1"/>
  <c r="J443" i="1"/>
  <c r="J1455" i="1"/>
  <c r="J1343" i="1"/>
  <c r="J1654" i="1"/>
  <c r="J1529" i="1"/>
  <c r="J3390" i="1"/>
  <c r="J3079" i="1"/>
  <c r="J3449" i="1"/>
  <c r="J2605" i="1"/>
  <c r="J1103" i="1"/>
  <c r="J2090" i="1"/>
  <c r="J2018" i="1"/>
  <c r="J648" i="1"/>
  <c r="J1366" i="1"/>
  <c r="J1001" i="1"/>
  <c r="J988" i="1"/>
  <c r="J2572" i="1"/>
  <c r="J1206" i="1"/>
  <c r="J3117" i="1"/>
  <c r="J656" i="1"/>
  <c r="J2732" i="1"/>
  <c r="J832" i="1"/>
  <c r="J2215" i="1"/>
  <c r="J2869" i="1"/>
  <c r="J3206" i="1"/>
  <c r="J1565" i="1"/>
  <c r="J3207" i="1"/>
  <c r="J2177" i="1"/>
  <c r="J1392" i="1"/>
  <c r="J317" i="1"/>
  <c r="J620" i="1"/>
  <c r="J2825" i="1"/>
  <c r="J1280" i="1"/>
  <c r="J1267" i="1"/>
  <c r="J13" i="1"/>
  <c r="J2035" i="1"/>
  <c r="J119" i="1"/>
  <c r="J427" i="1"/>
  <c r="K427" i="1" s="1"/>
  <c r="J1933" i="1"/>
  <c r="J2339" i="1"/>
  <c r="J627" i="1"/>
  <c r="J3124" i="1"/>
  <c r="J1090" i="1"/>
  <c r="J809" i="1"/>
  <c r="J2348" i="1"/>
  <c r="J140" i="1"/>
  <c r="J3535" i="1"/>
  <c r="J14" i="1"/>
  <c r="J120" i="1"/>
  <c r="J3098" i="1"/>
  <c r="J1372" i="1"/>
  <c r="J2641" i="1"/>
  <c r="J395" i="1"/>
  <c r="J1513" i="1"/>
  <c r="J472" i="1"/>
  <c r="J265" i="1"/>
  <c r="J3292" i="1"/>
  <c r="J1310" i="1"/>
  <c r="J3375" i="1"/>
  <c r="J2606" i="1"/>
  <c r="J3281" i="1"/>
  <c r="J3552" i="1"/>
  <c r="J3287" i="1"/>
  <c r="J3282" i="1"/>
  <c r="J2997" i="1"/>
  <c r="J1911" i="1"/>
  <c r="J2946" i="1"/>
  <c r="J63" i="1"/>
  <c r="J3337" i="1"/>
  <c r="J128" i="1"/>
  <c r="J1862" i="1"/>
  <c r="J2607" i="1"/>
  <c r="J2193" i="1"/>
  <c r="J936" i="1"/>
  <c r="J113" i="1"/>
  <c r="J748" i="1"/>
  <c r="J1722" i="1"/>
  <c r="J473" i="1"/>
  <c r="J147" i="1"/>
  <c r="J134" i="1"/>
  <c r="J3142" i="1"/>
  <c r="J1634" i="1"/>
  <c r="J151" i="1"/>
  <c r="J772" i="1"/>
  <c r="J2479" i="1"/>
  <c r="J3577" i="1"/>
  <c r="J2534" i="1"/>
  <c r="J1427" i="1"/>
  <c r="J817" i="1"/>
  <c r="J166" i="1"/>
  <c r="J1840" i="1"/>
  <c r="J337" i="1"/>
  <c r="J1180" i="1"/>
  <c r="J1409" i="1"/>
  <c r="J1628" i="1"/>
  <c r="J2705" i="1"/>
  <c r="J3415" i="1"/>
  <c r="J3208" i="1"/>
  <c r="J2524" i="1"/>
  <c r="J2200" i="1"/>
  <c r="K2200" i="1" s="1"/>
  <c r="J1841" i="1"/>
  <c r="J728" i="1"/>
  <c r="J496" i="1"/>
  <c r="J2046" i="1"/>
  <c r="J3370" i="1"/>
  <c r="J2445" i="1"/>
  <c r="J2170" i="1"/>
  <c r="J3338" i="1"/>
  <c r="J1889" i="1"/>
  <c r="J752" i="1"/>
  <c r="J2749" i="1"/>
  <c r="J1873" i="1"/>
  <c r="J657" i="1"/>
  <c r="J2371" i="1"/>
  <c r="J1210" i="1"/>
  <c r="J3399" i="1"/>
  <c r="J543" i="1"/>
  <c r="J2311" i="1"/>
  <c r="J3161" i="1"/>
  <c r="J1816" i="1"/>
  <c r="J582" i="1"/>
  <c r="J885" i="1"/>
  <c r="J114" i="1"/>
  <c r="J2452" i="1"/>
  <c r="J840" i="1"/>
  <c r="J566" i="1"/>
  <c r="J3118" i="1"/>
  <c r="J158" i="1"/>
  <c r="J3099" i="1"/>
  <c r="J69" i="1"/>
  <c r="J3254" i="1"/>
  <c r="J2050" i="1"/>
  <c r="J227" i="1"/>
  <c r="J1330" i="1"/>
  <c r="J2686" i="1"/>
  <c r="J15" i="1"/>
  <c r="J1331" i="1"/>
  <c r="J2897" i="1"/>
  <c r="J1530" i="1"/>
  <c r="J2940" i="1"/>
  <c r="J1402" i="1"/>
  <c r="J2243" i="1"/>
  <c r="J2636" i="1"/>
  <c r="J1948" i="1"/>
  <c r="J1777" i="1"/>
  <c r="J374" i="1"/>
  <c r="J2696" i="1"/>
  <c r="J1478" i="1"/>
  <c r="J1324" i="1"/>
  <c r="J3592" i="1"/>
  <c r="J1756" i="1"/>
  <c r="J3232" i="1"/>
  <c r="J2117" i="1"/>
  <c r="J2874" i="1"/>
  <c r="J1584" i="1"/>
  <c r="J75" i="1"/>
  <c r="J865" i="1"/>
  <c r="J3556" i="1"/>
  <c r="J391" i="1"/>
  <c r="J3442" i="1"/>
  <c r="J886" i="1"/>
  <c r="J1383" i="1"/>
  <c r="J2138" i="1"/>
  <c r="J2842" i="1"/>
  <c r="J1193" i="1"/>
  <c r="J435" i="1"/>
  <c r="J1710" i="1"/>
  <c r="J1355" i="1"/>
  <c r="J3332" i="1"/>
  <c r="J350" i="1"/>
  <c r="J3238" i="1"/>
  <c r="J1434" i="1"/>
  <c r="J1896" i="1"/>
  <c r="J2349" i="1"/>
  <c r="J524" i="1"/>
  <c r="J1609" i="1"/>
  <c r="J1617" i="1"/>
  <c r="J2144" i="1"/>
  <c r="J1817" i="1"/>
  <c r="J2856" i="1"/>
  <c r="J1261" i="1"/>
  <c r="J102" i="1"/>
  <c r="J121" i="1"/>
  <c r="J3220" i="1"/>
  <c r="J199" i="1"/>
  <c r="J1096" i="1"/>
  <c r="J2588" i="1"/>
  <c r="J1791" i="1"/>
  <c r="J3288" i="1"/>
  <c r="J2511" i="1"/>
  <c r="J3376" i="1"/>
  <c r="J3187" i="1"/>
  <c r="J505" i="1"/>
  <c r="J3162" i="1"/>
  <c r="J2036" i="1"/>
  <c r="J2885" i="1"/>
  <c r="J1199" i="1"/>
  <c r="J1352" i="1"/>
  <c r="J1042" i="1"/>
  <c r="J1885" i="1"/>
  <c r="J2584" i="1"/>
  <c r="J3031" i="1"/>
  <c r="J956" i="1"/>
  <c r="J3132" i="1"/>
  <c r="J3174" i="1"/>
  <c r="J2251" i="1"/>
  <c r="J2768" i="1"/>
  <c r="J2253" i="1"/>
  <c r="J1833" i="1"/>
  <c r="J2683" i="1"/>
  <c r="J1373" i="1"/>
  <c r="J1298" i="1"/>
  <c r="J1335" i="1"/>
  <c r="J525" i="1"/>
  <c r="J1228" i="1"/>
  <c r="J1749" i="1"/>
  <c r="J519" i="1"/>
  <c r="J297" i="1"/>
  <c r="J1984" i="1"/>
  <c r="J3405" i="1"/>
  <c r="J1336" i="1"/>
  <c r="J459" i="1"/>
  <c r="J1863" i="1"/>
  <c r="J454" i="1"/>
  <c r="J1150" i="1"/>
  <c r="J1130" i="1"/>
  <c r="J2769" i="1"/>
  <c r="J514" i="1"/>
  <c r="J762" i="1"/>
  <c r="J1124" i="1"/>
  <c r="J3181" i="1"/>
  <c r="J2118" i="1"/>
  <c r="J766" i="1"/>
  <c r="J1181" i="1"/>
  <c r="J1723" i="1"/>
  <c r="J237" i="1"/>
  <c r="J400" i="1"/>
  <c r="J2404" i="1"/>
  <c r="J1716" i="1"/>
  <c r="J1043" i="1"/>
  <c r="J220" i="1"/>
  <c r="J3599" i="1"/>
  <c r="J559" i="1"/>
  <c r="J1013" i="1"/>
  <c r="J3191" i="1"/>
  <c r="J2625" i="1"/>
  <c r="J3032" i="1"/>
  <c r="J887" i="1"/>
  <c r="J2733" i="1"/>
  <c r="J34" i="1"/>
  <c r="J3072" i="1"/>
  <c r="J2921" i="1"/>
  <c r="J497" i="1"/>
  <c r="J148" i="1"/>
  <c r="J526" i="1"/>
  <c r="J649" i="1"/>
  <c r="J2926" i="1"/>
  <c r="J628" i="1"/>
  <c r="J1761" i="1"/>
  <c r="J699" i="1"/>
  <c r="J324" i="1"/>
  <c r="J1539" i="1"/>
  <c r="J1002" i="1"/>
  <c r="J2805" i="1"/>
  <c r="J1734" i="1"/>
  <c r="J2598" i="1"/>
  <c r="J2743" i="1"/>
  <c r="J1585" i="1"/>
  <c r="J2072" i="1"/>
  <c r="J415" i="1"/>
  <c r="J2041" i="1"/>
  <c r="J2817" i="1"/>
  <c r="J2405" i="1"/>
  <c r="J3283" i="1"/>
  <c r="J3269" i="1"/>
  <c r="J3468" i="1"/>
  <c r="J3136" i="1"/>
  <c r="J2915" i="1"/>
  <c r="J1070" i="1"/>
  <c r="J3339" i="1"/>
  <c r="J1495" i="1"/>
  <c r="J908" i="1"/>
  <c r="J2434" i="1"/>
  <c r="J1367" i="1"/>
  <c r="J1029" i="1"/>
  <c r="J159" i="1"/>
  <c r="J3458" i="1"/>
  <c r="J976" i="1"/>
  <c r="J2125" i="1"/>
  <c r="J2237" i="1"/>
  <c r="J1462" i="1"/>
  <c r="J3480" i="1"/>
  <c r="J1682" i="1"/>
  <c r="J1531" i="1"/>
  <c r="J2565" i="1"/>
  <c r="J2105" i="1"/>
  <c r="J221" i="1"/>
  <c r="J392" i="1"/>
  <c r="J1784" i="1"/>
  <c r="J2488" i="1"/>
  <c r="J338" i="1"/>
  <c r="J2272" i="1"/>
  <c r="J2306" i="1"/>
  <c r="J1005" i="1"/>
  <c r="J2112" i="1"/>
  <c r="J279" i="1"/>
  <c r="J567" i="1"/>
  <c r="J650" i="1"/>
  <c r="J2955" i="1"/>
  <c r="J48" i="1"/>
  <c r="J2204" i="1"/>
  <c r="J2489" i="1"/>
  <c r="J382" i="1"/>
  <c r="J428" i="1"/>
  <c r="J1104" i="1"/>
  <c r="J1187" i="1"/>
  <c r="J2863" i="1"/>
  <c r="J586" i="1"/>
  <c r="J2453" i="1"/>
  <c r="J2047" i="1"/>
  <c r="J3568" i="1"/>
  <c r="J1486" i="1"/>
  <c r="J1991" i="1"/>
  <c r="J1057" i="1"/>
  <c r="J2558" i="1"/>
  <c r="J2454" i="1"/>
  <c r="J3154" i="1"/>
  <c r="J3321" i="1"/>
  <c r="J937" i="1"/>
  <c r="J3246" i="1"/>
  <c r="J560" i="1"/>
  <c r="J444" i="1"/>
  <c r="J3328" i="1"/>
  <c r="J3513" i="1"/>
  <c r="J3125" i="1"/>
  <c r="J3301" i="1"/>
  <c r="J2566" i="1"/>
  <c r="J2750" i="1"/>
  <c r="J2632" i="1"/>
  <c r="J1417" i="1"/>
  <c r="J3450" i="1"/>
  <c r="J2260" i="1"/>
  <c r="J767" i="1"/>
  <c r="J2244" i="1"/>
  <c r="J243" i="1"/>
  <c r="J1977" i="1"/>
  <c r="J692" i="1"/>
  <c r="J1890" i="1"/>
  <c r="J2493" i="1"/>
  <c r="J3260" i="1"/>
  <c r="J3293" i="1"/>
  <c r="J1188" i="1"/>
  <c r="J1131" i="1"/>
  <c r="J3233" i="1"/>
  <c r="J1658" i="1"/>
  <c r="J3475" i="1"/>
  <c r="J1726" i="1"/>
  <c r="J1916" i="1"/>
  <c r="J944" i="1"/>
  <c r="J1514" i="1"/>
  <c r="J573" i="1"/>
  <c r="J2051" i="1"/>
  <c r="J2312" i="1"/>
  <c r="J2892" i="1"/>
  <c r="J2886" i="1"/>
  <c r="J1905" i="1"/>
  <c r="J436" i="1"/>
  <c r="J479" i="1"/>
  <c r="J1803" i="1"/>
  <c r="J599" i="1"/>
  <c r="J79" i="1"/>
  <c r="J2019" i="1"/>
  <c r="J173" i="1"/>
  <c r="J2353" i="1"/>
  <c r="J895" i="1"/>
  <c r="J3553" i="1"/>
  <c r="J2184" i="1"/>
  <c r="J1030" i="1"/>
  <c r="J480" i="1"/>
  <c r="J3481" i="1"/>
  <c r="J1696" i="1"/>
  <c r="J1618" i="1"/>
  <c r="J3284" i="1"/>
  <c r="J810" i="1"/>
  <c r="J2646" i="1"/>
  <c r="J3204" i="1"/>
  <c r="J2345" i="1"/>
  <c r="J3119" i="1"/>
  <c r="J1640" i="1"/>
  <c r="J3364" i="1"/>
  <c r="J2975" i="1"/>
  <c r="J1778" i="1"/>
  <c r="J2320" i="1"/>
  <c r="J2837" i="1"/>
  <c r="J2678" i="1"/>
  <c r="J1959" i="1"/>
  <c r="J2790" i="1"/>
  <c r="J356" i="1"/>
  <c r="J967" i="1"/>
  <c r="J2324" i="1"/>
  <c r="J2083" i="1"/>
  <c r="J3543" i="1"/>
  <c r="J661" i="1"/>
  <c r="J2265" i="1"/>
  <c r="J3443" i="1"/>
  <c r="J1047" i="1"/>
  <c r="J2494" i="1"/>
  <c r="J167" i="1"/>
  <c r="J2528" i="1"/>
  <c r="J3490" i="1"/>
  <c r="J2759" i="1"/>
  <c r="J2529" i="1"/>
  <c r="J152" i="1"/>
  <c r="J1223" i="1"/>
  <c r="J3356" i="1"/>
  <c r="J1821" i="1"/>
  <c r="J1151" i="1"/>
  <c r="J3086" i="1"/>
  <c r="J2930" i="1"/>
  <c r="J1985" i="1"/>
  <c r="J786" i="1"/>
  <c r="J129" i="1"/>
  <c r="J2130" i="1"/>
  <c r="J1189" i="1"/>
  <c r="J1594" i="1"/>
  <c r="J290" i="1"/>
  <c r="J2254" i="1"/>
  <c r="J2266" i="1"/>
  <c r="J2998" i="1"/>
  <c r="J2927" i="1"/>
  <c r="J3274" i="1"/>
  <c r="J2061" i="1"/>
  <c r="J86" i="1"/>
  <c r="J2770" i="1"/>
  <c r="J683" i="1"/>
  <c r="J951" i="1"/>
  <c r="J1641" i="1"/>
  <c r="J3188" i="1"/>
  <c r="J561" i="1"/>
  <c r="J1912" i="1"/>
  <c r="J1014" i="1"/>
  <c r="J1507" i="1"/>
  <c r="J2585" i="1"/>
  <c r="J51" i="1"/>
  <c r="J1451" i="1"/>
  <c r="J1744" i="1"/>
  <c r="J2062" i="1"/>
  <c r="J818" i="1"/>
  <c r="J2626" i="1"/>
  <c r="J2843" i="1"/>
  <c r="J70" i="1"/>
  <c r="J1804" i="1"/>
  <c r="J2076" i="1"/>
  <c r="J1136" i="1"/>
  <c r="J1934" i="1"/>
  <c r="J1986" i="1"/>
  <c r="J1955" i="1"/>
  <c r="J3340" i="1"/>
  <c r="J135" i="1"/>
  <c r="J1251" i="1"/>
  <c r="J1211" i="1"/>
  <c r="J1550" i="1"/>
  <c r="J3001" i="1"/>
  <c r="J780" i="1"/>
  <c r="J1619" i="1"/>
  <c r="J3438" i="1"/>
  <c r="J3600" i="1"/>
  <c r="J259" i="1"/>
  <c r="J2482" i="1"/>
  <c r="J103" i="1"/>
  <c r="J658" i="1"/>
  <c r="J896" i="1"/>
  <c r="J1678" i="1"/>
  <c r="J292" i="1"/>
  <c r="J1311" i="1"/>
  <c r="J2185" i="1"/>
  <c r="J174" i="1"/>
  <c r="J2446" i="1"/>
  <c r="J1105" i="1"/>
  <c r="J250" i="1"/>
  <c r="J3569" i="1"/>
  <c r="J2261" i="1"/>
  <c r="J2382" i="1"/>
  <c r="J1943" i="1"/>
  <c r="J3126" i="1"/>
  <c r="J2882" i="1"/>
  <c r="J2084" i="1"/>
  <c r="J3255" i="1"/>
  <c r="J2362" i="1"/>
  <c r="J2537" i="1"/>
  <c r="J1683" i="1"/>
  <c r="J2684" i="1"/>
  <c r="J1252" i="1"/>
  <c r="J431" i="1"/>
  <c r="J396" i="1"/>
  <c r="J637" i="1"/>
  <c r="J706" i="1"/>
  <c r="J416" i="1"/>
  <c r="J57" i="1"/>
  <c r="J2916" i="1"/>
  <c r="J2898" i="1"/>
  <c r="J3519" i="1"/>
  <c r="J2171" i="1"/>
  <c r="J361" i="1"/>
  <c r="J92" i="1"/>
  <c r="J964" i="1"/>
  <c r="J4" i="1"/>
  <c r="J3476" i="1"/>
  <c r="J3120" i="1"/>
  <c r="J3239" i="1"/>
  <c r="J2545" i="1"/>
  <c r="J28" i="1"/>
  <c r="J136" i="1"/>
  <c r="J891" i="1"/>
  <c r="J819" i="1"/>
  <c r="J1268" i="1"/>
  <c r="J878" i="1"/>
  <c r="J2438" i="1"/>
  <c r="J892" i="1"/>
  <c r="J2687" i="1"/>
  <c r="J1602" i="1"/>
  <c r="J3578" i="1"/>
  <c r="J1332" i="1"/>
  <c r="J1091" i="1"/>
  <c r="J2218" i="1"/>
  <c r="J1785" i="1"/>
  <c r="J40" i="1"/>
  <c r="J3189" i="1"/>
  <c r="J1232" i="1"/>
  <c r="J3196" i="1"/>
  <c r="J2356" i="1"/>
  <c r="J2313" i="1"/>
  <c r="J833" i="1"/>
  <c r="J2495" i="1"/>
  <c r="J2219" i="1"/>
  <c r="J2230" i="1"/>
  <c r="J2317" i="1"/>
  <c r="J193" i="1"/>
  <c r="J1146" i="1"/>
  <c r="J1553" i="1"/>
  <c r="J1160" i="1"/>
  <c r="J2421" i="1"/>
  <c r="J3495" i="1"/>
  <c r="J2406" i="1"/>
  <c r="J2734" i="1"/>
  <c r="J3166" i="1"/>
  <c r="J3419" i="1"/>
  <c r="J1913" i="1"/>
  <c r="J35" i="1"/>
  <c r="J1412" i="1"/>
  <c r="J432" i="1"/>
  <c r="J2052" i="1"/>
  <c r="J3242" i="1"/>
  <c r="J1992" i="1"/>
  <c r="J574" i="1"/>
  <c r="J2983" i="1"/>
  <c r="J2042" i="1"/>
  <c r="J1610" i="1"/>
  <c r="J2325" i="1"/>
  <c r="J2413" i="1"/>
  <c r="J1919" i="1"/>
  <c r="J2011" i="1"/>
  <c r="J1290" i="1"/>
  <c r="J1418" i="1"/>
  <c r="J1727" i="1"/>
  <c r="J2799" i="1"/>
  <c r="J1291" i="1"/>
  <c r="J2100" i="1"/>
  <c r="J2735" i="1"/>
  <c r="J375" i="1"/>
  <c r="J2657" i="1"/>
  <c r="J2832" i="1"/>
  <c r="J2205" i="1"/>
  <c r="J512" i="1"/>
  <c r="J2785" i="1"/>
  <c r="J1570" i="1"/>
  <c r="J790" i="1"/>
  <c r="J1874" i="1"/>
  <c r="J153" i="1"/>
  <c r="J339" i="1"/>
  <c r="J927" i="1"/>
  <c r="J841" i="1"/>
  <c r="J2296" i="1"/>
  <c r="J3462" i="1"/>
  <c r="J2610" i="1"/>
  <c r="J1667" i="1"/>
  <c r="J1276" i="1"/>
  <c r="J2303" i="1"/>
  <c r="J465" i="1"/>
  <c r="J3302" i="1"/>
  <c r="J71" i="1"/>
  <c r="J182" i="1"/>
  <c r="J2611" i="1"/>
  <c r="J968" i="1"/>
  <c r="J1697" i="1"/>
  <c r="J202" i="1"/>
  <c r="J1475" i="1"/>
  <c r="J2286" i="1"/>
  <c r="J383" i="1"/>
  <c r="J3167" i="1"/>
  <c r="J2012" i="1"/>
  <c r="J2372" i="1"/>
  <c r="J729" i="1"/>
  <c r="J2555" i="1"/>
  <c r="J1048" i="1"/>
  <c r="J2586" i="1"/>
  <c r="J798" i="1"/>
  <c r="J3073" i="1"/>
  <c r="J2642" i="1"/>
  <c r="J2276" i="1"/>
  <c r="J3557" i="1"/>
  <c r="J875" i="1"/>
  <c r="J1927" i="1"/>
  <c r="J1914" i="1"/>
  <c r="J2883" i="1"/>
  <c r="J1600" i="1"/>
  <c r="J1065" i="1"/>
  <c r="J2013" i="1"/>
  <c r="J109" i="1"/>
  <c r="J3525" i="1"/>
  <c r="J3570" i="1"/>
  <c r="J308" i="1"/>
  <c r="J2373" i="1"/>
  <c r="J1750" i="1"/>
  <c r="J965" i="1"/>
  <c r="J2206" i="1"/>
  <c r="J1586" i="1"/>
  <c r="J188" i="1"/>
  <c r="J3333" i="1"/>
  <c r="J1269" i="1"/>
  <c r="J2931" i="1"/>
  <c r="J1467" i="1"/>
  <c r="J616" i="1"/>
  <c r="J879" i="1"/>
  <c r="J1915" i="1"/>
  <c r="J651" i="1"/>
  <c r="J2439" i="1"/>
  <c r="J93" i="1"/>
  <c r="J1403" i="1"/>
  <c r="J445" i="1"/>
  <c r="J266" i="1"/>
  <c r="J376" i="1"/>
  <c r="J3491" i="1"/>
  <c r="J280" i="1"/>
  <c r="J3536" i="1"/>
  <c r="J3137" i="1"/>
  <c r="J3112" i="1"/>
  <c r="J1757" i="1"/>
  <c r="J2546" i="1"/>
  <c r="J2716" i="1"/>
  <c r="J2390" i="1"/>
  <c r="J1322" i="1"/>
  <c r="J2094" i="1"/>
  <c r="J2857" i="1"/>
  <c r="J716" i="1"/>
  <c r="J344" i="1"/>
  <c r="J3537" i="1"/>
  <c r="J1147" i="1"/>
  <c r="J1114" i="1"/>
  <c r="J1745" i="1"/>
  <c r="J1822" i="1"/>
  <c r="J1378" i="1"/>
  <c r="J2357" i="1"/>
  <c r="J3113" i="1"/>
  <c r="J3270" i="1"/>
  <c r="J1970" i="1"/>
  <c r="J901" i="1"/>
  <c r="J1724" i="1"/>
  <c r="J1728" i="1"/>
  <c r="J684" i="1"/>
  <c r="J2407" i="1"/>
  <c r="J700" i="1"/>
  <c r="J2693" i="1"/>
  <c r="J2740" i="1"/>
  <c r="J1834" i="1"/>
  <c r="J2538" i="1"/>
  <c r="J2326" i="1"/>
  <c r="J2178" i="1"/>
  <c r="J3247" i="1"/>
  <c r="J608" i="1"/>
  <c r="J2547" i="1"/>
  <c r="J3225" i="1"/>
  <c r="J1762" i="1"/>
  <c r="J2627" i="1"/>
  <c r="J2297" i="1"/>
  <c r="J1031" i="1"/>
  <c r="J3353" i="1"/>
  <c r="J638" i="1"/>
  <c r="J730" i="1"/>
  <c r="J3544" i="1"/>
  <c r="J768" i="1"/>
  <c r="J3502" i="1"/>
  <c r="J1962" i="1"/>
  <c r="J1379" i="1"/>
  <c r="J1224" i="1"/>
  <c r="J2166" i="1"/>
  <c r="J1285" i="1"/>
  <c r="J824" i="1"/>
  <c r="J1644" i="1"/>
  <c r="J3588" i="1"/>
  <c r="J420" i="1"/>
  <c r="J2262" i="1"/>
  <c r="J1182" i="1"/>
  <c r="J384" i="1"/>
  <c r="J3226" i="1"/>
  <c r="J2548" i="1"/>
  <c r="J2307" i="1"/>
  <c r="J594" i="1"/>
  <c r="J1542" i="1"/>
  <c r="J1944" i="1"/>
  <c r="J2775" i="1"/>
  <c r="J1243" i="1"/>
  <c r="J2131" i="1"/>
  <c r="J853" i="1"/>
  <c r="J3606" i="1"/>
  <c r="J3200" i="1"/>
  <c r="J1603" i="1"/>
  <c r="J2589" i="1"/>
  <c r="J2368" i="1"/>
  <c r="J3021" i="1"/>
  <c r="J41" i="1"/>
  <c r="J1253" i="1"/>
  <c r="J1576" i="1"/>
  <c r="J1006" i="1"/>
  <c r="J2277" i="1"/>
  <c r="J3024" i="1"/>
  <c r="J1864" i="1"/>
  <c r="J1148" i="1"/>
  <c r="J3589" i="1"/>
  <c r="J1171" i="1"/>
  <c r="J1554" i="1"/>
  <c r="J1705" i="1"/>
  <c r="J2073" i="1"/>
  <c r="J2697" i="1"/>
  <c r="J1023" i="1"/>
  <c r="J725" i="1"/>
  <c r="J401" i="1"/>
  <c r="J3256" i="1"/>
  <c r="J1423" i="1"/>
  <c r="J1768" i="1"/>
  <c r="J2956" i="1"/>
  <c r="J2139" i="1"/>
  <c r="J481" i="1"/>
  <c r="J693" i="1"/>
  <c r="J2400" i="1"/>
  <c r="J2724" i="1"/>
  <c r="J1540" i="1"/>
  <c r="J203" i="1"/>
  <c r="J286" i="1"/>
  <c r="J228" i="1"/>
  <c r="J1956" i="1"/>
  <c r="J1183" i="1"/>
  <c r="J1024" i="1"/>
  <c r="J2238" i="1"/>
  <c r="J1706" i="1"/>
  <c r="J3601" i="1"/>
  <c r="J897" i="1"/>
  <c r="J2414" i="1"/>
  <c r="J115" i="1"/>
  <c r="J2800" i="1"/>
  <c r="J2095" i="1"/>
  <c r="J1212" i="1"/>
  <c r="J2744" i="1"/>
  <c r="J845" i="1"/>
  <c r="J2726" i="1"/>
  <c r="J2848" i="1"/>
  <c r="J2864" i="1"/>
  <c r="J2899" i="1"/>
  <c r="J2239" i="1"/>
  <c r="J1270" i="1"/>
  <c r="J1957" i="1"/>
  <c r="J1842" i="1"/>
  <c r="J2383" i="1"/>
  <c r="J1496" i="1"/>
  <c r="J3175" i="1"/>
  <c r="J799" i="1"/>
  <c r="J2900" i="1"/>
  <c r="J1978" i="1"/>
  <c r="J1690" i="1"/>
  <c r="J2384" i="1"/>
  <c r="J2711" i="1"/>
  <c r="J3038" i="1"/>
  <c r="J3607" i="1"/>
  <c r="J1763" i="1"/>
  <c r="J1115" i="1"/>
  <c r="J2066" i="1"/>
  <c r="J2157" i="1"/>
  <c r="J1015" i="1"/>
  <c r="J1393" i="1"/>
  <c r="J1007" i="1"/>
  <c r="J5" i="1"/>
  <c r="J2145" i="1"/>
  <c r="J639" i="1"/>
  <c r="J2426" i="1"/>
  <c r="J2949" i="1"/>
  <c r="J2539" i="1"/>
  <c r="J251" i="1"/>
  <c r="J474" i="1"/>
  <c r="J2922" i="1"/>
  <c r="J1207" i="1"/>
  <c r="J2447" i="1"/>
  <c r="J1081" i="1"/>
  <c r="J1428" i="1"/>
  <c r="J274" i="1"/>
  <c r="J302" i="1"/>
  <c r="J1161" i="1"/>
  <c r="J168" i="1"/>
  <c r="J2647" i="1"/>
  <c r="J460" i="1"/>
  <c r="J2502" i="1"/>
  <c r="J1875" i="1"/>
  <c r="J309" i="1"/>
  <c r="J2811" i="1"/>
  <c r="J2717" i="1"/>
  <c r="J2923" i="1"/>
  <c r="J587" i="1"/>
  <c r="J2976" i="1"/>
  <c r="J1250" i="1"/>
  <c r="J275" i="1"/>
  <c r="J1109" i="1"/>
  <c r="J3227" i="1"/>
  <c r="J3313" i="1"/>
  <c r="J3067" i="1"/>
  <c r="J1604" i="1"/>
  <c r="J2000" i="1"/>
  <c r="J52" i="1"/>
  <c r="J1271" i="1"/>
  <c r="J238" i="1"/>
  <c r="J466" i="1"/>
  <c r="J2667" i="1"/>
  <c r="J2427" i="1"/>
  <c r="J2008" i="1"/>
  <c r="J2577" i="1"/>
  <c r="J492" i="1"/>
  <c r="J1963" i="1"/>
  <c r="J1805" i="1"/>
  <c r="J1856" i="1"/>
  <c r="J2151" i="1"/>
  <c r="J1137" i="1"/>
  <c r="J2519" i="1"/>
  <c r="J3611" i="1"/>
  <c r="J369" i="1"/>
  <c r="J160" i="1"/>
  <c r="J2179" i="1"/>
  <c r="J3143" i="1"/>
  <c r="J2391" i="1"/>
  <c r="J1388" i="1"/>
  <c r="J2027" i="1"/>
  <c r="J3008" i="1"/>
  <c r="J1344" i="1"/>
  <c r="J862" i="1"/>
  <c r="J1605" i="1"/>
  <c r="J3192" i="1"/>
  <c r="J2791" i="1"/>
  <c r="J2530" i="1"/>
  <c r="J1886" i="1"/>
  <c r="J928" i="1"/>
  <c r="J3503" i="1"/>
  <c r="J3127" i="1"/>
  <c r="J1229" i="1"/>
  <c r="J866" i="1"/>
  <c r="J3275" i="1"/>
  <c r="J2465" i="1"/>
  <c r="J1835" i="1"/>
  <c r="J141" i="1"/>
  <c r="J769" i="1"/>
  <c r="J244" i="1"/>
  <c r="J2503" i="1"/>
  <c r="J377" i="1"/>
  <c r="J1345" i="1"/>
  <c r="J2363" i="1"/>
  <c r="J2180" i="1"/>
  <c r="J2053" i="1"/>
  <c r="J3377" i="1"/>
  <c r="J1441" i="1"/>
  <c r="J345" i="1"/>
  <c r="J1389" i="1"/>
  <c r="J94" i="1"/>
  <c r="J3477" i="1"/>
  <c r="J3593" i="1"/>
  <c r="J1647" i="1"/>
  <c r="J1194" i="1"/>
  <c r="J3025" i="1"/>
  <c r="J2308" i="1"/>
  <c r="J515" i="1"/>
  <c r="J3168" i="1"/>
  <c r="J3579" i="1"/>
  <c r="J2428" i="1"/>
  <c r="J229" i="1"/>
  <c r="J1857" i="1"/>
  <c r="J3193" i="1"/>
  <c r="J303" i="1"/>
  <c r="J2928" i="1"/>
  <c r="J2932" i="1"/>
  <c r="J3061" i="1"/>
  <c r="J668" i="1"/>
  <c r="J3409" i="1"/>
  <c r="J318" i="1"/>
  <c r="J1152" i="1"/>
  <c r="J2771" i="1"/>
  <c r="J2741" i="1"/>
  <c r="J3594" i="1"/>
  <c r="J2957" i="1"/>
  <c r="J1082" i="1"/>
  <c r="J245" i="1"/>
  <c r="J1717" i="1"/>
  <c r="J2255" i="1"/>
  <c r="J1729" i="1"/>
  <c r="J1702" i="1"/>
  <c r="J3558" i="1"/>
  <c r="J1374" i="1"/>
  <c r="J1487" i="1"/>
  <c r="J1073" i="1"/>
  <c r="J556" i="1"/>
  <c r="J287" i="1"/>
  <c r="J402" i="1"/>
  <c r="J2608" i="1"/>
  <c r="J920" i="1"/>
  <c r="J1149" i="1"/>
  <c r="J29" i="1"/>
  <c r="J1488" i="1"/>
  <c r="J2965" i="1"/>
  <c r="J1707" i="1"/>
  <c r="J246" i="1"/>
  <c r="J2653" i="1"/>
  <c r="J3026" i="1"/>
  <c r="J2054" i="1"/>
  <c r="J3348" i="1"/>
  <c r="J1016" i="1"/>
  <c r="J2318" i="1"/>
  <c r="J1410" i="1"/>
  <c r="J2091" i="1"/>
  <c r="J3138" i="1"/>
  <c r="J1508" i="1"/>
  <c r="J640" i="1"/>
  <c r="J1162" i="1"/>
  <c r="J2712" i="1"/>
  <c r="J222" i="1"/>
  <c r="J3046" i="1"/>
  <c r="J1964" i="1"/>
  <c r="J3148" i="1"/>
  <c r="J1442" i="1"/>
  <c r="J721" i="1"/>
  <c r="J3074" i="1"/>
  <c r="J1333" i="1"/>
  <c r="J2760" i="1"/>
  <c r="J239" i="1"/>
  <c r="J3349" i="1"/>
  <c r="J1532" i="1"/>
  <c r="J1797" i="1"/>
  <c r="J3459" i="1"/>
  <c r="J859" i="1"/>
  <c r="J346" i="1"/>
  <c r="J2186" i="1"/>
  <c r="J1606" i="1"/>
  <c r="J1138" i="1"/>
  <c r="J1479" i="1"/>
  <c r="J1620" i="1"/>
  <c r="J1074" i="1"/>
  <c r="J1356" i="1"/>
  <c r="J3545" i="1"/>
  <c r="J2520" i="1"/>
  <c r="J516" i="1"/>
  <c r="J1949" i="1"/>
  <c r="J3410" i="1"/>
  <c r="J617" i="1"/>
  <c r="J1577" i="1"/>
  <c r="J493" i="1"/>
  <c r="J1058" i="1"/>
  <c r="J2207" i="1"/>
  <c r="J1236" i="1"/>
  <c r="J2014" i="1"/>
  <c r="J2429" i="1"/>
  <c r="J3234" i="1"/>
  <c r="J2278" i="1"/>
  <c r="J36" i="1"/>
  <c r="J116" i="1"/>
  <c r="J2240" i="1"/>
  <c r="J1935" i="1"/>
  <c r="J2085" i="1"/>
  <c r="J1751" i="1"/>
  <c r="J575" i="1"/>
  <c r="J1823" i="1"/>
  <c r="J2618" i="1"/>
  <c r="J2055" i="1"/>
  <c r="J3104" i="1"/>
  <c r="J1337" i="1"/>
  <c r="J2590" i="1"/>
  <c r="J2092" i="1"/>
  <c r="J3385" i="1"/>
  <c r="J576" i="1"/>
  <c r="J2001" i="1"/>
  <c r="J678" i="1"/>
  <c r="J2858" i="1"/>
  <c r="J1928" i="1"/>
  <c r="J2496" i="1"/>
  <c r="J230" i="1"/>
  <c r="J2457" i="1"/>
  <c r="J2279" i="1"/>
  <c r="J717" i="1"/>
  <c r="J3492" i="1"/>
  <c r="J3496" i="1"/>
  <c r="J618" i="1"/>
  <c r="J2126" i="1"/>
  <c r="J2887" i="1"/>
  <c r="J2870" i="1"/>
  <c r="J3169" i="1"/>
  <c r="J405" i="1"/>
  <c r="J854" i="1"/>
  <c r="J1456" i="1"/>
  <c r="J517" i="1"/>
  <c r="J2132" i="1"/>
  <c r="J3105" i="1"/>
  <c r="J641" i="1"/>
  <c r="J2984" i="1"/>
  <c r="J2158" i="1"/>
  <c r="J204" i="1"/>
  <c r="J2074" i="1"/>
  <c r="J1312" i="1"/>
  <c r="J110" i="1"/>
  <c r="J2633" i="1"/>
  <c r="J1779" i="1"/>
  <c r="J2761" i="1"/>
  <c r="J2364" i="1"/>
  <c r="J1920" i="1"/>
  <c r="J3497" i="1"/>
  <c r="J2668" i="1"/>
  <c r="J544" i="1"/>
  <c r="J1059" i="1"/>
  <c r="J2473" i="1"/>
  <c r="J2245" i="1"/>
  <c r="J2901" i="1"/>
  <c r="J1092" i="1"/>
  <c r="J175" i="1"/>
  <c r="J2902" i="1"/>
  <c r="J2119" i="1"/>
  <c r="J3087" i="1"/>
  <c r="J1435" i="1"/>
  <c r="J2968" i="1"/>
  <c r="J421" i="1"/>
  <c r="J800" i="1"/>
  <c r="J2435" i="1"/>
  <c r="J2133" i="1"/>
  <c r="J1993" i="1"/>
  <c r="J2903" i="1"/>
  <c r="J600" i="1"/>
  <c r="J1711" i="1"/>
  <c r="J3615" i="1"/>
  <c r="J1368" i="1"/>
  <c r="J1979" i="1"/>
  <c r="J2999" i="1"/>
  <c r="J388" i="1"/>
  <c r="J1543" i="1"/>
  <c r="J1299" i="1"/>
  <c r="J1419" i="1"/>
  <c r="J2181" i="1"/>
  <c r="J855" i="1"/>
  <c r="J3514" i="1"/>
  <c r="J2587" i="1"/>
  <c r="J801" i="1"/>
  <c r="J1480" i="1"/>
  <c r="J1648" i="1"/>
  <c r="J2893" i="1"/>
  <c r="J310" i="1"/>
  <c r="J2969" i="1"/>
  <c r="J1110" i="1"/>
  <c r="J549" i="1"/>
  <c r="J2977" i="1"/>
  <c r="J80" i="1"/>
  <c r="J3334" i="1"/>
  <c r="J1281" i="1"/>
  <c r="J2859" i="1"/>
  <c r="J2291" i="1"/>
  <c r="J2591" i="1"/>
  <c r="J2573" i="1"/>
  <c r="J30" i="1"/>
  <c r="J2172" i="1"/>
  <c r="J2718" i="1"/>
  <c r="J2578" i="1"/>
  <c r="J117" i="1"/>
  <c r="J1075" i="1"/>
  <c r="J1566" i="1"/>
  <c r="J2458" i="1"/>
  <c r="J679" i="1"/>
  <c r="J3489" i="1"/>
  <c r="J2067" i="1"/>
  <c r="J3498" i="1"/>
  <c r="J6" i="1"/>
  <c r="J3571" i="1"/>
  <c r="J1611" i="1"/>
  <c r="J2970" i="1"/>
  <c r="J3027" i="1"/>
  <c r="J2654" i="1"/>
  <c r="J1443" i="1"/>
  <c r="J2096" i="1"/>
  <c r="J2120" i="1"/>
  <c r="J2719" i="1"/>
  <c r="J1097" i="1"/>
  <c r="J3002" i="1"/>
  <c r="J448" i="1"/>
  <c r="J3499" i="1"/>
  <c r="J87" i="1"/>
  <c r="J2637" i="1"/>
  <c r="J406" i="1"/>
  <c r="J325" i="1"/>
  <c r="J1489" i="1"/>
  <c r="J876" i="1"/>
  <c r="J1217" i="1"/>
  <c r="J726" i="1"/>
  <c r="J1325" i="1"/>
  <c r="J389" i="1"/>
  <c r="J1176" i="1"/>
  <c r="J1897" i="1"/>
  <c r="J867" i="1"/>
  <c r="J1390" i="1"/>
  <c r="J3595" i="1"/>
  <c r="J433" i="1"/>
  <c r="J1891" i="1"/>
  <c r="J95" i="1"/>
  <c r="J1463" i="1"/>
  <c r="J2669" i="1"/>
  <c r="J1424" i="1"/>
  <c r="J3416" i="1"/>
  <c r="J437" i="1"/>
  <c r="J1106" i="1"/>
  <c r="J1177" i="1"/>
  <c r="J2679" i="1"/>
  <c r="J577" i="1"/>
  <c r="J863" i="1"/>
  <c r="J1272" i="1"/>
  <c r="J2806" i="1"/>
  <c r="J1828" i="1"/>
  <c r="J1132" i="1"/>
  <c r="J2369" i="1"/>
  <c r="J568" i="1"/>
  <c r="J2466" i="1"/>
  <c r="J1607" i="1"/>
  <c r="J1490" i="1"/>
  <c r="J1703" i="1"/>
  <c r="J1093" i="1"/>
  <c r="J2075" i="1"/>
  <c r="J1457" i="1"/>
  <c r="J3504" i="1"/>
  <c r="J2894" i="1"/>
  <c r="J3572" i="1"/>
  <c r="J3423" i="1"/>
  <c r="J601" i="1"/>
  <c r="J1813" i="1"/>
  <c r="J1829" i="1"/>
  <c r="J3106" i="1"/>
  <c r="J3003" i="1"/>
  <c r="J2978" i="1"/>
  <c r="J1076" i="1"/>
  <c r="J898" i="1"/>
  <c r="J1612" i="1"/>
  <c r="J520" i="1"/>
  <c r="J1509" i="1"/>
  <c r="J868" i="1"/>
  <c r="J2592" i="1"/>
  <c r="J467" i="1"/>
  <c r="J3460" i="1"/>
  <c r="J1049" i="1"/>
  <c r="J2871" i="1"/>
  <c r="J3546" i="1"/>
  <c r="J1036" i="1"/>
  <c r="J1292" i="1"/>
  <c r="J518" i="1"/>
  <c r="J527" i="1"/>
  <c r="J2002" i="1"/>
  <c r="J1237" i="1"/>
  <c r="J899" i="1"/>
  <c r="J2567" i="1"/>
  <c r="J1965" i="1"/>
  <c r="J1510" i="1"/>
  <c r="J1153" i="1"/>
  <c r="J2392" i="1"/>
  <c r="J161" i="1"/>
  <c r="J76" i="1"/>
  <c r="J3012" i="1"/>
  <c r="J602" i="1"/>
  <c r="J1044" i="1"/>
  <c r="J77" i="1"/>
  <c r="J2483" i="1"/>
  <c r="J1691" i="1"/>
  <c r="J2663" i="1"/>
  <c r="J3523" i="1"/>
  <c r="J194" i="1"/>
  <c r="J1578" i="1"/>
  <c r="J2698" i="1"/>
  <c r="J753" i="1"/>
  <c r="J247" i="1"/>
  <c r="J825" i="1"/>
  <c r="J2480" i="1"/>
  <c r="J3176" i="1"/>
  <c r="J2220" i="1"/>
  <c r="J231" i="1"/>
  <c r="J669" i="1"/>
  <c r="J422" i="1"/>
  <c r="J2408" i="1"/>
  <c r="J2648" i="1"/>
  <c r="J1025" i="1"/>
  <c r="J2947" i="1"/>
  <c r="J2127" i="1"/>
  <c r="J1533" i="1"/>
  <c r="J2574" i="1"/>
  <c r="J826" i="1"/>
  <c r="J417" i="1"/>
  <c r="J1712" i="1"/>
  <c r="J2440" i="1"/>
  <c r="J267" i="1"/>
  <c r="J1380" i="1"/>
  <c r="J846" i="1"/>
  <c r="J449" i="1"/>
  <c r="J183" i="1"/>
  <c r="J2422" i="1"/>
  <c r="J205" i="1"/>
  <c r="J2128" i="1"/>
  <c r="J2568" i="1"/>
  <c r="J2252" i="1"/>
  <c r="J1413" i="1"/>
  <c r="J288" i="1"/>
  <c r="J2484" i="1"/>
  <c r="J1300" i="1"/>
  <c r="J3538" i="1"/>
  <c r="J326" i="1"/>
  <c r="J1987" i="1"/>
  <c r="J754" i="1"/>
  <c r="J1394" i="1"/>
  <c r="J1125" i="1"/>
  <c r="J731" i="1"/>
  <c r="J2194" i="1"/>
  <c r="J632" i="1"/>
  <c r="J1555" i="1"/>
  <c r="J370" i="1"/>
  <c r="J994" i="1"/>
  <c r="J513" i="1"/>
  <c r="J2612" i="1"/>
  <c r="J1338" i="1"/>
  <c r="J694" i="1"/>
  <c r="J154" i="1"/>
  <c r="J945" i="1"/>
  <c r="J3424" i="1"/>
  <c r="J1769" i="1"/>
  <c r="J3298" i="1"/>
  <c r="J1273" i="1"/>
  <c r="J81" i="1"/>
  <c r="J3420" i="1"/>
  <c r="J1357" i="1"/>
  <c r="J2022" i="1"/>
  <c r="J1213" i="1"/>
  <c r="J1735" i="1"/>
  <c r="J3209" i="1"/>
  <c r="J989" i="1"/>
  <c r="J2267" i="1"/>
  <c r="J528" i="1"/>
  <c r="J88" i="1"/>
  <c r="J2971" i="1"/>
  <c r="J3365" i="1"/>
  <c r="J2593" i="1"/>
  <c r="J1277" i="1"/>
  <c r="J1037" i="1"/>
  <c r="J2231" i="1"/>
  <c r="J268" i="1"/>
  <c r="J3322" i="1"/>
  <c r="J1050" i="1"/>
  <c r="J1929" i="1"/>
  <c r="J347" i="1"/>
  <c r="J3039" i="1"/>
  <c r="J3469" i="1"/>
  <c r="J1515" i="1"/>
  <c r="J1950" i="1"/>
  <c r="J1870" i="1"/>
  <c r="J3505" i="1"/>
  <c r="J1319" i="1"/>
  <c r="J2792" i="1"/>
  <c r="J1214" i="1"/>
  <c r="J1524" i="1"/>
  <c r="J820" i="1"/>
  <c r="J1659" i="1"/>
  <c r="J3425" i="1"/>
  <c r="J834" i="1"/>
  <c r="J3294" i="1"/>
  <c r="J803" i="1"/>
  <c r="J1938" i="1"/>
  <c r="J2028" i="1"/>
  <c r="J2875" i="1"/>
  <c r="J732" i="1"/>
  <c r="J378" i="1"/>
  <c r="J2256" i="1"/>
  <c r="J2485" i="1"/>
  <c r="J3248" i="1"/>
  <c r="J2056" i="1"/>
  <c r="J2895" i="1"/>
  <c r="K2895" i="1" s="1"/>
  <c r="J569" i="1"/>
  <c r="J1516" i="1"/>
  <c r="J1517" i="1"/>
  <c r="J2793" i="1"/>
  <c r="J773" i="1"/>
  <c r="J1660" i="1"/>
  <c r="J847" i="1"/>
  <c r="J1824" i="1"/>
  <c r="J2280" i="1"/>
  <c r="J1655" i="1"/>
  <c r="J3210" i="1"/>
  <c r="J969" i="1"/>
  <c r="J2985" i="1"/>
  <c r="J3170" i="1"/>
  <c r="J142" i="1"/>
  <c r="J2694" i="1"/>
  <c r="J122" i="1"/>
  <c r="J2003" i="1"/>
  <c r="J2057" i="1"/>
  <c r="J1770" i="1"/>
  <c r="J791" i="1"/>
  <c r="J176" i="1"/>
  <c r="J1971" i="1"/>
  <c r="J2540" i="1"/>
  <c r="J1876" i="1"/>
  <c r="J603" i="1"/>
  <c r="J409" i="1"/>
  <c r="J2257" i="1"/>
  <c r="J2541" i="1"/>
  <c r="J1358" i="1"/>
  <c r="J2430" i="1"/>
  <c r="J2762" i="1"/>
  <c r="J553" i="1"/>
  <c r="J82" i="1"/>
  <c r="J2688" i="1"/>
  <c r="J1661" i="1"/>
  <c r="J2173" i="1"/>
  <c r="J1818" i="1"/>
  <c r="J2599" i="1"/>
  <c r="K2599" i="1" s="1"/>
  <c r="J482" i="1"/>
  <c r="J2745" i="1"/>
  <c r="J1966" i="1"/>
  <c r="J1587" i="1"/>
  <c r="J1293" i="1"/>
  <c r="J3114" i="1"/>
  <c r="J2950" i="1"/>
  <c r="J3249" i="1"/>
  <c r="J2374" i="1"/>
  <c r="J1218" i="1"/>
  <c r="J2134" i="1"/>
  <c r="J2754" i="1"/>
  <c r="J1491" i="1"/>
  <c r="J3250" i="1"/>
  <c r="J1139" i="1"/>
  <c r="J3128" i="1"/>
  <c r="J3526" i="1"/>
  <c r="J2340" i="1"/>
  <c r="J670" i="1"/>
  <c r="J2972" i="1"/>
  <c r="J177" i="1"/>
  <c r="J1556" i="1"/>
  <c r="J3062" i="1"/>
  <c r="J2649" i="1"/>
  <c r="J695" i="1"/>
  <c r="K695" i="1" s="1"/>
  <c r="J2415" i="1"/>
  <c r="J2327" i="1"/>
  <c r="J3163" i="1"/>
  <c r="J438" i="1"/>
  <c r="J1083" i="1"/>
  <c r="J281" i="1"/>
  <c r="J2063" i="1"/>
  <c r="J1077" i="1"/>
  <c r="J3013" i="1"/>
  <c r="J327" i="1"/>
  <c r="J1736" i="1"/>
  <c r="J3378" i="1"/>
  <c r="J3047" i="1"/>
  <c r="J538" i="1"/>
  <c r="J774" i="1"/>
  <c r="J2542" i="1"/>
  <c r="J848" i="1"/>
  <c r="J1557" i="1"/>
  <c r="J1359" i="1"/>
  <c r="J2497" i="1"/>
  <c r="J804" i="1"/>
  <c r="J1195" i="1"/>
  <c r="J3303" i="1"/>
  <c r="J2819" i="1"/>
  <c r="J2751" i="1"/>
  <c r="J332" i="1"/>
  <c r="J2459" i="1"/>
  <c r="J3201" i="1"/>
  <c r="J2187" i="1"/>
  <c r="J2401" i="1"/>
  <c r="J468" i="1"/>
  <c r="J1395" i="1"/>
  <c r="J1294" i="1"/>
  <c r="J821" i="1"/>
  <c r="J837" i="1"/>
  <c r="J3048" i="1"/>
  <c r="J2736" i="1"/>
  <c r="J1295" i="1"/>
  <c r="J1404" i="1"/>
  <c r="K1404" i="1" s="1"/>
  <c r="J2416" i="1"/>
  <c r="J792" i="1"/>
  <c r="J2801" i="1"/>
  <c r="J2802" i="1"/>
  <c r="J1384" i="1"/>
  <c r="J3276" i="1"/>
  <c r="J2380" i="1"/>
  <c r="J2409" i="1"/>
  <c r="J333" i="1"/>
  <c r="J2752" i="1"/>
  <c r="J995" i="1"/>
  <c r="J3366" i="1"/>
  <c r="J1525" i="1"/>
  <c r="J1737" i="1"/>
  <c r="J781" i="1"/>
  <c r="J2467" i="1"/>
  <c r="J1771" i="1"/>
  <c r="J869" i="1"/>
  <c r="J2844" i="1"/>
  <c r="J990" i="1"/>
  <c r="J2917" i="1"/>
  <c r="J1798" i="1"/>
  <c r="J3323" i="1"/>
  <c r="J1233" i="1"/>
  <c r="J3028" i="1"/>
  <c r="K3028" i="1" s="1"/>
  <c r="J3329" i="1"/>
  <c r="J718" i="1"/>
  <c r="J2746" i="1"/>
  <c r="J2448" i="1"/>
  <c r="J3482" i="1"/>
  <c r="J1429" i="1"/>
  <c r="J2600" i="1"/>
  <c r="J1786" i="1"/>
  <c r="J1420" i="1"/>
  <c r="J1262" i="1"/>
  <c r="J2287" i="1"/>
  <c r="J1501" i="1"/>
  <c r="J2188" i="1"/>
  <c r="J1278" i="1"/>
  <c r="J311" i="1"/>
  <c r="J722" i="1"/>
  <c r="J1502" i="1"/>
  <c r="J390" i="1"/>
  <c r="J1635" i="1"/>
  <c r="J16" i="1"/>
  <c r="J1200" i="1"/>
  <c r="J1645" i="1"/>
  <c r="J1369" i="1"/>
  <c r="J1613" i="1"/>
  <c r="J3582" i="1"/>
  <c r="J2812" i="1"/>
  <c r="K2812" i="1" s="1"/>
  <c r="J1898" i="1"/>
  <c r="J1877" i="1"/>
  <c r="J984" i="1"/>
  <c r="J2958" i="1"/>
  <c r="J2706" i="1"/>
  <c r="J42" i="1"/>
  <c r="J2559" i="1"/>
  <c r="J3211" i="1"/>
  <c r="J2077" i="1"/>
  <c r="J2549" i="1"/>
  <c r="J2106" i="1"/>
  <c r="J206" i="1"/>
  <c r="K206" i="1" s="1"/>
  <c r="J740" i="1"/>
  <c r="J1421" i="1"/>
  <c r="J1878" i="1"/>
  <c r="J2876" i="1"/>
  <c r="J3444" i="1"/>
  <c r="J498" i="1"/>
  <c r="J1972" i="1"/>
  <c r="J1244" i="1"/>
  <c r="J2182" i="1"/>
  <c r="J1819" i="1"/>
  <c r="J811" i="1"/>
  <c r="J123" i="1"/>
  <c r="J1764" i="1"/>
  <c r="J642" i="1"/>
  <c r="J1830" i="1"/>
  <c r="J58" i="1"/>
  <c r="J1725" i="1"/>
  <c r="J1172" i="1"/>
  <c r="J902" i="1"/>
  <c r="J2818" i="1"/>
  <c r="J1865" i="1"/>
  <c r="J2579" i="1"/>
  <c r="J124" i="1"/>
  <c r="J2246" i="1"/>
  <c r="J1430" i="1"/>
  <c r="J3129" i="1"/>
  <c r="J946" i="1"/>
  <c r="J3094" i="1"/>
  <c r="J3357" i="1"/>
  <c r="J3271" i="1"/>
  <c r="J2865" i="1"/>
  <c r="J860" i="1"/>
  <c r="J1684" i="1"/>
  <c r="J1141" i="1"/>
  <c r="J1464" i="1"/>
  <c r="J3212" i="1"/>
  <c r="J1662" i="1"/>
  <c r="J2601" i="1"/>
  <c r="J22" i="1"/>
  <c r="J2780" i="1"/>
  <c r="J1178" i="1"/>
  <c r="J604" i="1"/>
  <c r="J1045" i="1"/>
  <c r="J1126" i="1"/>
  <c r="J3506" i="1"/>
  <c r="J1305" i="1"/>
  <c r="J3277" i="1"/>
  <c r="J276" i="1"/>
  <c r="J755" i="1"/>
  <c r="J1738" i="1"/>
  <c r="J1215" i="1"/>
  <c r="J2058" i="1"/>
  <c r="J1544" i="1"/>
  <c r="J3463" i="1"/>
  <c r="J570" i="1"/>
  <c r="J1921" i="1"/>
  <c r="J1621" i="1"/>
  <c r="J3243" i="1"/>
  <c r="J1988" i="1"/>
  <c r="J557" i="1"/>
  <c r="J3350" i="1"/>
  <c r="J1286" i="1"/>
  <c r="J1960" i="1"/>
  <c r="K1960" i="1" s="1"/>
  <c r="J3095" i="1"/>
  <c r="J1084" i="1"/>
  <c r="J827" i="1"/>
  <c r="J23" i="1"/>
  <c r="J1892" i="1"/>
  <c r="J2029" i="1"/>
  <c r="J2113" i="1"/>
  <c r="J3308" i="1"/>
  <c r="J2417" i="1"/>
  <c r="J1503" i="1"/>
  <c r="J3049" i="1"/>
  <c r="J155" i="1"/>
  <c r="J1017" i="1"/>
  <c r="J1436" i="1"/>
  <c r="J3439" i="1"/>
  <c r="J2609" i="1"/>
  <c r="J1142" i="1"/>
  <c r="J1671" i="1"/>
  <c r="J991" i="1"/>
  <c r="J3451" i="1"/>
  <c r="J3354" i="1"/>
  <c r="J947" i="1"/>
  <c r="J1468" i="1"/>
  <c r="J1497" i="1"/>
  <c r="K1497" i="1" s="1"/>
  <c r="J17" i="1"/>
  <c r="J659" i="1"/>
  <c r="J1431" i="1"/>
  <c r="J3068" i="1"/>
  <c r="J1765" i="1"/>
  <c r="J2152" i="1"/>
  <c r="J2781" i="1"/>
  <c r="J3149" i="1"/>
  <c r="J1143" i="1"/>
  <c r="J282" i="1"/>
  <c r="J1154" i="1"/>
  <c r="J2575" i="1"/>
  <c r="J2877" i="1"/>
  <c r="J1452" i="1"/>
  <c r="J802" i="1"/>
  <c r="J1360" i="1"/>
  <c r="J849" i="1"/>
  <c r="J18" i="1"/>
  <c r="J3213" i="1"/>
  <c r="J1038" i="1"/>
  <c r="J1772" i="1"/>
  <c r="J741" i="1"/>
  <c r="J1458" i="1"/>
  <c r="J2393" i="1"/>
  <c r="J7" i="1"/>
  <c r="J319" i="1"/>
  <c r="J1906" i="1"/>
  <c r="J1346" i="1"/>
  <c r="J1526" i="1"/>
  <c r="J2845" i="1"/>
  <c r="J2189" i="1"/>
  <c r="J72" i="1"/>
  <c r="J2146" i="1"/>
  <c r="J1326" i="1"/>
  <c r="J1692" i="1"/>
  <c r="J178" i="1"/>
  <c r="J2048" i="1"/>
  <c r="J2794" i="1"/>
  <c r="J835" i="1"/>
  <c r="J685" i="1"/>
  <c r="J2298" i="1"/>
  <c r="J1032" i="1"/>
  <c r="J3107" i="1"/>
  <c r="J3445" i="1"/>
  <c r="J1254" i="1"/>
  <c r="J3261" i="1"/>
  <c r="J1899" i="1"/>
  <c r="J2101" i="1"/>
  <c r="J2247" i="1"/>
  <c r="J856" i="1"/>
  <c r="J2701" i="1"/>
  <c r="J184" i="1"/>
  <c r="J2941" i="1"/>
  <c r="J3616" i="1"/>
  <c r="J1708" i="1"/>
  <c r="J312" i="1"/>
  <c r="J1685" i="1"/>
  <c r="J3324" i="1"/>
  <c r="J1245" i="1"/>
  <c r="J200" i="1"/>
  <c r="J1518" i="1"/>
  <c r="J1051" i="1"/>
  <c r="J3617" i="1"/>
  <c r="J1453" i="1"/>
  <c r="J828" i="1"/>
  <c r="J2107" i="1"/>
  <c r="J2643" i="1"/>
  <c r="J348" i="1"/>
  <c r="J2959" i="1"/>
  <c r="J3400" i="1"/>
  <c r="J2049" i="1"/>
  <c r="J252" i="1"/>
  <c r="J1866" i="1"/>
  <c r="J2942" i="1"/>
  <c r="J2023" i="1"/>
  <c r="J169" i="1"/>
  <c r="J3520" i="1"/>
  <c r="J3470" i="1"/>
  <c r="J1085" i="1"/>
  <c r="J3221" i="1"/>
  <c r="J3171" i="1"/>
  <c r="J2135" i="1"/>
  <c r="J2512" i="1"/>
  <c r="J1945" i="1"/>
  <c r="J842" i="1"/>
  <c r="J43" i="1"/>
  <c r="J2504" i="1"/>
  <c r="J2909" i="1"/>
  <c r="J2990" i="1"/>
  <c r="J1545" i="1"/>
  <c r="J3055" i="1"/>
  <c r="J996" i="1"/>
  <c r="J822" i="1"/>
  <c r="J1432" i="1"/>
  <c r="J1008" i="1"/>
  <c r="J2776" i="1"/>
  <c r="J3343" i="1"/>
  <c r="J1094" i="1"/>
  <c r="J104" i="1"/>
  <c r="J89" i="1"/>
  <c r="J2108" i="1"/>
  <c r="J2232" i="1"/>
  <c r="J671" i="1"/>
  <c r="J90" i="1"/>
  <c r="J2328" i="1"/>
  <c r="J2727" i="1"/>
  <c r="J253" i="1"/>
  <c r="J2933" i="1"/>
  <c r="J2068" i="1"/>
  <c r="J313" i="1"/>
  <c r="J3559" i="1"/>
  <c r="J3344" i="1"/>
  <c r="J1922" i="1"/>
  <c r="J1994" i="1"/>
  <c r="J1739" i="1"/>
  <c r="J2229" i="1"/>
  <c r="J2594" i="1"/>
  <c r="J1879" i="1"/>
  <c r="J1799" i="1"/>
  <c r="J1907" i="1"/>
  <c r="J1558" i="1"/>
  <c r="J2136" i="1"/>
  <c r="J1255" i="1"/>
  <c r="J3214" i="1"/>
  <c r="J2650" i="1"/>
  <c r="J3483" i="1"/>
  <c r="J3401" i="1"/>
  <c r="J59" i="1"/>
  <c r="J1973" i="1"/>
  <c r="J1173" i="1"/>
  <c r="J223" i="1"/>
  <c r="J782" i="1"/>
  <c r="J609" i="1"/>
  <c r="J539" i="1"/>
  <c r="J2233" i="1"/>
  <c r="J550" i="1"/>
  <c r="J2221" i="1"/>
  <c r="J1730" i="1"/>
  <c r="J3182" i="1"/>
  <c r="J1893" i="1"/>
  <c r="J861" i="1"/>
  <c r="J2234" i="1"/>
  <c r="J2288" i="1"/>
  <c r="J2866" i="1"/>
  <c r="J3452" i="1"/>
  <c r="J130" i="1"/>
  <c r="J189" i="1"/>
  <c r="J2167" i="1"/>
  <c r="J1534" i="1"/>
  <c r="J3108" i="1"/>
  <c r="J24" i="1"/>
  <c r="J3314" i="1"/>
  <c r="J2336" i="1"/>
  <c r="J3109" i="1"/>
  <c r="J2713" i="1"/>
  <c r="J1939" i="1"/>
  <c r="J3539" i="1"/>
  <c r="J3484" i="1"/>
  <c r="J812" i="1"/>
  <c r="J3069" i="1"/>
  <c r="J1098" i="1"/>
  <c r="J423" i="1"/>
  <c r="J2556" i="1"/>
  <c r="J2195" i="1"/>
  <c r="J3144" i="1"/>
  <c r="J813" i="1"/>
  <c r="J3017" i="1"/>
  <c r="J775" i="1"/>
  <c r="J3309" i="1"/>
  <c r="J2979" i="1"/>
  <c r="J320" i="1"/>
  <c r="J334" i="1"/>
  <c r="J893" i="1"/>
  <c r="J2385" i="1"/>
  <c r="J190" i="1"/>
  <c r="J1339" i="1"/>
  <c r="J2580" i="1"/>
  <c r="J293" i="1"/>
  <c r="J997" i="1"/>
  <c r="J424" i="1"/>
  <c r="J540" i="1"/>
  <c r="J2747" i="1"/>
  <c r="J224" i="1"/>
  <c r="J2986" i="1"/>
  <c r="J3257" i="1"/>
  <c r="J2826" i="1"/>
  <c r="J2121" i="1"/>
  <c r="J232" i="1"/>
  <c r="J1414" i="1"/>
  <c r="J1535" i="1"/>
  <c r="J3440" i="1"/>
  <c r="J529" i="1"/>
  <c r="J1340" i="1"/>
  <c r="J686" i="1"/>
  <c r="J357" i="1"/>
  <c r="J915" i="1"/>
  <c r="J1263" i="1"/>
  <c r="J1758" i="1"/>
  <c r="J610" i="1"/>
  <c r="J1301" i="1"/>
  <c r="J1996" i="1"/>
  <c r="J966" i="1"/>
  <c r="J2664" i="1"/>
  <c r="J1595" i="1"/>
  <c r="J1469" i="1"/>
  <c r="J1693" i="1"/>
  <c r="J3100" i="1"/>
  <c r="J2423" i="1"/>
  <c r="J1672" i="1"/>
  <c r="J2531" i="1"/>
  <c r="J3493" i="1"/>
  <c r="J2460" i="1"/>
  <c r="J793" i="1"/>
  <c r="J2838" i="1"/>
  <c r="J903" i="1"/>
  <c r="J1519" i="1"/>
  <c r="J506" i="1"/>
  <c r="J269" i="1"/>
  <c r="J1216" i="1"/>
  <c r="J3177" i="1"/>
  <c r="J1282" i="1"/>
  <c r="J2839" i="1"/>
  <c r="J916" i="1"/>
  <c r="J49" i="1"/>
  <c r="J2009" i="1"/>
  <c r="J1454" i="1"/>
  <c r="J2424" i="1"/>
  <c r="J1313" i="1"/>
  <c r="J530" i="1"/>
  <c r="J621" i="1"/>
  <c r="J2820" i="1"/>
  <c r="J3040" i="1"/>
  <c r="J2807" i="1"/>
  <c r="J1656" i="1"/>
  <c r="J2037" i="1"/>
  <c r="J2613" i="1"/>
  <c r="J3315" i="1"/>
  <c r="J3573" i="1"/>
  <c r="J1718" i="1"/>
  <c r="J1629" i="1"/>
  <c r="J1527" i="1"/>
  <c r="J1559" i="1"/>
  <c r="J2755" i="1"/>
  <c r="J3070" i="1"/>
  <c r="J1385" i="1"/>
  <c r="J3590" i="1"/>
  <c r="J1843" i="1"/>
  <c r="J1225" i="1"/>
  <c r="J321" i="1"/>
  <c r="J3521" i="1"/>
  <c r="J2461" i="1"/>
  <c r="J662" i="1"/>
  <c r="J1740" i="1"/>
  <c r="J2948" i="1"/>
  <c r="J1481" i="1"/>
  <c r="J362" i="1"/>
  <c r="J970" i="1"/>
  <c r="J3391" i="1"/>
  <c r="J1009" i="1"/>
  <c r="J2341" i="1"/>
  <c r="J3392" i="1"/>
  <c r="J397" i="1"/>
  <c r="J2934" i="1"/>
  <c r="J643" i="1"/>
  <c r="J1256" i="1"/>
  <c r="J663" i="1"/>
  <c r="J664" i="1"/>
  <c r="J270" i="1"/>
  <c r="J1323" i="1"/>
  <c r="J170" i="1"/>
  <c r="J2619" i="1"/>
  <c r="J2394" i="1"/>
  <c r="J3056" i="1"/>
  <c r="J1179" i="1"/>
  <c r="J335" i="1"/>
  <c r="J1567" i="1"/>
  <c r="J294" i="1"/>
  <c r="J2602" i="1"/>
  <c r="J2550" i="1"/>
  <c r="J2904" i="1"/>
  <c r="J3417" i="1"/>
  <c r="J3453" i="1"/>
  <c r="J2878" i="1"/>
  <c r="J1773" i="1"/>
  <c r="J2147" i="1"/>
  <c r="J2505" i="1"/>
  <c r="J2551" i="1"/>
  <c r="J2827" i="1"/>
  <c r="J2449" i="1"/>
  <c r="J652" i="1"/>
  <c r="J143" i="1"/>
  <c r="J977" i="1"/>
  <c r="J1844" i="1"/>
  <c r="J3222" i="1"/>
  <c r="J1887" i="1"/>
  <c r="J2498" i="1"/>
  <c r="J2268" i="1"/>
  <c r="J838" i="1"/>
  <c r="J1940" i="1"/>
  <c r="J283" i="1"/>
  <c r="J904" i="1"/>
  <c r="J1583" i="1"/>
  <c r="J2168" i="1"/>
  <c r="J3164" i="1"/>
  <c r="J314" i="1"/>
  <c r="J2772" i="1"/>
  <c r="J1396" i="1"/>
  <c r="J3071" i="1"/>
  <c r="J1800" i="1"/>
  <c r="J2513" i="1"/>
  <c r="J1238" i="1"/>
  <c r="J633" i="1"/>
  <c r="J1980" i="1"/>
  <c r="J2506" i="1"/>
  <c r="J3197" i="1"/>
  <c r="J921" i="1"/>
  <c r="J2370" i="1"/>
  <c r="J1630" i="1"/>
  <c r="J298" i="1"/>
  <c r="J1347" i="1"/>
  <c r="J2441" i="1"/>
  <c r="J1144" i="1"/>
  <c r="J948" i="1"/>
  <c r="J680" i="1"/>
  <c r="J2304" i="1"/>
  <c r="J499" i="1"/>
  <c r="J2159" i="1"/>
  <c r="J1900" i="1"/>
  <c r="J3063" i="1"/>
  <c r="J1116" i="1"/>
  <c r="J2160" i="1"/>
  <c r="J3235" i="1"/>
  <c r="J1201" i="1"/>
  <c r="J653" i="1"/>
  <c r="J31" i="1"/>
  <c r="J3406" i="1"/>
  <c r="J3527" i="1"/>
  <c r="J578" i="1"/>
  <c r="J1086" i="1"/>
  <c r="J1287" i="1"/>
  <c r="J1066" i="1"/>
  <c r="J1596" i="1"/>
  <c r="J588" i="1"/>
  <c r="J2756" i="1"/>
  <c r="J1111" i="1"/>
  <c r="J1107" i="1"/>
  <c r="J2468" i="1"/>
  <c r="J1961" i="1"/>
  <c r="J794" i="1"/>
  <c r="J1133" i="1"/>
  <c r="J2689" i="1"/>
  <c r="J213" i="1"/>
  <c r="J1163" i="1"/>
  <c r="J1386" i="1"/>
  <c r="J2670" i="1"/>
  <c r="J3560" i="1"/>
  <c r="J1888" i="1"/>
  <c r="J3029" i="1"/>
  <c r="J2140" i="1"/>
  <c r="J2086" i="1"/>
  <c r="J1003" i="1"/>
  <c r="J3351" i="1"/>
  <c r="J1164" i="1"/>
  <c r="J687" i="1"/>
  <c r="J1422" i="1"/>
  <c r="J850" i="1"/>
  <c r="J2292" i="1"/>
  <c r="J3172" i="1"/>
  <c r="J2004" i="1"/>
  <c r="J96" i="1"/>
  <c r="J2773" i="1"/>
  <c r="J1140" i="1"/>
  <c r="J131" i="1"/>
  <c r="J1459" i="1"/>
  <c r="J299" i="1"/>
  <c r="J53" i="1"/>
  <c r="J2535" i="1"/>
  <c r="J2386" i="1"/>
  <c r="J2763" i="1"/>
  <c r="J3258" i="1"/>
  <c r="J3522" i="1"/>
  <c r="J3155" i="1"/>
  <c r="J905" i="1"/>
  <c r="J2248" i="1"/>
  <c r="J1155" i="1"/>
  <c r="J1010" i="1"/>
  <c r="J1184" i="1"/>
  <c r="J1320" i="1"/>
  <c r="J207" i="1"/>
  <c r="J3432" i="1"/>
  <c r="J2728" i="1"/>
  <c r="J2293" i="1"/>
  <c r="J1588" i="1"/>
  <c r="J2281" i="1"/>
  <c r="J1504" i="1"/>
  <c r="J3139" i="1"/>
  <c r="J2387" i="1"/>
  <c r="J1930" i="1"/>
  <c r="J291" i="1"/>
  <c r="J3080" i="1"/>
  <c r="J1686" i="1"/>
  <c r="J2729" i="1"/>
  <c r="J3101" i="1"/>
  <c r="J1288" i="1"/>
  <c r="J171" i="1"/>
  <c r="J1361" i="1"/>
  <c r="J351" i="1"/>
  <c r="J2764" i="1"/>
  <c r="J64" i="1"/>
  <c r="J2114" i="1"/>
  <c r="J500" i="1"/>
  <c r="J1589" i="1"/>
  <c r="J37" i="1"/>
  <c r="J938" i="1"/>
  <c r="J3421" i="1"/>
  <c r="J929" i="1"/>
  <c r="J2499" i="1"/>
  <c r="J1746" i="1"/>
  <c r="J2576" i="1"/>
  <c r="J1649" i="1"/>
  <c r="J1505" i="1"/>
  <c r="J2358" i="1"/>
  <c r="J32" i="1"/>
  <c r="J352" i="1"/>
  <c r="J2730" i="1"/>
  <c r="J410" i="1"/>
  <c r="J595" i="1"/>
  <c r="J1951" i="1"/>
  <c r="J3102" i="1"/>
  <c r="J1836" i="1"/>
  <c r="J3411" i="1"/>
  <c r="J248" i="1"/>
  <c r="J483" i="1"/>
  <c r="J1858" i="1"/>
  <c r="J770" i="1"/>
  <c r="J97" i="1"/>
  <c r="J2737" i="1"/>
  <c r="J1837" i="1"/>
  <c r="J2951" i="1"/>
  <c r="J1614" i="1"/>
  <c r="J225" i="1"/>
  <c r="O2951" i="1" l="1"/>
  <c r="N2951" i="1"/>
  <c r="M2951" i="1"/>
  <c r="L2951" i="1"/>
  <c r="K2951" i="1"/>
  <c r="O3411" i="1"/>
  <c r="N3411" i="1"/>
  <c r="M3411" i="1"/>
  <c r="L3411" i="1"/>
  <c r="K3411" i="1"/>
  <c r="O929" i="1"/>
  <c r="N929" i="1"/>
  <c r="M929" i="1"/>
  <c r="L929" i="1"/>
  <c r="K929" i="1"/>
  <c r="O2764" i="1"/>
  <c r="N2764" i="1"/>
  <c r="M2764" i="1"/>
  <c r="L2764" i="1"/>
  <c r="K2764" i="1"/>
  <c r="O3080" i="1"/>
  <c r="N3080" i="1"/>
  <c r="M3080" i="1"/>
  <c r="K3080" i="1"/>
  <c r="L3080" i="1"/>
  <c r="O2293" i="1"/>
  <c r="N2293" i="1"/>
  <c r="M2293" i="1"/>
  <c r="L2293" i="1"/>
  <c r="K2293" i="1"/>
  <c r="O2248" i="1"/>
  <c r="N2248" i="1"/>
  <c r="M2248" i="1"/>
  <c r="L2248" i="1"/>
  <c r="K2248" i="1"/>
  <c r="O53" i="1"/>
  <c r="N53" i="1"/>
  <c r="M53" i="1"/>
  <c r="L53" i="1"/>
  <c r="K53" i="1"/>
  <c r="O2004" i="1"/>
  <c r="N2004" i="1"/>
  <c r="M2004" i="1"/>
  <c r="L2004" i="1"/>
  <c r="K2004" i="1"/>
  <c r="O1003" i="1"/>
  <c r="N1003" i="1"/>
  <c r="M1003" i="1"/>
  <c r="L1003" i="1"/>
  <c r="K1003" i="1"/>
  <c r="O1163" i="1"/>
  <c r="N1163" i="1"/>
  <c r="M1163" i="1"/>
  <c r="L1163" i="1"/>
  <c r="K1163" i="1"/>
  <c r="O1111" i="1"/>
  <c r="N1111" i="1"/>
  <c r="M1111" i="1"/>
  <c r="L1111" i="1"/>
  <c r="K1111" i="1"/>
  <c r="O314" i="1"/>
  <c r="N314" i="1"/>
  <c r="M314" i="1"/>
  <c r="L314" i="1"/>
  <c r="K314" i="1"/>
  <c r="O3417" i="1"/>
  <c r="N3417" i="1"/>
  <c r="M3417" i="1"/>
  <c r="L3417" i="1"/>
  <c r="K3417" i="1"/>
  <c r="O970" i="1"/>
  <c r="N970" i="1"/>
  <c r="M970" i="1"/>
  <c r="L970" i="1"/>
  <c r="K970" i="1"/>
  <c r="O2009" i="1"/>
  <c r="N2009" i="1"/>
  <c r="M2009" i="1"/>
  <c r="L2009" i="1"/>
  <c r="K2009" i="1"/>
  <c r="O1340" i="1"/>
  <c r="N1340" i="1"/>
  <c r="M1340" i="1"/>
  <c r="L1340" i="1"/>
  <c r="K1340" i="1"/>
  <c r="O2336" i="1"/>
  <c r="N2336" i="1"/>
  <c r="M2336" i="1"/>
  <c r="L2336" i="1"/>
  <c r="K2336" i="1"/>
  <c r="O1973" i="1"/>
  <c r="N1973" i="1"/>
  <c r="M1973" i="1"/>
  <c r="L1973" i="1"/>
  <c r="K1973" i="1"/>
  <c r="O3055" i="1"/>
  <c r="N3055" i="1"/>
  <c r="M3055" i="1"/>
  <c r="L3055" i="1"/>
  <c r="K3055" i="1"/>
  <c r="O2663" i="1"/>
  <c r="N2663" i="1"/>
  <c r="M2663" i="1"/>
  <c r="L2663" i="1"/>
  <c r="K2663" i="1"/>
  <c r="O3421" i="1"/>
  <c r="N3421" i="1"/>
  <c r="M3421" i="1"/>
  <c r="L3421" i="1"/>
  <c r="K3421" i="1"/>
  <c r="O291" i="1"/>
  <c r="N291" i="1"/>
  <c r="M291" i="1"/>
  <c r="L291" i="1"/>
  <c r="K291" i="1"/>
  <c r="O3406" i="1"/>
  <c r="N3406" i="1"/>
  <c r="M3406" i="1"/>
  <c r="L3406" i="1"/>
  <c r="K3406" i="1"/>
  <c r="O2904" i="1"/>
  <c r="N2904" i="1"/>
  <c r="M2904" i="1"/>
  <c r="L2904" i="1"/>
  <c r="K2904" i="1"/>
  <c r="O1629" i="1"/>
  <c r="N1629" i="1"/>
  <c r="M1629" i="1"/>
  <c r="L1629" i="1"/>
  <c r="K1629" i="1"/>
  <c r="O2423" i="1"/>
  <c r="N2423" i="1"/>
  <c r="M2423" i="1"/>
  <c r="L2423" i="1"/>
  <c r="K2423" i="1"/>
  <c r="O1339" i="1"/>
  <c r="N1339" i="1"/>
  <c r="M1339" i="1"/>
  <c r="L1339" i="1"/>
  <c r="K1339" i="1"/>
  <c r="O1907" i="1"/>
  <c r="N1907" i="1"/>
  <c r="M1907" i="1"/>
  <c r="L1907" i="1"/>
  <c r="K1907" i="1"/>
  <c r="O2942" i="1"/>
  <c r="N2942" i="1"/>
  <c r="M2942" i="1"/>
  <c r="L2942" i="1"/>
  <c r="K2942" i="1"/>
  <c r="O282" i="1"/>
  <c r="N282" i="1"/>
  <c r="M282" i="1"/>
  <c r="L282" i="1"/>
  <c r="K282" i="1"/>
  <c r="O3243" i="1"/>
  <c r="N3243" i="1"/>
  <c r="M3243" i="1"/>
  <c r="L3243" i="1"/>
  <c r="K3243" i="1"/>
  <c r="O3129" i="1"/>
  <c r="N3129" i="1"/>
  <c r="M3129" i="1"/>
  <c r="L3129" i="1"/>
  <c r="K3129" i="1"/>
  <c r="O3582" i="1"/>
  <c r="N3582" i="1"/>
  <c r="M3582" i="1"/>
  <c r="L3582" i="1"/>
  <c r="K3582" i="1"/>
  <c r="O2801" i="1"/>
  <c r="N2801" i="1"/>
  <c r="M2801" i="1"/>
  <c r="L2801" i="1"/>
  <c r="K2801" i="1"/>
  <c r="O670" i="1"/>
  <c r="N670" i="1"/>
  <c r="M670" i="1"/>
  <c r="L670" i="1"/>
  <c r="K670" i="1"/>
  <c r="O603" i="1"/>
  <c r="N603" i="1"/>
  <c r="M603" i="1"/>
  <c r="L603" i="1"/>
  <c r="K603" i="1"/>
  <c r="O732" i="1"/>
  <c r="N732" i="1"/>
  <c r="M732" i="1"/>
  <c r="L732" i="1"/>
  <c r="K732" i="1"/>
  <c r="O3420" i="1"/>
  <c r="N3420" i="1"/>
  <c r="M3420" i="1"/>
  <c r="L3420" i="1"/>
  <c r="K3420" i="1"/>
  <c r="O2422" i="1"/>
  <c r="N2422" i="1"/>
  <c r="M2422" i="1"/>
  <c r="L2422" i="1"/>
  <c r="K2422" i="1"/>
  <c r="O1691" i="1"/>
  <c r="N1691" i="1"/>
  <c r="M1691" i="1"/>
  <c r="L1691" i="1"/>
  <c r="K1691" i="1"/>
  <c r="O2978" i="1"/>
  <c r="N2978" i="1"/>
  <c r="M2978" i="1"/>
  <c r="L2978" i="1"/>
  <c r="K2978" i="1"/>
  <c r="O1463" i="1"/>
  <c r="N1463" i="1"/>
  <c r="M1463" i="1"/>
  <c r="L1463" i="1"/>
  <c r="K1463" i="1"/>
  <c r="O2120" i="1"/>
  <c r="M2120" i="1"/>
  <c r="N2120" i="1"/>
  <c r="L2120" i="1"/>
  <c r="K2120" i="1"/>
  <c r="O2969" i="1"/>
  <c r="N2969" i="1"/>
  <c r="M2969" i="1"/>
  <c r="L2969" i="1"/>
  <c r="K2969" i="1"/>
  <c r="O1092" i="1"/>
  <c r="N1092" i="1"/>
  <c r="M1092" i="1"/>
  <c r="L1092" i="1"/>
  <c r="K1092" i="1"/>
  <c r="O678" i="1"/>
  <c r="N678" i="1"/>
  <c r="M678" i="1"/>
  <c r="L678" i="1"/>
  <c r="K678" i="1"/>
  <c r="O1333" i="1"/>
  <c r="N1333" i="1"/>
  <c r="M1333" i="1"/>
  <c r="L1333" i="1"/>
  <c r="K1333" i="1"/>
  <c r="O1073" i="1"/>
  <c r="N1073" i="1"/>
  <c r="M1073" i="1"/>
  <c r="L1073" i="1"/>
  <c r="K1073" i="1"/>
  <c r="O1857" i="1"/>
  <c r="N1857" i="1"/>
  <c r="M1857" i="1"/>
  <c r="L1857" i="1"/>
  <c r="K1857" i="1"/>
  <c r="O244" i="1"/>
  <c r="N244" i="1"/>
  <c r="M244" i="1"/>
  <c r="L244" i="1"/>
  <c r="K244" i="1"/>
  <c r="O1109" i="1"/>
  <c r="N1109" i="1"/>
  <c r="M1109" i="1"/>
  <c r="L1109" i="1"/>
  <c r="K1109" i="1"/>
  <c r="O2539" i="1"/>
  <c r="N2539" i="1"/>
  <c r="M2539" i="1"/>
  <c r="L2539" i="1"/>
  <c r="K2539" i="1"/>
  <c r="O2414" i="1"/>
  <c r="N2414" i="1"/>
  <c r="M2414" i="1"/>
  <c r="L2414" i="1"/>
  <c r="K2414" i="1"/>
  <c r="O1023" i="1"/>
  <c r="N1023" i="1"/>
  <c r="M1023" i="1"/>
  <c r="L1023" i="1"/>
  <c r="K1023" i="1"/>
  <c r="O1182" i="1"/>
  <c r="N1182" i="1"/>
  <c r="M1182" i="1"/>
  <c r="L1182" i="1"/>
  <c r="K1182" i="1"/>
  <c r="O2693" i="1"/>
  <c r="N2693" i="1"/>
  <c r="M2693" i="1"/>
  <c r="L2693" i="1"/>
  <c r="K2693" i="1"/>
  <c r="O3537" i="1"/>
  <c r="N3537" i="1"/>
  <c r="M3537" i="1"/>
  <c r="L3537" i="1"/>
  <c r="K3537" i="1"/>
  <c r="O965" i="1"/>
  <c r="N965" i="1"/>
  <c r="M965" i="1"/>
  <c r="L965" i="1"/>
  <c r="K965" i="1"/>
  <c r="O1667" i="1"/>
  <c r="N1667" i="1"/>
  <c r="M1667" i="1"/>
  <c r="L1667" i="1"/>
  <c r="K1667" i="1"/>
  <c r="O3166" i="1"/>
  <c r="N3166" i="1"/>
  <c r="M3166" i="1"/>
  <c r="L3166" i="1"/>
  <c r="K3166" i="1"/>
  <c r="O3578" i="1"/>
  <c r="N3578" i="1"/>
  <c r="M3578" i="1"/>
  <c r="L3578" i="1"/>
  <c r="K3578" i="1"/>
  <c r="O2261" i="1"/>
  <c r="N2261" i="1"/>
  <c r="M2261" i="1"/>
  <c r="L2261" i="1"/>
  <c r="K2261" i="1"/>
  <c r="O2585" i="1"/>
  <c r="N2585" i="1"/>
  <c r="M2585" i="1"/>
  <c r="L2585" i="1"/>
  <c r="K2585" i="1"/>
  <c r="O3481" i="1"/>
  <c r="N3481" i="1"/>
  <c r="M3481" i="1"/>
  <c r="L3481" i="1"/>
  <c r="K3481" i="1"/>
  <c r="O1858" i="1"/>
  <c r="N1858" i="1"/>
  <c r="M1858" i="1"/>
  <c r="L1858" i="1"/>
  <c r="K1858" i="1"/>
  <c r="O410" i="1"/>
  <c r="N410" i="1"/>
  <c r="M410" i="1"/>
  <c r="L410" i="1"/>
  <c r="K410" i="1"/>
  <c r="O2576" i="1"/>
  <c r="N2576" i="1"/>
  <c r="M2576" i="1"/>
  <c r="L2576" i="1"/>
  <c r="K2576" i="1"/>
  <c r="O500" i="1"/>
  <c r="N500" i="1"/>
  <c r="M500" i="1"/>
  <c r="L500" i="1"/>
  <c r="K500" i="1"/>
  <c r="O3101" i="1"/>
  <c r="N3101" i="1"/>
  <c r="M3101" i="1"/>
  <c r="L3101" i="1"/>
  <c r="K3101" i="1"/>
  <c r="O1504" i="1"/>
  <c r="N1504" i="1"/>
  <c r="M1504" i="1"/>
  <c r="L1504" i="1"/>
  <c r="K1504" i="1"/>
  <c r="O1184" i="1"/>
  <c r="N1184" i="1"/>
  <c r="M1184" i="1"/>
  <c r="L1184" i="1"/>
  <c r="K1184" i="1"/>
  <c r="O2763" i="1"/>
  <c r="N2763" i="1"/>
  <c r="M2763" i="1"/>
  <c r="L2763" i="1"/>
  <c r="K2763" i="1"/>
  <c r="O1140" i="1"/>
  <c r="N1140" i="1"/>
  <c r="M1140" i="1"/>
  <c r="L1140" i="1"/>
  <c r="K1140" i="1"/>
  <c r="O687" i="1"/>
  <c r="N687" i="1"/>
  <c r="M687" i="1"/>
  <c r="L687" i="1"/>
  <c r="K687" i="1"/>
  <c r="O3560" i="1"/>
  <c r="N3560" i="1"/>
  <c r="M3560" i="1"/>
  <c r="L3560" i="1"/>
  <c r="K3560" i="1"/>
  <c r="O1961" i="1"/>
  <c r="N1961" i="1"/>
  <c r="M1961" i="1"/>
  <c r="L1961" i="1"/>
  <c r="K1961" i="1"/>
  <c r="O1287" i="1"/>
  <c r="N1287" i="1"/>
  <c r="M1287" i="1"/>
  <c r="L1287" i="1"/>
  <c r="K1287" i="1"/>
  <c r="O3235" i="1"/>
  <c r="N3235" i="1"/>
  <c r="M3235" i="1"/>
  <c r="L3235" i="1"/>
  <c r="K3235" i="1"/>
  <c r="O680" i="1"/>
  <c r="N680" i="1"/>
  <c r="M680" i="1"/>
  <c r="L680" i="1"/>
  <c r="K680" i="1"/>
  <c r="O921" i="1"/>
  <c r="N921" i="1"/>
  <c r="M921" i="1"/>
  <c r="L921" i="1"/>
  <c r="K921" i="1"/>
  <c r="O3071" i="1"/>
  <c r="N3071" i="1"/>
  <c r="M3071" i="1"/>
  <c r="L3071" i="1"/>
  <c r="K3071" i="1"/>
  <c r="O283" i="1"/>
  <c r="N283" i="1"/>
  <c r="M283" i="1"/>
  <c r="L283" i="1"/>
  <c r="K283" i="1"/>
  <c r="O977" i="1"/>
  <c r="N977" i="1"/>
  <c r="M977" i="1"/>
  <c r="L977" i="1"/>
  <c r="K977" i="1"/>
  <c r="O1773" i="1"/>
  <c r="N1773" i="1"/>
  <c r="M1773" i="1"/>
  <c r="L1773" i="1"/>
  <c r="K1773" i="1"/>
  <c r="O1567" i="1"/>
  <c r="N1567" i="1"/>
  <c r="M1567" i="1"/>
  <c r="L1567" i="1"/>
  <c r="K1567" i="1"/>
  <c r="O270" i="1"/>
  <c r="N270" i="1"/>
  <c r="M270" i="1"/>
  <c r="L270" i="1"/>
  <c r="K270" i="1"/>
  <c r="O2341" i="1"/>
  <c r="N2341" i="1"/>
  <c r="M2341" i="1"/>
  <c r="L2341" i="1"/>
  <c r="K2341" i="1"/>
  <c r="O662" i="1"/>
  <c r="N662" i="1"/>
  <c r="M662" i="1"/>
  <c r="L662" i="1"/>
  <c r="K662" i="1"/>
  <c r="O3070" i="1"/>
  <c r="N3070" i="1"/>
  <c r="M3070" i="1"/>
  <c r="L3070" i="1"/>
  <c r="K3070" i="1"/>
  <c r="O2613" i="1"/>
  <c r="N2613" i="1"/>
  <c r="M2613" i="1"/>
  <c r="L2613" i="1"/>
  <c r="K2613" i="1"/>
  <c r="O1313" i="1"/>
  <c r="N1313" i="1"/>
  <c r="M1313" i="1"/>
  <c r="L1313" i="1"/>
  <c r="K1313" i="1"/>
  <c r="O3177" i="1"/>
  <c r="N3177" i="1"/>
  <c r="M3177" i="1"/>
  <c r="L3177" i="1"/>
  <c r="K3177" i="1"/>
  <c r="O2460" i="1"/>
  <c r="N2460" i="1"/>
  <c r="M2460" i="1"/>
  <c r="L2460" i="1"/>
  <c r="K2460" i="1"/>
  <c r="O1595" i="1"/>
  <c r="N1595" i="1"/>
  <c r="M1595" i="1"/>
  <c r="L1595" i="1"/>
  <c r="K1595" i="1"/>
  <c r="O915" i="1"/>
  <c r="N915" i="1"/>
  <c r="M915" i="1"/>
  <c r="L915" i="1"/>
  <c r="K915" i="1"/>
  <c r="O232" i="1"/>
  <c r="N232" i="1"/>
  <c r="M232" i="1"/>
  <c r="L232" i="1"/>
  <c r="K232" i="1"/>
  <c r="O424" i="1"/>
  <c r="N424" i="1"/>
  <c r="M424" i="1"/>
  <c r="L424" i="1"/>
  <c r="K424" i="1"/>
  <c r="O334" i="1"/>
  <c r="N334" i="1"/>
  <c r="M334" i="1"/>
  <c r="L334" i="1"/>
  <c r="K334" i="1"/>
  <c r="O2195" i="1"/>
  <c r="N2195" i="1"/>
  <c r="M2195" i="1"/>
  <c r="L2195" i="1"/>
  <c r="K2195" i="1"/>
  <c r="O1939" i="1"/>
  <c r="N1939" i="1"/>
  <c r="M1939" i="1"/>
  <c r="L1939" i="1"/>
  <c r="K1939" i="1"/>
  <c r="O2167" i="1"/>
  <c r="N2167" i="1"/>
  <c r="M2167" i="1"/>
  <c r="L2167" i="1"/>
  <c r="K2167" i="1"/>
  <c r="O1893" i="1"/>
  <c r="N1893" i="1"/>
  <c r="M1893" i="1"/>
  <c r="L1893" i="1"/>
  <c r="K1893" i="1"/>
  <c r="O782" i="1"/>
  <c r="N782" i="1"/>
  <c r="M782" i="1"/>
  <c r="L782" i="1"/>
  <c r="K782" i="1"/>
  <c r="O3214" i="1"/>
  <c r="N3214" i="1"/>
  <c r="M3214" i="1"/>
  <c r="L3214" i="1"/>
  <c r="K3214" i="1"/>
  <c r="O2594" i="1"/>
  <c r="N2594" i="1"/>
  <c r="M2594" i="1"/>
  <c r="L2594" i="1"/>
  <c r="K2594" i="1"/>
  <c r="O2068" i="1"/>
  <c r="N2068" i="1"/>
  <c r="M2068" i="1"/>
  <c r="L2068" i="1"/>
  <c r="K2068" i="1"/>
  <c r="O2108" i="1"/>
  <c r="N2108" i="1"/>
  <c r="M2108" i="1"/>
  <c r="L2108" i="1"/>
  <c r="K2108" i="1"/>
  <c r="O1432" i="1"/>
  <c r="N1432" i="1"/>
  <c r="M1432" i="1"/>
  <c r="L1432" i="1"/>
  <c r="K1432" i="1"/>
  <c r="O43" i="1"/>
  <c r="N43" i="1"/>
  <c r="M43" i="1"/>
  <c r="L43" i="1"/>
  <c r="K43" i="1"/>
  <c r="O3470" i="1"/>
  <c r="N3470" i="1"/>
  <c r="M3470" i="1"/>
  <c r="L3470" i="1"/>
  <c r="K3470" i="1"/>
  <c r="O3400" i="1"/>
  <c r="N3400" i="1"/>
  <c r="M3400" i="1"/>
  <c r="L3400" i="1"/>
  <c r="K3400" i="1"/>
  <c r="O1051" i="1"/>
  <c r="N1051" i="1"/>
  <c r="M1051" i="1"/>
  <c r="L1051" i="1"/>
  <c r="K1051" i="1"/>
  <c r="O3616" i="1"/>
  <c r="N3616" i="1"/>
  <c r="M3616" i="1"/>
  <c r="L3616" i="1"/>
  <c r="K3616" i="1"/>
  <c r="O3261" i="1"/>
  <c r="N3261" i="1"/>
  <c r="M3261" i="1"/>
  <c r="L3261" i="1"/>
  <c r="K3261" i="1"/>
  <c r="O2794" i="1"/>
  <c r="N2794" i="1"/>
  <c r="M2794" i="1"/>
  <c r="L2794" i="1"/>
  <c r="K2794" i="1"/>
  <c r="O2845" i="1"/>
  <c r="N2845" i="1"/>
  <c r="M2845" i="1"/>
  <c r="L2845" i="1"/>
  <c r="K2845" i="1"/>
  <c r="O741" i="1"/>
  <c r="N741" i="1"/>
  <c r="M741" i="1"/>
  <c r="L741" i="1"/>
  <c r="K741" i="1"/>
  <c r="O1452" i="1"/>
  <c r="N1452" i="1"/>
  <c r="M1452" i="1"/>
  <c r="L1452" i="1"/>
  <c r="O2152" i="1"/>
  <c r="N2152" i="1"/>
  <c r="L2152" i="1"/>
  <c r="M2152" i="1"/>
  <c r="K2152" i="1"/>
  <c r="O947" i="1"/>
  <c r="N947" i="1"/>
  <c r="M947" i="1"/>
  <c r="L947" i="1"/>
  <c r="K947" i="1"/>
  <c r="O3439" i="1"/>
  <c r="N3439" i="1"/>
  <c r="M3439" i="1"/>
  <c r="L3439" i="1"/>
  <c r="K3439" i="1"/>
  <c r="O2113" i="1"/>
  <c r="N2113" i="1"/>
  <c r="M2113" i="1"/>
  <c r="L2113" i="1"/>
  <c r="K2113" i="1"/>
  <c r="O1286" i="1"/>
  <c r="N1286" i="1"/>
  <c r="M1286" i="1"/>
  <c r="L1286" i="1"/>
  <c r="K1286" i="1"/>
  <c r="O3463" i="1"/>
  <c r="N3463" i="1"/>
  <c r="M3463" i="1"/>
  <c r="L3463" i="1"/>
  <c r="K3463" i="1"/>
  <c r="O1305" i="1"/>
  <c r="N1305" i="1"/>
  <c r="M1305" i="1"/>
  <c r="L1305" i="1"/>
  <c r="K1305" i="1"/>
  <c r="O2601" i="1"/>
  <c r="N2601" i="1"/>
  <c r="M2601" i="1"/>
  <c r="L2601" i="1"/>
  <c r="O3271" i="1"/>
  <c r="N3271" i="1"/>
  <c r="M3271" i="1"/>
  <c r="L3271" i="1"/>
  <c r="K3271" i="1"/>
  <c r="O2579" i="1"/>
  <c r="N2579" i="1"/>
  <c r="M2579" i="1"/>
  <c r="L2579" i="1"/>
  <c r="K2579" i="1"/>
  <c r="O1830" i="1"/>
  <c r="N1830" i="1"/>
  <c r="M1830" i="1"/>
  <c r="L1830" i="1"/>
  <c r="K1830" i="1"/>
  <c r="O1972" i="1"/>
  <c r="N1972" i="1"/>
  <c r="M1972" i="1"/>
  <c r="L1972" i="1"/>
  <c r="K1972" i="1"/>
  <c r="O2106" i="1"/>
  <c r="N2106" i="1"/>
  <c r="M2106" i="1"/>
  <c r="L2106" i="1"/>
  <c r="K2106" i="1"/>
  <c r="O984" i="1"/>
  <c r="N984" i="1"/>
  <c r="M984" i="1"/>
  <c r="L984" i="1"/>
  <c r="K984" i="1"/>
  <c r="O1278" i="1"/>
  <c r="N1278" i="1"/>
  <c r="M1278" i="1"/>
  <c r="L1278" i="1"/>
  <c r="O1429" i="1"/>
  <c r="N1429" i="1"/>
  <c r="M1429" i="1"/>
  <c r="L1429" i="1"/>
  <c r="K1429" i="1"/>
  <c r="O3323" i="1"/>
  <c r="N3323" i="1"/>
  <c r="M3323" i="1"/>
  <c r="L3323" i="1"/>
  <c r="K3323" i="1"/>
  <c r="O781" i="1"/>
  <c r="N781" i="1"/>
  <c r="M781" i="1"/>
  <c r="L781" i="1"/>
  <c r="K781" i="1"/>
  <c r="O2380" i="1"/>
  <c r="N2380" i="1"/>
  <c r="M2380" i="1"/>
  <c r="L2380" i="1"/>
  <c r="K2380" i="1"/>
  <c r="O1295" i="1"/>
  <c r="N1295" i="1"/>
  <c r="M1295" i="1"/>
  <c r="L1295" i="1"/>
  <c r="K1295" i="1"/>
  <c r="O2401" i="1"/>
  <c r="N2401" i="1"/>
  <c r="M2401" i="1"/>
  <c r="L2401" i="1"/>
  <c r="K2401" i="1"/>
  <c r="O1195" i="1"/>
  <c r="N1195" i="1"/>
  <c r="M1195" i="1"/>
  <c r="L1195" i="1"/>
  <c r="K1195" i="1"/>
  <c r="O538" i="1"/>
  <c r="N538" i="1"/>
  <c r="M538" i="1"/>
  <c r="L538" i="1"/>
  <c r="O281" i="1"/>
  <c r="N281" i="1"/>
  <c r="M281" i="1"/>
  <c r="L281" i="1"/>
  <c r="K281" i="1"/>
  <c r="O3062" i="1"/>
  <c r="N3062" i="1"/>
  <c r="M3062" i="1"/>
  <c r="L3062" i="1"/>
  <c r="K3062" i="1"/>
  <c r="O1139" i="1"/>
  <c r="N1139" i="1"/>
  <c r="M1139" i="1"/>
  <c r="L1139" i="1"/>
  <c r="K1139" i="1"/>
  <c r="O2950" i="1"/>
  <c r="N2950" i="1"/>
  <c r="M2950" i="1"/>
  <c r="L2950" i="1"/>
  <c r="K2950" i="1"/>
  <c r="O1818" i="1"/>
  <c r="N1818" i="1"/>
  <c r="M1818" i="1"/>
  <c r="L1818" i="1"/>
  <c r="K1818" i="1"/>
  <c r="O1358" i="1"/>
  <c r="N1358" i="1"/>
  <c r="M1358" i="1"/>
  <c r="L1358" i="1"/>
  <c r="K1358" i="1"/>
  <c r="O176" i="1"/>
  <c r="N176" i="1"/>
  <c r="M176" i="1"/>
  <c r="L176" i="1"/>
  <c r="K176" i="1"/>
  <c r="O3170" i="1"/>
  <c r="N3170" i="1"/>
  <c r="M3170" i="1"/>
  <c r="L3170" i="1"/>
  <c r="O1660" i="1"/>
  <c r="N1660" i="1"/>
  <c r="M1660" i="1"/>
  <c r="L1660" i="1"/>
  <c r="K1660" i="1"/>
  <c r="O3248" i="1"/>
  <c r="N3248" i="1"/>
  <c r="M3248" i="1"/>
  <c r="L3248" i="1"/>
  <c r="K3248" i="1"/>
  <c r="O803" i="1"/>
  <c r="N803" i="1"/>
  <c r="M803" i="1"/>
  <c r="L803" i="1"/>
  <c r="K803" i="1"/>
  <c r="O2792" i="1"/>
  <c r="N2792" i="1"/>
  <c r="M2792" i="1"/>
  <c r="L2792" i="1"/>
  <c r="K2792" i="1"/>
  <c r="O347" i="1"/>
  <c r="N347" i="1"/>
  <c r="M347" i="1"/>
  <c r="L347" i="1"/>
  <c r="K347" i="1"/>
  <c r="O2593" i="1"/>
  <c r="N2593" i="1"/>
  <c r="M2593" i="1"/>
  <c r="L2593" i="1"/>
  <c r="K2593" i="1"/>
  <c r="O1735" i="1"/>
  <c r="N1735" i="1"/>
  <c r="M1735" i="1"/>
  <c r="L1735" i="1"/>
  <c r="K1735" i="1"/>
  <c r="O1769" i="1"/>
  <c r="N1769" i="1"/>
  <c r="M1769" i="1"/>
  <c r="L1769" i="1"/>
  <c r="K1769" i="1"/>
  <c r="O994" i="1"/>
  <c r="N994" i="1"/>
  <c r="M994" i="1"/>
  <c r="L994" i="1"/>
  <c r="K994" i="1"/>
  <c r="O754" i="1"/>
  <c r="N754" i="1"/>
  <c r="M754" i="1"/>
  <c r="L754" i="1"/>
  <c r="K754" i="1"/>
  <c r="O2252" i="1"/>
  <c r="N2252" i="1"/>
  <c r="M2252" i="1"/>
  <c r="L2252" i="1"/>
  <c r="K2252" i="1"/>
  <c r="O1380" i="1"/>
  <c r="N1380" i="1"/>
  <c r="M1380" i="1"/>
  <c r="L1380" i="1"/>
  <c r="K1380" i="1"/>
  <c r="O1533" i="1"/>
  <c r="N1533" i="1"/>
  <c r="M1533" i="1"/>
  <c r="L1533" i="1"/>
  <c r="K1533" i="1"/>
  <c r="O231" i="1"/>
  <c r="N231" i="1"/>
  <c r="M231" i="1"/>
  <c r="L231" i="1"/>
  <c r="K231" i="1"/>
  <c r="O1578" i="1"/>
  <c r="N1578" i="1"/>
  <c r="M1578" i="1"/>
  <c r="L1578" i="1"/>
  <c r="K1578" i="1"/>
  <c r="O602" i="1"/>
  <c r="N602" i="1"/>
  <c r="M602" i="1"/>
  <c r="L602" i="1"/>
  <c r="K602" i="1"/>
  <c r="O2567" i="1"/>
  <c r="N2567" i="1"/>
  <c r="M2567" i="1"/>
  <c r="L2567" i="1"/>
  <c r="K2567" i="1"/>
  <c r="O3546" i="1"/>
  <c r="N3546" i="1"/>
  <c r="M3546" i="1"/>
  <c r="L3546" i="1"/>
  <c r="K3546" i="1"/>
  <c r="O520" i="1"/>
  <c r="N520" i="1"/>
  <c r="M520" i="1"/>
  <c r="L520" i="1"/>
  <c r="K520" i="1"/>
  <c r="O1813" i="1"/>
  <c r="N1813" i="1"/>
  <c r="M1813" i="1"/>
  <c r="L1813" i="1"/>
  <c r="K1813" i="1"/>
  <c r="O1093" i="1"/>
  <c r="N1093" i="1"/>
  <c r="M1093" i="1"/>
  <c r="L1093" i="1"/>
  <c r="K1093" i="1"/>
  <c r="O1828" i="1"/>
  <c r="N1828" i="1"/>
  <c r="M1828" i="1"/>
  <c r="L1828" i="1"/>
  <c r="K1828" i="1"/>
  <c r="O437" i="1"/>
  <c r="N437" i="1"/>
  <c r="M437" i="1"/>
  <c r="L437" i="1"/>
  <c r="K437" i="1"/>
  <c r="O3595" i="1"/>
  <c r="N3595" i="1"/>
  <c r="M3595" i="1"/>
  <c r="L3595" i="1"/>
  <c r="K3595" i="1"/>
  <c r="O1217" i="1"/>
  <c r="N1217" i="1"/>
  <c r="M1217" i="1"/>
  <c r="L1217" i="1"/>
  <c r="K1217" i="1"/>
  <c r="O448" i="1"/>
  <c r="N448" i="1"/>
  <c r="M448" i="1"/>
  <c r="L448" i="1"/>
  <c r="K448" i="1"/>
  <c r="O3027" i="1"/>
  <c r="N3027" i="1"/>
  <c r="M3027" i="1"/>
  <c r="L3027" i="1"/>
  <c r="K3027" i="1"/>
  <c r="O679" i="1"/>
  <c r="N679" i="1"/>
  <c r="M679" i="1"/>
  <c r="L679" i="1"/>
  <c r="K679" i="1"/>
  <c r="O80" i="1"/>
  <c r="N80" i="1"/>
  <c r="M80" i="1"/>
  <c r="L80" i="1"/>
  <c r="K80" i="1"/>
  <c r="O1480" i="1"/>
  <c r="N1480" i="1"/>
  <c r="M1480" i="1"/>
  <c r="L1480" i="1"/>
  <c r="K1480" i="1"/>
  <c r="O1543" i="1"/>
  <c r="N1543" i="1"/>
  <c r="M1543" i="1"/>
  <c r="L1543" i="1"/>
  <c r="K1543" i="1"/>
  <c r="O2903" i="1"/>
  <c r="N2903" i="1"/>
  <c r="M2903" i="1"/>
  <c r="L2903" i="1"/>
  <c r="K2903" i="1"/>
  <c r="O3087" i="1"/>
  <c r="N3087" i="1"/>
  <c r="M3087" i="1"/>
  <c r="L3087" i="1"/>
  <c r="K3087" i="1"/>
  <c r="O1059" i="1"/>
  <c r="N1059" i="1"/>
  <c r="M1059" i="1"/>
  <c r="L1059" i="1"/>
  <c r="K1059" i="1"/>
  <c r="O2633" i="1"/>
  <c r="N2633" i="1"/>
  <c r="M2633" i="1"/>
  <c r="L2633" i="1"/>
  <c r="K2633" i="1"/>
  <c r="O3105" i="1"/>
  <c r="N3105" i="1"/>
  <c r="M3105" i="1"/>
  <c r="L3105" i="1"/>
  <c r="K3105" i="1"/>
  <c r="O2887" i="1"/>
  <c r="N2887" i="1"/>
  <c r="M2887" i="1"/>
  <c r="L2887" i="1"/>
  <c r="K2887" i="1"/>
  <c r="O230" i="1"/>
  <c r="N230" i="1"/>
  <c r="M230" i="1"/>
  <c r="L230" i="1"/>
  <c r="K230" i="1"/>
  <c r="O2092" i="1"/>
  <c r="N2092" i="1"/>
  <c r="M2092" i="1"/>
  <c r="L2092" i="1"/>
  <c r="K2092" i="1"/>
  <c r="O1751" i="1"/>
  <c r="N1751" i="1"/>
  <c r="M1751" i="1"/>
  <c r="L1751" i="1"/>
  <c r="K1751" i="1"/>
  <c r="O2429" i="1"/>
  <c r="N2429" i="1"/>
  <c r="M2429" i="1"/>
  <c r="L2429" i="1"/>
  <c r="K2429" i="1"/>
  <c r="O3410" i="1"/>
  <c r="N3410" i="1"/>
  <c r="M3410" i="1"/>
  <c r="L3410" i="1"/>
  <c r="K3410" i="1"/>
  <c r="O1479" i="1"/>
  <c r="N1479" i="1"/>
  <c r="M1479" i="1"/>
  <c r="L1479" i="1"/>
  <c r="K1479" i="1"/>
  <c r="O1532" i="1"/>
  <c r="N1532" i="1"/>
  <c r="M1532" i="1"/>
  <c r="L1532" i="1"/>
  <c r="K1532" i="1"/>
  <c r="O3148" i="1"/>
  <c r="N3148" i="1"/>
  <c r="M3148" i="1"/>
  <c r="L3148" i="1"/>
  <c r="K3148" i="1"/>
  <c r="O3138" i="1"/>
  <c r="N3138" i="1"/>
  <c r="M3138" i="1"/>
  <c r="L3138" i="1"/>
  <c r="K3138" i="1"/>
  <c r="O2653" i="1"/>
  <c r="N2653" i="1"/>
  <c r="M2653" i="1"/>
  <c r="L2653" i="1"/>
  <c r="K2653" i="1"/>
  <c r="O2608" i="1"/>
  <c r="N2608" i="1"/>
  <c r="M2608" i="1"/>
  <c r="L2608" i="1"/>
  <c r="K2608" i="1"/>
  <c r="O1702" i="1"/>
  <c r="N1702" i="1"/>
  <c r="M1702" i="1"/>
  <c r="L1702" i="1"/>
  <c r="K1702" i="1"/>
  <c r="O3594" i="1"/>
  <c r="N3594" i="1"/>
  <c r="M3594" i="1"/>
  <c r="L3594" i="1"/>
  <c r="K3594" i="1"/>
  <c r="O2932" i="1"/>
  <c r="N2932" i="1"/>
  <c r="M2932" i="1"/>
  <c r="L2932" i="1"/>
  <c r="K2932" i="1"/>
  <c r="O3168" i="1"/>
  <c r="N3168" i="1"/>
  <c r="M3168" i="1"/>
  <c r="L3168" i="1"/>
  <c r="K3168" i="1"/>
  <c r="O3477" i="1"/>
  <c r="N3477" i="1"/>
  <c r="M3477" i="1"/>
  <c r="L3477" i="1"/>
  <c r="K3477" i="1"/>
  <c r="O2363" i="1"/>
  <c r="N2363" i="1"/>
  <c r="M2363" i="1"/>
  <c r="L2363" i="1"/>
  <c r="K2363" i="1"/>
  <c r="O2465" i="1"/>
  <c r="N2465" i="1"/>
  <c r="M2465" i="1"/>
  <c r="L2465" i="1"/>
  <c r="K2465" i="1"/>
  <c r="O2530" i="1"/>
  <c r="N2530" i="1"/>
  <c r="M2530" i="1"/>
  <c r="L2530" i="1"/>
  <c r="K2530" i="1"/>
  <c r="O1388" i="1"/>
  <c r="N1388" i="1"/>
  <c r="M1388" i="1"/>
  <c r="L1388" i="1"/>
  <c r="K1388" i="1"/>
  <c r="O1137" i="1"/>
  <c r="N1137" i="1"/>
  <c r="M1137" i="1"/>
  <c r="L1137" i="1"/>
  <c r="K1137" i="1"/>
  <c r="O2008" i="1"/>
  <c r="N2008" i="1"/>
  <c r="M2008" i="1"/>
  <c r="L2008" i="1"/>
  <c r="K2008" i="1"/>
  <c r="O1604" i="1"/>
  <c r="N1604" i="1"/>
  <c r="M1604" i="1"/>
  <c r="L1604" i="1"/>
  <c r="K1604" i="1"/>
  <c r="O587" i="1"/>
  <c r="N587" i="1"/>
  <c r="M587" i="1"/>
  <c r="L587" i="1"/>
  <c r="K587" i="1"/>
  <c r="O2647" i="1"/>
  <c r="N2647" i="1"/>
  <c r="M2647" i="1"/>
  <c r="L2647" i="1"/>
  <c r="K2647" i="1"/>
  <c r="O1207" i="1"/>
  <c r="N1207" i="1"/>
  <c r="M1207" i="1"/>
  <c r="L1207" i="1"/>
  <c r="K1207" i="1"/>
  <c r="O2145" i="1"/>
  <c r="N2145" i="1"/>
  <c r="M2145" i="1"/>
  <c r="L2145" i="1"/>
  <c r="K2145" i="1"/>
  <c r="O2066" i="1"/>
  <c r="N2066" i="1"/>
  <c r="M2066" i="1"/>
  <c r="L2066" i="1"/>
  <c r="K2066" i="1"/>
  <c r="O1978" i="1"/>
  <c r="N1978" i="1"/>
  <c r="M1978" i="1"/>
  <c r="L1978" i="1"/>
  <c r="K1978" i="1"/>
  <c r="O1270" i="1"/>
  <c r="N1270" i="1"/>
  <c r="M1270" i="1"/>
  <c r="L1270" i="1"/>
  <c r="K1270" i="1"/>
  <c r="O1212" i="1"/>
  <c r="N1212" i="1"/>
  <c r="M1212" i="1"/>
  <c r="L1212" i="1"/>
  <c r="K1212" i="1"/>
  <c r="O2238" i="1"/>
  <c r="N2238" i="1"/>
  <c r="M2238" i="1"/>
  <c r="L2238" i="1"/>
  <c r="K2238" i="1"/>
  <c r="O1540" i="1"/>
  <c r="N1540" i="1"/>
  <c r="M1540" i="1"/>
  <c r="L1540" i="1"/>
  <c r="K1540" i="1"/>
  <c r="O1423" i="1"/>
  <c r="N1423" i="1"/>
  <c r="M1423" i="1"/>
  <c r="L1423" i="1"/>
  <c r="K1423" i="1"/>
  <c r="O1554" i="1"/>
  <c r="N1554" i="1"/>
  <c r="M1554" i="1"/>
  <c r="L1554" i="1"/>
  <c r="K1554" i="1"/>
  <c r="O1576" i="1"/>
  <c r="N1576" i="1"/>
  <c r="M1576" i="1"/>
  <c r="L1576" i="1"/>
  <c r="K1576" i="1"/>
  <c r="O3606" i="1"/>
  <c r="N3606" i="1"/>
  <c r="M3606" i="1"/>
  <c r="L3606" i="1"/>
  <c r="K3606" i="1"/>
  <c r="O2307" i="1"/>
  <c r="N2307" i="1"/>
  <c r="M2307" i="1"/>
  <c r="L2307" i="1"/>
  <c r="K2307" i="1"/>
  <c r="O1644" i="1"/>
  <c r="N1644" i="1"/>
  <c r="M1644" i="1"/>
  <c r="L1644" i="1"/>
  <c r="K1644" i="1"/>
  <c r="O3502" i="1"/>
  <c r="N3502" i="1"/>
  <c r="M3502" i="1"/>
  <c r="L3502" i="1"/>
  <c r="K3502" i="1"/>
  <c r="O2297" i="1"/>
  <c r="N2297" i="1"/>
  <c r="M2297" i="1"/>
  <c r="L2297" i="1"/>
  <c r="K2297" i="1"/>
  <c r="O2326" i="1"/>
  <c r="N2326" i="1"/>
  <c r="M2326" i="1"/>
  <c r="L2326" i="1"/>
  <c r="K2326" i="1"/>
  <c r="O1728" i="1"/>
  <c r="N1728" i="1"/>
  <c r="M1728" i="1"/>
  <c r="L1728" i="1"/>
  <c r="K1728" i="1"/>
  <c r="O1822" i="1"/>
  <c r="N1822" i="1"/>
  <c r="M1822" i="1"/>
  <c r="L1822" i="1"/>
  <c r="K1822" i="1"/>
  <c r="O2094" i="1"/>
  <c r="N2094" i="1"/>
  <c r="M2094" i="1"/>
  <c r="L2094" i="1"/>
  <c r="K2094" i="1"/>
  <c r="O3536" i="1"/>
  <c r="N3536" i="1"/>
  <c r="M3536" i="1"/>
  <c r="L3536" i="1"/>
  <c r="K3536" i="1"/>
  <c r="O2439" i="1"/>
  <c r="N2439" i="1"/>
  <c r="M2439" i="1"/>
  <c r="L2439" i="1"/>
  <c r="K2439" i="1"/>
  <c r="O3333" i="1"/>
  <c r="N3333" i="1"/>
  <c r="M3333" i="1"/>
  <c r="L3333" i="1"/>
  <c r="K3333" i="1"/>
  <c r="O3570" i="1"/>
  <c r="N3570" i="1"/>
  <c r="M3570" i="1"/>
  <c r="L3570" i="1"/>
  <c r="K3570" i="1"/>
  <c r="O1914" i="1"/>
  <c r="N1914" i="1"/>
  <c r="M1914" i="1"/>
  <c r="L1914" i="1"/>
  <c r="K1914" i="1"/>
  <c r="O2586" i="1"/>
  <c r="N2586" i="1"/>
  <c r="M2586" i="1"/>
  <c r="L2586" i="1"/>
  <c r="K2586" i="1"/>
  <c r="O2286" i="1"/>
  <c r="N2286" i="1"/>
  <c r="M2286" i="1"/>
  <c r="L2286" i="1"/>
  <c r="K2286" i="1"/>
  <c r="O3302" i="1"/>
  <c r="N3302" i="1"/>
  <c r="M3302" i="1"/>
  <c r="L3302" i="1"/>
  <c r="K3302" i="1"/>
  <c r="O841" i="1"/>
  <c r="N841" i="1"/>
  <c r="M841" i="1"/>
  <c r="L841" i="1"/>
  <c r="K841" i="1"/>
  <c r="O512" i="1"/>
  <c r="N512" i="1"/>
  <c r="M512" i="1"/>
  <c r="L512" i="1"/>
  <c r="K512" i="1"/>
  <c r="O2799" i="1"/>
  <c r="N2799" i="1"/>
  <c r="M2799" i="1"/>
  <c r="L2799" i="1"/>
  <c r="K2799" i="1"/>
  <c r="O1610" i="1"/>
  <c r="N1610" i="1"/>
  <c r="M1610" i="1"/>
  <c r="L1610" i="1"/>
  <c r="K1610" i="1"/>
  <c r="O1412" i="1"/>
  <c r="N1412" i="1"/>
  <c r="M1412" i="1"/>
  <c r="L1412" i="1"/>
  <c r="K1412" i="1"/>
  <c r="O2421" i="1"/>
  <c r="N2421" i="1"/>
  <c r="M2421" i="1"/>
  <c r="L2421" i="1"/>
  <c r="K2421" i="1"/>
  <c r="O2495" i="1"/>
  <c r="N2495" i="1"/>
  <c r="M2495" i="1"/>
  <c r="L2495" i="1"/>
  <c r="K2495" i="1"/>
  <c r="O1785" i="1"/>
  <c r="N1785" i="1"/>
  <c r="M1785" i="1"/>
  <c r="L1785" i="1"/>
  <c r="K1785" i="1"/>
  <c r="O2438" i="1"/>
  <c r="N2438" i="1"/>
  <c r="M2438" i="1"/>
  <c r="L2438" i="1"/>
  <c r="K2438" i="1"/>
  <c r="O3239" i="1"/>
  <c r="N3239" i="1"/>
  <c r="M3239" i="1"/>
  <c r="L3239" i="1"/>
  <c r="K3239" i="1"/>
  <c r="O3519" i="1"/>
  <c r="N3519" i="1"/>
  <c r="M3519" i="1"/>
  <c r="L3519" i="1"/>
  <c r="K3519" i="1"/>
  <c r="O431" i="1"/>
  <c r="N431" i="1"/>
  <c r="M431" i="1"/>
  <c r="L431" i="1"/>
  <c r="K431" i="1"/>
  <c r="O2882" i="1"/>
  <c r="N2882" i="1"/>
  <c r="M2882" i="1"/>
  <c r="L2882" i="1"/>
  <c r="K2882" i="1"/>
  <c r="O2446" i="1"/>
  <c r="N2446" i="1"/>
  <c r="M2446" i="1"/>
  <c r="L2446" i="1"/>
  <c r="K2446" i="1"/>
  <c r="O103" i="1"/>
  <c r="N103" i="1"/>
  <c r="M103" i="1"/>
  <c r="L103" i="1"/>
  <c r="K103" i="1"/>
  <c r="O3001" i="1"/>
  <c r="N3001" i="1"/>
  <c r="M3001" i="1"/>
  <c r="L3001" i="1"/>
  <c r="K3001" i="1"/>
  <c r="O1934" i="1"/>
  <c r="N1934" i="1"/>
  <c r="M1934" i="1"/>
  <c r="L1934" i="1"/>
  <c r="K1934" i="1"/>
  <c r="O2062" i="1"/>
  <c r="N2062" i="1"/>
  <c r="M2062" i="1"/>
  <c r="L2062" i="1"/>
  <c r="K2062" i="1"/>
  <c r="O561" i="1"/>
  <c r="N561" i="1"/>
  <c r="M561" i="1"/>
  <c r="L561" i="1"/>
  <c r="K561" i="1"/>
  <c r="O3274" i="1"/>
  <c r="N3274" i="1"/>
  <c r="M3274" i="1"/>
  <c r="L3274" i="1"/>
  <c r="K3274" i="1"/>
  <c r="O2130" i="1"/>
  <c r="N2130" i="1"/>
  <c r="M2130" i="1"/>
  <c r="L2130" i="1"/>
  <c r="K2130" i="1"/>
  <c r="O3356" i="1"/>
  <c r="N3356" i="1"/>
  <c r="M3356" i="1"/>
  <c r="L3356" i="1"/>
  <c r="K3356" i="1"/>
  <c r="O2494" i="1"/>
  <c r="N2494" i="1"/>
  <c r="M2494" i="1"/>
  <c r="L2494" i="1"/>
  <c r="K2494" i="1"/>
  <c r="O967" i="1"/>
  <c r="N967" i="1"/>
  <c r="M967" i="1"/>
  <c r="L967" i="1"/>
  <c r="K967" i="1"/>
  <c r="O2975" i="1"/>
  <c r="N2975" i="1"/>
  <c r="M2975" i="1"/>
  <c r="L2975" i="1"/>
  <c r="K2975" i="1"/>
  <c r="O3553" i="1"/>
  <c r="N3553" i="1"/>
  <c r="M3553" i="1"/>
  <c r="L3553" i="1"/>
  <c r="K3553" i="1"/>
  <c r="O479" i="1"/>
  <c r="N479" i="1"/>
  <c r="M479" i="1"/>
  <c r="L479" i="1"/>
  <c r="K479" i="1"/>
  <c r="O1514" i="1"/>
  <c r="N1514" i="1"/>
  <c r="M1514" i="1"/>
  <c r="L1514" i="1"/>
  <c r="K1514" i="1"/>
  <c r="O1188" i="1"/>
  <c r="N1188" i="1"/>
  <c r="M1188" i="1"/>
  <c r="L1188" i="1"/>
  <c r="K1188" i="1"/>
  <c r="O2244" i="1"/>
  <c r="N2244" i="1"/>
  <c r="M2244" i="1"/>
  <c r="L2244" i="1"/>
  <c r="K2244" i="1"/>
  <c r="O3301" i="1"/>
  <c r="N3301" i="1"/>
  <c r="M3301" i="1"/>
  <c r="L3301" i="1"/>
  <c r="K3301" i="1"/>
  <c r="O3321" i="1"/>
  <c r="N3321" i="1"/>
  <c r="M3321" i="1"/>
  <c r="L3321" i="1"/>
  <c r="K3321" i="1"/>
  <c r="O2047" i="1"/>
  <c r="N2047" i="1"/>
  <c r="M2047" i="1"/>
  <c r="L2047" i="1"/>
  <c r="K2047" i="1"/>
  <c r="O2489" i="1"/>
  <c r="N2489" i="1"/>
  <c r="M2489" i="1"/>
  <c r="L2489" i="1"/>
  <c r="K2489" i="1"/>
  <c r="O1005" i="1"/>
  <c r="N1005" i="1"/>
  <c r="M1005" i="1"/>
  <c r="L1005" i="1"/>
  <c r="K1005" i="1"/>
  <c r="O2105" i="1"/>
  <c r="N2105" i="1"/>
  <c r="M2105" i="1"/>
  <c r="L2105" i="1"/>
  <c r="K2105" i="1"/>
  <c r="O976" i="1"/>
  <c r="N976" i="1"/>
  <c r="M976" i="1"/>
  <c r="L976" i="1"/>
  <c r="K976" i="1"/>
  <c r="O2405" i="1"/>
  <c r="N2405" i="1"/>
  <c r="M2405" i="1"/>
  <c r="L2405" i="1"/>
  <c r="K2405" i="1"/>
  <c r="O1734" i="1"/>
  <c r="N1734" i="1"/>
  <c r="M1734" i="1"/>
  <c r="L1734" i="1"/>
  <c r="K1734" i="1"/>
  <c r="O2926" i="1"/>
  <c r="N2926" i="1"/>
  <c r="M2926" i="1"/>
  <c r="L2926" i="1"/>
  <c r="K2926" i="1"/>
  <c r="O2733" i="1"/>
  <c r="N2733" i="1"/>
  <c r="M2733" i="1"/>
  <c r="L2733" i="1"/>
  <c r="K2733" i="1"/>
  <c r="O220" i="1"/>
  <c r="N220" i="1"/>
  <c r="M220" i="1"/>
  <c r="L220" i="1"/>
  <c r="K220" i="1"/>
  <c r="O766" i="1"/>
  <c r="N766" i="1"/>
  <c r="M766" i="1"/>
  <c r="L766" i="1"/>
  <c r="K766" i="1"/>
  <c r="O1150" i="1"/>
  <c r="N1150" i="1"/>
  <c r="M1150" i="1"/>
  <c r="L1150" i="1"/>
  <c r="K1150" i="1"/>
  <c r="O519" i="1"/>
  <c r="N519" i="1"/>
  <c r="M519" i="1"/>
  <c r="L519" i="1"/>
  <c r="K519" i="1"/>
  <c r="O1833" i="1"/>
  <c r="N1833" i="1"/>
  <c r="M1833" i="1"/>
  <c r="L1833" i="1"/>
  <c r="K1833" i="1"/>
  <c r="O2584" i="1"/>
  <c r="N2584" i="1"/>
  <c r="M2584" i="1"/>
  <c r="L2584" i="1"/>
  <c r="K2584" i="1"/>
  <c r="O3162" i="1"/>
  <c r="N3162" i="1"/>
  <c r="M3162" i="1"/>
  <c r="L3162" i="1"/>
  <c r="K3162" i="1"/>
  <c r="O1096" i="1"/>
  <c r="N1096" i="1"/>
  <c r="M1096" i="1"/>
  <c r="L1096" i="1"/>
  <c r="K1096" i="1"/>
  <c r="O2144" i="1"/>
  <c r="N2144" i="1"/>
  <c r="M2144" i="1"/>
  <c r="L2144" i="1"/>
  <c r="K2144" i="1"/>
  <c r="O350" i="1"/>
  <c r="N350" i="1"/>
  <c r="M350" i="1"/>
  <c r="L350" i="1"/>
  <c r="K350" i="1"/>
  <c r="O2138" i="1"/>
  <c r="N2138" i="1"/>
  <c r="M2138" i="1"/>
  <c r="L2138" i="1"/>
  <c r="K2138" i="1"/>
  <c r="O1324" i="1"/>
  <c r="N1324" i="1"/>
  <c r="M1324" i="1"/>
  <c r="L1324" i="1"/>
  <c r="K1324" i="1"/>
  <c r="O1402" i="1"/>
  <c r="N1402" i="1"/>
  <c r="M1402" i="1"/>
  <c r="L1402" i="1"/>
  <c r="K1402" i="1"/>
  <c r="O227" i="1"/>
  <c r="N227" i="1"/>
  <c r="M227" i="1"/>
  <c r="L227" i="1"/>
  <c r="K227" i="1"/>
  <c r="O566" i="1"/>
  <c r="N566" i="1"/>
  <c r="M566" i="1"/>
  <c r="L566" i="1"/>
  <c r="K566" i="1"/>
  <c r="O2311" i="1"/>
  <c r="N2311" i="1"/>
  <c r="M2311" i="1"/>
  <c r="L2311" i="1"/>
  <c r="K2311" i="1"/>
  <c r="O752" i="1"/>
  <c r="N752" i="1"/>
  <c r="M752" i="1"/>
  <c r="L752" i="1"/>
  <c r="K752" i="1"/>
  <c r="O728" i="1"/>
  <c r="N728" i="1"/>
  <c r="M728" i="1"/>
  <c r="L728" i="1"/>
  <c r="K728" i="1"/>
  <c r="O1409" i="1"/>
  <c r="N1409" i="1"/>
  <c r="M1409" i="1"/>
  <c r="L1409" i="1"/>
  <c r="K1409" i="1"/>
  <c r="O3577" i="1"/>
  <c r="N3577" i="1"/>
  <c r="M3577" i="1"/>
  <c r="L3577" i="1"/>
  <c r="K3577" i="1"/>
  <c r="O473" i="1"/>
  <c r="N473" i="1"/>
  <c r="M473" i="1"/>
  <c r="L473" i="1"/>
  <c r="K473" i="1"/>
  <c r="O128" i="1"/>
  <c r="N128" i="1"/>
  <c r="M128" i="1"/>
  <c r="K128" i="1"/>
  <c r="L128" i="1"/>
  <c r="O3287" i="1"/>
  <c r="N3287" i="1"/>
  <c r="M3287" i="1"/>
  <c r="L3287" i="1"/>
  <c r="K3287" i="1"/>
  <c r="O472" i="1"/>
  <c r="N472" i="1"/>
  <c r="M472" i="1"/>
  <c r="L472" i="1"/>
  <c r="K472" i="1"/>
  <c r="O3535" i="1"/>
  <c r="N3535" i="1"/>
  <c r="M3535" i="1"/>
  <c r="L3535" i="1"/>
  <c r="K3535" i="1"/>
  <c r="O2339" i="1"/>
  <c r="N2339" i="1"/>
  <c r="M2339" i="1"/>
  <c r="L2339" i="1"/>
  <c r="K2339" i="1"/>
  <c r="O2825" i="1"/>
  <c r="N2825" i="1"/>
  <c r="M2825" i="1"/>
  <c r="L2825" i="1"/>
  <c r="K2825" i="1"/>
  <c r="O2869" i="1"/>
  <c r="N2869" i="1"/>
  <c r="M2869" i="1"/>
  <c r="L2869" i="1"/>
  <c r="K2869" i="1"/>
  <c r="O988" i="1"/>
  <c r="N988" i="1"/>
  <c r="M988" i="1"/>
  <c r="L988" i="1"/>
  <c r="K988" i="1"/>
  <c r="O3449" i="1"/>
  <c r="N3449" i="1"/>
  <c r="M3449" i="1"/>
  <c r="K3449" i="1"/>
  <c r="L3449" i="1"/>
  <c r="O751" i="1"/>
  <c r="N751" i="1"/>
  <c r="M751" i="1"/>
  <c r="L751" i="1"/>
  <c r="K751" i="1"/>
  <c r="O2310" i="1"/>
  <c r="N2310" i="1"/>
  <c r="M2310" i="1"/>
  <c r="L2310" i="1"/>
  <c r="K2310" i="1"/>
  <c r="O2804" i="1"/>
  <c r="N2804" i="1"/>
  <c r="M2804" i="1"/>
  <c r="L2804" i="1"/>
  <c r="K2804" i="1"/>
  <c r="O133" i="1"/>
  <c r="N133" i="1"/>
  <c r="M133" i="1"/>
  <c r="L133" i="1"/>
  <c r="K133" i="1"/>
  <c r="O2360" i="1"/>
  <c r="N2360" i="1"/>
  <c r="M2360" i="1"/>
  <c r="L2360" i="1"/>
  <c r="K2360" i="1"/>
  <c r="O1474" i="1"/>
  <c r="N1474" i="1"/>
  <c r="M1474" i="1"/>
  <c r="L1474" i="1"/>
  <c r="K1474" i="1"/>
  <c r="O2478" i="1"/>
  <c r="N2478" i="1"/>
  <c r="M2478" i="1"/>
  <c r="L2478" i="1"/>
  <c r="K2478" i="1"/>
  <c r="O677" i="1"/>
  <c r="N677" i="1"/>
  <c r="M677" i="1"/>
  <c r="K677" i="1"/>
  <c r="L677" i="1"/>
  <c r="O2989" i="1"/>
  <c r="N2989" i="1"/>
  <c r="M2989" i="1"/>
  <c r="L2989" i="1"/>
  <c r="K2989" i="1"/>
  <c r="O858" i="1"/>
  <c r="N858" i="1"/>
  <c r="M858" i="1"/>
  <c r="L858" i="1"/>
  <c r="K858" i="1"/>
  <c r="O3280" i="1"/>
  <c r="N3280" i="1"/>
  <c r="M3280" i="1"/>
  <c r="L3280" i="1"/>
  <c r="K3280" i="1"/>
  <c r="O3060" i="1"/>
  <c r="N3060" i="1"/>
  <c r="M3060" i="1"/>
  <c r="L3060" i="1"/>
  <c r="K3060" i="1"/>
  <c r="O336" i="1"/>
  <c r="N336" i="1"/>
  <c r="M336" i="1"/>
  <c r="L336" i="1"/>
  <c r="K336" i="1"/>
  <c r="O1046" i="1"/>
  <c r="N1046" i="1"/>
  <c r="M1046" i="1"/>
  <c r="L1046" i="1"/>
  <c r="K1046" i="1"/>
  <c r="O2861" i="1"/>
  <c r="N2861" i="1"/>
  <c r="M2861" i="1"/>
  <c r="L2861" i="1"/>
  <c r="K2861" i="1"/>
  <c r="O982" i="1"/>
  <c r="N982" i="1"/>
  <c r="M982" i="1"/>
  <c r="K982" i="1"/>
  <c r="L982" i="1"/>
  <c r="O258" i="1"/>
  <c r="N258" i="1"/>
  <c r="M258" i="1"/>
  <c r="L258" i="1"/>
  <c r="K258" i="1"/>
  <c r="O3140" i="1"/>
  <c r="N3140" i="1"/>
  <c r="M3140" i="1"/>
  <c r="L3140" i="1"/>
  <c r="K3140" i="1"/>
  <c r="O3203" i="1"/>
  <c r="N3203" i="1"/>
  <c r="M3203" i="1"/>
  <c r="L3203" i="1"/>
  <c r="K3203" i="1"/>
  <c r="O2250" i="1"/>
  <c r="N2250" i="1"/>
  <c r="M2250" i="1"/>
  <c r="L2250" i="1"/>
  <c r="K2250" i="1"/>
  <c r="O1849" i="1"/>
  <c r="N1849" i="1"/>
  <c r="M1849" i="1"/>
  <c r="L1849" i="1"/>
  <c r="K1849" i="1"/>
  <c r="O1895" i="1"/>
  <c r="N1895" i="1"/>
  <c r="M1895" i="1"/>
  <c r="L1895" i="1"/>
  <c r="K1895" i="1"/>
  <c r="O2065" i="1"/>
  <c r="N2065" i="1"/>
  <c r="M2065" i="1"/>
  <c r="L2065" i="1"/>
  <c r="K2065" i="1"/>
  <c r="O3020" i="1"/>
  <c r="N3020" i="1"/>
  <c r="M3020" i="1"/>
  <c r="L3020" i="1"/>
  <c r="K3020" i="1"/>
  <c r="O2640" i="1"/>
  <c r="N2640" i="1"/>
  <c r="M2640" i="1"/>
  <c r="L2640" i="1"/>
  <c r="K2640" i="1"/>
  <c r="O2420" i="1"/>
  <c r="N2420" i="1"/>
  <c r="M2420" i="1"/>
  <c r="K2420" i="1"/>
  <c r="L2420" i="1"/>
  <c r="O2824" i="1"/>
  <c r="N2824" i="1"/>
  <c r="M2824" i="1"/>
  <c r="L2824" i="1"/>
  <c r="K2824" i="1"/>
  <c r="O3331" i="1"/>
  <c r="N3331" i="1"/>
  <c r="M3331" i="1"/>
  <c r="K3331" i="1"/>
  <c r="L3331" i="1"/>
  <c r="O2583" i="1"/>
  <c r="N2583" i="1"/>
  <c r="M2583" i="1"/>
  <c r="L2583" i="1"/>
  <c r="K2583" i="1"/>
  <c r="O425" i="1"/>
  <c r="N425" i="1"/>
  <c r="M425" i="1"/>
  <c r="K425" i="1"/>
  <c r="L425" i="1"/>
  <c r="O2778" i="1"/>
  <c r="N2778" i="1"/>
  <c r="M2778" i="1"/>
  <c r="L2778" i="1"/>
  <c r="K2778" i="1"/>
  <c r="O536" i="1"/>
  <c r="N536" i="1"/>
  <c r="M536" i="1"/>
  <c r="K536" i="1"/>
  <c r="L536" i="1"/>
  <c r="O2753" i="1"/>
  <c r="N2753" i="1"/>
  <c r="M2753" i="1"/>
  <c r="L2753" i="1"/>
  <c r="K2753" i="1"/>
  <c r="O3587" i="1"/>
  <c r="N3587" i="1"/>
  <c r="M3587" i="1"/>
  <c r="L3587" i="1"/>
  <c r="K3587" i="1"/>
  <c r="O2692" i="1"/>
  <c r="N2692" i="1"/>
  <c r="M2692" i="1"/>
  <c r="L2692" i="1"/>
  <c r="K2692" i="1"/>
  <c r="O3586" i="1"/>
  <c r="N3586" i="1"/>
  <c r="M3586" i="1"/>
  <c r="L3586" i="1"/>
  <c r="K3586" i="1"/>
  <c r="O3218" i="1"/>
  <c r="N3218" i="1"/>
  <c r="M3218" i="1"/>
  <c r="K3218" i="1"/>
  <c r="L3218" i="1"/>
  <c r="O894" i="1"/>
  <c r="N894" i="1"/>
  <c r="M894" i="1"/>
  <c r="L894" i="1"/>
  <c r="K894" i="1"/>
  <c r="O2212" i="1"/>
  <c r="N2212" i="1"/>
  <c r="M2212" i="1"/>
  <c r="L2212" i="1"/>
  <c r="K2212" i="1"/>
  <c r="O2492" i="1"/>
  <c r="N2492" i="1"/>
  <c r="M2492" i="1"/>
  <c r="L2492" i="1"/>
  <c r="K2492" i="1"/>
  <c r="O478" i="1"/>
  <c r="N478" i="1"/>
  <c r="M478" i="1"/>
  <c r="L478" i="1"/>
  <c r="K478" i="1"/>
  <c r="O1068" i="1"/>
  <c r="M1068" i="1"/>
  <c r="N1068" i="1"/>
  <c r="L1068" i="1"/>
  <c r="K1068" i="1"/>
  <c r="O218" i="1"/>
  <c r="N218" i="1"/>
  <c r="M218" i="1"/>
  <c r="L218" i="1"/>
  <c r="K218" i="1"/>
  <c r="O3389" i="1"/>
  <c r="N3389" i="1"/>
  <c r="M3389" i="1"/>
  <c r="L3389" i="1"/>
  <c r="K3389" i="1"/>
  <c r="O1860" i="1"/>
  <c r="N1860" i="1"/>
  <c r="M1860" i="1"/>
  <c r="K1860" i="1"/>
  <c r="L1860" i="1"/>
  <c r="O236" i="1"/>
  <c r="N236" i="1"/>
  <c r="M236" i="1"/>
  <c r="L236" i="1"/>
  <c r="K236" i="1"/>
  <c r="O1776" i="1"/>
  <c r="N1776" i="1"/>
  <c r="M1776" i="1"/>
  <c r="L1776" i="1"/>
  <c r="K1776" i="1"/>
  <c r="O289" i="1"/>
  <c r="N289" i="1"/>
  <c r="M289" i="1"/>
  <c r="L289" i="1"/>
  <c r="K289" i="1"/>
  <c r="O1222" i="1"/>
  <c r="N1222" i="1"/>
  <c r="M1222" i="1"/>
  <c r="L1222" i="1"/>
  <c r="K1222" i="1"/>
  <c r="O962" i="1"/>
  <c r="N962" i="1"/>
  <c r="M962" i="1"/>
  <c r="L962" i="1"/>
  <c r="K962" i="1"/>
  <c r="O3374" i="1"/>
  <c r="N3374" i="1"/>
  <c r="M3374" i="1"/>
  <c r="L3374" i="1"/>
  <c r="K3374" i="1"/>
  <c r="O1575" i="1"/>
  <c r="N1575" i="1"/>
  <c r="M1575" i="1"/>
  <c r="L1575" i="1"/>
  <c r="K1575" i="1"/>
  <c r="O47" i="1"/>
  <c r="N47" i="1"/>
  <c r="M47" i="1"/>
  <c r="L47" i="1"/>
  <c r="K47" i="1"/>
  <c r="O3605" i="1"/>
  <c r="N3605" i="1"/>
  <c r="M3605" i="1"/>
  <c r="L3605" i="1"/>
  <c r="K3605" i="1"/>
  <c r="O789" i="1"/>
  <c r="N789" i="1"/>
  <c r="M789" i="1"/>
  <c r="L789" i="1"/>
  <c r="K789" i="1"/>
  <c r="O1461" i="1"/>
  <c r="N1461" i="1"/>
  <c r="M1461" i="1"/>
  <c r="L1461" i="1"/>
  <c r="K1461" i="1"/>
  <c r="O2964" i="1"/>
  <c r="N2964" i="1"/>
  <c r="M2964" i="1"/>
  <c r="L2964" i="1"/>
  <c r="K2964" i="1"/>
  <c r="O2623" i="1"/>
  <c r="N2623" i="1"/>
  <c r="M2623" i="1"/>
  <c r="L2623" i="1"/>
  <c r="K2623" i="1"/>
  <c r="O3388" i="1"/>
  <c r="N3388" i="1"/>
  <c r="M3388" i="1"/>
  <c r="L3388" i="1"/>
  <c r="K3388" i="1"/>
  <c r="O491" i="1"/>
  <c r="N491" i="1"/>
  <c r="M491" i="1"/>
  <c r="L491" i="1"/>
  <c r="K491" i="1"/>
  <c r="O1563" i="1"/>
  <c r="N1563" i="1"/>
  <c r="M1563" i="1"/>
  <c r="L1563" i="1"/>
  <c r="K1563" i="1"/>
  <c r="O2517" i="1"/>
  <c r="N2517" i="1"/>
  <c r="M2517" i="1"/>
  <c r="L2517" i="1"/>
  <c r="K2517" i="1"/>
  <c r="O1681" i="1"/>
  <c r="N1681" i="1"/>
  <c r="M1681" i="1"/>
  <c r="L1681" i="1"/>
  <c r="K1681" i="1"/>
  <c r="O1365" i="1"/>
  <c r="N1365" i="1"/>
  <c r="M1365" i="1"/>
  <c r="L1365" i="1"/>
  <c r="K1365" i="1"/>
  <c r="O3199" i="1"/>
  <c r="N3199" i="1"/>
  <c r="M3199" i="1"/>
  <c r="L3199" i="1"/>
  <c r="K3199" i="1"/>
  <c r="O660" i="1"/>
  <c r="N660" i="1"/>
  <c r="M660" i="1"/>
  <c r="L660" i="1"/>
  <c r="K660" i="1"/>
  <c r="O2638" i="1"/>
  <c r="N2638" i="1"/>
  <c r="M2638" i="1"/>
  <c r="L2638" i="1"/>
  <c r="K2638" i="1"/>
  <c r="O852" i="1"/>
  <c r="N852" i="1"/>
  <c r="M852" i="1"/>
  <c r="L852" i="1"/>
  <c r="K852" i="1"/>
  <c r="O758" i="1"/>
  <c r="N758" i="1"/>
  <c r="M758" i="1"/>
  <c r="L758" i="1"/>
  <c r="K758" i="1"/>
  <c r="O778" i="1"/>
  <c r="N778" i="1"/>
  <c r="M778" i="1"/>
  <c r="L778" i="1"/>
  <c r="K778" i="1"/>
  <c r="O1209" i="1"/>
  <c r="N1209" i="1"/>
  <c r="M1209" i="1"/>
  <c r="L1209" i="1"/>
  <c r="K1209" i="1"/>
  <c r="O2227" i="1"/>
  <c r="N2227" i="1"/>
  <c r="M2227" i="1"/>
  <c r="L2227" i="1"/>
  <c r="K2227" i="1"/>
  <c r="O3135" i="1"/>
  <c r="N3135" i="1"/>
  <c r="M3135" i="1"/>
  <c r="L3135" i="1"/>
  <c r="K3135" i="1"/>
  <c r="O3603" i="1"/>
  <c r="N3603" i="1"/>
  <c r="M3603" i="1"/>
  <c r="L3603" i="1"/>
  <c r="K3603" i="1"/>
  <c r="O715" i="1"/>
  <c r="N715" i="1"/>
  <c r="M715" i="1"/>
  <c r="L715" i="1"/>
  <c r="K715" i="1"/>
  <c r="O2731" i="1"/>
  <c r="N2731" i="1"/>
  <c r="M2731" i="1"/>
  <c r="L2731" i="1"/>
  <c r="K2731" i="1"/>
  <c r="O3030" i="1"/>
  <c r="N3030" i="1"/>
  <c r="M3030" i="1"/>
  <c r="L3030" i="1"/>
  <c r="K3030" i="1"/>
  <c r="O1719" i="1"/>
  <c r="N1719" i="1"/>
  <c r="M1719" i="1"/>
  <c r="L1719" i="1"/>
  <c r="K1719" i="1"/>
  <c r="O935" i="1"/>
  <c r="N935" i="1"/>
  <c r="M935" i="1"/>
  <c r="L935" i="1"/>
  <c r="K935" i="1"/>
  <c r="O1426" i="1"/>
  <c r="N1426" i="1"/>
  <c r="M1426" i="1"/>
  <c r="L1426" i="1"/>
  <c r="K1426" i="1"/>
  <c r="O3152" i="1"/>
  <c r="N3152" i="1"/>
  <c r="M3152" i="1"/>
  <c r="L3152" i="1"/>
  <c r="K3152" i="1"/>
  <c r="O2554" i="1"/>
  <c r="N2554" i="1"/>
  <c r="M2554" i="1"/>
  <c r="L2554" i="1"/>
  <c r="K2554" i="1"/>
  <c r="O2797" i="1"/>
  <c r="N2797" i="1"/>
  <c r="M2797" i="1"/>
  <c r="L2797" i="1"/>
  <c r="K2797" i="1"/>
  <c r="O3574" i="1"/>
  <c r="N3574" i="1"/>
  <c r="M3574" i="1"/>
  <c r="L3574" i="1"/>
  <c r="K3574" i="1"/>
  <c r="O2330" i="1"/>
  <c r="N2330" i="1"/>
  <c r="M2330" i="1"/>
  <c r="L2330" i="1"/>
  <c r="K2330" i="1"/>
  <c r="O2660" i="1"/>
  <c r="N2660" i="1"/>
  <c r="M2660" i="1"/>
  <c r="L2660" i="1"/>
  <c r="K2660" i="1"/>
  <c r="O1460" i="1"/>
  <c r="N1460" i="1"/>
  <c r="M1460" i="1"/>
  <c r="L1460" i="1"/>
  <c r="K1460" i="1"/>
  <c r="O743" i="1"/>
  <c r="N743" i="1"/>
  <c r="M743" i="1"/>
  <c r="L743" i="1"/>
  <c r="K743" i="1"/>
  <c r="O3585" i="1"/>
  <c r="N3585" i="1"/>
  <c r="M3585" i="1"/>
  <c r="L3585" i="1"/>
  <c r="K3585" i="1"/>
  <c r="O2450" i="1"/>
  <c r="N2450" i="1"/>
  <c r="M2450" i="1"/>
  <c r="L2450" i="1"/>
  <c r="K2450" i="1"/>
  <c r="O186" i="1"/>
  <c r="N186" i="1"/>
  <c r="M186" i="1"/>
  <c r="L186" i="1"/>
  <c r="K186" i="1"/>
  <c r="O720" i="1"/>
  <c r="N720" i="1"/>
  <c r="M720" i="1"/>
  <c r="L720" i="1"/>
  <c r="K720" i="1"/>
  <c r="O2501" i="1"/>
  <c r="N2501" i="1"/>
  <c r="M2501" i="1"/>
  <c r="L2501" i="1"/>
  <c r="K2501" i="1"/>
  <c r="O149" i="1"/>
  <c r="N149" i="1"/>
  <c r="M149" i="1"/>
  <c r="L149" i="1"/>
  <c r="O3066" i="1"/>
  <c r="N3066" i="1"/>
  <c r="M3066" i="1"/>
  <c r="L3066" i="1"/>
  <c r="K3066" i="1"/>
  <c r="O2202" i="1"/>
  <c r="N2202" i="1"/>
  <c r="M2202" i="1"/>
  <c r="L2202" i="1"/>
  <c r="K2202" i="1"/>
  <c r="O3186" i="1"/>
  <c r="N3186" i="1"/>
  <c r="M3186" i="1"/>
  <c r="L3186" i="1"/>
  <c r="K3186" i="1"/>
  <c r="O960" i="1"/>
  <c r="N960" i="1"/>
  <c r="M960" i="1"/>
  <c r="L960" i="1"/>
  <c r="K960" i="1"/>
  <c r="O1624" i="1"/>
  <c r="N1624" i="1"/>
  <c r="M1624" i="1"/>
  <c r="L1624" i="1"/>
  <c r="K1624" i="1"/>
  <c r="O84" i="1"/>
  <c r="M84" i="1"/>
  <c r="N84" i="1"/>
  <c r="L84" i="1"/>
  <c r="K84" i="1"/>
  <c r="O2175" i="1"/>
  <c r="N2175" i="1"/>
  <c r="M2175" i="1"/>
  <c r="L2175" i="1"/>
  <c r="K2175" i="1"/>
  <c r="O145" i="1"/>
  <c r="N145" i="1"/>
  <c r="M145" i="1"/>
  <c r="L145" i="1"/>
  <c r="O598" i="1"/>
  <c r="N598" i="1"/>
  <c r="M598" i="1"/>
  <c r="L598" i="1"/>
  <c r="K598" i="1"/>
  <c r="O2010" i="1"/>
  <c r="N2010" i="1"/>
  <c r="M2010" i="1"/>
  <c r="L2010" i="1"/>
  <c r="K2010" i="1"/>
  <c r="O3076" i="1"/>
  <c r="N3076" i="1"/>
  <c r="M3076" i="1"/>
  <c r="L3076" i="1"/>
  <c r="K3076" i="1"/>
  <c r="O682" i="1"/>
  <c r="N682" i="1"/>
  <c r="M682" i="1"/>
  <c r="L682" i="1"/>
  <c r="K682" i="1"/>
  <c r="O1449" i="1"/>
  <c r="N1449" i="1"/>
  <c r="M1449" i="1"/>
  <c r="L1449" i="1"/>
  <c r="K1449" i="1"/>
  <c r="O1954" i="1"/>
  <c r="N1954" i="1"/>
  <c r="M1954" i="1"/>
  <c r="L1954" i="1"/>
  <c r="K1954" i="1"/>
  <c r="O572" i="1"/>
  <c r="N572" i="1"/>
  <c r="M572" i="1"/>
  <c r="L572" i="1"/>
  <c r="K572" i="1"/>
  <c r="O1871" i="1"/>
  <c r="N1871" i="1"/>
  <c r="M1871" i="1"/>
  <c r="L1871" i="1"/>
  <c r="O1439" i="1"/>
  <c r="N1439" i="1"/>
  <c r="M1439" i="1"/>
  <c r="L1439" i="1"/>
  <c r="K1439" i="1"/>
  <c r="O3065" i="1"/>
  <c r="N3065" i="1"/>
  <c r="M3065" i="1"/>
  <c r="L3065" i="1"/>
  <c r="K3065" i="1"/>
  <c r="O2343" i="1"/>
  <c r="N2343" i="1"/>
  <c r="M2343" i="1"/>
  <c r="L2343" i="1"/>
  <c r="K2343" i="1"/>
  <c r="O558" i="1"/>
  <c r="N558" i="1"/>
  <c r="M558" i="1"/>
  <c r="L558" i="1"/>
  <c r="K558" i="1"/>
  <c r="O2379" i="1"/>
  <c r="N2379" i="1"/>
  <c r="L2379" i="1"/>
  <c r="M2379" i="1"/>
  <c r="K2379" i="1"/>
  <c r="O3478" i="1"/>
  <c r="N3478" i="1"/>
  <c r="M3478" i="1"/>
  <c r="L3478" i="1"/>
  <c r="K3478" i="1"/>
  <c r="O1573" i="1"/>
  <c r="N1573" i="1"/>
  <c r="M1573" i="1"/>
  <c r="L1573" i="1"/>
  <c r="K1573" i="1"/>
  <c r="O2655" i="1"/>
  <c r="N2655" i="1"/>
  <c r="M2655" i="1"/>
  <c r="L2655" i="1"/>
  <c r="O1445" i="1"/>
  <c r="N1445" i="1"/>
  <c r="M1445" i="1"/>
  <c r="L1445" i="1"/>
  <c r="K1445" i="1"/>
  <c r="O2544" i="1"/>
  <c r="N2544" i="1"/>
  <c r="M2544" i="1"/>
  <c r="L2544" i="1"/>
  <c r="K2544" i="1"/>
  <c r="O106" i="1"/>
  <c r="N106" i="1"/>
  <c r="M106" i="1"/>
  <c r="L106" i="1"/>
  <c r="K106" i="1"/>
  <c r="O2481" i="1"/>
  <c r="N2481" i="1"/>
  <c r="M2481" i="1"/>
  <c r="L2481" i="1"/>
  <c r="K2481" i="1"/>
  <c r="O912" i="1"/>
  <c r="N912" i="1"/>
  <c r="M912" i="1"/>
  <c r="L912" i="1"/>
  <c r="K912" i="1"/>
  <c r="O3510" i="1"/>
  <c r="N3510" i="1"/>
  <c r="M3510" i="1"/>
  <c r="L3510" i="1"/>
  <c r="K3510" i="1"/>
  <c r="O163" i="1"/>
  <c r="N163" i="1"/>
  <c r="M163" i="1"/>
  <c r="L163" i="1"/>
  <c r="K163" i="1"/>
  <c r="O1438" i="1"/>
  <c r="N1438" i="1"/>
  <c r="M1438" i="1"/>
  <c r="L1438" i="1"/>
  <c r="O1316" i="1"/>
  <c r="N1316" i="1"/>
  <c r="M1316" i="1"/>
  <c r="L1316" i="1"/>
  <c r="K1316" i="1"/>
  <c r="O1759" i="1"/>
  <c r="N1759" i="1"/>
  <c r="M1759" i="1"/>
  <c r="L1759" i="1"/>
  <c r="K1759" i="1"/>
  <c r="O3230" i="1"/>
  <c r="N3230" i="1"/>
  <c r="M3230" i="1"/>
  <c r="L3230" i="1"/>
  <c r="K3230" i="1"/>
  <c r="O1363" i="1"/>
  <c r="N1363" i="1"/>
  <c r="M1363" i="1"/>
  <c r="L1363" i="1"/>
  <c r="K1363" i="1"/>
  <c r="O2338" i="1"/>
  <c r="N2338" i="1"/>
  <c r="M2338" i="1"/>
  <c r="L2338" i="1"/>
  <c r="K2338" i="1"/>
  <c r="O1054" i="1"/>
  <c r="N1054" i="1"/>
  <c r="M1054" i="1"/>
  <c r="L1054" i="1"/>
  <c r="K1054" i="1"/>
  <c r="O591" i="1"/>
  <c r="N591" i="1"/>
  <c r="M591" i="1"/>
  <c r="L591" i="1"/>
  <c r="K591" i="1"/>
  <c r="O385" i="1"/>
  <c r="N385" i="1"/>
  <c r="M385" i="1"/>
  <c r="L385" i="1"/>
  <c r="K385" i="1"/>
  <c r="O1398" i="1"/>
  <c r="N1398" i="1"/>
  <c r="M1398" i="1"/>
  <c r="L1398" i="1"/>
  <c r="K1398" i="1"/>
  <c r="O2774" i="1"/>
  <c r="N2774" i="1"/>
  <c r="M2774" i="1"/>
  <c r="L2774" i="1"/>
  <c r="K2774" i="1"/>
  <c r="O1248" i="1"/>
  <c r="N1248" i="1"/>
  <c r="M1248" i="1"/>
  <c r="L1248" i="1"/>
  <c r="O2122" i="1"/>
  <c r="N2122" i="1"/>
  <c r="M2122" i="1"/>
  <c r="L2122" i="1"/>
  <c r="K2122" i="1"/>
  <c r="O959" i="1"/>
  <c r="N959" i="1"/>
  <c r="M959" i="1"/>
  <c r="L959" i="1"/>
  <c r="K959" i="1"/>
  <c r="O3244" i="1"/>
  <c r="N3244" i="1"/>
  <c r="M3244" i="1"/>
  <c r="L3244" i="1"/>
  <c r="K3244" i="1"/>
  <c r="O2137" i="1"/>
  <c r="N2137" i="1"/>
  <c r="M2137" i="1"/>
  <c r="L2137" i="1"/>
  <c r="K2137" i="1"/>
  <c r="O1247" i="1"/>
  <c r="N1247" i="1"/>
  <c r="M1247" i="1"/>
  <c r="L1247" i="1"/>
  <c r="K1247" i="1"/>
  <c r="O101" i="1"/>
  <c r="N101" i="1"/>
  <c r="M101" i="1"/>
  <c r="L101" i="1"/>
  <c r="K101" i="1"/>
  <c r="O100" i="1"/>
  <c r="N100" i="1"/>
  <c r="M100" i="1"/>
  <c r="L100" i="1"/>
  <c r="K100" i="1"/>
  <c r="O3251" i="1"/>
  <c r="N3251" i="1"/>
  <c r="M3251" i="1"/>
  <c r="L3251" i="1"/>
  <c r="O1027" i="1"/>
  <c r="N1027" i="1"/>
  <c r="M1027" i="1"/>
  <c r="L1027" i="1"/>
  <c r="K1027" i="1"/>
  <c r="O1669" i="1"/>
  <c r="N1669" i="1"/>
  <c r="M1669" i="1"/>
  <c r="L1669" i="1"/>
  <c r="K1669" i="1"/>
  <c r="O99" i="1"/>
  <c r="N99" i="1"/>
  <c r="M99" i="1"/>
  <c r="L99" i="1"/>
  <c r="K99" i="1"/>
  <c r="O1034" i="1"/>
  <c r="N1034" i="1"/>
  <c r="M1034" i="1"/>
  <c r="L1034" i="1"/>
  <c r="K1034" i="1"/>
  <c r="O1632" i="1"/>
  <c r="N1632" i="1"/>
  <c r="M1632" i="1"/>
  <c r="L1632" i="1"/>
  <c r="K1632" i="1"/>
  <c r="O1071" i="1"/>
  <c r="N1071" i="1"/>
  <c r="M1071" i="1"/>
  <c r="L1071" i="1"/>
  <c r="K1071" i="1"/>
  <c r="K1871" i="1"/>
  <c r="K1452" i="1"/>
  <c r="O225" i="1"/>
  <c r="N225" i="1"/>
  <c r="M225" i="1"/>
  <c r="L225" i="1"/>
  <c r="K225" i="1"/>
  <c r="O483" i="1"/>
  <c r="N483" i="1"/>
  <c r="M483" i="1"/>
  <c r="L483" i="1"/>
  <c r="K483" i="1"/>
  <c r="O2730" i="1"/>
  <c r="N2730" i="1"/>
  <c r="M2730" i="1"/>
  <c r="L2730" i="1"/>
  <c r="K2730" i="1"/>
  <c r="O1746" i="1"/>
  <c r="N1746" i="1"/>
  <c r="M1746" i="1"/>
  <c r="L1746" i="1"/>
  <c r="K1746" i="1"/>
  <c r="O2114" i="1"/>
  <c r="N2114" i="1"/>
  <c r="M2114" i="1"/>
  <c r="L2114" i="1"/>
  <c r="K2114" i="1"/>
  <c r="O2729" i="1"/>
  <c r="N2729" i="1"/>
  <c r="M2729" i="1"/>
  <c r="L2729" i="1"/>
  <c r="K2729" i="1"/>
  <c r="O2281" i="1"/>
  <c r="N2281" i="1"/>
  <c r="M2281" i="1"/>
  <c r="L2281" i="1"/>
  <c r="K2281" i="1"/>
  <c r="O1010" i="1"/>
  <c r="N1010" i="1"/>
  <c r="M1010" i="1"/>
  <c r="L1010" i="1"/>
  <c r="K1010" i="1"/>
  <c r="O2386" i="1"/>
  <c r="N2386" i="1"/>
  <c r="M2386" i="1"/>
  <c r="L2386" i="1"/>
  <c r="K2386" i="1"/>
  <c r="O2773" i="1"/>
  <c r="N2773" i="1"/>
  <c r="M2773" i="1"/>
  <c r="L2773" i="1"/>
  <c r="K2773" i="1"/>
  <c r="O1164" i="1"/>
  <c r="N1164" i="1"/>
  <c r="M1164" i="1"/>
  <c r="L1164" i="1"/>
  <c r="K1164" i="1"/>
  <c r="O2670" i="1"/>
  <c r="N2670" i="1"/>
  <c r="M2670" i="1"/>
  <c r="L2670" i="1"/>
  <c r="K2670" i="1"/>
  <c r="O2468" i="1"/>
  <c r="N2468" i="1"/>
  <c r="M2468" i="1"/>
  <c r="L2468" i="1"/>
  <c r="K2468" i="1"/>
  <c r="O1086" i="1"/>
  <c r="N1086" i="1"/>
  <c r="M1086" i="1"/>
  <c r="L1086" i="1"/>
  <c r="K1086" i="1"/>
  <c r="O2160" i="1"/>
  <c r="N2160" i="1"/>
  <c r="M2160" i="1"/>
  <c r="L2160" i="1"/>
  <c r="K2160" i="1"/>
  <c r="O948" i="1"/>
  <c r="N948" i="1"/>
  <c r="M948" i="1"/>
  <c r="L948" i="1"/>
  <c r="K948" i="1"/>
  <c r="O3197" i="1"/>
  <c r="N3197" i="1"/>
  <c r="M3197" i="1"/>
  <c r="L3197" i="1"/>
  <c r="K3197" i="1"/>
  <c r="O1396" i="1"/>
  <c r="N1396" i="1"/>
  <c r="M1396" i="1"/>
  <c r="L1396" i="1"/>
  <c r="K1396" i="1"/>
  <c r="O1940" i="1"/>
  <c r="N1940" i="1"/>
  <c r="M1940" i="1"/>
  <c r="L1940" i="1"/>
  <c r="K1940" i="1"/>
  <c r="O143" i="1"/>
  <c r="N143" i="1"/>
  <c r="M143" i="1"/>
  <c r="L143" i="1"/>
  <c r="K143" i="1"/>
  <c r="O2878" i="1"/>
  <c r="N2878" i="1"/>
  <c r="M2878" i="1"/>
  <c r="L2878" i="1"/>
  <c r="K2878" i="1"/>
  <c r="O335" i="1"/>
  <c r="N335" i="1"/>
  <c r="M335" i="1"/>
  <c r="L335" i="1"/>
  <c r="K335" i="1"/>
  <c r="O664" i="1"/>
  <c r="N664" i="1"/>
  <c r="M664" i="1"/>
  <c r="L664" i="1"/>
  <c r="K664" i="1"/>
  <c r="O1009" i="1"/>
  <c r="N1009" i="1"/>
  <c r="M1009" i="1"/>
  <c r="K1009" i="1"/>
  <c r="L1009" i="1"/>
  <c r="O2461" i="1"/>
  <c r="N2461" i="1"/>
  <c r="M2461" i="1"/>
  <c r="L2461" i="1"/>
  <c r="K2461" i="1"/>
  <c r="O2755" i="1"/>
  <c r="N2755" i="1"/>
  <c r="M2755" i="1"/>
  <c r="L2755" i="1"/>
  <c r="K2755" i="1"/>
  <c r="O2037" i="1"/>
  <c r="N2037" i="1"/>
  <c r="M2037" i="1"/>
  <c r="L2037" i="1"/>
  <c r="K2037" i="1"/>
  <c r="O2424" i="1"/>
  <c r="N2424" i="1"/>
  <c r="M2424" i="1"/>
  <c r="L2424" i="1"/>
  <c r="K2424" i="1"/>
  <c r="O1216" i="1"/>
  <c r="N1216" i="1"/>
  <c r="M1216" i="1"/>
  <c r="L1216" i="1"/>
  <c r="K1216" i="1"/>
  <c r="O3493" i="1"/>
  <c r="N3493" i="1"/>
  <c r="M3493" i="1"/>
  <c r="L3493" i="1"/>
  <c r="K3493" i="1"/>
  <c r="O2664" i="1"/>
  <c r="N2664" i="1"/>
  <c r="M2664" i="1"/>
  <c r="L2664" i="1"/>
  <c r="K2664" i="1"/>
  <c r="O357" i="1"/>
  <c r="N357" i="1"/>
  <c r="M357" i="1"/>
  <c r="K357" i="1"/>
  <c r="L357" i="1"/>
  <c r="O2121" i="1"/>
  <c r="N2121" i="1"/>
  <c r="M2121" i="1"/>
  <c r="L2121" i="1"/>
  <c r="K2121" i="1"/>
  <c r="O997" i="1"/>
  <c r="N997" i="1"/>
  <c r="M997" i="1"/>
  <c r="L997" i="1"/>
  <c r="K997" i="1"/>
  <c r="O320" i="1"/>
  <c r="N320" i="1"/>
  <c r="M320" i="1"/>
  <c r="L320" i="1"/>
  <c r="K320" i="1"/>
  <c r="O2556" i="1"/>
  <c r="N2556" i="1"/>
  <c r="M2556" i="1"/>
  <c r="L2556" i="1"/>
  <c r="K2556" i="1"/>
  <c r="O2713" i="1"/>
  <c r="N2713" i="1"/>
  <c r="M2713" i="1"/>
  <c r="L2713" i="1"/>
  <c r="K2713" i="1"/>
  <c r="O189" i="1"/>
  <c r="N189" i="1"/>
  <c r="M189" i="1"/>
  <c r="L189" i="1"/>
  <c r="K189" i="1"/>
  <c r="O3182" i="1"/>
  <c r="N3182" i="1"/>
  <c r="M3182" i="1"/>
  <c r="L3182" i="1"/>
  <c r="K3182" i="1"/>
  <c r="O223" i="1"/>
  <c r="N223" i="1"/>
  <c r="M223" i="1"/>
  <c r="K223" i="1"/>
  <c r="L223" i="1"/>
  <c r="O1255" i="1"/>
  <c r="N1255" i="1"/>
  <c r="M1255" i="1"/>
  <c r="L1255" i="1"/>
  <c r="K1255" i="1"/>
  <c r="O2229" i="1"/>
  <c r="N2229" i="1"/>
  <c r="M2229" i="1"/>
  <c r="L2229" i="1"/>
  <c r="K2229" i="1"/>
  <c r="O2933" i="1"/>
  <c r="N2933" i="1"/>
  <c r="M2933" i="1"/>
  <c r="L2933" i="1"/>
  <c r="K2933" i="1"/>
  <c r="O822" i="1"/>
  <c r="N822" i="1"/>
  <c r="M822" i="1"/>
  <c r="L822" i="1"/>
  <c r="K822" i="1"/>
  <c r="O842" i="1"/>
  <c r="N842" i="1"/>
  <c r="M842" i="1"/>
  <c r="L842" i="1"/>
  <c r="K842" i="1"/>
  <c r="O3520" i="1"/>
  <c r="N3520" i="1"/>
  <c r="M3520" i="1"/>
  <c r="L3520" i="1"/>
  <c r="K3520" i="1"/>
  <c r="O2959" i="1"/>
  <c r="N2959" i="1"/>
  <c r="M2959" i="1"/>
  <c r="K2959" i="1"/>
  <c r="L2959" i="1"/>
  <c r="O1518" i="1"/>
  <c r="N1518" i="1"/>
  <c r="M1518" i="1"/>
  <c r="L1518" i="1"/>
  <c r="K1518" i="1"/>
  <c r="O2941" i="1"/>
  <c r="N2941" i="1"/>
  <c r="M2941" i="1"/>
  <c r="L2941" i="1"/>
  <c r="K2941" i="1"/>
  <c r="O1254" i="1"/>
  <c r="N1254" i="1"/>
  <c r="M1254" i="1"/>
  <c r="L1254" i="1"/>
  <c r="K1254" i="1"/>
  <c r="O2048" i="1"/>
  <c r="N2048" i="1"/>
  <c r="M2048" i="1"/>
  <c r="L2048" i="1"/>
  <c r="K2048" i="1"/>
  <c r="O1526" i="1"/>
  <c r="N1526" i="1"/>
  <c r="M1526" i="1"/>
  <c r="L1526" i="1"/>
  <c r="K1526" i="1"/>
  <c r="O1772" i="1"/>
  <c r="N1772" i="1"/>
  <c r="M1772" i="1"/>
  <c r="L1772" i="1"/>
  <c r="K1772" i="1"/>
  <c r="O2877" i="1"/>
  <c r="N2877" i="1"/>
  <c r="M2877" i="1"/>
  <c r="L2877" i="1"/>
  <c r="K2877" i="1"/>
  <c r="O1765" i="1"/>
  <c r="N1765" i="1"/>
  <c r="M1765" i="1"/>
  <c r="L1765" i="1"/>
  <c r="K1765" i="1"/>
  <c r="O3354" i="1"/>
  <c r="N3354" i="1"/>
  <c r="M3354" i="1"/>
  <c r="L3354" i="1"/>
  <c r="K3354" i="1"/>
  <c r="O1436" i="1"/>
  <c r="N1436" i="1"/>
  <c r="M1436" i="1"/>
  <c r="L1436" i="1"/>
  <c r="O2029" i="1"/>
  <c r="N2029" i="1"/>
  <c r="M2029" i="1"/>
  <c r="L2029" i="1"/>
  <c r="K2029" i="1"/>
  <c r="O3350" i="1"/>
  <c r="N3350" i="1"/>
  <c r="M3350" i="1"/>
  <c r="L3350" i="1"/>
  <c r="K3350" i="1"/>
  <c r="O1544" i="1"/>
  <c r="N1544" i="1"/>
  <c r="M1544" i="1"/>
  <c r="L1544" i="1"/>
  <c r="K1544" i="1"/>
  <c r="O3506" i="1"/>
  <c r="N3506" i="1"/>
  <c r="M3506" i="1"/>
  <c r="L3506" i="1"/>
  <c r="K3506" i="1"/>
  <c r="O1662" i="1"/>
  <c r="N1662" i="1"/>
  <c r="M1662" i="1"/>
  <c r="L1662" i="1"/>
  <c r="K1662" i="1"/>
  <c r="O3357" i="1"/>
  <c r="N3357" i="1"/>
  <c r="M3357" i="1"/>
  <c r="L3357" i="1"/>
  <c r="K3357" i="1"/>
  <c r="O1865" i="1"/>
  <c r="N1865" i="1"/>
  <c r="M1865" i="1"/>
  <c r="L1865" i="1"/>
  <c r="K1865" i="1"/>
  <c r="O642" i="1"/>
  <c r="N642" i="1"/>
  <c r="M642" i="1"/>
  <c r="L642" i="1"/>
  <c r="O498" i="1"/>
  <c r="N498" i="1"/>
  <c r="M498" i="1"/>
  <c r="L498" i="1"/>
  <c r="K498" i="1"/>
  <c r="O2549" i="1"/>
  <c r="N2549" i="1"/>
  <c r="M2549" i="1"/>
  <c r="L2549" i="1"/>
  <c r="K2549" i="1"/>
  <c r="O1877" i="1"/>
  <c r="N1877" i="1"/>
  <c r="M1877" i="1"/>
  <c r="L1877" i="1"/>
  <c r="K1877" i="1"/>
  <c r="O1200" i="1"/>
  <c r="N1200" i="1"/>
  <c r="M1200" i="1"/>
  <c r="L1200" i="1"/>
  <c r="K1200" i="1"/>
  <c r="O2188" i="1"/>
  <c r="N2188" i="1"/>
  <c r="M2188" i="1"/>
  <c r="L2188" i="1"/>
  <c r="K2188" i="1"/>
  <c r="O3482" i="1"/>
  <c r="N3482" i="1"/>
  <c r="M3482" i="1"/>
  <c r="L3482" i="1"/>
  <c r="K3482" i="1"/>
  <c r="O1798" i="1"/>
  <c r="N1798" i="1"/>
  <c r="M1798" i="1"/>
  <c r="L1798" i="1"/>
  <c r="K1798" i="1"/>
  <c r="O1737" i="1"/>
  <c r="N1737" i="1"/>
  <c r="M1737" i="1"/>
  <c r="L1737" i="1"/>
  <c r="O3276" i="1"/>
  <c r="N3276" i="1"/>
  <c r="M3276" i="1"/>
  <c r="L3276" i="1"/>
  <c r="K3276" i="1"/>
  <c r="O2736" i="1"/>
  <c r="N2736" i="1"/>
  <c r="M2736" i="1"/>
  <c r="L2736" i="1"/>
  <c r="K2736" i="1"/>
  <c r="O2187" i="1"/>
  <c r="N2187" i="1"/>
  <c r="M2187" i="1"/>
  <c r="L2187" i="1"/>
  <c r="K2187" i="1"/>
  <c r="O804" i="1"/>
  <c r="N804" i="1"/>
  <c r="M804" i="1"/>
  <c r="L804" i="1"/>
  <c r="K804" i="1"/>
  <c r="O3047" i="1"/>
  <c r="N3047" i="1"/>
  <c r="M3047" i="1"/>
  <c r="L3047" i="1"/>
  <c r="K3047" i="1"/>
  <c r="O1083" i="1"/>
  <c r="N1083" i="1"/>
  <c r="M1083" i="1"/>
  <c r="L1083" i="1"/>
  <c r="K1083" i="1"/>
  <c r="O1556" i="1"/>
  <c r="N1556" i="1"/>
  <c r="M1556" i="1"/>
  <c r="L1556" i="1"/>
  <c r="K1556" i="1"/>
  <c r="O3250" i="1"/>
  <c r="N3250" i="1"/>
  <c r="M3250" i="1"/>
  <c r="L3250" i="1"/>
  <c r="O3114" i="1"/>
  <c r="N3114" i="1"/>
  <c r="M3114" i="1"/>
  <c r="L3114" i="1"/>
  <c r="K3114" i="1"/>
  <c r="O2173" i="1"/>
  <c r="N2173" i="1"/>
  <c r="M2173" i="1"/>
  <c r="L2173" i="1"/>
  <c r="K2173" i="1"/>
  <c r="O2541" i="1"/>
  <c r="N2541" i="1"/>
  <c r="M2541" i="1"/>
  <c r="L2541" i="1"/>
  <c r="K2541" i="1"/>
  <c r="O791" i="1"/>
  <c r="N791" i="1"/>
  <c r="M791" i="1"/>
  <c r="L791" i="1"/>
  <c r="K791" i="1"/>
  <c r="O2985" i="1"/>
  <c r="N2985" i="1"/>
  <c r="M2985" i="1"/>
  <c r="L2985" i="1"/>
  <c r="K2985" i="1"/>
  <c r="O773" i="1"/>
  <c r="N773" i="1"/>
  <c r="M773" i="1"/>
  <c r="L773" i="1"/>
  <c r="K773" i="1"/>
  <c r="O2485" i="1"/>
  <c r="N2485" i="1"/>
  <c r="M2485" i="1"/>
  <c r="L2485" i="1"/>
  <c r="K2485" i="1"/>
  <c r="O3294" i="1"/>
  <c r="N3294" i="1"/>
  <c r="M3294" i="1"/>
  <c r="L3294" i="1"/>
  <c r="O1319" i="1"/>
  <c r="N1319" i="1"/>
  <c r="M1319" i="1"/>
  <c r="L1319" i="1"/>
  <c r="K1319" i="1"/>
  <c r="O1929" i="1"/>
  <c r="N1929" i="1"/>
  <c r="M1929" i="1"/>
  <c r="L1929" i="1"/>
  <c r="K1929" i="1"/>
  <c r="O3365" i="1"/>
  <c r="N3365" i="1"/>
  <c r="M3365" i="1"/>
  <c r="L3365" i="1"/>
  <c r="K3365" i="1"/>
  <c r="O1213" i="1"/>
  <c r="N1213" i="1"/>
  <c r="M1213" i="1"/>
  <c r="L1213" i="1"/>
  <c r="K1213" i="1"/>
  <c r="O3424" i="1"/>
  <c r="N3424" i="1"/>
  <c r="M3424" i="1"/>
  <c r="L3424" i="1"/>
  <c r="K3424" i="1"/>
  <c r="O370" i="1"/>
  <c r="N370" i="1"/>
  <c r="M370" i="1"/>
  <c r="L370" i="1"/>
  <c r="K370" i="1"/>
  <c r="O1987" i="1"/>
  <c r="N1987" i="1"/>
  <c r="M1987" i="1"/>
  <c r="L1987" i="1"/>
  <c r="K1987" i="1"/>
  <c r="O2568" i="1"/>
  <c r="N2568" i="1"/>
  <c r="M2568" i="1"/>
  <c r="L2568" i="1"/>
  <c r="K2568" i="1"/>
  <c r="O2127" i="1"/>
  <c r="N2127" i="1"/>
  <c r="M2127" i="1"/>
  <c r="L2127" i="1"/>
  <c r="K2127" i="1"/>
  <c r="O2220" i="1"/>
  <c r="N2220" i="1"/>
  <c r="M2220" i="1"/>
  <c r="L2220" i="1"/>
  <c r="K2220" i="1"/>
  <c r="O194" i="1"/>
  <c r="N194" i="1"/>
  <c r="M194" i="1"/>
  <c r="L194" i="1"/>
  <c r="K194" i="1"/>
  <c r="O3012" i="1"/>
  <c r="N3012" i="1"/>
  <c r="M3012" i="1"/>
  <c r="L3012" i="1"/>
  <c r="K3012" i="1"/>
  <c r="O899" i="1"/>
  <c r="N899" i="1"/>
  <c r="M899" i="1"/>
  <c r="L899" i="1"/>
  <c r="K899" i="1"/>
  <c r="O2871" i="1"/>
  <c r="N2871" i="1"/>
  <c r="M2871" i="1"/>
  <c r="L2871" i="1"/>
  <c r="K2871" i="1"/>
  <c r="O1612" i="1"/>
  <c r="N1612" i="1"/>
  <c r="M1612" i="1"/>
  <c r="L1612" i="1"/>
  <c r="K1612" i="1"/>
  <c r="O601" i="1"/>
  <c r="N601" i="1"/>
  <c r="M601" i="1"/>
  <c r="L601" i="1"/>
  <c r="K601" i="1"/>
  <c r="O1703" i="1"/>
  <c r="N1703" i="1"/>
  <c r="M1703" i="1"/>
  <c r="L1703" i="1"/>
  <c r="K1703" i="1"/>
  <c r="O2806" i="1"/>
  <c r="N2806" i="1"/>
  <c r="M2806" i="1"/>
  <c r="L2806" i="1"/>
  <c r="K2806" i="1"/>
  <c r="O3416" i="1"/>
  <c r="N3416" i="1"/>
  <c r="M3416" i="1"/>
  <c r="L3416" i="1"/>
  <c r="K3416" i="1"/>
  <c r="O1390" i="1"/>
  <c r="N1390" i="1"/>
  <c r="M1390" i="1"/>
  <c r="L1390" i="1"/>
  <c r="K1390" i="1"/>
  <c r="O876" i="1"/>
  <c r="N876" i="1"/>
  <c r="M876" i="1"/>
  <c r="L876" i="1"/>
  <c r="K876" i="1"/>
  <c r="O3002" i="1"/>
  <c r="N3002" i="1"/>
  <c r="M3002" i="1"/>
  <c r="L3002" i="1"/>
  <c r="K3002" i="1"/>
  <c r="O2970" i="1"/>
  <c r="N2970" i="1"/>
  <c r="M2970" i="1"/>
  <c r="L2970" i="1"/>
  <c r="K2970" i="1"/>
  <c r="O2458" i="1"/>
  <c r="N2458" i="1"/>
  <c r="M2458" i="1"/>
  <c r="L2458" i="1"/>
  <c r="K2458" i="1"/>
  <c r="O30" i="1"/>
  <c r="N30" i="1"/>
  <c r="M30" i="1"/>
  <c r="L30" i="1"/>
  <c r="K30" i="1"/>
  <c r="O2977" i="1"/>
  <c r="N2977" i="1"/>
  <c r="M2977" i="1"/>
  <c r="L2977" i="1"/>
  <c r="K2977" i="1"/>
  <c r="O801" i="1"/>
  <c r="N801" i="1"/>
  <c r="M801" i="1"/>
  <c r="L801" i="1"/>
  <c r="K801" i="1"/>
  <c r="O388" i="1"/>
  <c r="N388" i="1"/>
  <c r="M388" i="1"/>
  <c r="L388" i="1"/>
  <c r="K388" i="1"/>
  <c r="O1993" i="1"/>
  <c r="N1993" i="1"/>
  <c r="M1993" i="1"/>
  <c r="L1993" i="1"/>
  <c r="K1993" i="1"/>
  <c r="O2119" i="1"/>
  <c r="N2119" i="1"/>
  <c r="M2119" i="1"/>
  <c r="L2119" i="1"/>
  <c r="K2119" i="1"/>
  <c r="O544" i="1"/>
  <c r="N544" i="1"/>
  <c r="M544" i="1"/>
  <c r="L544" i="1"/>
  <c r="K544" i="1"/>
  <c r="O110" i="1"/>
  <c r="N110" i="1"/>
  <c r="M110" i="1"/>
  <c r="L110" i="1"/>
  <c r="K110" i="1"/>
  <c r="O2132" i="1"/>
  <c r="N2132" i="1"/>
  <c r="M2132" i="1"/>
  <c r="L2132" i="1"/>
  <c r="K2132" i="1"/>
  <c r="O2126" i="1"/>
  <c r="N2126" i="1"/>
  <c r="M2126" i="1"/>
  <c r="L2126" i="1"/>
  <c r="K2126" i="1"/>
  <c r="O2496" i="1"/>
  <c r="N2496" i="1"/>
  <c r="M2496" i="1"/>
  <c r="L2496" i="1"/>
  <c r="K2496" i="1"/>
  <c r="O2590" i="1"/>
  <c r="N2590" i="1"/>
  <c r="M2590" i="1"/>
  <c r="L2590" i="1"/>
  <c r="K2590" i="1"/>
  <c r="O2085" i="1"/>
  <c r="N2085" i="1"/>
  <c r="M2085" i="1"/>
  <c r="L2085" i="1"/>
  <c r="K2085" i="1"/>
  <c r="O2014" i="1"/>
  <c r="N2014" i="1"/>
  <c r="M2014" i="1"/>
  <c r="L2014" i="1"/>
  <c r="K2014" i="1"/>
  <c r="O1949" i="1"/>
  <c r="N1949" i="1"/>
  <c r="M1949" i="1"/>
  <c r="L1949" i="1"/>
  <c r="K1949" i="1"/>
  <c r="O1138" i="1"/>
  <c r="N1138" i="1"/>
  <c r="M1138" i="1"/>
  <c r="L1138" i="1"/>
  <c r="K1138" i="1"/>
  <c r="O3349" i="1"/>
  <c r="N3349" i="1"/>
  <c r="M3349" i="1"/>
  <c r="L3349" i="1"/>
  <c r="K3349" i="1"/>
  <c r="O1964" i="1"/>
  <c r="N1964" i="1"/>
  <c r="M1964" i="1"/>
  <c r="L1964" i="1"/>
  <c r="K1964" i="1"/>
  <c r="O2091" i="1"/>
  <c r="N2091" i="1"/>
  <c r="M2091" i="1"/>
  <c r="L2091" i="1"/>
  <c r="K2091" i="1"/>
  <c r="O246" i="1"/>
  <c r="N246" i="1"/>
  <c r="M246" i="1"/>
  <c r="L246" i="1"/>
  <c r="K246" i="1"/>
  <c r="O402" i="1"/>
  <c r="N402" i="1"/>
  <c r="M402" i="1"/>
  <c r="L402" i="1"/>
  <c r="K402" i="1"/>
  <c r="O1729" i="1"/>
  <c r="N1729" i="1"/>
  <c r="M1729" i="1"/>
  <c r="L1729" i="1"/>
  <c r="K1729" i="1"/>
  <c r="O2741" i="1"/>
  <c r="N2741" i="1"/>
  <c r="M2741" i="1"/>
  <c r="L2741" i="1"/>
  <c r="K2741" i="1"/>
  <c r="O2928" i="1"/>
  <c r="N2928" i="1"/>
  <c r="M2928" i="1"/>
  <c r="L2928" i="1"/>
  <c r="K2928" i="1"/>
  <c r="O515" i="1"/>
  <c r="N515" i="1"/>
  <c r="M515" i="1"/>
  <c r="L515" i="1"/>
  <c r="K515" i="1"/>
  <c r="O94" i="1"/>
  <c r="N94" i="1"/>
  <c r="M94" i="1"/>
  <c r="L94" i="1"/>
  <c r="K94" i="1"/>
  <c r="O1345" i="1"/>
  <c r="N1345" i="1"/>
  <c r="M1345" i="1"/>
  <c r="L1345" i="1"/>
  <c r="K1345" i="1"/>
  <c r="O3275" i="1"/>
  <c r="N3275" i="1"/>
  <c r="M3275" i="1"/>
  <c r="L3275" i="1"/>
  <c r="K3275" i="1"/>
  <c r="O2791" i="1"/>
  <c r="N2791" i="1"/>
  <c r="M2791" i="1"/>
  <c r="L2791" i="1"/>
  <c r="K2791" i="1"/>
  <c r="O2391" i="1"/>
  <c r="N2391" i="1"/>
  <c r="M2391" i="1"/>
  <c r="L2391" i="1"/>
  <c r="K2391" i="1"/>
  <c r="O2151" i="1"/>
  <c r="N2151" i="1"/>
  <c r="M2151" i="1"/>
  <c r="L2151" i="1"/>
  <c r="K2151" i="1"/>
  <c r="O2427" i="1"/>
  <c r="N2427" i="1"/>
  <c r="M2427" i="1"/>
  <c r="L2427" i="1"/>
  <c r="K2427" i="1"/>
  <c r="O3067" i="1"/>
  <c r="N3067" i="1"/>
  <c r="M3067" i="1"/>
  <c r="L3067" i="1"/>
  <c r="K3067" i="1"/>
  <c r="O2923" i="1"/>
  <c r="N2923" i="1"/>
  <c r="M2923" i="1"/>
  <c r="L2923" i="1"/>
  <c r="K2923" i="1"/>
  <c r="O168" i="1"/>
  <c r="N168" i="1"/>
  <c r="M168" i="1"/>
  <c r="L168" i="1"/>
  <c r="K168" i="1"/>
  <c r="O2922" i="1"/>
  <c r="N2922" i="1"/>
  <c r="M2922" i="1"/>
  <c r="L2922" i="1"/>
  <c r="K2922" i="1"/>
  <c r="O5" i="1"/>
  <c r="N5" i="1"/>
  <c r="M5" i="1"/>
  <c r="L5" i="1"/>
  <c r="K5" i="1"/>
  <c r="O1115" i="1"/>
  <c r="N1115" i="1"/>
  <c r="M1115" i="1"/>
  <c r="L1115" i="1"/>
  <c r="K1115" i="1"/>
  <c r="O2900" i="1"/>
  <c r="N2900" i="1"/>
  <c r="M2900" i="1"/>
  <c r="L2900" i="1"/>
  <c r="K2900" i="1"/>
  <c r="O2239" i="1"/>
  <c r="N2239" i="1"/>
  <c r="M2239" i="1"/>
  <c r="L2239" i="1"/>
  <c r="K2239" i="1"/>
  <c r="O2095" i="1"/>
  <c r="N2095" i="1"/>
  <c r="M2095" i="1"/>
  <c r="L2095" i="1"/>
  <c r="K2095" i="1"/>
  <c r="O1024" i="1"/>
  <c r="N1024" i="1"/>
  <c r="M1024" i="1"/>
  <c r="L1024" i="1"/>
  <c r="K1024" i="1"/>
  <c r="O2724" i="1"/>
  <c r="N2724" i="1"/>
  <c r="M2724" i="1"/>
  <c r="L2724" i="1"/>
  <c r="K2724" i="1"/>
  <c r="O3256" i="1"/>
  <c r="N3256" i="1"/>
  <c r="M3256" i="1"/>
  <c r="L3256" i="1"/>
  <c r="K3256" i="1"/>
  <c r="O1171" i="1"/>
  <c r="N1171" i="1"/>
  <c r="M1171" i="1"/>
  <c r="L1171" i="1"/>
  <c r="K1171" i="1"/>
  <c r="O1253" i="1"/>
  <c r="N1253" i="1"/>
  <c r="M1253" i="1"/>
  <c r="L1253" i="1"/>
  <c r="K1253" i="1"/>
  <c r="O853" i="1"/>
  <c r="N853" i="1"/>
  <c r="M853" i="1"/>
  <c r="L853" i="1"/>
  <c r="K853" i="1"/>
  <c r="O2548" i="1"/>
  <c r="N2548" i="1"/>
  <c r="M2548" i="1"/>
  <c r="L2548" i="1"/>
  <c r="K2548" i="1"/>
  <c r="O824" i="1"/>
  <c r="N824" i="1"/>
  <c r="M824" i="1"/>
  <c r="L824" i="1"/>
  <c r="K824" i="1"/>
  <c r="O768" i="1"/>
  <c r="N768" i="1"/>
  <c r="M768" i="1"/>
  <c r="L768" i="1"/>
  <c r="K768" i="1"/>
  <c r="O2627" i="1"/>
  <c r="N2627" i="1"/>
  <c r="M2627" i="1"/>
  <c r="L2627" i="1"/>
  <c r="K2627" i="1"/>
  <c r="O2538" i="1"/>
  <c r="N2538" i="1"/>
  <c r="M2538" i="1"/>
  <c r="L2538" i="1"/>
  <c r="K2538" i="1"/>
  <c r="O1724" i="1"/>
  <c r="N1724" i="1"/>
  <c r="M1724" i="1"/>
  <c r="L1724" i="1"/>
  <c r="K1724" i="1"/>
  <c r="O1745" i="1"/>
  <c r="N1745" i="1"/>
  <c r="M1745" i="1"/>
  <c r="L1745" i="1"/>
  <c r="K1745" i="1"/>
  <c r="O1322" i="1"/>
  <c r="N1322" i="1"/>
  <c r="M1322" i="1"/>
  <c r="L1322" i="1"/>
  <c r="K1322" i="1"/>
  <c r="O280" i="1"/>
  <c r="N280" i="1"/>
  <c r="M280" i="1"/>
  <c r="L280" i="1"/>
  <c r="K280" i="1"/>
  <c r="O651" i="1"/>
  <c r="N651" i="1"/>
  <c r="M651" i="1"/>
  <c r="L651" i="1"/>
  <c r="K651" i="1"/>
  <c r="O188" i="1"/>
  <c r="N188" i="1"/>
  <c r="M188" i="1"/>
  <c r="L188" i="1"/>
  <c r="K188" i="1"/>
  <c r="O3525" i="1"/>
  <c r="N3525" i="1"/>
  <c r="M3525" i="1"/>
  <c r="L3525" i="1"/>
  <c r="K3525" i="1"/>
  <c r="O1927" i="1"/>
  <c r="N1927" i="1"/>
  <c r="M1927" i="1"/>
  <c r="L1927" i="1"/>
  <c r="K1927" i="1"/>
  <c r="O1048" i="1"/>
  <c r="N1048" i="1"/>
  <c r="M1048" i="1"/>
  <c r="L1048" i="1"/>
  <c r="K1048" i="1"/>
  <c r="O1475" i="1"/>
  <c r="N1475" i="1"/>
  <c r="M1475" i="1"/>
  <c r="L1475" i="1"/>
  <c r="K1475" i="1"/>
  <c r="O465" i="1"/>
  <c r="N465" i="1"/>
  <c r="M465" i="1"/>
  <c r="L465" i="1"/>
  <c r="K465" i="1"/>
  <c r="O927" i="1"/>
  <c r="N927" i="1"/>
  <c r="M927" i="1"/>
  <c r="L927" i="1"/>
  <c r="K927" i="1"/>
  <c r="O2205" i="1"/>
  <c r="N2205" i="1"/>
  <c r="M2205" i="1"/>
  <c r="L2205" i="1"/>
  <c r="K2205" i="1"/>
  <c r="O1727" i="1"/>
  <c r="N1727" i="1"/>
  <c r="M1727" i="1"/>
  <c r="L1727" i="1"/>
  <c r="K1727" i="1"/>
  <c r="O2042" i="1"/>
  <c r="N2042" i="1"/>
  <c r="M2042" i="1"/>
  <c r="L2042" i="1"/>
  <c r="K2042" i="1"/>
  <c r="O35" i="1"/>
  <c r="N35" i="1"/>
  <c r="M35" i="1"/>
  <c r="L35" i="1"/>
  <c r="K35" i="1"/>
  <c r="O1160" i="1"/>
  <c r="N1160" i="1"/>
  <c r="M1160" i="1"/>
  <c r="L1160" i="1"/>
  <c r="K1160" i="1"/>
  <c r="O833" i="1"/>
  <c r="N833" i="1"/>
  <c r="M833" i="1"/>
  <c r="L833" i="1"/>
  <c r="K833" i="1"/>
  <c r="O2218" i="1"/>
  <c r="N2218" i="1"/>
  <c r="M2218" i="1"/>
  <c r="L2218" i="1"/>
  <c r="K2218" i="1"/>
  <c r="O878" i="1"/>
  <c r="N878" i="1"/>
  <c r="M878" i="1"/>
  <c r="L878" i="1"/>
  <c r="K878" i="1"/>
  <c r="O3120" i="1"/>
  <c r="N3120" i="1"/>
  <c r="M3120" i="1"/>
  <c r="L3120" i="1"/>
  <c r="K3120" i="1"/>
  <c r="O2898" i="1"/>
  <c r="N2898" i="1"/>
  <c r="M2898" i="1"/>
  <c r="L2898" i="1"/>
  <c r="K2898" i="1"/>
  <c r="O1252" i="1"/>
  <c r="N1252" i="1"/>
  <c r="M1252" i="1"/>
  <c r="L1252" i="1"/>
  <c r="K1252" i="1"/>
  <c r="O3126" i="1"/>
  <c r="N3126" i="1"/>
  <c r="M3126" i="1"/>
  <c r="L3126" i="1"/>
  <c r="K3126" i="1"/>
  <c r="O174" i="1"/>
  <c r="N174" i="1"/>
  <c r="M174" i="1"/>
  <c r="L174" i="1"/>
  <c r="K174" i="1"/>
  <c r="O1550" i="1"/>
  <c r="N1550" i="1"/>
  <c r="M1550" i="1"/>
  <c r="L1550" i="1"/>
  <c r="K1550" i="1"/>
  <c r="O1136" i="1"/>
  <c r="N1136" i="1"/>
  <c r="M1136" i="1"/>
  <c r="L1136" i="1"/>
  <c r="K1136" i="1"/>
  <c r="O1744" i="1"/>
  <c r="N1744" i="1"/>
  <c r="M1744" i="1"/>
  <c r="L1744" i="1"/>
  <c r="K1744" i="1"/>
  <c r="O3188" i="1"/>
  <c r="N3188" i="1"/>
  <c r="M3188" i="1"/>
  <c r="L3188" i="1"/>
  <c r="K3188" i="1"/>
  <c r="O2927" i="1"/>
  <c r="N2927" i="1"/>
  <c r="M2927" i="1"/>
  <c r="L2927" i="1"/>
  <c r="K2927" i="1"/>
  <c r="O129" i="1"/>
  <c r="N129" i="1"/>
  <c r="M129" i="1"/>
  <c r="L129" i="1"/>
  <c r="K129" i="1"/>
  <c r="O1223" i="1"/>
  <c r="N1223" i="1"/>
  <c r="M1223" i="1"/>
  <c r="L1223" i="1"/>
  <c r="K1223" i="1"/>
  <c r="O1047" i="1"/>
  <c r="N1047" i="1"/>
  <c r="M1047" i="1"/>
  <c r="L1047" i="1"/>
  <c r="K1047" i="1"/>
  <c r="O356" i="1"/>
  <c r="N356" i="1"/>
  <c r="M356" i="1"/>
  <c r="L356" i="1"/>
  <c r="K356" i="1"/>
  <c r="O3364" i="1"/>
  <c r="N3364" i="1"/>
  <c r="M3364" i="1"/>
  <c r="L3364" i="1"/>
  <c r="K3364" i="1"/>
  <c r="O3284" i="1"/>
  <c r="N3284" i="1"/>
  <c r="M3284" i="1"/>
  <c r="L3284" i="1"/>
  <c r="K3284" i="1"/>
  <c r="O895" i="1"/>
  <c r="N895" i="1"/>
  <c r="M895" i="1"/>
  <c r="L895" i="1"/>
  <c r="K895" i="1"/>
  <c r="O436" i="1"/>
  <c r="N436" i="1"/>
  <c r="M436" i="1"/>
  <c r="L436" i="1"/>
  <c r="K436" i="1"/>
  <c r="O944" i="1"/>
  <c r="N944" i="1"/>
  <c r="M944" i="1"/>
  <c r="L944" i="1"/>
  <c r="K944" i="1"/>
  <c r="O3293" i="1"/>
  <c r="N3293" i="1"/>
  <c r="M3293" i="1"/>
  <c r="L3293" i="1"/>
  <c r="K3293" i="1"/>
  <c r="O767" i="1"/>
  <c r="N767" i="1"/>
  <c r="M767" i="1"/>
  <c r="L767" i="1"/>
  <c r="K767" i="1"/>
  <c r="O3125" i="1"/>
  <c r="N3125" i="1"/>
  <c r="M3125" i="1"/>
  <c r="L3125" i="1"/>
  <c r="K3125" i="1"/>
  <c r="O3154" i="1"/>
  <c r="N3154" i="1"/>
  <c r="M3154" i="1"/>
  <c r="L3154" i="1"/>
  <c r="K3154" i="1"/>
  <c r="O2453" i="1"/>
  <c r="N2453" i="1"/>
  <c r="M2453" i="1"/>
  <c r="L2453" i="1"/>
  <c r="K2453" i="1"/>
  <c r="O2204" i="1"/>
  <c r="N2204" i="1"/>
  <c r="M2204" i="1"/>
  <c r="L2204" i="1"/>
  <c r="K2204" i="1"/>
  <c r="O2306" i="1"/>
  <c r="N2306" i="1"/>
  <c r="M2306" i="1"/>
  <c r="L2306" i="1"/>
  <c r="K2306" i="1"/>
  <c r="O2565" i="1"/>
  <c r="N2565" i="1"/>
  <c r="M2565" i="1"/>
  <c r="L2565" i="1"/>
  <c r="K2565" i="1"/>
  <c r="O3458" i="1"/>
  <c r="N3458" i="1"/>
  <c r="M3458" i="1"/>
  <c r="L3458" i="1"/>
  <c r="K3458" i="1"/>
  <c r="O3339" i="1"/>
  <c r="N3339" i="1"/>
  <c r="M3339" i="1"/>
  <c r="L3339" i="1"/>
  <c r="K3339" i="1"/>
  <c r="O2817" i="1"/>
  <c r="N2817" i="1"/>
  <c r="M2817" i="1"/>
  <c r="L2817" i="1"/>
  <c r="K2817" i="1"/>
  <c r="O2805" i="1"/>
  <c r="N2805" i="1"/>
  <c r="M2805" i="1"/>
  <c r="L2805" i="1"/>
  <c r="K2805" i="1"/>
  <c r="O649" i="1"/>
  <c r="N649" i="1"/>
  <c r="M649" i="1"/>
  <c r="L649" i="1"/>
  <c r="K649" i="1"/>
  <c r="O887" i="1"/>
  <c r="N887" i="1"/>
  <c r="M887" i="1"/>
  <c r="L887" i="1"/>
  <c r="K887" i="1"/>
  <c r="O1043" i="1"/>
  <c r="N1043" i="1"/>
  <c r="M1043" i="1"/>
  <c r="L1043" i="1"/>
  <c r="K1043" i="1"/>
  <c r="O2118" i="1"/>
  <c r="N2118" i="1"/>
  <c r="M2118" i="1"/>
  <c r="L2118" i="1"/>
  <c r="K2118" i="1"/>
  <c r="O454" i="1"/>
  <c r="N454" i="1"/>
  <c r="M454" i="1"/>
  <c r="L454" i="1"/>
  <c r="K454" i="1"/>
  <c r="O1749" i="1"/>
  <c r="N1749" i="1"/>
  <c r="M1749" i="1"/>
  <c r="L1749" i="1"/>
  <c r="K1749" i="1"/>
  <c r="O2253" i="1"/>
  <c r="N2253" i="1"/>
  <c r="M2253" i="1"/>
  <c r="L2253" i="1"/>
  <c r="K2253" i="1"/>
  <c r="O1885" i="1"/>
  <c r="N1885" i="1"/>
  <c r="M1885" i="1"/>
  <c r="L1885" i="1"/>
  <c r="K1885" i="1"/>
  <c r="O505" i="1"/>
  <c r="N505" i="1"/>
  <c r="M505" i="1"/>
  <c r="L505" i="1"/>
  <c r="K505" i="1"/>
  <c r="O199" i="1"/>
  <c r="N199" i="1"/>
  <c r="M199" i="1"/>
  <c r="L199" i="1"/>
  <c r="K199" i="1"/>
  <c r="O1617" i="1"/>
  <c r="N1617" i="1"/>
  <c r="M1617" i="1"/>
  <c r="L1617" i="1"/>
  <c r="K1617" i="1"/>
  <c r="O3332" i="1"/>
  <c r="N3332" i="1"/>
  <c r="M3332" i="1"/>
  <c r="L3332" i="1"/>
  <c r="K3332" i="1"/>
  <c r="O1383" i="1"/>
  <c r="N1383" i="1"/>
  <c r="M1383" i="1"/>
  <c r="L1383" i="1"/>
  <c r="K1383" i="1"/>
  <c r="O75" i="1"/>
  <c r="N75" i="1"/>
  <c r="M75" i="1"/>
  <c r="L75" i="1"/>
  <c r="K75" i="1"/>
  <c r="O1478" i="1"/>
  <c r="N1478" i="1"/>
  <c r="M1478" i="1"/>
  <c r="L1478" i="1"/>
  <c r="K1478" i="1"/>
  <c r="O2940" i="1"/>
  <c r="N2940" i="1"/>
  <c r="M2940" i="1"/>
  <c r="L2940" i="1"/>
  <c r="K2940" i="1"/>
  <c r="O2050" i="1"/>
  <c r="N2050" i="1"/>
  <c r="M2050" i="1"/>
  <c r="L2050" i="1"/>
  <c r="K2050" i="1"/>
  <c r="O840" i="1"/>
  <c r="N840" i="1"/>
  <c r="M840" i="1"/>
  <c r="L840" i="1"/>
  <c r="K840" i="1"/>
  <c r="O543" i="1"/>
  <c r="N543" i="1"/>
  <c r="M543" i="1"/>
  <c r="L543" i="1"/>
  <c r="K543" i="1"/>
  <c r="O1889" i="1"/>
  <c r="N1889" i="1"/>
  <c r="M1889" i="1"/>
  <c r="L1889" i="1"/>
  <c r="K1889" i="1"/>
  <c r="O1841" i="1"/>
  <c r="N1841" i="1"/>
  <c r="M1841" i="1"/>
  <c r="L1841" i="1"/>
  <c r="K1841" i="1"/>
  <c r="O1180" i="1"/>
  <c r="N1180" i="1"/>
  <c r="M1180" i="1"/>
  <c r="L1180" i="1"/>
  <c r="K1180" i="1"/>
  <c r="O2479" i="1"/>
  <c r="N2479" i="1"/>
  <c r="M2479" i="1"/>
  <c r="L2479" i="1"/>
  <c r="K2479" i="1"/>
  <c r="O1722" i="1"/>
  <c r="N1722" i="1"/>
  <c r="M1722" i="1"/>
  <c r="L1722" i="1"/>
  <c r="K1722" i="1"/>
  <c r="O3337" i="1"/>
  <c r="N3337" i="1"/>
  <c r="M3337" i="1"/>
  <c r="L3337" i="1"/>
  <c r="K3337" i="1"/>
  <c r="O3552" i="1"/>
  <c r="N3552" i="1"/>
  <c r="M3552" i="1"/>
  <c r="L3552" i="1"/>
  <c r="K3552" i="1"/>
  <c r="O1513" i="1"/>
  <c r="N1513" i="1"/>
  <c r="M1513" i="1"/>
  <c r="L1513" i="1"/>
  <c r="K1513" i="1"/>
  <c r="O140" i="1"/>
  <c r="N140" i="1"/>
  <c r="M140" i="1"/>
  <c r="K140" i="1"/>
  <c r="L140" i="1"/>
  <c r="O1933" i="1"/>
  <c r="N1933" i="1"/>
  <c r="M1933" i="1"/>
  <c r="L1933" i="1"/>
  <c r="K1933" i="1"/>
  <c r="O620" i="1"/>
  <c r="N620" i="1"/>
  <c r="M620" i="1"/>
  <c r="L620" i="1"/>
  <c r="K620" i="1"/>
  <c r="O2215" i="1"/>
  <c r="N2215" i="1"/>
  <c r="M2215" i="1"/>
  <c r="L2215" i="1"/>
  <c r="K2215" i="1"/>
  <c r="O1001" i="1"/>
  <c r="N1001" i="1"/>
  <c r="M1001" i="1"/>
  <c r="L1001" i="1"/>
  <c r="K1001" i="1"/>
  <c r="O3079" i="1"/>
  <c r="N3079" i="1"/>
  <c r="M3079" i="1"/>
  <c r="L3079" i="1"/>
  <c r="K3079" i="1"/>
  <c r="O419" i="1"/>
  <c r="N419" i="1"/>
  <c r="M419" i="1"/>
  <c r="L419" i="1"/>
  <c r="K419" i="1"/>
  <c r="O139" i="1"/>
  <c r="N139" i="1"/>
  <c r="M139" i="1"/>
  <c r="L139" i="1"/>
  <c r="K139" i="1"/>
  <c r="O1601" i="1"/>
  <c r="N1601" i="1"/>
  <c r="M1601" i="1"/>
  <c r="K1601" i="1"/>
  <c r="L1601" i="1"/>
  <c r="O1377" i="1"/>
  <c r="N1377" i="1"/>
  <c r="M1377" i="1"/>
  <c r="L1377" i="1"/>
  <c r="K1377" i="1"/>
  <c r="O705" i="1"/>
  <c r="N705" i="1"/>
  <c r="M705" i="1"/>
  <c r="L705" i="1"/>
  <c r="K705" i="1"/>
  <c r="O2165" i="1"/>
  <c r="N2165" i="1"/>
  <c r="M2165" i="1"/>
  <c r="L2165" i="1"/>
  <c r="K2165" i="1"/>
  <c r="O747" i="1"/>
  <c r="N747" i="1"/>
  <c r="M747" i="1"/>
  <c r="L747" i="1"/>
  <c r="K747" i="1"/>
  <c r="O963" i="1"/>
  <c r="N963" i="1"/>
  <c r="M963" i="1"/>
  <c r="L963" i="1"/>
  <c r="K963" i="1"/>
  <c r="O807" i="1"/>
  <c r="N807" i="1"/>
  <c r="M807" i="1"/>
  <c r="L807" i="1"/>
  <c r="K807" i="1"/>
  <c r="O1260" i="1"/>
  <c r="N1260" i="1"/>
  <c r="M1260" i="1"/>
  <c r="L1260" i="1"/>
  <c r="K1260" i="1"/>
  <c r="O1446" i="1"/>
  <c r="N1446" i="1"/>
  <c r="M1446" i="1"/>
  <c r="L1446" i="1"/>
  <c r="K1446" i="1"/>
  <c r="O3418" i="1"/>
  <c r="N3418" i="1"/>
  <c r="M3418" i="1"/>
  <c r="L3418" i="1"/>
  <c r="K3418" i="1"/>
  <c r="O3398" i="1"/>
  <c r="N3398" i="1"/>
  <c r="M3398" i="1"/>
  <c r="L3398" i="1"/>
  <c r="K3398" i="1"/>
  <c r="O2477" i="1"/>
  <c r="N2477" i="1"/>
  <c r="M2477" i="1"/>
  <c r="L2477" i="1"/>
  <c r="K2477" i="1"/>
  <c r="O3404" i="1"/>
  <c r="N3404" i="1"/>
  <c r="M3404" i="1"/>
  <c r="L3404" i="1"/>
  <c r="K3404" i="1"/>
  <c r="O2071" i="1"/>
  <c r="N2071" i="1"/>
  <c r="M2071" i="1"/>
  <c r="L2071" i="1"/>
  <c r="K2071" i="1"/>
  <c r="O257" i="1"/>
  <c r="N257" i="1"/>
  <c r="M257" i="1"/>
  <c r="L257" i="1"/>
  <c r="K257" i="1"/>
  <c r="O2522" i="1"/>
  <c r="N2522" i="1"/>
  <c r="M2522" i="1"/>
  <c r="L2522" i="1"/>
  <c r="K2522" i="1"/>
  <c r="O2758" i="1"/>
  <c r="N2758" i="1"/>
  <c r="M2758" i="1"/>
  <c r="K2758" i="1"/>
  <c r="L2758" i="1"/>
  <c r="O548" i="1"/>
  <c r="N548" i="1"/>
  <c r="M548" i="1"/>
  <c r="L548" i="1"/>
  <c r="K548" i="1"/>
  <c r="O676" i="1"/>
  <c r="N676" i="1"/>
  <c r="M676" i="1"/>
  <c r="L676" i="1"/>
  <c r="K676" i="1"/>
  <c r="O734" i="1"/>
  <c r="N734" i="1"/>
  <c r="M734" i="1"/>
  <c r="L734" i="1"/>
  <c r="K734" i="1"/>
  <c r="O3245" i="1"/>
  <c r="N3245" i="1"/>
  <c r="M3245" i="1"/>
  <c r="L3245" i="1"/>
  <c r="K3245" i="1"/>
  <c r="O1170" i="1"/>
  <c r="N1170" i="1"/>
  <c r="M1170" i="1"/>
  <c r="L1170" i="1"/>
  <c r="K1170" i="1"/>
  <c r="O2259" i="1"/>
  <c r="N2259" i="1"/>
  <c r="M2259" i="1"/>
  <c r="L2259" i="1"/>
  <c r="K2259" i="1"/>
  <c r="O1848" i="1"/>
  <c r="N1848" i="1"/>
  <c r="M1848" i="1"/>
  <c r="L1848" i="1"/>
  <c r="K1848" i="1"/>
  <c r="O1275" i="1"/>
  <c r="N1275" i="1"/>
  <c r="M1275" i="1"/>
  <c r="L1275" i="1"/>
  <c r="K1275" i="1"/>
  <c r="O2815" i="1"/>
  <c r="N2815" i="1"/>
  <c r="M2815" i="1"/>
  <c r="L2815" i="1"/>
  <c r="K2815" i="1"/>
  <c r="O27" i="1"/>
  <c r="N27" i="1"/>
  <c r="M27" i="1"/>
  <c r="L27" i="1"/>
  <c r="K27" i="1"/>
  <c r="O453" i="1"/>
  <c r="N453" i="1"/>
  <c r="M453" i="1"/>
  <c r="L453" i="1"/>
  <c r="K453" i="1"/>
  <c r="O2354" i="1"/>
  <c r="N2354" i="1"/>
  <c r="M2354" i="1"/>
  <c r="L2354" i="1"/>
  <c r="K2354" i="1"/>
  <c r="O2217" i="1"/>
  <c r="N2217" i="1"/>
  <c r="M2217" i="1"/>
  <c r="L2217" i="1"/>
  <c r="K2217" i="1"/>
  <c r="O2007" i="1"/>
  <c r="N2007" i="1"/>
  <c r="M2007" i="1"/>
  <c r="L2007" i="1"/>
  <c r="K2007" i="1"/>
  <c r="O1789" i="1"/>
  <c r="N1789" i="1"/>
  <c r="M1789" i="1"/>
  <c r="K1789" i="1"/>
  <c r="L1789" i="1"/>
  <c r="O1095" i="1"/>
  <c r="N1095" i="1"/>
  <c r="M1095" i="1"/>
  <c r="L1095" i="1"/>
  <c r="K1095" i="1"/>
  <c r="O3037" i="1"/>
  <c r="N3037" i="1"/>
  <c r="M3037" i="1"/>
  <c r="L3037" i="1"/>
  <c r="K3037" i="1"/>
  <c r="O495" i="1"/>
  <c r="N495" i="1"/>
  <c r="M495" i="1"/>
  <c r="L495" i="1"/>
  <c r="K495" i="1"/>
  <c r="O2907" i="1"/>
  <c r="N2907" i="1"/>
  <c r="M2907" i="1"/>
  <c r="L2907" i="1"/>
  <c r="K2907" i="1"/>
  <c r="O1158" i="1"/>
  <c r="N1158" i="1"/>
  <c r="M1158" i="1"/>
  <c r="L1158" i="1"/>
  <c r="K1158" i="1"/>
  <c r="O2156" i="1"/>
  <c r="N2156" i="1"/>
  <c r="M2156" i="1"/>
  <c r="L2156" i="1"/>
  <c r="K2156" i="1"/>
  <c r="O2851" i="1"/>
  <c r="N2851" i="1"/>
  <c r="M2851" i="1"/>
  <c r="L2851" i="1"/>
  <c r="K2851" i="1"/>
  <c r="O1088" i="1"/>
  <c r="N1088" i="1"/>
  <c r="M1088" i="1"/>
  <c r="L1088" i="1"/>
  <c r="K1088" i="1"/>
  <c r="O2929" i="1"/>
  <c r="N2929" i="1"/>
  <c r="M2929" i="1"/>
  <c r="L2929" i="1"/>
  <c r="K2929" i="1"/>
  <c r="O3565" i="1"/>
  <c r="N3565" i="1"/>
  <c r="M3565" i="1"/>
  <c r="L3565" i="1"/>
  <c r="K3565" i="1"/>
  <c r="O429" i="1"/>
  <c r="N429" i="1"/>
  <c r="M429" i="1"/>
  <c r="L429" i="1"/>
  <c r="K429" i="1"/>
  <c r="O2635" i="1"/>
  <c r="N2635" i="1"/>
  <c r="M2635" i="1"/>
  <c r="L2635" i="1"/>
  <c r="K2635" i="1"/>
  <c r="O3610" i="1"/>
  <c r="N3610" i="1"/>
  <c r="M3610" i="1"/>
  <c r="L3610" i="1"/>
  <c r="K3610" i="1"/>
  <c r="O3299" i="1"/>
  <c r="N3299" i="1"/>
  <c r="M3299" i="1"/>
  <c r="L3299" i="1"/>
  <c r="K3299" i="1"/>
  <c r="O844" i="1"/>
  <c r="N844" i="1"/>
  <c r="M844" i="1"/>
  <c r="L844" i="1"/>
  <c r="K844" i="1"/>
  <c r="O979" i="1"/>
  <c r="N979" i="1"/>
  <c r="M979" i="1"/>
  <c r="K979" i="1"/>
  <c r="L979" i="1"/>
  <c r="O631" i="1"/>
  <c r="M631" i="1"/>
  <c r="N631" i="1"/>
  <c r="L631" i="1"/>
  <c r="K631" i="1"/>
  <c r="O2006" i="1"/>
  <c r="N2006" i="1"/>
  <c r="M2006" i="1"/>
  <c r="L2006" i="1"/>
  <c r="K2006" i="1"/>
  <c r="O779" i="1"/>
  <c r="N779" i="1"/>
  <c r="M779" i="1"/>
  <c r="L779" i="1"/>
  <c r="K779" i="1"/>
  <c r="O1917" i="1"/>
  <c r="N1917" i="1"/>
  <c r="M1917" i="1"/>
  <c r="L1917" i="1"/>
  <c r="K1917" i="1"/>
  <c r="O546" i="1"/>
  <c r="N546" i="1"/>
  <c r="M546" i="1"/>
  <c r="L546" i="1"/>
  <c r="K546" i="1"/>
  <c r="O2854" i="1"/>
  <c r="N2854" i="1"/>
  <c r="M2854" i="1"/>
  <c r="L2854" i="1"/>
  <c r="K2854" i="1"/>
  <c r="O3524" i="1"/>
  <c r="N3524" i="1"/>
  <c r="M3524" i="1"/>
  <c r="L3524" i="1"/>
  <c r="K3524" i="1"/>
  <c r="O555" i="1"/>
  <c r="N555" i="1"/>
  <c r="M555" i="1"/>
  <c r="L555" i="1"/>
  <c r="K555" i="1"/>
  <c r="O1499" i="1"/>
  <c r="N1499" i="1"/>
  <c r="M1499" i="1"/>
  <c r="K1499" i="1"/>
  <c r="L1499" i="1"/>
  <c r="O3604" i="1"/>
  <c r="N3604" i="1"/>
  <c r="M3604" i="1"/>
  <c r="L3604" i="1"/>
  <c r="K3604" i="1"/>
  <c r="O646" i="1"/>
  <c r="N646" i="1"/>
  <c r="M646" i="1"/>
  <c r="L646" i="1"/>
  <c r="K646" i="1"/>
  <c r="O1477" i="1"/>
  <c r="N1477" i="1"/>
  <c r="M1477" i="1"/>
  <c r="L1477" i="1"/>
  <c r="K1477" i="1"/>
  <c r="O2952" i="1"/>
  <c r="N2952" i="1"/>
  <c r="M2952" i="1"/>
  <c r="L2952" i="1"/>
  <c r="K2952" i="1"/>
  <c r="O277" i="1"/>
  <c r="N277" i="1"/>
  <c r="M277" i="1"/>
  <c r="L277" i="1"/>
  <c r="K277" i="1"/>
  <c r="O3058" i="1"/>
  <c r="N3058" i="1"/>
  <c r="M3058" i="1"/>
  <c r="L3058" i="1"/>
  <c r="K3058" i="1"/>
  <c r="O3296" i="1"/>
  <c r="N3296" i="1"/>
  <c r="M3296" i="1"/>
  <c r="L3296" i="1"/>
  <c r="K3296" i="1"/>
  <c r="O614" i="1"/>
  <c r="N614" i="1"/>
  <c r="M614" i="1"/>
  <c r="L614" i="1"/>
  <c r="K614" i="1"/>
  <c r="O2840" i="1"/>
  <c r="N2840" i="1"/>
  <c r="M2840" i="1"/>
  <c r="L2840" i="1"/>
  <c r="K2840" i="1"/>
  <c r="O697" i="1"/>
  <c r="N697" i="1"/>
  <c r="M697" i="1"/>
  <c r="L697" i="1"/>
  <c r="K697" i="1"/>
  <c r="O343" i="1"/>
  <c r="N343" i="1"/>
  <c r="M343" i="1"/>
  <c r="L343" i="1"/>
  <c r="K343" i="1"/>
  <c r="O2835" i="1"/>
  <c r="N2835" i="1"/>
  <c r="M2835" i="1"/>
  <c r="L2835" i="1"/>
  <c r="K2835" i="1"/>
  <c r="O1349" i="1"/>
  <c r="N1349" i="1"/>
  <c r="M1349" i="1"/>
  <c r="L1349" i="1"/>
  <c r="K1349" i="1"/>
  <c r="O329" i="1"/>
  <c r="N329" i="1"/>
  <c r="M329" i="1"/>
  <c r="L329" i="1"/>
  <c r="K329" i="1"/>
  <c r="O2739" i="1"/>
  <c r="N2739" i="1"/>
  <c r="M2739" i="1"/>
  <c r="L2739" i="1"/>
  <c r="K2739" i="1"/>
  <c r="O1205" i="1"/>
  <c r="N1205" i="1"/>
  <c r="M1205" i="1"/>
  <c r="L1205" i="1"/>
  <c r="K1205" i="1"/>
  <c r="O2515" i="1"/>
  <c r="N2515" i="1"/>
  <c r="M2515" i="1"/>
  <c r="L2515" i="1"/>
  <c r="K2515" i="1"/>
  <c r="O3614" i="1"/>
  <c r="N3614" i="1"/>
  <c r="M3614" i="1"/>
  <c r="L3614" i="1"/>
  <c r="K3614" i="1"/>
  <c r="O407" i="1"/>
  <c r="N407" i="1"/>
  <c r="M407" i="1"/>
  <c r="L407" i="1"/>
  <c r="K407" i="1"/>
  <c r="O1982" i="1"/>
  <c r="N1982" i="1"/>
  <c r="M1982" i="1"/>
  <c r="L1982" i="1"/>
  <c r="K1982" i="1"/>
  <c r="O489" i="1"/>
  <c r="N489" i="1"/>
  <c r="M489" i="1"/>
  <c r="L489" i="1"/>
  <c r="K489" i="1"/>
  <c r="O3361" i="1"/>
  <c r="N3361" i="1"/>
  <c r="M3361" i="1"/>
  <c r="L3361" i="1"/>
  <c r="K3361" i="1"/>
  <c r="O1122" i="1"/>
  <c r="N1122" i="1"/>
  <c r="M1122" i="1"/>
  <c r="L1122" i="1"/>
  <c r="K1122" i="1"/>
  <c r="O805" i="1"/>
  <c r="N805" i="1"/>
  <c r="M805" i="1"/>
  <c r="L805" i="1"/>
  <c r="K805" i="1"/>
  <c r="O2032" i="1"/>
  <c r="N2032" i="1"/>
  <c r="M2032" i="1"/>
  <c r="L2032" i="1"/>
  <c r="K2032" i="1"/>
  <c r="O3264" i="1"/>
  <c r="N3264" i="1"/>
  <c r="M3264" i="1"/>
  <c r="L3264" i="1"/>
  <c r="K3264" i="1"/>
  <c r="O373" i="1"/>
  <c r="N373" i="1"/>
  <c r="M373" i="1"/>
  <c r="K373" i="1"/>
  <c r="L373" i="1"/>
  <c r="O1317" i="1"/>
  <c r="M1317" i="1"/>
  <c r="N1317" i="1"/>
  <c r="L1317" i="1"/>
  <c r="K1317" i="1"/>
  <c r="O1747" i="1"/>
  <c r="N1747" i="1"/>
  <c r="M1747" i="1"/>
  <c r="L1747" i="1"/>
  <c r="K1747" i="1"/>
  <c r="O1868" i="1"/>
  <c r="N1868" i="1"/>
  <c r="M1868" i="1"/>
  <c r="L1868" i="1"/>
  <c r="K1868" i="1"/>
  <c r="O702" i="1"/>
  <c r="N702" i="1"/>
  <c r="M702" i="1"/>
  <c r="L702" i="1"/>
  <c r="K702" i="1"/>
  <c r="O263" i="1"/>
  <c r="N263" i="1"/>
  <c r="M263" i="1"/>
  <c r="L263" i="1"/>
  <c r="K263" i="1"/>
  <c r="O403" i="1"/>
  <c r="N403" i="1"/>
  <c r="M403" i="1"/>
  <c r="L403" i="1"/>
  <c r="K403" i="1"/>
  <c r="O1465" i="1"/>
  <c r="N1465" i="1"/>
  <c r="M1465" i="1"/>
  <c r="L1465" i="1"/>
  <c r="K1465" i="1"/>
  <c r="O3457" i="1"/>
  <c r="N3457" i="1"/>
  <c r="M3457" i="1"/>
  <c r="L3457" i="1"/>
  <c r="K3457" i="1"/>
  <c r="O3011" i="1"/>
  <c r="N3011" i="1"/>
  <c r="M3011" i="1"/>
  <c r="L3011" i="1"/>
  <c r="O2491" i="1"/>
  <c r="N2491" i="1"/>
  <c r="M2491" i="1"/>
  <c r="L2491" i="1"/>
  <c r="K2491" i="1"/>
  <c r="O1853" i="1"/>
  <c r="N1853" i="1"/>
  <c r="M1853" i="1"/>
  <c r="L1853" i="1"/>
  <c r="K1853" i="1"/>
  <c r="O2656" i="1"/>
  <c r="N2656" i="1"/>
  <c r="M2656" i="1"/>
  <c r="L2656" i="1"/>
  <c r="K2656" i="1"/>
  <c r="O3500" i="1"/>
  <c r="N3500" i="1"/>
  <c r="M3500" i="1"/>
  <c r="L3500" i="1"/>
  <c r="K3500" i="1"/>
  <c r="O1391" i="1"/>
  <c r="N1391" i="1"/>
  <c r="M1391" i="1"/>
  <c r="L1391" i="1"/>
  <c r="K1391" i="1"/>
  <c r="O511" i="1"/>
  <c r="N511" i="1"/>
  <c r="M511" i="1"/>
  <c r="L511" i="1"/>
  <c r="K511" i="1"/>
  <c r="O1476" i="1"/>
  <c r="N1476" i="1"/>
  <c r="M1476" i="1"/>
  <c r="L1476" i="1"/>
  <c r="K1476" i="1"/>
  <c r="O1186" i="1"/>
  <c r="N1186" i="1"/>
  <c r="M1186" i="1"/>
  <c r="L1186" i="1"/>
  <c r="O1794" i="1"/>
  <c r="N1794" i="1"/>
  <c r="M1794" i="1"/>
  <c r="L1794" i="1"/>
  <c r="K1794" i="1"/>
  <c r="O1852" i="1"/>
  <c r="N1852" i="1"/>
  <c r="M1852" i="1"/>
  <c r="L1852" i="1"/>
  <c r="K1852" i="1"/>
  <c r="O2455" i="1"/>
  <c r="N2455" i="1"/>
  <c r="M2455" i="1"/>
  <c r="L2455" i="1"/>
  <c r="K2455" i="1"/>
  <c r="O2366" i="1"/>
  <c r="N2366" i="1"/>
  <c r="M2366" i="1"/>
  <c r="L2366" i="1"/>
  <c r="K2366" i="1"/>
  <c r="O354" i="1"/>
  <c r="N354" i="1"/>
  <c r="M354" i="1"/>
  <c r="L354" i="1"/>
  <c r="K354" i="1"/>
  <c r="O932" i="1"/>
  <c r="N932" i="1"/>
  <c r="M932" i="1"/>
  <c r="L932" i="1"/>
  <c r="K932" i="1"/>
  <c r="O118" i="1"/>
  <c r="N118" i="1"/>
  <c r="M118" i="1"/>
  <c r="L118" i="1"/>
  <c r="K118" i="1"/>
  <c r="O2486" i="1"/>
  <c r="N2486" i="1"/>
  <c r="M2486" i="1"/>
  <c r="L2486" i="1"/>
  <c r="O262" i="1"/>
  <c r="N262" i="1"/>
  <c r="M262" i="1"/>
  <c r="L262" i="1"/>
  <c r="K262" i="1"/>
  <c r="O3306" i="1"/>
  <c r="N3306" i="1"/>
  <c r="M3306" i="1"/>
  <c r="L3306" i="1"/>
  <c r="K3306" i="1"/>
  <c r="O534" i="1"/>
  <c r="N534" i="1"/>
  <c r="M534" i="1"/>
  <c r="L534" i="1"/>
  <c r="K534" i="1"/>
  <c r="O3430" i="1"/>
  <c r="N3430" i="1"/>
  <c r="M3430" i="1"/>
  <c r="L3430" i="1"/>
  <c r="K3430" i="1"/>
  <c r="O2676" i="1"/>
  <c r="N2676" i="1"/>
  <c r="M2676" i="1"/>
  <c r="L2676" i="1"/>
  <c r="K2676" i="1"/>
  <c r="O3512" i="1"/>
  <c r="N3512" i="1"/>
  <c r="M3512" i="1"/>
  <c r="L3512" i="1"/>
  <c r="K3512" i="1"/>
  <c r="O295" i="1"/>
  <c r="N295" i="1"/>
  <c r="M295" i="1"/>
  <c r="L295" i="1"/>
  <c r="K295" i="1"/>
  <c r="O713" i="1"/>
  <c r="N713" i="1"/>
  <c r="M713" i="1"/>
  <c r="L713" i="1"/>
  <c r="O607" i="1"/>
  <c r="N607" i="1"/>
  <c r="M607" i="1"/>
  <c r="L607" i="1"/>
  <c r="K607" i="1"/>
  <c r="O2044" i="1"/>
  <c r="N2044" i="1"/>
  <c r="M2044" i="1"/>
  <c r="L2044" i="1"/>
  <c r="K2044" i="1"/>
  <c r="O2263" i="1"/>
  <c r="N2263" i="1"/>
  <c r="M2263" i="1"/>
  <c r="L2263" i="1"/>
  <c r="K2263" i="1"/>
  <c r="O217" i="1"/>
  <c r="N217" i="1"/>
  <c r="M217" i="1"/>
  <c r="L217" i="1"/>
  <c r="K217" i="1"/>
  <c r="O488" i="1"/>
  <c r="N488" i="1"/>
  <c r="M488" i="1"/>
  <c r="L488" i="1"/>
  <c r="K488" i="1"/>
  <c r="O2285" i="1"/>
  <c r="N2285" i="1"/>
  <c r="M2285" i="1"/>
  <c r="L2285" i="1"/>
  <c r="K2285" i="1"/>
  <c r="O3567" i="1"/>
  <c r="N3567" i="1"/>
  <c r="M3567" i="1"/>
  <c r="L3567" i="1"/>
  <c r="K3567" i="1"/>
  <c r="O3422" i="1"/>
  <c r="N3422" i="1"/>
  <c r="M3422" i="1"/>
  <c r="L3422" i="1"/>
  <c r="O3075" i="1"/>
  <c r="N3075" i="1"/>
  <c r="M3075" i="1"/>
  <c r="L3075" i="1"/>
  <c r="K3075" i="1"/>
  <c r="O10" i="1"/>
  <c r="N10" i="1"/>
  <c r="M10" i="1"/>
  <c r="L10" i="1"/>
  <c r="K10" i="1"/>
  <c r="O55" i="1"/>
  <c r="N55" i="1"/>
  <c r="M55" i="1"/>
  <c r="L55" i="1"/>
  <c r="K55" i="1"/>
  <c r="O1674" i="1"/>
  <c r="N1674" i="1"/>
  <c r="M1674" i="1"/>
  <c r="L1674" i="1"/>
  <c r="K1674" i="1"/>
  <c r="O2284" i="1"/>
  <c r="N2284" i="1"/>
  <c r="M2284" i="1"/>
  <c r="L2284" i="1"/>
  <c r="O3010" i="1"/>
  <c r="N3010" i="1"/>
  <c r="M3010" i="1"/>
  <c r="L3010" i="1"/>
  <c r="K3010" i="1"/>
  <c r="O1257" i="1"/>
  <c r="N1257" i="1"/>
  <c r="M1257" i="1"/>
  <c r="L1257" i="1"/>
  <c r="K1257" i="1"/>
  <c r="O2644" i="1"/>
  <c r="N2644" i="1"/>
  <c r="M2644" i="1"/>
  <c r="L2644" i="1"/>
  <c r="K2644" i="1"/>
  <c r="O2596" i="1"/>
  <c r="N2596" i="1"/>
  <c r="M2596" i="1"/>
  <c r="L2596" i="1"/>
  <c r="K2596" i="1"/>
  <c r="O126" i="1"/>
  <c r="N126" i="1"/>
  <c r="M126" i="1"/>
  <c r="L126" i="1"/>
  <c r="K126" i="1"/>
  <c r="O3360" i="1"/>
  <c r="N3360" i="1"/>
  <c r="M3360" i="1"/>
  <c r="L3360" i="1"/>
  <c r="K3360" i="1"/>
  <c r="O2141" i="1"/>
  <c r="N2141" i="1"/>
  <c r="M2141" i="1"/>
  <c r="L2141" i="1"/>
  <c r="K2141" i="1"/>
  <c r="O2725" i="1"/>
  <c r="N2725" i="1"/>
  <c r="M2725" i="1"/>
  <c r="L2725" i="1"/>
  <c r="O2210" i="1"/>
  <c r="N2210" i="1"/>
  <c r="M2210" i="1"/>
  <c r="L2210" i="1"/>
  <c r="K2210" i="1"/>
  <c r="O889" i="1"/>
  <c r="N889" i="1"/>
  <c r="M889" i="1"/>
  <c r="L889" i="1"/>
  <c r="K889" i="1"/>
  <c r="O3516" i="1"/>
  <c r="N3516" i="1"/>
  <c r="M3516" i="1"/>
  <c r="L3516" i="1"/>
  <c r="K3516" i="1"/>
  <c r="O3317" i="1"/>
  <c r="N3317" i="1"/>
  <c r="M3317" i="1"/>
  <c r="L3317" i="1"/>
  <c r="K3317" i="1"/>
  <c r="O2402" i="1"/>
  <c r="N2402" i="1"/>
  <c r="M2402" i="1"/>
  <c r="L2402" i="1"/>
  <c r="K2402" i="1"/>
  <c r="O738" i="1"/>
  <c r="N738" i="1"/>
  <c r="M738" i="1"/>
  <c r="L738" i="1"/>
  <c r="K738" i="1"/>
  <c r="O2562" i="1"/>
  <c r="N2562" i="1"/>
  <c r="M2562" i="1"/>
  <c r="L2562" i="1"/>
  <c r="K2562" i="1"/>
  <c r="O3508" i="1"/>
  <c r="N3508" i="1"/>
  <c r="M3508" i="1"/>
  <c r="L3508" i="1"/>
  <c r="O2615" i="1"/>
  <c r="N2615" i="1"/>
  <c r="M2615" i="1"/>
  <c r="L2615" i="1"/>
  <c r="K2615" i="1"/>
  <c r="O3289" i="1"/>
  <c r="N3289" i="1"/>
  <c r="M3289" i="1"/>
  <c r="L3289" i="1"/>
  <c r="K3289" i="1"/>
  <c r="O3561" i="1"/>
  <c r="N3561" i="1"/>
  <c r="M3561" i="1"/>
  <c r="L3561" i="1"/>
  <c r="K3561" i="1"/>
  <c r="K145" i="1"/>
  <c r="K2486" i="1"/>
  <c r="K2725" i="1"/>
  <c r="K3250" i="1"/>
  <c r="O1614" i="1"/>
  <c r="N1614" i="1"/>
  <c r="M1614" i="1"/>
  <c r="L1614" i="1"/>
  <c r="K1614" i="1"/>
  <c r="O248" i="1"/>
  <c r="N248" i="1"/>
  <c r="M248" i="1"/>
  <c r="L248" i="1"/>
  <c r="K248" i="1"/>
  <c r="O352" i="1"/>
  <c r="N352" i="1"/>
  <c r="M352" i="1"/>
  <c r="L352" i="1"/>
  <c r="K352" i="1"/>
  <c r="O2499" i="1"/>
  <c r="N2499" i="1"/>
  <c r="M2499" i="1"/>
  <c r="L2499" i="1"/>
  <c r="K2499" i="1"/>
  <c r="O64" i="1"/>
  <c r="N64" i="1"/>
  <c r="M64" i="1"/>
  <c r="L64" i="1"/>
  <c r="K64" i="1"/>
  <c r="O1686" i="1"/>
  <c r="N1686" i="1"/>
  <c r="M1686" i="1"/>
  <c r="L1686" i="1"/>
  <c r="K1686" i="1"/>
  <c r="O1588" i="1"/>
  <c r="N1588" i="1"/>
  <c r="M1588" i="1"/>
  <c r="L1588" i="1"/>
  <c r="K1588" i="1"/>
  <c r="O1155" i="1"/>
  <c r="N1155" i="1"/>
  <c r="M1155" i="1"/>
  <c r="L1155" i="1"/>
  <c r="K1155" i="1"/>
  <c r="O2535" i="1"/>
  <c r="N2535" i="1"/>
  <c r="M2535" i="1"/>
  <c r="L2535" i="1"/>
  <c r="K2535" i="1"/>
  <c r="O96" i="1"/>
  <c r="N96" i="1"/>
  <c r="M96" i="1"/>
  <c r="L96" i="1"/>
  <c r="K96" i="1"/>
  <c r="O3351" i="1"/>
  <c r="N3351" i="1"/>
  <c r="M3351" i="1"/>
  <c r="L3351" i="1"/>
  <c r="K3351" i="1"/>
  <c r="O1386" i="1"/>
  <c r="N1386" i="1"/>
  <c r="M1386" i="1"/>
  <c r="L1386" i="1"/>
  <c r="K1386" i="1"/>
  <c r="O1107" i="1"/>
  <c r="N1107" i="1"/>
  <c r="M1107" i="1"/>
  <c r="L1107" i="1"/>
  <c r="K1107" i="1"/>
  <c r="O578" i="1"/>
  <c r="N578" i="1"/>
  <c r="M578" i="1"/>
  <c r="L578" i="1"/>
  <c r="K578" i="1"/>
  <c r="O1116" i="1"/>
  <c r="N1116" i="1"/>
  <c r="M1116" i="1"/>
  <c r="L1116" i="1"/>
  <c r="K1116" i="1"/>
  <c r="O1144" i="1"/>
  <c r="N1144" i="1"/>
  <c r="M1144" i="1"/>
  <c r="L1144" i="1"/>
  <c r="K1144" i="1"/>
  <c r="O2506" i="1"/>
  <c r="N2506" i="1"/>
  <c r="M2506" i="1"/>
  <c r="L2506" i="1"/>
  <c r="K2506" i="1"/>
  <c r="O2772" i="1"/>
  <c r="N2772" i="1"/>
  <c r="M2772" i="1"/>
  <c r="L2772" i="1"/>
  <c r="K2772" i="1"/>
  <c r="O838" i="1"/>
  <c r="N838" i="1"/>
  <c r="M838" i="1"/>
  <c r="K838" i="1"/>
  <c r="L838" i="1"/>
  <c r="O652" i="1"/>
  <c r="N652" i="1"/>
  <c r="M652" i="1"/>
  <c r="L652" i="1"/>
  <c r="K652" i="1"/>
  <c r="O3453" i="1"/>
  <c r="N3453" i="1"/>
  <c r="M3453" i="1"/>
  <c r="L3453" i="1"/>
  <c r="K3453" i="1"/>
  <c r="O1179" i="1"/>
  <c r="N1179" i="1"/>
  <c r="L1179" i="1"/>
  <c r="M1179" i="1"/>
  <c r="K1179" i="1"/>
  <c r="O663" i="1"/>
  <c r="N663" i="1"/>
  <c r="M663" i="1"/>
  <c r="L663" i="1"/>
  <c r="K663" i="1"/>
  <c r="O3391" i="1"/>
  <c r="N3391" i="1"/>
  <c r="M3391" i="1"/>
  <c r="L3391" i="1"/>
  <c r="K3391" i="1"/>
  <c r="O3521" i="1"/>
  <c r="N3521" i="1"/>
  <c r="M3521" i="1"/>
  <c r="L3521" i="1"/>
  <c r="K3521" i="1"/>
  <c r="O1559" i="1"/>
  <c r="N1559" i="1"/>
  <c r="M1559" i="1"/>
  <c r="L1559" i="1"/>
  <c r="K1559" i="1"/>
  <c r="O1656" i="1"/>
  <c r="N1656" i="1"/>
  <c r="M1656" i="1"/>
  <c r="K1656" i="1"/>
  <c r="L1656" i="1"/>
  <c r="O1454" i="1"/>
  <c r="N1454" i="1"/>
  <c r="M1454" i="1"/>
  <c r="L1454" i="1"/>
  <c r="K1454" i="1"/>
  <c r="O269" i="1"/>
  <c r="N269" i="1"/>
  <c r="M269" i="1"/>
  <c r="L269" i="1"/>
  <c r="K269" i="1"/>
  <c r="O2531" i="1"/>
  <c r="N2531" i="1"/>
  <c r="M2531" i="1"/>
  <c r="L2531" i="1"/>
  <c r="K2531" i="1"/>
  <c r="O966" i="1"/>
  <c r="N966" i="1"/>
  <c r="M966" i="1"/>
  <c r="L966" i="1"/>
  <c r="K966" i="1"/>
  <c r="O686" i="1"/>
  <c r="N686" i="1"/>
  <c r="M686" i="1"/>
  <c r="L686" i="1"/>
  <c r="K686" i="1"/>
  <c r="O2826" i="1"/>
  <c r="N2826" i="1"/>
  <c r="M2826" i="1"/>
  <c r="L2826" i="1"/>
  <c r="K2826" i="1"/>
  <c r="O293" i="1"/>
  <c r="N293" i="1"/>
  <c r="M293" i="1"/>
  <c r="L293" i="1"/>
  <c r="K293" i="1"/>
  <c r="O2979" i="1"/>
  <c r="N2979" i="1"/>
  <c r="M2979" i="1"/>
  <c r="L2979" i="1"/>
  <c r="K2979" i="1"/>
  <c r="O423" i="1"/>
  <c r="N423" i="1"/>
  <c r="M423" i="1"/>
  <c r="L423" i="1"/>
  <c r="K423" i="1"/>
  <c r="O3109" i="1"/>
  <c r="N3109" i="1"/>
  <c r="M3109" i="1"/>
  <c r="L3109" i="1"/>
  <c r="K3109" i="1"/>
  <c r="O130" i="1"/>
  <c r="N130" i="1"/>
  <c r="M130" i="1"/>
  <c r="L130" i="1"/>
  <c r="K130" i="1"/>
  <c r="O1730" i="1"/>
  <c r="N1730" i="1"/>
  <c r="M1730" i="1"/>
  <c r="L1730" i="1"/>
  <c r="K1730" i="1"/>
  <c r="O1173" i="1"/>
  <c r="N1173" i="1"/>
  <c r="M1173" i="1"/>
  <c r="L1173" i="1"/>
  <c r="K1173" i="1"/>
  <c r="O2136" i="1"/>
  <c r="N2136" i="1"/>
  <c r="M2136" i="1"/>
  <c r="L2136" i="1"/>
  <c r="K2136" i="1"/>
  <c r="O1739" i="1"/>
  <c r="N1739" i="1"/>
  <c r="M1739" i="1"/>
  <c r="L1739" i="1"/>
  <c r="K1739" i="1"/>
  <c r="O253" i="1"/>
  <c r="N253" i="1"/>
  <c r="M253" i="1"/>
  <c r="L253" i="1"/>
  <c r="K253" i="1"/>
  <c r="O89" i="1"/>
  <c r="N89" i="1"/>
  <c r="M89" i="1"/>
  <c r="L89" i="1"/>
  <c r="K89" i="1"/>
  <c r="O996" i="1"/>
  <c r="N996" i="1"/>
  <c r="M996" i="1"/>
  <c r="L996" i="1"/>
  <c r="K996" i="1"/>
  <c r="O1945" i="1"/>
  <c r="N1945" i="1"/>
  <c r="M1945" i="1"/>
  <c r="L1945" i="1"/>
  <c r="K1945" i="1"/>
  <c r="O169" i="1"/>
  <c r="N169" i="1"/>
  <c r="M169" i="1"/>
  <c r="L169" i="1"/>
  <c r="K169" i="1"/>
  <c r="O348" i="1"/>
  <c r="N348" i="1"/>
  <c r="M348" i="1"/>
  <c r="L348" i="1"/>
  <c r="K348" i="1"/>
  <c r="O200" i="1"/>
  <c r="N200" i="1"/>
  <c r="M200" i="1"/>
  <c r="L200" i="1"/>
  <c r="K200" i="1"/>
  <c r="O184" i="1"/>
  <c r="N184" i="1"/>
  <c r="M184" i="1"/>
  <c r="L184" i="1"/>
  <c r="K184" i="1"/>
  <c r="O3445" i="1"/>
  <c r="N3445" i="1"/>
  <c r="M3445" i="1"/>
  <c r="L3445" i="1"/>
  <c r="K3445" i="1"/>
  <c r="O178" i="1"/>
  <c r="N178" i="1"/>
  <c r="M178" i="1"/>
  <c r="L178" i="1"/>
  <c r="K178" i="1"/>
  <c r="O1346" i="1"/>
  <c r="N1346" i="1"/>
  <c r="M1346" i="1"/>
  <c r="L1346" i="1"/>
  <c r="K1346" i="1"/>
  <c r="O1038" i="1"/>
  <c r="N1038" i="1"/>
  <c r="M1038" i="1"/>
  <c r="K1038" i="1"/>
  <c r="L1038" i="1"/>
  <c r="O2575" i="1"/>
  <c r="N2575" i="1"/>
  <c r="M2575" i="1"/>
  <c r="L2575" i="1"/>
  <c r="K2575" i="1"/>
  <c r="O3068" i="1"/>
  <c r="N3068" i="1"/>
  <c r="M3068" i="1"/>
  <c r="L3068" i="1"/>
  <c r="K3068" i="1"/>
  <c r="O3451" i="1"/>
  <c r="N3451" i="1"/>
  <c r="M3451" i="1"/>
  <c r="L3451" i="1"/>
  <c r="K3451" i="1"/>
  <c r="O1017" i="1"/>
  <c r="N1017" i="1"/>
  <c r="M1017" i="1"/>
  <c r="K1017" i="1"/>
  <c r="L1017" i="1"/>
  <c r="O1892" i="1"/>
  <c r="N1892" i="1"/>
  <c r="M1892" i="1"/>
  <c r="L1892" i="1"/>
  <c r="K1892" i="1"/>
  <c r="O557" i="1"/>
  <c r="N557" i="1"/>
  <c r="M557" i="1"/>
  <c r="L557" i="1"/>
  <c r="K557" i="1"/>
  <c r="O2058" i="1"/>
  <c r="N2058" i="1"/>
  <c r="M2058" i="1"/>
  <c r="L2058" i="1"/>
  <c r="K2058" i="1"/>
  <c r="O1126" i="1"/>
  <c r="N1126" i="1"/>
  <c r="M1126" i="1"/>
  <c r="K1126" i="1"/>
  <c r="L1126" i="1"/>
  <c r="O3212" i="1"/>
  <c r="N3212" i="1"/>
  <c r="M3212" i="1"/>
  <c r="L3212" i="1"/>
  <c r="K3212" i="1"/>
  <c r="O3094" i="1"/>
  <c r="N3094" i="1"/>
  <c r="M3094" i="1"/>
  <c r="L3094" i="1"/>
  <c r="K3094" i="1"/>
  <c r="O2818" i="1"/>
  <c r="N2818" i="1"/>
  <c r="M2818" i="1"/>
  <c r="L2818" i="1"/>
  <c r="K2818" i="1"/>
  <c r="O1764" i="1"/>
  <c r="N1764" i="1"/>
  <c r="M1764" i="1"/>
  <c r="K1764" i="1"/>
  <c r="L1764" i="1"/>
  <c r="O3444" i="1"/>
  <c r="N3444" i="1"/>
  <c r="M3444" i="1"/>
  <c r="L3444" i="1"/>
  <c r="K3444" i="1"/>
  <c r="O2077" i="1"/>
  <c r="N2077" i="1"/>
  <c r="M2077" i="1"/>
  <c r="L2077" i="1"/>
  <c r="K2077" i="1"/>
  <c r="O1898" i="1"/>
  <c r="N1898" i="1"/>
  <c r="M1898" i="1"/>
  <c r="L1898" i="1"/>
  <c r="K1898" i="1"/>
  <c r="O16" i="1"/>
  <c r="N16" i="1"/>
  <c r="M16" i="1"/>
  <c r="K16" i="1"/>
  <c r="L16" i="1"/>
  <c r="O1501" i="1"/>
  <c r="N1501" i="1"/>
  <c r="M1501" i="1"/>
  <c r="L1501" i="1"/>
  <c r="K1501" i="1"/>
  <c r="O2448" i="1"/>
  <c r="N2448" i="1"/>
  <c r="M2448" i="1"/>
  <c r="L2448" i="1"/>
  <c r="K2448" i="1"/>
  <c r="O2917" i="1"/>
  <c r="N2917" i="1"/>
  <c r="M2917" i="1"/>
  <c r="L2917" i="1"/>
  <c r="K2917" i="1"/>
  <c r="O1525" i="1"/>
  <c r="N1525" i="1"/>
  <c r="M1525" i="1"/>
  <c r="K1525" i="1"/>
  <c r="L1525" i="1"/>
  <c r="O1384" i="1"/>
  <c r="N1384" i="1"/>
  <c r="M1384" i="1"/>
  <c r="L1384" i="1"/>
  <c r="K1384" i="1"/>
  <c r="O3048" i="1"/>
  <c r="N3048" i="1"/>
  <c r="M3048" i="1"/>
  <c r="L3048" i="1"/>
  <c r="K3048" i="1"/>
  <c r="O3201" i="1"/>
  <c r="N3201" i="1"/>
  <c r="M3201" i="1"/>
  <c r="L3201" i="1"/>
  <c r="K3201" i="1"/>
  <c r="O2497" i="1"/>
  <c r="N2497" i="1"/>
  <c r="M2497" i="1"/>
  <c r="K2497" i="1"/>
  <c r="L2497" i="1"/>
  <c r="O3378" i="1"/>
  <c r="N3378" i="1"/>
  <c r="M3378" i="1"/>
  <c r="L3378" i="1"/>
  <c r="K3378" i="1"/>
  <c r="O438" i="1"/>
  <c r="N438" i="1"/>
  <c r="M438" i="1"/>
  <c r="L438" i="1"/>
  <c r="K438" i="1"/>
  <c r="O177" i="1"/>
  <c r="N177" i="1"/>
  <c r="M177" i="1"/>
  <c r="L177" i="1"/>
  <c r="K177" i="1"/>
  <c r="O1491" i="1"/>
  <c r="N1491" i="1"/>
  <c r="M1491" i="1"/>
  <c r="K1491" i="1"/>
  <c r="L1491" i="1"/>
  <c r="O1293" i="1"/>
  <c r="N1293" i="1"/>
  <c r="M1293" i="1"/>
  <c r="L1293" i="1"/>
  <c r="K1293" i="1"/>
  <c r="O1661" i="1"/>
  <c r="N1661" i="1"/>
  <c r="M1661" i="1"/>
  <c r="L1661" i="1"/>
  <c r="K1661" i="1"/>
  <c r="O2257" i="1"/>
  <c r="N2257" i="1"/>
  <c r="M2257" i="1"/>
  <c r="L2257" i="1"/>
  <c r="K2257" i="1"/>
  <c r="O1770" i="1"/>
  <c r="N1770" i="1"/>
  <c r="M1770" i="1"/>
  <c r="K1770" i="1"/>
  <c r="L1770" i="1"/>
  <c r="O969" i="1"/>
  <c r="N969" i="1"/>
  <c r="M969" i="1"/>
  <c r="L969" i="1"/>
  <c r="K969" i="1"/>
  <c r="O2793" i="1"/>
  <c r="N2793" i="1"/>
  <c r="M2793" i="1"/>
  <c r="L2793" i="1"/>
  <c r="K2793" i="1"/>
  <c r="O2256" i="1"/>
  <c r="N2256" i="1"/>
  <c r="M2256" i="1"/>
  <c r="L2256" i="1"/>
  <c r="K2256" i="1"/>
  <c r="O834" i="1"/>
  <c r="N834" i="1"/>
  <c r="M834" i="1"/>
  <c r="K834" i="1"/>
  <c r="L834" i="1"/>
  <c r="O3505" i="1"/>
  <c r="N3505" i="1"/>
  <c r="M3505" i="1"/>
  <c r="L3505" i="1"/>
  <c r="K3505" i="1"/>
  <c r="O1050" i="1"/>
  <c r="N1050" i="1"/>
  <c r="M1050" i="1"/>
  <c r="L1050" i="1"/>
  <c r="K1050" i="1"/>
  <c r="O2971" i="1"/>
  <c r="N2971" i="1"/>
  <c r="M2971" i="1"/>
  <c r="L2971" i="1"/>
  <c r="K2971" i="1"/>
  <c r="O2022" i="1"/>
  <c r="N2022" i="1"/>
  <c r="M2022" i="1"/>
  <c r="K2022" i="1"/>
  <c r="L2022" i="1"/>
  <c r="O945" i="1"/>
  <c r="N945" i="1"/>
  <c r="M945" i="1"/>
  <c r="L945" i="1"/>
  <c r="K945" i="1"/>
  <c r="O1555" i="1"/>
  <c r="N1555" i="1"/>
  <c r="M1555" i="1"/>
  <c r="L1555" i="1"/>
  <c r="K1555" i="1"/>
  <c r="O326" i="1"/>
  <c r="N326" i="1"/>
  <c r="M326" i="1"/>
  <c r="L326" i="1"/>
  <c r="K326" i="1"/>
  <c r="O2128" i="1"/>
  <c r="N2128" i="1"/>
  <c r="M2128" i="1"/>
  <c r="K2128" i="1"/>
  <c r="L2128" i="1"/>
  <c r="O267" i="1"/>
  <c r="N267" i="1"/>
  <c r="M267" i="1"/>
  <c r="L267" i="1"/>
  <c r="K267" i="1"/>
  <c r="O2947" i="1"/>
  <c r="N2947" i="1"/>
  <c r="M2947" i="1"/>
  <c r="L2947" i="1"/>
  <c r="K2947" i="1"/>
  <c r="O3176" i="1"/>
  <c r="N3176" i="1"/>
  <c r="M3176" i="1"/>
  <c r="L3176" i="1"/>
  <c r="K3176" i="1"/>
  <c r="O3523" i="1"/>
  <c r="N3523" i="1"/>
  <c r="M3523" i="1"/>
  <c r="K3523" i="1"/>
  <c r="L3523" i="1"/>
  <c r="O76" i="1"/>
  <c r="N76" i="1"/>
  <c r="M76" i="1"/>
  <c r="L76" i="1"/>
  <c r="K76" i="1"/>
  <c r="O1237" i="1"/>
  <c r="N1237" i="1"/>
  <c r="M1237" i="1"/>
  <c r="L1237" i="1"/>
  <c r="K1237" i="1"/>
  <c r="O1049" i="1"/>
  <c r="N1049" i="1"/>
  <c r="M1049" i="1"/>
  <c r="L1049" i="1"/>
  <c r="K1049" i="1"/>
  <c r="O898" i="1"/>
  <c r="N898" i="1"/>
  <c r="M898" i="1"/>
  <c r="K898" i="1"/>
  <c r="L898" i="1"/>
  <c r="O3423" i="1"/>
  <c r="N3423" i="1"/>
  <c r="M3423" i="1"/>
  <c r="L3423" i="1"/>
  <c r="K3423" i="1"/>
  <c r="O1490" i="1"/>
  <c r="N1490" i="1"/>
  <c r="M1490" i="1"/>
  <c r="L1490" i="1"/>
  <c r="K1490" i="1"/>
  <c r="O1272" i="1"/>
  <c r="N1272" i="1"/>
  <c r="M1272" i="1"/>
  <c r="L1272" i="1"/>
  <c r="K1272" i="1"/>
  <c r="O1424" i="1"/>
  <c r="N1424" i="1"/>
  <c r="M1424" i="1"/>
  <c r="K1424" i="1"/>
  <c r="L1424" i="1"/>
  <c r="O867" i="1"/>
  <c r="N867" i="1"/>
  <c r="M867" i="1"/>
  <c r="L867" i="1"/>
  <c r="K867" i="1"/>
  <c r="O1489" i="1"/>
  <c r="N1489" i="1"/>
  <c r="M1489" i="1"/>
  <c r="L1489" i="1"/>
  <c r="K1489" i="1"/>
  <c r="O1097" i="1"/>
  <c r="N1097" i="1"/>
  <c r="M1097" i="1"/>
  <c r="L1097" i="1"/>
  <c r="K1097" i="1"/>
  <c r="O1611" i="1"/>
  <c r="N1611" i="1"/>
  <c r="M1611" i="1"/>
  <c r="K1611" i="1"/>
  <c r="L1611" i="1"/>
  <c r="O1566" i="1"/>
  <c r="N1566" i="1"/>
  <c r="M1566" i="1"/>
  <c r="L1566" i="1"/>
  <c r="K1566" i="1"/>
  <c r="O2573" i="1"/>
  <c r="N2573" i="1"/>
  <c r="M2573" i="1"/>
  <c r="L2573" i="1"/>
  <c r="K2573" i="1"/>
  <c r="O549" i="1"/>
  <c r="N549" i="1"/>
  <c r="M549" i="1"/>
  <c r="K549" i="1"/>
  <c r="L549" i="1"/>
  <c r="O2587" i="1"/>
  <c r="N2587" i="1"/>
  <c r="M2587" i="1"/>
  <c r="L2587" i="1"/>
  <c r="K2587" i="1"/>
  <c r="O2999" i="1"/>
  <c r="N2999" i="1"/>
  <c r="M2999" i="1"/>
  <c r="L2999" i="1"/>
  <c r="K2999" i="1"/>
  <c r="O2133" i="1"/>
  <c r="N2133" i="1"/>
  <c r="M2133" i="1"/>
  <c r="L2133" i="1"/>
  <c r="K2133" i="1"/>
  <c r="O2902" i="1"/>
  <c r="N2902" i="1"/>
  <c r="M2902" i="1"/>
  <c r="L2902" i="1"/>
  <c r="K2902" i="1"/>
  <c r="O2668" i="1"/>
  <c r="N2668" i="1"/>
  <c r="M2668" i="1"/>
  <c r="L2668" i="1"/>
  <c r="K2668" i="1"/>
  <c r="O1312" i="1"/>
  <c r="N1312" i="1"/>
  <c r="M1312" i="1"/>
  <c r="L1312" i="1"/>
  <c r="K1312" i="1"/>
  <c r="O517" i="1"/>
  <c r="N517" i="1"/>
  <c r="M517" i="1"/>
  <c r="L517" i="1"/>
  <c r="K517" i="1"/>
  <c r="O618" i="1"/>
  <c r="N618" i="1"/>
  <c r="M618" i="1"/>
  <c r="L618" i="1"/>
  <c r="K618" i="1"/>
  <c r="O1928" i="1"/>
  <c r="N1928" i="1"/>
  <c r="M1928" i="1"/>
  <c r="L1928" i="1"/>
  <c r="K1928" i="1"/>
  <c r="O1337" i="1"/>
  <c r="N1337" i="1"/>
  <c r="M1337" i="1"/>
  <c r="L1337" i="1"/>
  <c r="K1337" i="1"/>
  <c r="O1935" i="1"/>
  <c r="N1935" i="1"/>
  <c r="M1935" i="1"/>
  <c r="L1935" i="1"/>
  <c r="K1935" i="1"/>
  <c r="O1236" i="1"/>
  <c r="N1236" i="1"/>
  <c r="M1236" i="1"/>
  <c r="L1236" i="1"/>
  <c r="K1236" i="1"/>
  <c r="O516" i="1"/>
  <c r="N516" i="1"/>
  <c r="M516" i="1"/>
  <c r="L516" i="1"/>
  <c r="K516" i="1"/>
  <c r="O1606" i="1"/>
  <c r="N1606" i="1"/>
  <c r="M1606" i="1"/>
  <c r="L1606" i="1"/>
  <c r="K1606" i="1"/>
  <c r="O239" i="1"/>
  <c r="N239" i="1"/>
  <c r="M239" i="1"/>
  <c r="L239" i="1"/>
  <c r="K239" i="1"/>
  <c r="O3046" i="1"/>
  <c r="N3046" i="1"/>
  <c r="M3046" i="1"/>
  <c r="L3046" i="1"/>
  <c r="K3046" i="1"/>
  <c r="O1410" i="1"/>
  <c r="N1410" i="1"/>
  <c r="M1410" i="1"/>
  <c r="L1410" i="1"/>
  <c r="K1410" i="1"/>
  <c r="O1707" i="1"/>
  <c r="N1707" i="1"/>
  <c r="M1707" i="1"/>
  <c r="L1707" i="1"/>
  <c r="K1707" i="1"/>
  <c r="O287" i="1"/>
  <c r="N287" i="1"/>
  <c r="M287" i="1"/>
  <c r="L287" i="1"/>
  <c r="K287" i="1"/>
  <c r="O2771" i="1"/>
  <c r="N2771" i="1"/>
  <c r="M2771" i="1"/>
  <c r="L2771" i="1"/>
  <c r="K2771" i="1"/>
  <c r="O303" i="1"/>
  <c r="N303" i="1"/>
  <c r="M303" i="1"/>
  <c r="L303" i="1"/>
  <c r="K303" i="1"/>
  <c r="O2308" i="1"/>
  <c r="N2308" i="1"/>
  <c r="M2308" i="1"/>
  <c r="L2308" i="1"/>
  <c r="K2308" i="1"/>
  <c r="O1389" i="1"/>
  <c r="N1389" i="1"/>
  <c r="M1389" i="1"/>
  <c r="L1389" i="1"/>
  <c r="K1389" i="1"/>
  <c r="O377" i="1"/>
  <c r="N377" i="1"/>
  <c r="M377" i="1"/>
  <c r="L377" i="1"/>
  <c r="K377" i="1"/>
  <c r="O866" i="1"/>
  <c r="N866" i="1"/>
  <c r="M866" i="1"/>
  <c r="L866" i="1"/>
  <c r="K866" i="1"/>
  <c r="O3192" i="1"/>
  <c r="N3192" i="1"/>
  <c r="M3192" i="1"/>
  <c r="L3192" i="1"/>
  <c r="K3192" i="1"/>
  <c r="O3143" i="1"/>
  <c r="N3143" i="1"/>
  <c r="M3143" i="1"/>
  <c r="L3143" i="1"/>
  <c r="K3143" i="1"/>
  <c r="O1856" i="1"/>
  <c r="N1856" i="1"/>
  <c r="M1856" i="1"/>
  <c r="L1856" i="1"/>
  <c r="K1856" i="1"/>
  <c r="O2667" i="1"/>
  <c r="N2667" i="1"/>
  <c r="M2667" i="1"/>
  <c r="L2667" i="1"/>
  <c r="K2667" i="1"/>
  <c r="O3313" i="1"/>
  <c r="N3313" i="1"/>
  <c r="M3313" i="1"/>
  <c r="L3313" i="1"/>
  <c r="K3313" i="1"/>
  <c r="O2717" i="1"/>
  <c r="N2717" i="1"/>
  <c r="M2717" i="1"/>
  <c r="L2717" i="1"/>
  <c r="K2717" i="1"/>
  <c r="O1161" i="1"/>
  <c r="N1161" i="1"/>
  <c r="M1161" i="1"/>
  <c r="L1161" i="1"/>
  <c r="K1161" i="1"/>
  <c r="O474" i="1"/>
  <c r="N474" i="1"/>
  <c r="M474" i="1"/>
  <c r="L474" i="1"/>
  <c r="K474" i="1"/>
  <c r="O1763" i="1"/>
  <c r="N1763" i="1"/>
  <c r="M1763" i="1"/>
  <c r="L1763" i="1"/>
  <c r="K1763" i="1"/>
  <c r="O799" i="1"/>
  <c r="N799" i="1"/>
  <c r="M799" i="1"/>
  <c r="L799" i="1"/>
  <c r="K799" i="1"/>
  <c r="O2899" i="1"/>
  <c r="N2899" i="1"/>
  <c r="M2899" i="1"/>
  <c r="L2899" i="1"/>
  <c r="K2899" i="1"/>
  <c r="O2800" i="1"/>
  <c r="N2800" i="1"/>
  <c r="M2800" i="1"/>
  <c r="L2800" i="1"/>
  <c r="K2800" i="1"/>
  <c r="O1183" i="1"/>
  <c r="N1183" i="1"/>
  <c r="M1183" i="1"/>
  <c r="L1183" i="1"/>
  <c r="K1183" i="1"/>
  <c r="O2400" i="1"/>
  <c r="N2400" i="1"/>
  <c r="M2400" i="1"/>
  <c r="L2400" i="1"/>
  <c r="K2400" i="1"/>
  <c r="O401" i="1"/>
  <c r="N401" i="1"/>
  <c r="M401" i="1"/>
  <c r="L401" i="1"/>
  <c r="K401" i="1"/>
  <c r="O3589" i="1"/>
  <c r="N3589" i="1"/>
  <c r="M3589" i="1"/>
  <c r="L3589" i="1"/>
  <c r="K3589" i="1"/>
  <c r="O41" i="1"/>
  <c r="N41" i="1"/>
  <c r="M41" i="1"/>
  <c r="L41" i="1"/>
  <c r="K41" i="1"/>
  <c r="O2131" i="1"/>
  <c r="N2131" i="1"/>
  <c r="M2131" i="1"/>
  <c r="L2131" i="1"/>
  <c r="K2131" i="1"/>
  <c r="O3226" i="1"/>
  <c r="N3226" i="1"/>
  <c r="M3226" i="1"/>
  <c r="L3226" i="1"/>
  <c r="K3226" i="1"/>
  <c r="O1285" i="1"/>
  <c r="N1285" i="1"/>
  <c r="M1285" i="1"/>
  <c r="L1285" i="1"/>
  <c r="K1285" i="1"/>
  <c r="O3544" i="1"/>
  <c r="N3544" i="1"/>
  <c r="M3544" i="1"/>
  <c r="L3544" i="1"/>
  <c r="K3544" i="1"/>
  <c r="O1762" i="1"/>
  <c r="N1762" i="1"/>
  <c r="M1762" i="1"/>
  <c r="L1762" i="1"/>
  <c r="K1762" i="1"/>
  <c r="O1834" i="1"/>
  <c r="N1834" i="1"/>
  <c r="M1834" i="1"/>
  <c r="L1834" i="1"/>
  <c r="K1834" i="1"/>
  <c r="O901" i="1"/>
  <c r="N901" i="1"/>
  <c r="M901" i="1"/>
  <c r="L901" i="1"/>
  <c r="K901" i="1"/>
  <c r="O1114" i="1"/>
  <c r="N1114" i="1"/>
  <c r="M1114" i="1"/>
  <c r="L1114" i="1"/>
  <c r="K1114" i="1"/>
  <c r="O2390" i="1"/>
  <c r="N2390" i="1"/>
  <c r="M2390" i="1"/>
  <c r="L2390" i="1"/>
  <c r="K2390" i="1"/>
  <c r="O3491" i="1"/>
  <c r="N3491" i="1"/>
  <c r="M3491" i="1"/>
  <c r="L3491" i="1"/>
  <c r="K3491" i="1"/>
  <c r="O1915" i="1"/>
  <c r="N1915" i="1"/>
  <c r="M1915" i="1"/>
  <c r="L1915" i="1"/>
  <c r="K1915" i="1"/>
  <c r="O1586" i="1"/>
  <c r="N1586" i="1"/>
  <c r="M1586" i="1"/>
  <c r="L1586" i="1"/>
  <c r="K1586" i="1"/>
  <c r="O875" i="1"/>
  <c r="N875" i="1"/>
  <c r="M875" i="1"/>
  <c r="L875" i="1"/>
  <c r="K875" i="1"/>
  <c r="O2555" i="1"/>
  <c r="N2555" i="1"/>
  <c r="M2555" i="1"/>
  <c r="L2555" i="1"/>
  <c r="K2555" i="1"/>
  <c r="O202" i="1"/>
  <c r="N202" i="1"/>
  <c r="M202" i="1"/>
  <c r="L202" i="1"/>
  <c r="K202" i="1"/>
  <c r="O2303" i="1"/>
  <c r="N2303" i="1"/>
  <c r="M2303" i="1"/>
  <c r="L2303" i="1"/>
  <c r="K2303" i="1"/>
  <c r="O339" i="1"/>
  <c r="N339" i="1"/>
  <c r="M339" i="1"/>
  <c r="L339" i="1"/>
  <c r="K339" i="1"/>
  <c r="O2832" i="1"/>
  <c r="N2832" i="1"/>
  <c r="M2832" i="1"/>
  <c r="L2832" i="1"/>
  <c r="K2832" i="1"/>
  <c r="O1418" i="1"/>
  <c r="N1418" i="1"/>
  <c r="M1418" i="1"/>
  <c r="L1418" i="1"/>
  <c r="K1418" i="1"/>
  <c r="O2983" i="1"/>
  <c r="N2983" i="1"/>
  <c r="M2983" i="1"/>
  <c r="L2983" i="1"/>
  <c r="K2983" i="1"/>
  <c r="O1913" i="1"/>
  <c r="N1913" i="1"/>
  <c r="M1913" i="1"/>
  <c r="L1913" i="1"/>
  <c r="K1913" i="1"/>
  <c r="O1553" i="1"/>
  <c r="N1553" i="1"/>
  <c r="M1553" i="1"/>
  <c r="L1553" i="1"/>
  <c r="K1553" i="1"/>
  <c r="O2313" i="1"/>
  <c r="N2313" i="1"/>
  <c r="M2313" i="1"/>
  <c r="L2313" i="1"/>
  <c r="K2313" i="1"/>
  <c r="O1091" i="1"/>
  <c r="N1091" i="1"/>
  <c r="M1091" i="1"/>
  <c r="L1091" i="1"/>
  <c r="K1091" i="1"/>
  <c r="O1268" i="1"/>
  <c r="N1268" i="1"/>
  <c r="M1268" i="1"/>
  <c r="L1268" i="1"/>
  <c r="K1268" i="1"/>
  <c r="O3476" i="1"/>
  <c r="N3476" i="1"/>
  <c r="M3476" i="1"/>
  <c r="L3476" i="1"/>
  <c r="K3476" i="1"/>
  <c r="O2916" i="1"/>
  <c r="N2916" i="1"/>
  <c r="M2916" i="1"/>
  <c r="L2916" i="1"/>
  <c r="K2916" i="1"/>
  <c r="O2684" i="1"/>
  <c r="N2684" i="1"/>
  <c r="M2684" i="1"/>
  <c r="L2684" i="1"/>
  <c r="K2684" i="1"/>
  <c r="O1943" i="1"/>
  <c r="N1943" i="1"/>
  <c r="M1943" i="1"/>
  <c r="L1943" i="1"/>
  <c r="K1943" i="1"/>
  <c r="O2185" i="1"/>
  <c r="N2185" i="1"/>
  <c r="M2185" i="1"/>
  <c r="L2185" i="1"/>
  <c r="K2185" i="1"/>
  <c r="O2482" i="1"/>
  <c r="N2482" i="1"/>
  <c r="M2482" i="1"/>
  <c r="L2482" i="1"/>
  <c r="K2482" i="1"/>
  <c r="O1211" i="1"/>
  <c r="N1211" i="1"/>
  <c r="M1211" i="1"/>
  <c r="L1211" i="1"/>
  <c r="K1211" i="1"/>
  <c r="O2076" i="1"/>
  <c r="N2076" i="1"/>
  <c r="M2076" i="1"/>
  <c r="L2076" i="1"/>
  <c r="K2076" i="1"/>
  <c r="O1451" i="1"/>
  <c r="N1451" i="1"/>
  <c r="M1451" i="1"/>
  <c r="L1451" i="1"/>
  <c r="K1451" i="1"/>
  <c r="O1641" i="1"/>
  <c r="N1641" i="1"/>
  <c r="M1641" i="1"/>
  <c r="L1641" i="1"/>
  <c r="K1641" i="1"/>
  <c r="O2998" i="1"/>
  <c r="N2998" i="1"/>
  <c r="M2998" i="1"/>
  <c r="L2998" i="1"/>
  <c r="K2998" i="1"/>
  <c r="O786" i="1"/>
  <c r="N786" i="1"/>
  <c r="M786" i="1"/>
  <c r="L786" i="1"/>
  <c r="K786" i="1"/>
  <c r="O152" i="1"/>
  <c r="N152" i="1"/>
  <c r="M152" i="1"/>
  <c r="L152" i="1"/>
  <c r="K152" i="1"/>
  <c r="O3443" i="1"/>
  <c r="N3443" i="1"/>
  <c r="M3443" i="1"/>
  <c r="L3443" i="1"/>
  <c r="K3443" i="1"/>
  <c r="O2790" i="1"/>
  <c r="N2790" i="1"/>
  <c r="M2790" i="1"/>
  <c r="L2790" i="1"/>
  <c r="K2790" i="1"/>
  <c r="O1640" i="1"/>
  <c r="N1640" i="1"/>
  <c r="M1640" i="1"/>
  <c r="L1640" i="1"/>
  <c r="K1640" i="1"/>
  <c r="O1618" i="1"/>
  <c r="N1618" i="1"/>
  <c r="M1618" i="1"/>
  <c r="L1618" i="1"/>
  <c r="K1618" i="1"/>
  <c r="O2353" i="1"/>
  <c r="N2353" i="1"/>
  <c r="M2353" i="1"/>
  <c r="L2353" i="1"/>
  <c r="K2353" i="1"/>
  <c r="O1905" i="1"/>
  <c r="N1905" i="1"/>
  <c r="M1905" i="1"/>
  <c r="L1905" i="1"/>
  <c r="K1905" i="1"/>
  <c r="O1916" i="1"/>
  <c r="N1916" i="1"/>
  <c r="M1916" i="1"/>
  <c r="L1916" i="1"/>
  <c r="K1916" i="1"/>
  <c r="O3260" i="1"/>
  <c r="N3260" i="1"/>
  <c r="M3260" i="1"/>
  <c r="L3260" i="1"/>
  <c r="K3260" i="1"/>
  <c r="O2260" i="1"/>
  <c r="N2260" i="1"/>
  <c r="M2260" i="1"/>
  <c r="L2260" i="1"/>
  <c r="K2260" i="1"/>
  <c r="O3513" i="1"/>
  <c r="N3513" i="1"/>
  <c r="M3513" i="1"/>
  <c r="L3513" i="1"/>
  <c r="K3513" i="1"/>
  <c r="O2454" i="1"/>
  <c r="N2454" i="1"/>
  <c r="M2454" i="1"/>
  <c r="L2454" i="1"/>
  <c r="K2454" i="1"/>
  <c r="O586" i="1"/>
  <c r="N586" i="1"/>
  <c r="M586" i="1"/>
  <c r="L586" i="1"/>
  <c r="K586" i="1"/>
  <c r="O48" i="1"/>
  <c r="N48" i="1"/>
  <c r="M48" i="1"/>
  <c r="L48" i="1"/>
  <c r="K48" i="1"/>
  <c r="O2272" i="1"/>
  <c r="N2272" i="1"/>
  <c r="M2272" i="1"/>
  <c r="L2272" i="1"/>
  <c r="K2272" i="1"/>
  <c r="O1531" i="1"/>
  <c r="N1531" i="1"/>
  <c r="M1531" i="1"/>
  <c r="L1531" i="1"/>
  <c r="K1531" i="1"/>
  <c r="O159" i="1"/>
  <c r="N159" i="1"/>
  <c r="M159" i="1"/>
  <c r="L159" i="1"/>
  <c r="K159" i="1"/>
  <c r="O1070" i="1"/>
  <c r="N1070" i="1"/>
  <c r="M1070" i="1"/>
  <c r="L1070" i="1"/>
  <c r="K1070" i="1"/>
  <c r="O2041" i="1"/>
  <c r="N2041" i="1"/>
  <c r="M2041" i="1"/>
  <c r="L2041" i="1"/>
  <c r="K2041" i="1"/>
  <c r="O1002" i="1"/>
  <c r="N1002" i="1"/>
  <c r="M1002" i="1"/>
  <c r="L1002" i="1"/>
  <c r="K1002" i="1"/>
  <c r="O526" i="1"/>
  <c r="N526" i="1"/>
  <c r="M526" i="1"/>
  <c r="L526" i="1"/>
  <c r="K526" i="1"/>
  <c r="O3032" i="1"/>
  <c r="N3032" i="1"/>
  <c r="M3032" i="1"/>
  <c r="L3032" i="1"/>
  <c r="K3032" i="1"/>
  <c r="O1716" i="1"/>
  <c r="N1716" i="1"/>
  <c r="M1716" i="1"/>
  <c r="L1716" i="1"/>
  <c r="K1716" i="1"/>
  <c r="O3181" i="1"/>
  <c r="N3181" i="1"/>
  <c r="M3181" i="1"/>
  <c r="L3181" i="1"/>
  <c r="K3181" i="1"/>
  <c r="O1863" i="1"/>
  <c r="N1863" i="1"/>
  <c r="M1863" i="1"/>
  <c r="L1863" i="1"/>
  <c r="K1863" i="1"/>
  <c r="O1228" i="1"/>
  <c r="N1228" i="1"/>
  <c r="M1228" i="1"/>
  <c r="L1228" i="1"/>
  <c r="K1228" i="1"/>
  <c r="O2768" i="1"/>
  <c r="N2768" i="1"/>
  <c r="M2768" i="1"/>
  <c r="L2768" i="1"/>
  <c r="K2768" i="1"/>
  <c r="O1042" i="1"/>
  <c r="N1042" i="1"/>
  <c r="M1042" i="1"/>
  <c r="L1042" i="1"/>
  <c r="K1042" i="1"/>
  <c r="O3187" i="1"/>
  <c r="N3187" i="1"/>
  <c r="M3187" i="1"/>
  <c r="L3187" i="1"/>
  <c r="K3187" i="1"/>
  <c r="O3220" i="1"/>
  <c r="N3220" i="1"/>
  <c r="M3220" i="1"/>
  <c r="L3220" i="1"/>
  <c r="K3220" i="1"/>
  <c r="O1609" i="1"/>
  <c r="N1609" i="1"/>
  <c r="M1609" i="1"/>
  <c r="L1609" i="1"/>
  <c r="K1609" i="1"/>
  <c r="O1355" i="1"/>
  <c r="N1355" i="1"/>
  <c r="M1355" i="1"/>
  <c r="L1355" i="1"/>
  <c r="K1355" i="1"/>
  <c r="O886" i="1"/>
  <c r="N886" i="1"/>
  <c r="M886" i="1"/>
  <c r="L886" i="1"/>
  <c r="K886" i="1"/>
  <c r="O1584" i="1"/>
  <c r="N1584" i="1"/>
  <c r="M1584" i="1"/>
  <c r="L1584" i="1"/>
  <c r="K1584" i="1"/>
  <c r="O2696" i="1"/>
  <c r="N2696" i="1"/>
  <c r="M2696" i="1"/>
  <c r="L2696" i="1"/>
  <c r="K2696" i="1"/>
  <c r="O1530" i="1"/>
  <c r="N1530" i="1"/>
  <c r="M1530" i="1"/>
  <c r="L1530" i="1"/>
  <c r="K1530" i="1"/>
  <c r="O3254" i="1"/>
  <c r="N3254" i="1"/>
  <c r="M3254" i="1"/>
  <c r="L3254" i="1"/>
  <c r="K3254" i="1"/>
  <c r="O2452" i="1"/>
  <c r="N2452" i="1"/>
  <c r="M2452" i="1"/>
  <c r="L2452" i="1"/>
  <c r="K2452" i="1"/>
  <c r="O3399" i="1"/>
  <c r="N3399" i="1"/>
  <c r="M3399" i="1"/>
  <c r="L3399" i="1"/>
  <c r="K3399" i="1"/>
  <c r="O3338" i="1"/>
  <c r="N3338" i="1"/>
  <c r="M3338" i="1"/>
  <c r="L3338" i="1"/>
  <c r="K3338" i="1"/>
  <c r="O2200" i="1"/>
  <c r="N2200" i="1"/>
  <c r="M2200" i="1"/>
  <c r="L2200" i="1"/>
  <c r="O337" i="1"/>
  <c r="N337" i="1"/>
  <c r="M337" i="1"/>
  <c r="L337" i="1"/>
  <c r="O772" i="1"/>
  <c r="N772" i="1"/>
  <c r="M772" i="1"/>
  <c r="L772" i="1"/>
  <c r="O748" i="1"/>
  <c r="N748" i="1"/>
  <c r="M748" i="1"/>
  <c r="L748" i="1"/>
  <c r="O63" i="1"/>
  <c r="N63" i="1"/>
  <c r="M63" i="1"/>
  <c r="L63" i="1"/>
  <c r="O3281" i="1"/>
  <c r="N3281" i="1"/>
  <c r="M3281" i="1"/>
  <c r="L3281" i="1"/>
  <c r="O395" i="1"/>
  <c r="N395" i="1"/>
  <c r="M395" i="1"/>
  <c r="L395" i="1"/>
  <c r="O427" i="1"/>
  <c r="N427" i="1"/>
  <c r="M427" i="1"/>
  <c r="L427" i="1"/>
  <c r="O317" i="1"/>
  <c r="N317" i="1"/>
  <c r="M317" i="1"/>
  <c r="L317" i="1"/>
  <c r="O832" i="1"/>
  <c r="N832" i="1"/>
  <c r="M832" i="1"/>
  <c r="L832" i="1"/>
  <c r="O1366" i="1"/>
  <c r="N1366" i="1"/>
  <c r="M1366" i="1"/>
  <c r="L1366" i="1"/>
  <c r="O3390" i="1"/>
  <c r="N3390" i="1"/>
  <c r="M3390" i="1"/>
  <c r="L3390" i="1"/>
  <c r="O1500" i="1"/>
  <c r="N1500" i="1"/>
  <c r="M1500" i="1"/>
  <c r="L1500" i="1"/>
  <c r="O537" i="1"/>
  <c r="N537" i="1"/>
  <c r="M537" i="1"/>
  <c r="L537" i="1"/>
  <c r="O2935" i="1"/>
  <c r="N2935" i="1"/>
  <c r="M2935" i="1"/>
  <c r="L2935" i="1"/>
  <c r="O2862" i="1"/>
  <c r="N2862" i="1"/>
  <c r="M2862" i="1"/>
  <c r="L2862" i="1"/>
  <c r="O1064" i="1"/>
  <c r="N1064" i="1"/>
  <c r="M1064" i="1"/>
  <c r="L1064" i="1"/>
  <c r="O926" i="1"/>
  <c r="N926" i="1"/>
  <c r="M926" i="1"/>
  <c r="L926" i="1"/>
  <c r="O2081" i="1"/>
  <c r="N2081" i="1"/>
  <c r="M2081" i="1"/>
  <c r="L2081" i="1"/>
  <c r="O919" i="1"/>
  <c r="N919" i="1"/>
  <c r="M919" i="1"/>
  <c r="L919" i="1"/>
  <c r="O3312" i="1"/>
  <c r="N3312" i="1"/>
  <c r="M3312" i="1"/>
  <c r="L3312" i="1"/>
  <c r="O647" i="1"/>
  <c r="N647" i="1"/>
  <c r="M647" i="1"/>
  <c r="L647" i="1"/>
  <c r="O2816" i="1"/>
  <c r="N2816" i="1"/>
  <c r="M2816" i="1"/>
  <c r="L2816" i="1"/>
  <c r="O471" i="1"/>
  <c r="N471" i="1"/>
  <c r="M471" i="1"/>
  <c r="L471" i="1"/>
  <c r="O3461" i="1"/>
  <c r="N3461" i="1"/>
  <c r="M3461" i="1"/>
  <c r="L3461" i="1"/>
  <c r="O3093" i="1"/>
  <c r="N3093" i="1"/>
  <c r="M3093" i="1"/>
  <c r="L3093" i="1"/>
  <c r="O691" i="1"/>
  <c r="N691" i="1"/>
  <c r="M691" i="1"/>
  <c r="L691" i="1"/>
  <c r="O1242" i="1"/>
  <c r="N1242" i="1"/>
  <c r="M1242" i="1"/>
  <c r="L1242" i="1"/>
  <c r="O981" i="1"/>
  <c r="N981" i="1"/>
  <c r="M981" i="1"/>
  <c r="L981" i="1"/>
  <c r="O2798" i="1"/>
  <c r="N2798" i="1"/>
  <c r="M2798" i="1"/>
  <c r="L2798" i="1"/>
  <c r="O2070" i="1"/>
  <c r="N2070" i="1"/>
  <c r="M2070" i="1"/>
  <c r="L2070" i="1"/>
  <c r="O1918" i="1"/>
  <c r="N1918" i="1"/>
  <c r="M1918" i="1"/>
  <c r="L1918" i="1"/>
  <c r="O3533" i="1"/>
  <c r="N3533" i="1"/>
  <c r="M3533" i="1"/>
  <c r="L3533" i="1"/>
  <c r="O2476" i="1"/>
  <c r="N2476" i="1"/>
  <c r="M2476" i="1"/>
  <c r="L2476" i="1"/>
  <c r="O816" i="1"/>
  <c r="N816" i="1"/>
  <c r="M816" i="1"/>
  <c r="L816" i="1"/>
  <c r="O2444" i="1"/>
  <c r="N2444" i="1"/>
  <c r="M2444" i="1"/>
  <c r="L2444" i="1"/>
  <c r="O1089" i="1"/>
  <c r="N1089" i="1"/>
  <c r="M1089" i="1"/>
  <c r="L1089" i="1"/>
  <c r="O3000" i="1"/>
  <c r="N3000" i="1"/>
  <c r="M3000" i="1"/>
  <c r="L3000" i="1"/>
  <c r="O2111" i="1"/>
  <c r="N2111" i="1"/>
  <c r="M2111" i="1"/>
  <c r="L2111" i="1"/>
  <c r="O56" i="1"/>
  <c r="N56" i="1"/>
  <c r="M56" i="1"/>
  <c r="L56" i="1"/>
  <c r="O1351" i="1"/>
  <c r="N1351" i="1"/>
  <c r="M1351" i="1"/>
  <c r="L1351" i="1"/>
  <c r="O447" i="1"/>
  <c r="N447" i="1"/>
  <c r="M447" i="1"/>
  <c r="L447" i="1"/>
  <c r="O452" i="1"/>
  <c r="N452" i="1"/>
  <c r="M452" i="1"/>
  <c r="L452" i="1"/>
  <c r="O955" i="1"/>
  <c r="N955" i="1"/>
  <c r="M955" i="1"/>
  <c r="L955" i="1"/>
  <c r="O1990" i="1"/>
  <c r="N1990" i="1"/>
  <c r="M1990" i="1"/>
  <c r="L1990" i="1"/>
  <c r="O3267" i="1"/>
  <c r="N3267" i="1"/>
  <c r="M3267" i="1"/>
  <c r="L3267" i="1"/>
  <c r="O2526" i="1"/>
  <c r="N2526" i="1"/>
  <c r="M2526" i="1"/>
  <c r="L2526" i="1"/>
  <c r="O3408" i="1"/>
  <c r="N3408" i="1"/>
  <c r="M3408" i="1"/>
  <c r="L3408" i="1"/>
  <c r="O1069" i="1"/>
  <c r="N1069" i="1"/>
  <c r="M1069" i="1"/>
  <c r="L1069" i="1"/>
  <c r="O797" i="1"/>
  <c r="N797" i="1"/>
  <c r="M797" i="1"/>
  <c r="L797" i="1"/>
  <c r="O1157" i="1"/>
  <c r="N1157" i="1"/>
  <c r="M1157" i="1"/>
  <c r="L1157" i="1"/>
  <c r="O1549" i="1"/>
  <c r="N1549" i="1"/>
  <c r="M1549" i="1"/>
  <c r="L1549" i="1"/>
  <c r="O2290" i="1"/>
  <c r="N2290" i="1"/>
  <c r="M2290" i="1"/>
  <c r="L2290" i="1"/>
  <c r="O504" i="1"/>
  <c r="N504" i="1"/>
  <c r="M504" i="1"/>
  <c r="L504" i="1"/>
  <c r="O360" i="1"/>
  <c r="N360" i="1"/>
  <c r="M360" i="1"/>
  <c r="L360" i="1"/>
  <c r="O2" i="1"/>
  <c r="N2" i="1"/>
  <c r="M2" i="1"/>
  <c r="L2" i="1"/>
  <c r="O1416" i="1"/>
  <c r="N1416" i="1"/>
  <c r="M1416" i="1"/>
  <c r="L1416" i="1"/>
  <c r="O3253" i="1"/>
  <c r="N3253" i="1"/>
  <c r="M3253" i="1"/>
  <c r="L3253" i="1"/>
  <c r="O1983" i="1"/>
  <c r="N1983" i="1"/>
  <c r="M1983" i="1"/>
  <c r="L1983" i="1"/>
  <c r="O1113" i="1"/>
  <c r="N1113" i="1"/>
  <c r="M1113" i="1"/>
  <c r="L1113" i="1"/>
  <c r="O3016" i="1"/>
  <c r="N3016" i="1"/>
  <c r="M3016" i="1"/>
  <c r="L3016" i="1"/>
  <c r="O2040" i="1"/>
  <c r="N2040" i="1"/>
  <c r="M2040" i="1"/>
  <c r="L2040" i="1"/>
  <c r="O111" i="1"/>
  <c r="N111" i="1"/>
  <c r="M111" i="1"/>
  <c r="L111" i="1"/>
  <c r="O273" i="1"/>
  <c r="N273" i="1"/>
  <c r="M273" i="1"/>
  <c r="L273" i="1"/>
  <c r="O3581" i="1"/>
  <c r="N3581" i="1"/>
  <c r="M3581" i="1"/>
  <c r="L3581" i="1"/>
  <c r="O1599" i="1"/>
  <c r="N1599" i="1"/>
  <c r="M1599" i="1"/>
  <c r="L1599" i="1"/>
  <c r="O2662" i="1"/>
  <c r="N2662" i="1"/>
  <c r="M2662" i="1"/>
  <c r="L2662" i="1"/>
  <c r="O1041" i="1"/>
  <c r="N1041" i="1"/>
  <c r="M1041" i="1"/>
  <c r="L1041" i="1"/>
  <c r="O2150" i="1"/>
  <c r="N2150" i="1"/>
  <c r="M2150" i="1"/>
  <c r="L2150" i="1"/>
  <c r="O2463" i="1"/>
  <c r="N2463" i="1"/>
  <c r="M2463" i="1"/>
  <c r="L2463" i="1"/>
  <c r="O2987" i="1"/>
  <c r="M2987" i="1"/>
  <c r="N2987" i="1"/>
  <c r="L2987" i="1"/>
  <c r="O490" i="1"/>
  <c r="N490" i="1"/>
  <c r="M490" i="1"/>
  <c r="L490" i="1"/>
  <c r="O2906" i="1"/>
  <c r="N2906" i="1"/>
  <c r="M2906" i="1"/>
  <c r="L2906" i="1"/>
  <c r="O1904" i="1"/>
  <c r="N1904" i="1"/>
  <c r="M1904" i="1"/>
  <c r="L1904" i="1"/>
  <c r="O2891" i="1"/>
  <c r="N2891" i="1"/>
  <c r="M2891" i="1"/>
  <c r="L2891" i="1"/>
  <c r="O3195" i="1"/>
  <c r="N3195" i="1"/>
  <c r="M3195" i="1"/>
  <c r="L3195" i="1"/>
  <c r="O2124" i="1"/>
  <c r="N2124" i="1"/>
  <c r="M2124" i="1"/>
  <c r="L2124" i="1"/>
  <c r="O3554" i="1"/>
  <c r="N3554" i="1"/>
  <c r="M3554" i="1"/>
  <c r="L3554" i="1"/>
  <c r="O690" i="1"/>
  <c r="N690" i="1"/>
  <c r="M690" i="1"/>
  <c r="L690" i="1"/>
  <c r="O2939" i="1"/>
  <c r="N2939" i="1"/>
  <c r="M2939" i="1"/>
  <c r="L2939" i="1"/>
  <c r="O46" i="1"/>
  <c r="N46" i="1"/>
  <c r="M46" i="1"/>
  <c r="L46" i="1"/>
  <c r="O1548" i="1"/>
  <c r="N1548" i="1"/>
  <c r="M1548" i="1"/>
  <c r="L1548" i="1"/>
  <c r="O1653" i="1"/>
  <c r="N1653" i="1"/>
  <c r="M1653" i="1"/>
  <c r="L1653" i="1"/>
  <c r="O1846" i="1"/>
  <c r="N1846" i="1"/>
  <c r="M1846" i="1"/>
  <c r="L1846" i="1"/>
  <c r="O441" i="1"/>
  <c r="N441" i="1"/>
  <c r="M441" i="1"/>
  <c r="L441" i="1"/>
  <c r="O1569" i="1"/>
  <c r="N1569" i="1"/>
  <c r="M1569" i="1"/>
  <c r="L1569" i="1"/>
  <c r="O545" i="1"/>
  <c r="N545" i="1"/>
  <c r="M545" i="1"/>
  <c r="L545" i="1"/>
  <c r="O74" i="1"/>
  <c r="N74" i="1"/>
  <c r="M74" i="1"/>
  <c r="L74" i="1"/>
  <c r="O1795" i="1"/>
  <c r="N1795" i="1"/>
  <c r="M1795" i="1"/>
  <c r="L1795" i="1"/>
  <c r="O1522" i="1"/>
  <c r="N1522" i="1"/>
  <c r="M1522" i="1"/>
  <c r="L1522" i="1"/>
  <c r="O1714" i="1"/>
  <c r="N1714" i="1"/>
  <c r="M1714" i="1"/>
  <c r="L1714" i="1"/>
  <c r="O3205" i="1"/>
  <c r="N3205" i="1"/>
  <c r="M3205" i="1"/>
  <c r="L3205" i="1"/>
  <c r="O654" i="1"/>
  <c r="N654" i="1"/>
  <c r="M654" i="1"/>
  <c r="L654" i="1"/>
  <c r="O2617" i="1"/>
  <c r="N2617" i="1"/>
  <c r="M2617" i="1"/>
  <c r="L2617" i="1"/>
  <c r="O3473" i="1"/>
  <c r="N3473" i="1"/>
  <c r="M3473" i="1"/>
  <c r="L3473" i="1"/>
  <c r="O1701" i="1"/>
  <c r="N1701" i="1"/>
  <c r="M1701" i="1"/>
  <c r="L1701" i="1"/>
  <c r="O3279" i="1"/>
  <c r="N3279" i="1"/>
  <c r="M3279" i="1"/>
  <c r="L3279" i="1"/>
  <c r="O2149" i="1"/>
  <c r="N2149" i="1"/>
  <c r="M2149" i="1"/>
  <c r="L2149" i="1"/>
  <c r="O66" i="1"/>
  <c r="N66" i="1"/>
  <c r="M66" i="1"/>
  <c r="L66" i="1"/>
  <c r="K66" i="1"/>
  <c r="O2831" i="1"/>
  <c r="N2831" i="1"/>
  <c r="M2831" i="1"/>
  <c r="K2831" i="1"/>
  <c r="L2831" i="1"/>
  <c r="O592" i="1"/>
  <c r="N592" i="1"/>
  <c r="M592" i="1"/>
  <c r="L592" i="1"/>
  <c r="K592" i="1"/>
  <c r="O2981" i="1"/>
  <c r="N2981" i="1"/>
  <c r="M2981" i="1"/>
  <c r="L2981" i="1"/>
  <c r="K2981" i="1"/>
  <c r="O3402" i="1"/>
  <c r="N3402" i="1"/>
  <c r="M3402" i="1"/>
  <c r="L3402" i="1"/>
  <c r="K3402" i="1"/>
  <c r="O3381" i="1"/>
  <c r="N3381" i="1"/>
  <c r="M3381" i="1"/>
  <c r="K3381" i="1"/>
  <c r="L3381" i="1"/>
  <c r="O1547" i="1"/>
  <c r="N1547" i="1"/>
  <c r="M1547" i="1"/>
  <c r="L1547" i="1"/>
  <c r="K1547" i="1"/>
  <c r="O2183" i="1"/>
  <c r="N2183" i="1"/>
  <c r="M2183" i="1"/>
  <c r="L2183" i="1"/>
  <c r="K2183" i="1"/>
  <c r="O3019" i="1"/>
  <c r="N3019" i="1"/>
  <c r="M3019" i="1"/>
  <c r="L3019" i="1"/>
  <c r="K3019" i="1"/>
  <c r="O1552" i="1"/>
  <c r="N1552" i="1"/>
  <c r="M1552" i="1"/>
  <c r="K1552" i="1"/>
  <c r="L1552" i="1"/>
  <c r="O1562" i="1"/>
  <c r="N1562" i="1"/>
  <c r="M1562" i="1"/>
  <c r="L1562" i="1"/>
  <c r="K1562" i="1"/>
  <c r="O1303" i="1"/>
  <c r="N1303" i="1"/>
  <c r="M1303" i="1"/>
  <c r="L1303" i="1"/>
  <c r="K1303" i="1"/>
  <c r="O3194" i="1"/>
  <c r="N3194" i="1"/>
  <c r="M3194" i="1"/>
  <c r="L3194" i="1"/>
  <c r="K3194" i="1"/>
  <c r="O510" i="1"/>
  <c r="N510" i="1"/>
  <c r="M510" i="1"/>
  <c r="K510" i="1"/>
  <c r="L510" i="1"/>
  <c r="O45" i="1"/>
  <c r="N45" i="1"/>
  <c r="M45" i="1"/>
  <c r="L45" i="1"/>
  <c r="K45" i="1"/>
  <c r="O233" i="1"/>
  <c r="N233" i="1"/>
  <c r="M233" i="1"/>
  <c r="L233" i="1"/>
  <c r="K233" i="1"/>
  <c r="O2913" i="1"/>
  <c r="N2913" i="1"/>
  <c r="M2913" i="1"/>
  <c r="L2913" i="1"/>
  <c r="K2913" i="1"/>
  <c r="O1484" i="1"/>
  <c r="N1484" i="1"/>
  <c r="M1484" i="1"/>
  <c r="K1484" i="1"/>
  <c r="L1484" i="1"/>
  <c r="O933" i="1"/>
  <c r="N933" i="1"/>
  <c r="M933" i="1"/>
  <c r="L933" i="1"/>
  <c r="K933" i="1"/>
  <c r="O3517" i="1"/>
  <c r="N3517" i="1"/>
  <c r="M3517" i="1"/>
  <c r="L3517" i="1"/>
  <c r="K3517" i="1"/>
  <c r="O1348" i="1"/>
  <c r="N1348" i="1"/>
  <c r="M1348" i="1"/>
  <c r="L1348" i="1"/>
  <c r="K1348" i="1"/>
  <c r="O2403" i="1"/>
  <c r="N2403" i="1"/>
  <c r="M2403" i="1"/>
  <c r="K2403" i="1"/>
  <c r="L2403" i="1"/>
  <c r="O284" i="1"/>
  <c r="N284" i="1"/>
  <c r="M284" i="1"/>
  <c r="L284" i="1"/>
  <c r="K284" i="1"/>
  <c r="O823" i="1"/>
  <c r="N823" i="1"/>
  <c r="M823" i="1"/>
  <c r="L823" i="1"/>
  <c r="K823" i="1"/>
  <c r="O1334" i="1"/>
  <c r="N1334" i="1"/>
  <c r="M1334" i="1"/>
  <c r="L1334" i="1"/>
  <c r="K1334" i="1"/>
  <c r="O2289" i="1"/>
  <c r="N2289" i="1"/>
  <c r="M2289" i="1"/>
  <c r="K2289" i="1"/>
  <c r="L2289" i="1"/>
  <c r="O1882" i="1"/>
  <c r="N1882" i="1"/>
  <c r="M1882" i="1"/>
  <c r="L1882" i="1"/>
  <c r="K1882" i="1"/>
  <c r="O2783" i="1"/>
  <c r="N2783" i="1"/>
  <c r="M2783" i="1"/>
  <c r="L2783" i="1"/>
  <c r="K2783" i="1"/>
  <c r="O342" i="1"/>
  <c r="N342" i="1"/>
  <c r="M342" i="1"/>
  <c r="K342" i="1"/>
  <c r="L342" i="1"/>
  <c r="O2563" i="1"/>
  <c r="N2563" i="1"/>
  <c r="M2563" i="1"/>
  <c r="L2563" i="1"/>
  <c r="K2563" i="1"/>
  <c r="O1937" i="1"/>
  <c r="N1937" i="1"/>
  <c r="M1937" i="1"/>
  <c r="L1937" i="1"/>
  <c r="K1937" i="1"/>
  <c r="O1382" i="1"/>
  <c r="N1382" i="1"/>
  <c r="M1382" i="1"/>
  <c r="L1382" i="1"/>
  <c r="K1382" i="1"/>
  <c r="O3472" i="1"/>
  <c r="N3472" i="1"/>
  <c r="M3472" i="1"/>
  <c r="K3472" i="1"/>
  <c r="L3472" i="1"/>
  <c r="O2088" i="1"/>
  <c r="N2088" i="1"/>
  <c r="M2088" i="1"/>
  <c r="L2088" i="1"/>
  <c r="K2088" i="1"/>
  <c r="O1623" i="1"/>
  <c r="N1623" i="1"/>
  <c r="M1623" i="1"/>
  <c r="L1623" i="1"/>
  <c r="K1623" i="1"/>
  <c r="O998" i="1"/>
  <c r="N998" i="1"/>
  <c r="M998" i="1"/>
  <c r="L998" i="1"/>
  <c r="K998" i="1"/>
  <c r="O763" i="1"/>
  <c r="N763" i="1"/>
  <c r="M763" i="1"/>
  <c r="K763" i="1"/>
  <c r="L763" i="1"/>
  <c r="O625" i="1"/>
  <c r="N625" i="1"/>
  <c r="M625" i="1"/>
  <c r="L625" i="1"/>
  <c r="K625" i="1"/>
  <c r="O2080" i="1"/>
  <c r="N2080" i="1"/>
  <c r="M2080" i="1"/>
  <c r="L2080" i="1"/>
  <c r="K2080" i="1"/>
  <c r="O3036" i="1"/>
  <c r="N3036" i="1"/>
  <c r="M3036" i="1"/>
  <c r="L3036" i="1"/>
  <c r="K3036" i="1"/>
  <c r="O1067" i="1"/>
  <c r="N1067" i="1"/>
  <c r="M1067" i="1"/>
  <c r="K1067" i="1"/>
  <c r="L1067" i="1"/>
  <c r="O924" i="1"/>
  <c r="N924" i="1"/>
  <c r="M924" i="1"/>
  <c r="L924" i="1"/>
  <c r="K924" i="1"/>
  <c r="O1425" i="1"/>
  <c r="N1425" i="1"/>
  <c r="M1425" i="1"/>
  <c r="L1425" i="1"/>
  <c r="K1425" i="1"/>
  <c r="O210" i="1"/>
  <c r="N210" i="1"/>
  <c r="M210" i="1"/>
  <c r="L210" i="1"/>
  <c r="K210" i="1"/>
  <c r="O3082" i="1"/>
  <c r="N3082" i="1"/>
  <c r="M3082" i="1"/>
  <c r="K3082" i="1"/>
  <c r="L3082" i="1"/>
  <c r="O3596" i="1"/>
  <c r="N3596" i="1"/>
  <c r="M3596" i="1"/>
  <c r="L3596" i="1"/>
  <c r="K3596" i="1"/>
  <c r="O579" i="1"/>
  <c r="N579" i="1"/>
  <c r="M579" i="1"/>
  <c r="L579" i="1"/>
  <c r="K579" i="1"/>
  <c r="O1494" i="1"/>
  <c r="N1494" i="1"/>
  <c r="M1494" i="1"/>
  <c r="L1494" i="1"/>
  <c r="K1494" i="1"/>
  <c r="O1743" i="1"/>
  <c r="N1743" i="1"/>
  <c r="M1743" i="1"/>
  <c r="K1743" i="1"/>
  <c r="L1743" i="1"/>
  <c r="O1592" i="1"/>
  <c r="M1592" i="1"/>
  <c r="N1592" i="1"/>
  <c r="L1592" i="1"/>
  <c r="K1592" i="1"/>
  <c r="O2162" i="1"/>
  <c r="N2162" i="1"/>
  <c r="M2162" i="1"/>
  <c r="L2162" i="1"/>
  <c r="K2162" i="1"/>
  <c r="O2078" i="1"/>
  <c r="N2078" i="1"/>
  <c r="M2078" i="1"/>
  <c r="L2078" i="1"/>
  <c r="K2078" i="1"/>
  <c r="O2275" i="1"/>
  <c r="N2275" i="1"/>
  <c r="M2275" i="1"/>
  <c r="K2275" i="1"/>
  <c r="L2275" i="1"/>
  <c r="O727" i="1"/>
  <c r="N727" i="1"/>
  <c r="M727" i="1"/>
  <c r="L727" i="1"/>
  <c r="K727" i="1"/>
  <c r="O341" i="1"/>
  <c r="N341" i="1"/>
  <c r="M341" i="1"/>
  <c r="L341" i="1"/>
  <c r="K341" i="1"/>
  <c r="O2884" i="1"/>
  <c r="N2884" i="1"/>
  <c r="M2884" i="1"/>
  <c r="L2884" i="1"/>
  <c r="K2884" i="1"/>
  <c r="O931" i="1"/>
  <c r="N931" i="1"/>
  <c r="M931" i="1"/>
  <c r="K931" i="1"/>
  <c r="L931" i="1"/>
  <c r="O1191" i="1"/>
  <c r="N1191" i="1"/>
  <c r="M1191" i="1"/>
  <c r="L1191" i="1"/>
  <c r="K1191" i="1"/>
  <c r="O446" i="1"/>
  <c r="N446" i="1"/>
  <c r="M446" i="1"/>
  <c r="L446" i="1"/>
  <c r="K446" i="1"/>
  <c r="O3223" i="1"/>
  <c r="N3223" i="1"/>
  <c r="M3223" i="1"/>
  <c r="L3223" i="1"/>
  <c r="K3223" i="1"/>
  <c r="O1220" i="1"/>
  <c r="N1220" i="1"/>
  <c r="M1220" i="1"/>
  <c r="K1220" i="1"/>
  <c r="L1220" i="1"/>
  <c r="O882" i="1"/>
  <c r="N882" i="1"/>
  <c r="M882" i="1"/>
  <c r="L882" i="1"/>
  <c r="K882" i="1"/>
  <c r="O2102" i="1"/>
  <c r="N2102" i="1"/>
  <c r="M2102" i="1"/>
  <c r="L2102" i="1"/>
  <c r="K2102" i="1"/>
  <c r="O973" i="1"/>
  <c r="N973" i="1"/>
  <c r="M973" i="1"/>
  <c r="L973" i="1"/>
  <c r="K973" i="1"/>
  <c r="K337" i="1"/>
  <c r="K317" i="1"/>
  <c r="K1064" i="1"/>
  <c r="K3461" i="1"/>
  <c r="K3533" i="1"/>
  <c r="K1351" i="1"/>
  <c r="K1069" i="1"/>
  <c r="K1416" i="1"/>
  <c r="K273" i="1"/>
  <c r="K490" i="1"/>
  <c r="K2939" i="1"/>
  <c r="K74" i="1"/>
  <c r="K1701" i="1"/>
  <c r="K149" i="1"/>
  <c r="K1186" i="1"/>
  <c r="K1436" i="1"/>
  <c r="K1278" i="1"/>
  <c r="O1980" i="1"/>
  <c r="N1980" i="1"/>
  <c r="M1980" i="1"/>
  <c r="L1980" i="1"/>
  <c r="K1980" i="1"/>
  <c r="O1527" i="1"/>
  <c r="N1527" i="1"/>
  <c r="M1527" i="1"/>
  <c r="L1527" i="1"/>
  <c r="K1527" i="1"/>
  <c r="O2580" i="1"/>
  <c r="N2580" i="1"/>
  <c r="M2580" i="1"/>
  <c r="L2580" i="1"/>
  <c r="K2580" i="1"/>
  <c r="O1994" i="1"/>
  <c r="N1994" i="1"/>
  <c r="M1994" i="1"/>
  <c r="L1994" i="1"/>
  <c r="K1994" i="1"/>
  <c r="O2512" i="1"/>
  <c r="N2512" i="1"/>
  <c r="M2512" i="1"/>
  <c r="K2512" i="1"/>
  <c r="L2512" i="1"/>
  <c r="O2643" i="1"/>
  <c r="N2643" i="1"/>
  <c r="M2643" i="1"/>
  <c r="L2643" i="1"/>
  <c r="K2643" i="1"/>
  <c r="O1245" i="1"/>
  <c r="N1245" i="1"/>
  <c r="M1245" i="1"/>
  <c r="L1245" i="1"/>
  <c r="K1245" i="1"/>
  <c r="O2701" i="1"/>
  <c r="N2701" i="1"/>
  <c r="M2701" i="1"/>
  <c r="L2701" i="1"/>
  <c r="K2701" i="1"/>
  <c r="O3107" i="1"/>
  <c r="N3107" i="1"/>
  <c r="M3107" i="1"/>
  <c r="L3107" i="1"/>
  <c r="K3107" i="1"/>
  <c r="O1692" i="1"/>
  <c r="N1692" i="1"/>
  <c r="M1692" i="1"/>
  <c r="L1692" i="1"/>
  <c r="K1692" i="1"/>
  <c r="O1906" i="1"/>
  <c r="N1906" i="1"/>
  <c r="M1906" i="1"/>
  <c r="L1906" i="1"/>
  <c r="O3213" i="1"/>
  <c r="N3213" i="1"/>
  <c r="M3213" i="1"/>
  <c r="L3213" i="1"/>
  <c r="K3213" i="1"/>
  <c r="O1154" i="1"/>
  <c r="N1154" i="1"/>
  <c r="M1154" i="1"/>
  <c r="L1154" i="1"/>
  <c r="K1154" i="1"/>
  <c r="O1431" i="1"/>
  <c r="N1431" i="1"/>
  <c r="M1431" i="1"/>
  <c r="L1431" i="1"/>
  <c r="K1431" i="1"/>
  <c r="O155" i="1"/>
  <c r="N155" i="1"/>
  <c r="M155" i="1"/>
  <c r="L155" i="1"/>
  <c r="K155" i="1"/>
  <c r="O23" i="1"/>
  <c r="N23" i="1"/>
  <c r="M23" i="1"/>
  <c r="L23" i="1"/>
  <c r="K23" i="1"/>
  <c r="O1988" i="1"/>
  <c r="N1988" i="1"/>
  <c r="M1988" i="1"/>
  <c r="L1988" i="1"/>
  <c r="K1988" i="1"/>
  <c r="O1215" i="1"/>
  <c r="N1215" i="1"/>
  <c r="M1215" i="1"/>
  <c r="L1215" i="1"/>
  <c r="O1045" i="1"/>
  <c r="N1045" i="1"/>
  <c r="M1045" i="1"/>
  <c r="L1045" i="1"/>
  <c r="K1045" i="1"/>
  <c r="O1464" i="1"/>
  <c r="N1464" i="1"/>
  <c r="M1464" i="1"/>
  <c r="L1464" i="1"/>
  <c r="K1464" i="1"/>
  <c r="O946" i="1"/>
  <c r="N946" i="1"/>
  <c r="M946" i="1"/>
  <c r="L946" i="1"/>
  <c r="K946" i="1"/>
  <c r="O902" i="1"/>
  <c r="N902" i="1"/>
  <c r="M902" i="1"/>
  <c r="L902" i="1"/>
  <c r="K902" i="1"/>
  <c r="O123" i="1"/>
  <c r="N123" i="1"/>
  <c r="M123" i="1"/>
  <c r="L123" i="1"/>
  <c r="K123" i="1"/>
  <c r="O2876" i="1"/>
  <c r="N2876" i="1"/>
  <c r="M2876" i="1"/>
  <c r="L2876" i="1"/>
  <c r="K2876" i="1"/>
  <c r="O3211" i="1"/>
  <c r="N3211" i="1"/>
  <c r="M3211" i="1"/>
  <c r="L3211" i="1"/>
  <c r="K3211" i="1"/>
  <c r="O2812" i="1"/>
  <c r="N2812" i="1"/>
  <c r="M2812" i="1"/>
  <c r="L2812" i="1"/>
  <c r="O1635" i="1"/>
  <c r="N1635" i="1"/>
  <c r="M1635" i="1"/>
  <c r="L1635" i="1"/>
  <c r="K1635" i="1"/>
  <c r="O2287" i="1"/>
  <c r="N2287" i="1"/>
  <c r="M2287" i="1"/>
  <c r="L2287" i="1"/>
  <c r="K2287" i="1"/>
  <c r="O2746" i="1"/>
  <c r="N2746" i="1"/>
  <c r="M2746" i="1"/>
  <c r="L2746" i="1"/>
  <c r="K2746" i="1"/>
  <c r="O990" i="1"/>
  <c r="N990" i="1"/>
  <c r="M990" i="1"/>
  <c r="L990" i="1"/>
  <c r="K990" i="1"/>
  <c r="O3366" i="1"/>
  <c r="N3366" i="1"/>
  <c r="M3366" i="1"/>
  <c r="L3366" i="1"/>
  <c r="K3366" i="1"/>
  <c r="O2802" i="1"/>
  <c r="N2802" i="1"/>
  <c r="M2802" i="1"/>
  <c r="L2802" i="1"/>
  <c r="K2802" i="1"/>
  <c r="O837" i="1"/>
  <c r="N837" i="1"/>
  <c r="M837" i="1"/>
  <c r="L837" i="1"/>
  <c r="K837" i="1"/>
  <c r="O2459" i="1"/>
  <c r="N2459" i="1"/>
  <c r="M2459" i="1"/>
  <c r="L2459" i="1"/>
  <c r="O1359" i="1"/>
  <c r="N1359" i="1"/>
  <c r="M1359" i="1"/>
  <c r="L1359" i="1"/>
  <c r="K1359" i="1"/>
  <c r="O1736" i="1"/>
  <c r="N1736" i="1"/>
  <c r="M1736" i="1"/>
  <c r="L1736" i="1"/>
  <c r="K1736" i="1"/>
  <c r="O3163" i="1"/>
  <c r="N3163" i="1"/>
  <c r="M3163" i="1"/>
  <c r="L3163" i="1"/>
  <c r="K3163" i="1"/>
  <c r="O2972" i="1"/>
  <c r="N2972" i="1"/>
  <c r="M2972" i="1"/>
  <c r="L2972" i="1"/>
  <c r="K2972" i="1"/>
  <c r="O2754" i="1"/>
  <c r="N2754" i="1"/>
  <c r="M2754" i="1"/>
  <c r="L2754" i="1"/>
  <c r="K2754" i="1"/>
  <c r="O1587" i="1"/>
  <c r="N1587" i="1"/>
  <c r="M1587" i="1"/>
  <c r="L1587" i="1"/>
  <c r="K1587" i="1"/>
  <c r="O2688" i="1"/>
  <c r="N2688" i="1"/>
  <c r="M2688" i="1"/>
  <c r="L2688" i="1"/>
  <c r="K2688" i="1"/>
  <c r="O409" i="1"/>
  <c r="N409" i="1"/>
  <c r="M409" i="1"/>
  <c r="L409" i="1"/>
  <c r="O2057" i="1"/>
  <c r="N2057" i="1"/>
  <c r="M2057" i="1"/>
  <c r="L2057" i="1"/>
  <c r="K2057" i="1"/>
  <c r="O3210" i="1"/>
  <c r="N3210" i="1"/>
  <c r="M3210" i="1"/>
  <c r="L3210" i="1"/>
  <c r="K3210" i="1"/>
  <c r="O1517" i="1"/>
  <c r="N1517" i="1"/>
  <c r="M1517" i="1"/>
  <c r="L1517" i="1"/>
  <c r="K1517" i="1"/>
  <c r="O378" i="1"/>
  <c r="N378" i="1"/>
  <c r="M378" i="1"/>
  <c r="L378" i="1"/>
  <c r="K378" i="1"/>
  <c r="O3425" i="1"/>
  <c r="N3425" i="1"/>
  <c r="M3425" i="1"/>
  <c r="L3425" i="1"/>
  <c r="K3425" i="1"/>
  <c r="O1870" i="1"/>
  <c r="N1870" i="1"/>
  <c r="M1870" i="1"/>
  <c r="L1870" i="1"/>
  <c r="K1870" i="1"/>
  <c r="O3322" i="1"/>
  <c r="N3322" i="1"/>
  <c r="M3322" i="1"/>
  <c r="L3322" i="1"/>
  <c r="K3322" i="1"/>
  <c r="O88" i="1"/>
  <c r="N88" i="1"/>
  <c r="M88" i="1"/>
  <c r="L88" i="1"/>
  <c r="K88" i="1"/>
  <c r="O1357" i="1"/>
  <c r="N1357" i="1"/>
  <c r="M1357" i="1"/>
  <c r="L1357" i="1"/>
  <c r="K1357" i="1"/>
  <c r="O154" i="1"/>
  <c r="N154" i="1"/>
  <c r="M154" i="1"/>
  <c r="L154" i="1"/>
  <c r="K154" i="1"/>
  <c r="O632" i="1"/>
  <c r="N632" i="1"/>
  <c r="M632" i="1"/>
  <c r="L632" i="1"/>
  <c r="K632" i="1"/>
  <c r="O3538" i="1"/>
  <c r="N3538" i="1"/>
  <c r="M3538" i="1"/>
  <c r="L3538" i="1"/>
  <c r="K3538" i="1"/>
  <c r="O205" i="1"/>
  <c r="N205" i="1"/>
  <c r="M205" i="1"/>
  <c r="L205" i="1"/>
  <c r="K205" i="1"/>
  <c r="O161" i="1"/>
  <c r="N161" i="1"/>
  <c r="M161" i="1"/>
  <c r="L161" i="1"/>
  <c r="K161" i="1"/>
  <c r="O2002" i="1"/>
  <c r="N2002" i="1"/>
  <c r="M2002" i="1"/>
  <c r="L2002" i="1"/>
  <c r="K2002" i="1"/>
  <c r="O3460" i="1"/>
  <c r="N3460" i="1"/>
  <c r="M3460" i="1"/>
  <c r="L3460" i="1"/>
  <c r="K3460" i="1"/>
  <c r="O1076" i="1"/>
  <c r="N1076" i="1"/>
  <c r="M1076" i="1"/>
  <c r="L1076" i="1"/>
  <c r="K1076" i="1"/>
  <c r="O3572" i="1"/>
  <c r="N3572" i="1"/>
  <c r="M3572" i="1"/>
  <c r="L3572" i="1"/>
  <c r="K3572" i="1"/>
  <c r="O1607" i="1"/>
  <c r="N1607" i="1"/>
  <c r="M1607" i="1"/>
  <c r="L1607" i="1"/>
  <c r="K1607" i="1"/>
  <c r="O863" i="1"/>
  <c r="N863" i="1"/>
  <c r="M863" i="1"/>
  <c r="L863" i="1"/>
  <c r="K863" i="1"/>
  <c r="O2669" i="1"/>
  <c r="N2669" i="1"/>
  <c r="M2669" i="1"/>
  <c r="L2669" i="1"/>
  <c r="K2669" i="1"/>
  <c r="O1897" i="1"/>
  <c r="N1897" i="1"/>
  <c r="M1897" i="1"/>
  <c r="L1897" i="1"/>
  <c r="K1897" i="1"/>
  <c r="O325" i="1"/>
  <c r="N325" i="1"/>
  <c r="M325" i="1"/>
  <c r="L325" i="1"/>
  <c r="K325" i="1"/>
  <c r="O2719" i="1"/>
  <c r="N2719" i="1"/>
  <c r="M2719" i="1"/>
  <c r="L2719" i="1"/>
  <c r="K2719" i="1"/>
  <c r="O3571" i="1"/>
  <c r="N3571" i="1"/>
  <c r="M3571" i="1"/>
  <c r="L3571" i="1"/>
  <c r="K3571" i="1"/>
  <c r="O1075" i="1"/>
  <c r="N1075" i="1"/>
  <c r="M1075" i="1"/>
  <c r="L1075" i="1"/>
  <c r="K1075" i="1"/>
  <c r="O2591" i="1"/>
  <c r="N2591" i="1"/>
  <c r="M2591" i="1"/>
  <c r="L2591" i="1"/>
  <c r="K2591" i="1"/>
  <c r="O1110" i="1"/>
  <c r="N1110" i="1"/>
  <c r="M1110" i="1"/>
  <c r="L1110" i="1"/>
  <c r="K1110" i="1"/>
  <c r="O3514" i="1"/>
  <c r="N3514" i="1"/>
  <c r="M3514" i="1"/>
  <c r="L3514" i="1"/>
  <c r="K3514" i="1"/>
  <c r="O1979" i="1"/>
  <c r="N1979" i="1"/>
  <c r="M1979" i="1"/>
  <c r="L1979" i="1"/>
  <c r="K1979" i="1"/>
  <c r="O2435" i="1"/>
  <c r="N2435" i="1"/>
  <c r="M2435" i="1"/>
  <c r="L2435" i="1"/>
  <c r="K2435" i="1"/>
  <c r="O175" i="1"/>
  <c r="N175" i="1"/>
  <c r="M175" i="1"/>
  <c r="L175" i="1"/>
  <c r="K175" i="1"/>
  <c r="O3497" i="1"/>
  <c r="N3497" i="1"/>
  <c r="M3497" i="1"/>
  <c r="L3497" i="1"/>
  <c r="K3497" i="1"/>
  <c r="O2074" i="1"/>
  <c r="N2074" i="1"/>
  <c r="M2074" i="1"/>
  <c r="L2074" i="1"/>
  <c r="K2074" i="1"/>
  <c r="O1456" i="1"/>
  <c r="N1456" i="1"/>
  <c r="M1456" i="1"/>
  <c r="L1456" i="1"/>
  <c r="K1456" i="1"/>
  <c r="O3496" i="1"/>
  <c r="N3496" i="1"/>
  <c r="M3496" i="1"/>
  <c r="L3496" i="1"/>
  <c r="K3496" i="1"/>
  <c r="O2858" i="1"/>
  <c r="N2858" i="1"/>
  <c r="M2858" i="1"/>
  <c r="L2858" i="1"/>
  <c r="K2858" i="1"/>
  <c r="O3104" i="1"/>
  <c r="N3104" i="1"/>
  <c r="M3104" i="1"/>
  <c r="L3104" i="1"/>
  <c r="K3104" i="1"/>
  <c r="O2240" i="1"/>
  <c r="N2240" i="1"/>
  <c r="M2240" i="1"/>
  <c r="L2240" i="1"/>
  <c r="K2240" i="1"/>
  <c r="O2207" i="1"/>
  <c r="N2207" i="1"/>
  <c r="M2207" i="1"/>
  <c r="L2207" i="1"/>
  <c r="K2207" i="1"/>
  <c r="O2520" i="1"/>
  <c r="N2520" i="1"/>
  <c r="M2520" i="1"/>
  <c r="L2520" i="1"/>
  <c r="K2520" i="1"/>
  <c r="O2186" i="1"/>
  <c r="N2186" i="1"/>
  <c r="M2186" i="1"/>
  <c r="L2186" i="1"/>
  <c r="K2186" i="1"/>
  <c r="O2760" i="1"/>
  <c r="N2760" i="1"/>
  <c r="M2760" i="1"/>
  <c r="L2760" i="1"/>
  <c r="K2760" i="1"/>
  <c r="O222" i="1"/>
  <c r="N222" i="1"/>
  <c r="M222" i="1"/>
  <c r="L222" i="1"/>
  <c r="K222" i="1"/>
  <c r="O2318" i="1"/>
  <c r="N2318" i="1"/>
  <c r="M2318" i="1"/>
  <c r="L2318" i="1"/>
  <c r="K2318" i="1"/>
  <c r="O2965" i="1"/>
  <c r="N2965" i="1"/>
  <c r="M2965" i="1"/>
  <c r="L2965" i="1"/>
  <c r="K2965" i="1"/>
  <c r="O556" i="1"/>
  <c r="N556" i="1"/>
  <c r="M556" i="1"/>
  <c r="L556" i="1"/>
  <c r="K556" i="1"/>
  <c r="O2255" i="1"/>
  <c r="N2255" i="1"/>
  <c r="M2255" i="1"/>
  <c r="L2255" i="1"/>
  <c r="K2255" i="1"/>
  <c r="O1152" i="1"/>
  <c r="N1152" i="1"/>
  <c r="M1152" i="1"/>
  <c r="L1152" i="1"/>
  <c r="K1152" i="1"/>
  <c r="O3193" i="1"/>
  <c r="N3193" i="1"/>
  <c r="M3193" i="1"/>
  <c r="L3193" i="1"/>
  <c r="K3193" i="1"/>
  <c r="O3025" i="1"/>
  <c r="N3025" i="1"/>
  <c r="M3025" i="1"/>
  <c r="L3025" i="1"/>
  <c r="K3025" i="1"/>
  <c r="O345" i="1"/>
  <c r="N345" i="1"/>
  <c r="M345" i="1"/>
  <c r="L345" i="1"/>
  <c r="K345" i="1"/>
  <c r="O2503" i="1"/>
  <c r="N2503" i="1"/>
  <c r="M2503" i="1"/>
  <c r="L2503" i="1"/>
  <c r="K2503" i="1"/>
  <c r="O1229" i="1"/>
  <c r="N1229" i="1"/>
  <c r="M1229" i="1"/>
  <c r="L1229" i="1"/>
  <c r="K1229" i="1"/>
  <c r="O1605" i="1"/>
  <c r="N1605" i="1"/>
  <c r="M1605" i="1"/>
  <c r="L1605" i="1"/>
  <c r="K1605" i="1"/>
  <c r="O2179" i="1"/>
  <c r="N2179" i="1"/>
  <c r="M2179" i="1"/>
  <c r="L2179" i="1"/>
  <c r="K2179" i="1"/>
  <c r="O1805" i="1"/>
  <c r="N1805" i="1"/>
  <c r="M1805" i="1"/>
  <c r="L1805" i="1"/>
  <c r="K1805" i="1"/>
  <c r="O466" i="1"/>
  <c r="N466" i="1"/>
  <c r="M466" i="1"/>
  <c r="L466" i="1"/>
  <c r="K466" i="1"/>
  <c r="O3227" i="1"/>
  <c r="N3227" i="1"/>
  <c r="M3227" i="1"/>
  <c r="L3227" i="1"/>
  <c r="K3227" i="1"/>
  <c r="O2811" i="1"/>
  <c r="N2811" i="1"/>
  <c r="M2811" i="1"/>
  <c r="L2811" i="1"/>
  <c r="K2811" i="1"/>
  <c r="O302" i="1"/>
  <c r="N302" i="1"/>
  <c r="M302" i="1"/>
  <c r="L302" i="1"/>
  <c r="K302" i="1"/>
  <c r="O251" i="1"/>
  <c r="N251" i="1"/>
  <c r="M251" i="1"/>
  <c r="L251" i="1"/>
  <c r="K251" i="1"/>
  <c r="O1007" i="1"/>
  <c r="N1007" i="1"/>
  <c r="M1007" i="1"/>
  <c r="L1007" i="1"/>
  <c r="K1007" i="1"/>
  <c r="O3607" i="1"/>
  <c r="N3607" i="1"/>
  <c r="M3607" i="1"/>
  <c r="L3607" i="1"/>
  <c r="K3607" i="1"/>
  <c r="O3175" i="1"/>
  <c r="N3175" i="1"/>
  <c r="M3175" i="1"/>
  <c r="L3175" i="1"/>
  <c r="K3175" i="1"/>
  <c r="O2864" i="1"/>
  <c r="N2864" i="1"/>
  <c r="M2864" i="1"/>
  <c r="L2864" i="1"/>
  <c r="K2864" i="1"/>
  <c r="O115" i="1"/>
  <c r="N115" i="1"/>
  <c r="M115" i="1"/>
  <c r="L115" i="1"/>
  <c r="K115" i="1"/>
  <c r="O693" i="1"/>
  <c r="N693" i="1"/>
  <c r="M693" i="1"/>
  <c r="L693" i="1"/>
  <c r="K693" i="1"/>
  <c r="O725" i="1"/>
  <c r="N725" i="1"/>
  <c r="M725" i="1"/>
  <c r="L725" i="1"/>
  <c r="K725" i="1"/>
  <c r="O1148" i="1"/>
  <c r="N1148" i="1"/>
  <c r="M1148" i="1"/>
  <c r="L1148" i="1"/>
  <c r="K1148" i="1"/>
  <c r="O3021" i="1"/>
  <c r="N3021" i="1"/>
  <c r="M3021" i="1"/>
  <c r="L3021" i="1"/>
  <c r="K3021" i="1"/>
  <c r="O1243" i="1"/>
  <c r="N1243" i="1"/>
  <c r="M1243" i="1"/>
  <c r="L1243" i="1"/>
  <c r="K1243" i="1"/>
  <c r="O384" i="1"/>
  <c r="N384" i="1"/>
  <c r="M384" i="1"/>
  <c r="L384" i="1"/>
  <c r="K384" i="1"/>
  <c r="O2166" i="1"/>
  <c r="N2166" i="1"/>
  <c r="M2166" i="1"/>
  <c r="L2166" i="1"/>
  <c r="K2166" i="1"/>
  <c r="O730" i="1"/>
  <c r="N730" i="1"/>
  <c r="M730" i="1"/>
  <c r="L730" i="1"/>
  <c r="K730" i="1"/>
  <c r="O3225" i="1"/>
  <c r="N3225" i="1"/>
  <c r="M3225" i="1"/>
  <c r="L3225" i="1"/>
  <c r="K3225" i="1"/>
  <c r="O2740" i="1"/>
  <c r="N2740" i="1"/>
  <c r="M2740" i="1"/>
  <c r="L2740" i="1"/>
  <c r="K2740" i="1"/>
  <c r="O1970" i="1"/>
  <c r="N1970" i="1"/>
  <c r="M1970" i="1"/>
  <c r="L1970" i="1"/>
  <c r="K1970" i="1"/>
  <c r="O1147" i="1"/>
  <c r="N1147" i="1"/>
  <c r="M1147" i="1"/>
  <c r="L1147" i="1"/>
  <c r="K1147" i="1"/>
  <c r="O2716" i="1"/>
  <c r="N2716" i="1"/>
  <c r="M2716" i="1"/>
  <c r="L2716" i="1"/>
  <c r="K2716" i="1"/>
  <c r="O376" i="1"/>
  <c r="N376" i="1"/>
  <c r="M376" i="1"/>
  <c r="L376" i="1"/>
  <c r="K376" i="1"/>
  <c r="O879" i="1"/>
  <c r="N879" i="1"/>
  <c r="M879" i="1"/>
  <c r="L879" i="1"/>
  <c r="K879" i="1"/>
  <c r="O2206" i="1"/>
  <c r="N2206" i="1"/>
  <c r="M2206" i="1"/>
  <c r="L2206" i="1"/>
  <c r="K2206" i="1"/>
  <c r="O109" i="1"/>
  <c r="N109" i="1"/>
  <c r="M109" i="1"/>
  <c r="L109" i="1"/>
  <c r="K109" i="1"/>
  <c r="O3557" i="1"/>
  <c r="N3557" i="1"/>
  <c r="L3557" i="1"/>
  <c r="M3557" i="1"/>
  <c r="K3557" i="1"/>
  <c r="O729" i="1"/>
  <c r="N729" i="1"/>
  <c r="M729" i="1"/>
  <c r="L729" i="1"/>
  <c r="K729" i="1"/>
  <c r="O1697" i="1"/>
  <c r="N1697" i="1"/>
  <c r="M1697" i="1"/>
  <c r="L1697" i="1"/>
  <c r="K1697" i="1"/>
  <c r="O1276" i="1"/>
  <c r="N1276" i="1"/>
  <c r="M1276" i="1"/>
  <c r="L1276" i="1"/>
  <c r="K1276" i="1"/>
  <c r="O153" i="1"/>
  <c r="N153" i="1"/>
  <c r="M153" i="1"/>
  <c r="L153" i="1"/>
  <c r="K153" i="1"/>
  <c r="O2657" i="1"/>
  <c r="N2657" i="1"/>
  <c r="M2657" i="1"/>
  <c r="L2657" i="1"/>
  <c r="K2657" i="1"/>
  <c r="O1290" i="1"/>
  <c r="N1290" i="1"/>
  <c r="M1290" i="1"/>
  <c r="L1290" i="1"/>
  <c r="K1290" i="1"/>
  <c r="O574" i="1"/>
  <c r="N574" i="1"/>
  <c r="M574" i="1"/>
  <c r="L574" i="1"/>
  <c r="K574" i="1"/>
  <c r="O3419" i="1"/>
  <c r="N3419" i="1"/>
  <c r="M3419" i="1"/>
  <c r="L3419" i="1"/>
  <c r="K3419" i="1"/>
  <c r="O1146" i="1"/>
  <c r="N1146" i="1"/>
  <c r="M1146" i="1"/>
  <c r="L1146" i="1"/>
  <c r="K1146" i="1"/>
  <c r="O2356" i="1"/>
  <c r="N2356" i="1"/>
  <c r="M2356" i="1"/>
  <c r="L2356" i="1"/>
  <c r="K2356" i="1"/>
  <c r="O1332" i="1"/>
  <c r="N1332" i="1"/>
  <c r="M1332" i="1"/>
  <c r="L1332" i="1"/>
  <c r="K1332" i="1"/>
  <c r="O819" i="1"/>
  <c r="N819" i="1"/>
  <c r="M819" i="1"/>
  <c r="L819" i="1"/>
  <c r="K819" i="1"/>
  <c r="O4" i="1"/>
  <c r="N4" i="1"/>
  <c r="M4" i="1"/>
  <c r="L4" i="1"/>
  <c r="K4" i="1"/>
  <c r="O57" i="1"/>
  <c r="N57" i="1"/>
  <c r="M57" i="1"/>
  <c r="L57" i="1"/>
  <c r="K57" i="1"/>
  <c r="O1683" i="1"/>
  <c r="N1683" i="1"/>
  <c r="M1683" i="1"/>
  <c r="L1683" i="1"/>
  <c r="K1683" i="1"/>
  <c r="O2382" i="1"/>
  <c r="N2382" i="1"/>
  <c r="M2382" i="1"/>
  <c r="L2382" i="1"/>
  <c r="K2382" i="1"/>
  <c r="O1311" i="1"/>
  <c r="N1311" i="1"/>
  <c r="M1311" i="1"/>
  <c r="L1311" i="1"/>
  <c r="K1311" i="1"/>
  <c r="O259" i="1"/>
  <c r="N259" i="1"/>
  <c r="M259" i="1"/>
  <c r="L259" i="1"/>
  <c r="K259" i="1"/>
  <c r="O1251" i="1"/>
  <c r="N1251" i="1"/>
  <c r="M1251" i="1"/>
  <c r="L1251" i="1"/>
  <c r="K1251" i="1"/>
  <c r="O1804" i="1"/>
  <c r="N1804" i="1"/>
  <c r="M1804" i="1"/>
  <c r="L1804" i="1"/>
  <c r="K1804" i="1"/>
  <c r="O51" i="1"/>
  <c r="N51" i="1"/>
  <c r="M51" i="1"/>
  <c r="L51" i="1"/>
  <c r="K51" i="1"/>
  <c r="O951" i="1"/>
  <c r="N951" i="1"/>
  <c r="M951" i="1"/>
  <c r="L951" i="1"/>
  <c r="K951" i="1"/>
  <c r="O2266" i="1"/>
  <c r="N2266" i="1"/>
  <c r="M2266" i="1"/>
  <c r="L2266" i="1"/>
  <c r="K2266" i="1"/>
  <c r="O1985" i="1"/>
  <c r="N1985" i="1"/>
  <c r="M1985" i="1"/>
  <c r="L1985" i="1"/>
  <c r="K1985" i="1"/>
  <c r="O2529" i="1"/>
  <c r="N2529" i="1"/>
  <c r="M2529" i="1"/>
  <c r="L2529" i="1"/>
  <c r="K2529" i="1"/>
  <c r="O2265" i="1"/>
  <c r="N2265" i="1"/>
  <c r="M2265" i="1"/>
  <c r="L2265" i="1"/>
  <c r="K2265" i="1"/>
  <c r="O1959" i="1"/>
  <c r="N1959" i="1"/>
  <c r="M1959" i="1"/>
  <c r="L1959" i="1"/>
  <c r="K1959" i="1"/>
  <c r="O3119" i="1"/>
  <c r="N3119" i="1"/>
  <c r="M3119" i="1"/>
  <c r="L3119" i="1"/>
  <c r="K3119" i="1"/>
  <c r="O1696" i="1"/>
  <c r="N1696" i="1"/>
  <c r="M1696" i="1"/>
  <c r="L1696" i="1"/>
  <c r="K1696" i="1"/>
  <c r="O173" i="1"/>
  <c r="N173" i="1"/>
  <c r="M173" i="1"/>
  <c r="L173" i="1"/>
  <c r="K173" i="1"/>
  <c r="O2886" i="1"/>
  <c r="N2886" i="1"/>
  <c r="M2886" i="1"/>
  <c r="L2886" i="1"/>
  <c r="K2886" i="1"/>
  <c r="O1726" i="1"/>
  <c r="N1726" i="1"/>
  <c r="M1726" i="1"/>
  <c r="L1726" i="1"/>
  <c r="K1726" i="1"/>
  <c r="O2493" i="1"/>
  <c r="N2493" i="1"/>
  <c r="M2493" i="1"/>
  <c r="L2493" i="1"/>
  <c r="K2493" i="1"/>
  <c r="O3450" i="1"/>
  <c r="N3450" i="1"/>
  <c r="M3450" i="1"/>
  <c r="L3450" i="1"/>
  <c r="K3450" i="1"/>
  <c r="O3328" i="1"/>
  <c r="N3328" i="1"/>
  <c r="M3328" i="1"/>
  <c r="L3328" i="1"/>
  <c r="K3328" i="1"/>
  <c r="O2558" i="1"/>
  <c r="N2558" i="1"/>
  <c r="M2558" i="1"/>
  <c r="L2558" i="1"/>
  <c r="K2558" i="1"/>
  <c r="O2863" i="1"/>
  <c r="N2863" i="1"/>
  <c r="M2863" i="1"/>
  <c r="L2863" i="1"/>
  <c r="K2863" i="1"/>
  <c r="O2955" i="1"/>
  <c r="N2955" i="1"/>
  <c r="M2955" i="1"/>
  <c r="L2955" i="1"/>
  <c r="K2955" i="1"/>
  <c r="O338" i="1"/>
  <c r="N338" i="1"/>
  <c r="M338" i="1"/>
  <c r="L338" i="1"/>
  <c r="K338" i="1"/>
  <c r="O1682" i="1"/>
  <c r="N1682" i="1"/>
  <c r="M1682" i="1"/>
  <c r="L1682" i="1"/>
  <c r="K1682" i="1"/>
  <c r="O1029" i="1"/>
  <c r="N1029" i="1"/>
  <c r="M1029" i="1"/>
  <c r="L1029" i="1"/>
  <c r="K1029" i="1"/>
  <c r="O2915" i="1"/>
  <c r="N2915" i="1"/>
  <c r="M2915" i="1"/>
  <c r="L2915" i="1"/>
  <c r="K2915" i="1"/>
  <c r="O415" i="1"/>
  <c r="N415" i="1"/>
  <c r="M415" i="1"/>
  <c r="L415" i="1"/>
  <c r="K415" i="1"/>
  <c r="O1539" i="1"/>
  <c r="N1539" i="1"/>
  <c r="M1539" i="1"/>
  <c r="L1539" i="1"/>
  <c r="K1539" i="1"/>
  <c r="O148" i="1"/>
  <c r="N148" i="1"/>
  <c r="M148" i="1"/>
  <c r="L148" i="1"/>
  <c r="K148" i="1"/>
  <c r="O2625" i="1"/>
  <c r="N2625" i="1"/>
  <c r="M2625" i="1"/>
  <c r="L2625" i="1"/>
  <c r="K2625" i="1"/>
  <c r="O2404" i="1"/>
  <c r="N2404" i="1"/>
  <c r="M2404" i="1"/>
  <c r="L2404" i="1"/>
  <c r="K2404" i="1"/>
  <c r="O1124" i="1"/>
  <c r="N1124" i="1"/>
  <c r="M1124" i="1"/>
  <c r="L1124" i="1"/>
  <c r="K1124" i="1"/>
  <c r="O459" i="1"/>
  <c r="N459" i="1"/>
  <c r="M459" i="1"/>
  <c r="L459" i="1"/>
  <c r="K459" i="1"/>
  <c r="O525" i="1"/>
  <c r="N525" i="1"/>
  <c r="M525" i="1"/>
  <c r="L525" i="1"/>
  <c r="K525" i="1"/>
  <c r="O2251" i="1"/>
  <c r="N2251" i="1"/>
  <c r="M2251" i="1"/>
  <c r="L2251" i="1"/>
  <c r="K2251" i="1"/>
  <c r="O1352" i="1"/>
  <c r="N1352" i="1"/>
  <c r="M1352" i="1"/>
  <c r="L1352" i="1"/>
  <c r="K1352" i="1"/>
  <c r="O3376" i="1"/>
  <c r="N3376" i="1"/>
  <c r="M3376" i="1"/>
  <c r="L3376" i="1"/>
  <c r="K3376" i="1"/>
  <c r="O121" i="1"/>
  <c r="N121" i="1"/>
  <c r="M121" i="1"/>
  <c r="L121" i="1"/>
  <c r="K121" i="1"/>
  <c r="O524" i="1"/>
  <c r="N524" i="1"/>
  <c r="M524" i="1"/>
  <c r="L524" i="1"/>
  <c r="K524" i="1"/>
  <c r="O1710" i="1"/>
  <c r="N1710" i="1"/>
  <c r="M1710" i="1"/>
  <c r="L1710" i="1"/>
  <c r="K1710" i="1"/>
  <c r="O3442" i="1"/>
  <c r="N3442" i="1"/>
  <c r="M3442" i="1"/>
  <c r="L3442" i="1"/>
  <c r="K3442" i="1"/>
  <c r="O2874" i="1"/>
  <c r="N2874" i="1"/>
  <c r="M2874" i="1"/>
  <c r="L2874" i="1"/>
  <c r="K2874" i="1"/>
  <c r="O374" i="1"/>
  <c r="N374" i="1"/>
  <c r="M374" i="1"/>
  <c r="L374" i="1"/>
  <c r="K374" i="1"/>
  <c r="O2897" i="1"/>
  <c r="N2897" i="1"/>
  <c r="M2897" i="1"/>
  <c r="L2897" i="1"/>
  <c r="K2897" i="1"/>
  <c r="O69" i="1"/>
  <c r="N69" i="1"/>
  <c r="M69" i="1"/>
  <c r="L69" i="1"/>
  <c r="K69" i="1"/>
  <c r="O114" i="1"/>
  <c r="N114" i="1"/>
  <c r="M114" i="1"/>
  <c r="L114" i="1"/>
  <c r="K114" i="1"/>
  <c r="O1210" i="1"/>
  <c r="N1210" i="1"/>
  <c r="M1210" i="1"/>
  <c r="L1210" i="1"/>
  <c r="K1210" i="1"/>
  <c r="O2170" i="1"/>
  <c r="N2170" i="1"/>
  <c r="L2170" i="1"/>
  <c r="M2170" i="1"/>
  <c r="K2170" i="1"/>
  <c r="O2524" i="1"/>
  <c r="N2524" i="1"/>
  <c r="L2524" i="1"/>
  <c r="M2524" i="1"/>
  <c r="K2524" i="1"/>
  <c r="O1840" i="1"/>
  <c r="N1840" i="1"/>
  <c r="M1840" i="1"/>
  <c r="L1840" i="1"/>
  <c r="K1840" i="1"/>
  <c r="O151" i="1"/>
  <c r="N151" i="1"/>
  <c r="M151" i="1"/>
  <c r="L151" i="1"/>
  <c r="K151" i="1"/>
  <c r="O113" i="1"/>
  <c r="N113" i="1"/>
  <c r="M113" i="1"/>
  <c r="L113" i="1"/>
  <c r="K113" i="1"/>
  <c r="O2606" i="1"/>
  <c r="N2606" i="1"/>
  <c r="M2606" i="1"/>
  <c r="L2606" i="1"/>
  <c r="K2606" i="1"/>
  <c r="O2641" i="1"/>
  <c r="N2641" i="1"/>
  <c r="M2641" i="1"/>
  <c r="L2641" i="1"/>
  <c r="K2641" i="1"/>
  <c r="O2348" i="1"/>
  <c r="N2348" i="1"/>
  <c r="M2348" i="1"/>
  <c r="L2348" i="1"/>
  <c r="K2348" i="1"/>
  <c r="O119" i="1"/>
  <c r="N119" i="1"/>
  <c r="M119" i="1"/>
  <c r="L119" i="1"/>
  <c r="K119" i="1"/>
  <c r="O1392" i="1"/>
  <c r="N1392" i="1"/>
  <c r="M1392" i="1"/>
  <c r="L1392" i="1"/>
  <c r="K1392" i="1"/>
  <c r="O2732" i="1"/>
  <c r="N2732" i="1"/>
  <c r="M2732" i="1"/>
  <c r="L2732" i="1"/>
  <c r="K2732" i="1"/>
  <c r="O648" i="1"/>
  <c r="N648" i="1"/>
  <c r="M648" i="1"/>
  <c r="L648" i="1"/>
  <c r="K648" i="1"/>
  <c r="O1529" i="1"/>
  <c r="N1529" i="1"/>
  <c r="M1529" i="1"/>
  <c r="L1529" i="1"/>
  <c r="K1529" i="1"/>
  <c r="O874" i="1"/>
  <c r="N874" i="1"/>
  <c r="M874" i="1"/>
  <c r="L874" i="1"/>
  <c r="K874" i="1"/>
  <c r="O68" i="1"/>
  <c r="N68" i="1"/>
  <c r="M68" i="1"/>
  <c r="L68" i="1"/>
  <c r="K68" i="1"/>
  <c r="O2367" i="1"/>
  <c r="N2367" i="1"/>
  <c r="M2367" i="1"/>
  <c r="L2367" i="1"/>
  <c r="K2367" i="1"/>
  <c r="O3384" i="1"/>
  <c r="N3384" i="1"/>
  <c r="M3384" i="1"/>
  <c r="L3384" i="1"/>
  <c r="K3384" i="1"/>
  <c r="O2026" i="1"/>
  <c r="N2026" i="1"/>
  <c r="M2026" i="1"/>
  <c r="L2026" i="1"/>
  <c r="K2026" i="1"/>
  <c r="O3479" i="1"/>
  <c r="N3479" i="1"/>
  <c r="M3479" i="1"/>
  <c r="L3479" i="1"/>
  <c r="K3479" i="1"/>
  <c r="O2214" i="1"/>
  <c r="N2214" i="1"/>
  <c r="M2214" i="1"/>
  <c r="L2214" i="1"/>
  <c r="K2214" i="1"/>
  <c r="K772" i="1"/>
  <c r="K832" i="1"/>
  <c r="K926" i="1"/>
  <c r="K3093" i="1"/>
  <c r="K2476" i="1"/>
  <c r="K447" i="1"/>
  <c r="K797" i="1"/>
  <c r="K3253" i="1"/>
  <c r="K3581" i="1"/>
  <c r="K2906" i="1"/>
  <c r="K46" i="1"/>
  <c r="K1795" i="1"/>
  <c r="K3279" i="1"/>
  <c r="K3011" i="1"/>
  <c r="K409" i="1"/>
  <c r="O32" i="1"/>
  <c r="N32" i="1"/>
  <c r="M32" i="1"/>
  <c r="L32" i="1"/>
  <c r="K32" i="1"/>
  <c r="O3172" i="1"/>
  <c r="N3172" i="1"/>
  <c r="M3172" i="1"/>
  <c r="L3172" i="1"/>
  <c r="K3172" i="1"/>
  <c r="O1347" i="1"/>
  <c r="N1347" i="1"/>
  <c r="M1347" i="1"/>
  <c r="L1347" i="1"/>
  <c r="K1347" i="1"/>
  <c r="O2394" i="1"/>
  <c r="N2394" i="1"/>
  <c r="M2394" i="1"/>
  <c r="L2394" i="1"/>
  <c r="K2394" i="1"/>
  <c r="O1519" i="1"/>
  <c r="N1519" i="1"/>
  <c r="M1519" i="1"/>
  <c r="L1519" i="1"/>
  <c r="K1519" i="1"/>
  <c r="O3314" i="1"/>
  <c r="N3314" i="1"/>
  <c r="M3314" i="1"/>
  <c r="L3314" i="1"/>
  <c r="K3314" i="1"/>
  <c r="O2107" i="1"/>
  <c r="N2107" i="1"/>
  <c r="M2107" i="1"/>
  <c r="L2107" i="1"/>
  <c r="K2107" i="1"/>
  <c r="O991" i="1"/>
  <c r="N991" i="1"/>
  <c r="M991" i="1"/>
  <c r="L991" i="1"/>
  <c r="K991" i="1"/>
  <c r="O1172" i="1"/>
  <c r="N1172" i="1"/>
  <c r="M1172" i="1"/>
  <c r="L1172" i="1"/>
  <c r="K1172" i="1"/>
  <c r="O332" i="1"/>
  <c r="N332" i="1"/>
  <c r="M332" i="1"/>
  <c r="L332" i="1"/>
  <c r="K332" i="1"/>
  <c r="O2003" i="1"/>
  <c r="N2003" i="1"/>
  <c r="M2003" i="1"/>
  <c r="L2003" i="1"/>
  <c r="K2003" i="1"/>
  <c r="O268" i="1"/>
  <c r="N268" i="1"/>
  <c r="M268" i="1"/>
  <c r="L268" i="1"/>
  <c r="K268" i="1"/>
  <c r="O2648" i="1"/>
  <c r="N2648" i="1"/>
  <c r="M2648" i="1"/>
  <c r="L2648" i="1"/>
  <c r="K2648" i="1"/>
  <c r="O2894" i="1"/>
  <c r="N2894" i="1"/>
  <c r="M2894" i="1"/>
  <c r="L2894" i="1"/>
  <c r="K2894" i="1"/>
  <c r="O117" i="1"/>
  <c r="N117" i="1"/>
  <c r="M117" i="1"/>
  <c r="L117" i="1"/>
  <c r="K117" i="1"/>
  <c r="O854" i="1"/>
  <c r="N854" i="1"/>
  <c r="M854" i="1"/>
  <c r="L854" i="1"/>
  <c r="K854" i="1"/>
  <c r="O3545" i="1"/>
  <c r="N3545" i="1"/>
  <c r="M3545" i="1"/>
  <c r="L3545" i="1"/>
  <c r="K3545" i="1"/>
  <c r="O318" i="1"/>
  <c r="N318" i="1"/>
  <c r="M318" i="1"/>
  <c r="L318" i="1"/>
  <c r="K318" i="1"/>
  <c r="O1963" i="1"/>
  <c r="N1963" i="1"/>
  <c r="M1963" i="1"/>
  <c r="L1963" i="1"/>
  <c r="K1963" i="1"/>
  <c r="O3038" i="1"/>
  <c r="N3038" i="1"/>
  <c r="M3038" i="1"/>
  <c r="L3038" i="1"/>
  <c r="K3038" i="1"/>
  <c r="O2368" i="1"/>
  <c r="N2368" i="1"/>
  <c r="M2368" i="1"/>
  <c r="L2368" i="1"/>
  <c r="K2368" i="1"/>
  <c r="O3270" i="1"/>
  <c r="N3270" i="1"/>
  <c r="M3270" i="1"/>
  <c r="L3270" i="1"/>
  <c r="K3270" i="1"/>
  <c r="O2276" i="1"/>
  <c r="N2276" i="1"/>
  <c r="M2276" i="1"/>
  <c r="L2276" i="1"/>
  <c r="K2276" i="1"/>
  <c r="O193" i="1"/>
  <c r="N193" i="1"/>
  <c r="M193" i="1"/>
  <c r="L193" i="1"/>
  <c r="K193" i="1"/>
  <c r="O416" i="1"/>
  <c r="N416" i="1"/>
  <c r="M416" i="1"/>
  <c r="L416" i="1"/>
  <c r="K416" i="1"/>
  <c r="O2254" i="1"/>
  <c r="N2254" i="1"/>
  <c r="M2254" i="1"/>
  <c r="L2254" i="1"/>
  <c r="K2254" i="1"/>
  <c r="O2345" i="1"/>
  <c r="N2345" i="1"/>
  <c r="M2345" i="1"/>
  <c r="L2345" i="1"/>
  <c r="K2345" i="1"/>
  <c r="O2892" i="1"/>
  <c r="N2892" i="1"/>
  <c r="M2892" i="1"/>
  <c r="L2892" i="1"/>
  <c r="K2892" i="1"/>
  <c r="O3475" i="1"/>
  <c r="N3475" i="1"/>
  <c r="M3475" i="1"/>
  <c r="L3475" i="1"/>
  <c r="K3475" i="1"/>
  <c r="O1417" i="1"/>
  <c r="N1417" i="1"/>
  <c r="M1417" i="1"/>
  <c r="L1417" i="1"/>
  <c r="K1417" i="1"/>
  <c r="O444" i="1"/>
  <c r="N444" i="1"/>
  <c r="M444" i="1"/>
  <c r="L444" i="1"/>
  <c r="K444" i="1"/>
  <c r="O1057" i="1"/>
  <c r="N1057" i="1"/>
  <c r="M1057" i="1"/>
  <c r="L1057" i="1"/>
  <c r="K1057" i="1"/>
  <c r="O1187" i="1"/>
  <c r="N1187" i="1"/>
  <c r="M1187" i="1"/>
  <c r="L1187" i="1"/>
  <c r="K1187" i="1"/>
  <c r="O650" i="1"/>
  <c r="N650" i="1"/>
  <c r="M650" i="1"/>
  <c r="L650" i="1"/>
  <c r="K650" i="1"/>
  <c r="O2488" i="1"/>
  <c r="N2488" i="1"/>
  <c r="M2488" i="1"/>
  <c r="L2488" i="1"/>
  <c r="K2488" i="1"/>
  <c r="O3480" i="1"/>
  <c r="N3480" i="1"/>
  <c r="M3480" i="1"/>
  <c r="L3480" i="1"/>
  <c r="K3480" i="1"/>
  <c r="O1367" i="1"/>
  <c r="N1367" i="1"/>
  <c r="M1367" i="1"/>
  <c r="L1367" i="1"/>
  <c r="K1367" i="1"/>
  <c r="O3136" i="1"/>
  <c r="N3136" i="1"/>
  <c r="M3136" i="1"/>
  <c r="L3136" i="1"/>
  <c r="K3136" i="1"/>
  <c r="O2072" i="1"/>
  <c r="N2072" i="1"/>
  <c r="M2072" i="1"/>
  <c r="L2072" i="1"/>
  <c r="K2072" i="1"/>
  <c r="O324" i="1"/>
  <c r="N324" i="1"/>
  <c r="M324" i="1"/>
  <c r="L324" i="1"/>
  <c r="K324" i="1"/>
  <c r="O497" i="1"/>
  <c r="N497" i="1"/>
  <c r="M497" i="1"/>
  <c r="L497" i="1"/>
  <c r="K497" i="1"/>
  <c r="O3191" i="1"/>
  <c r="N3191" i="1"/>
  <c r="M3191" i="1"/>
  <c r="L3191" i="1"/>
  <c r="K3191" i="1"/>
  <c r="O400" i="1"/>
  <c r="N400" i="1"/>
  <c r="M400" i="1"/>
  <c r="L400" i="1"/>
  <c r="K400" i="1"/>
  <c r="O762" i="1"/>
  <c r="N762" i="1"/>
  <c r="M762" i="1"/>
  <c r="L762" i="1"/>
  <c r="K762" i="1"/>
  <c r="O1336" i="1"/>
  <c r="N1336" i="1"/>
  <c r="M1336" i="1"/>
  <c r="L1336" i="1"/>
  <c r="K1336" i="1"/>
  <c r="O1335" i="1"/>
  <c r="N1335" i="1"/>
  <c r="M1335" i="1"/>
  <c r="L1335" i="1"/>
  <c r="K1335" i="1"/>
  <c r="O3174" i="1"/>
  <c r="N3174" i="1"/>
  <c r="M3174" i="1"/>
  <c r="L3174" i="1"/>
  <c r="K3174" i="1"/>
  <c r="O1199" i="1"/>
  <c r="N1199" i="1"/>
  <c r="M1199" i="1"/>
  <c r="L1199" i="1"/>
  <c r="K1199" i="1"/>
  <c r="O2511" i="1"/>
  <c r="N2511" i="1"/>
  <c r="M2511" i="1"/>
  <c r="L2511" i="1"/>
  <c r="K2511" i="1"/>
  <c r="O102" i="1"/>
  <c r="N102" i="1"/>
  <c r="M102" i="1"/>
  <c r="L102" i="1"/>
  <c r="K102" i="1"/>
  <c r="O2349" i="1"/>
  <c r="N2349" i="1"/>
  <c r="M2349" i="1"/>
  <c r="L2349" i="1"/>
  <c r="K2349" i="1"/>
  <c r="O391" i="1"/>
  <c r="N391" i="1"/>
  <c r="M391" i="1"/>
  <c r="L391" i="1"/>
  <c r="K391" i="1"/>
  <c r="O2117" i="1"/>
  <c r="N2117" i="1"/>
  <c r="M2117" i="1"/>
  <c r="L2117" i="1"/>
  <c r="K2117" i="1"/>
  <c r="O1777" i="1"/>
  <c r="N1777" i="1"/>
  <c r="M1777" i="1"/>
  <c r="L1777" i="1"/>
  <c r="K1777" i="1"/>
  <c r="O1331" i="1"/>
  <c r="N1331" i="1"/>
  <c r="M1331" i="1"/>
  <c r="L1331" i="1"/>
  <c r="K1331" i="1"/>
  <c r="O3099" i="1"/>
  <c r="N3099" i="1"/>
  <c r="M3099" i="1"/>
  <c r="L3099" i="1"/>
  <c r="K3099" i="1"/>
  <c r="O885" i="1"/>
  <c r="N885" i="1"/>
  <c r="M885" i="1"/>
  <c r="L885" i="1"/>
  <c r="K885" i="1"/>
  <c r="O2371" i="1"/>
  <c r="N2371" i="1"/>
  <c r="M2371" i="1"/>
  <c r="L2371" i="1"/>
  <c r="K2371" i="1"/>
  <c r="O2445" i="1"/>
  <c r="N2445" i="1"/>
  <c r="M2445" i="1"/>
  <c r="L2445" i="1"/>
  <c r="K2445" i="1"/>
  <c r="O3208" i="1"/>
  <c r="N3208" i="1"/>
  <c r="M3208" i="1"/>
  <c r="L3208" i="1"/>
  <c r="K3208" i="1"/>
  <c r="O166" i="1"/>
  <c r="N166" i="1"/>
  <c r="M166" i="1"/>
  <c r="L166" i="1"/>
  <c r="K166" i="1"/>
  <c r="O1634" i="1"/>
  <c r="N1634" i="1"/>
  <c r="M1634" i="1"/>
  <c r="L1634" i="1"/>
  <c r="K1634" i="1"/>
  <c r="O936" i="1"/>
  <c r="N936" i="1"/>
  <c r="M936" i="1"/>
  <c r="L936" i="1"/>
  <c r="K936" i="1"/>
  <c r="O2946" i="1"/>
  <c r="N2946" i="1"/>
  <c r="M2946" i="1"/>
  <c r="L2946" i="1"/>
  <c r="K2946" i="1"/>
  <c r="O3375" i="1"/>
  <c r="N3375" i="1"/>
  <c r="M3375" i="1"/>
  <c r="L3375" i="1"/>
  <c r="K3375" i="1"/>
  <c r="O1372" i="1"/>
  <c r="N1372" i="1"/>
  <c r="M1372" i="1"/>
  <c r="L1372" i="1"/>
  <c r="K1372" i="1"/>
  <c r="O809" i="1"/>
  <c r="N809" i="1"/>
  <c r="M809" i="1"/>
  <c r="L809" i="1"/>
  <c r="K809" i="1"/>
  <c r="O2035" i="1"/>
  <c r="N2035" i="1"/>
  <c r="M2035" i="1"/>
  <c r="L2035" i="1"/>
  <c r="K2035" i="1"/>
  <c r="O2177" i="1"/>
  <c r="N2177" i="1"/>
  <c r="M2177" i="1"/>
  <c r="L2177" i="1"/>
  <c r="K2177" i="1"/>
  <c r="O656" i="1"/>
  <c r="N656" i="1"/>
  <c r="M656" i="1"/>
  <c r="L656" i="1"/>
  <c r="K656" i="1"/>
  <c r="O2018" i="1"/>
  <c r="N2018" i="1"/>
  <c r="M2018" i="1"/>
  <c r="L2018" i="1"/>
  <c r="K2018" i="1"/>
  <c r="O1654" i="1"/>
  <c r="N1654" i="1"/>
  <c r="M1654" i="1"/>
  <c r="L1654" i="1"/>
  <c r="K1654" i="1"/>
  <c r="O127" i="1"/>
  <c r="N127" i="1"/>
  <c r="M127" i="1"/>
  <c r="L127" i="1"/>
  <c r="K127" i="1"/>
  <c r="O2527" i="1"/>
  <c r="N2527" i="1"/>
  <c r="M2527" i="1"/>
  <c r="L2527" i="1"/>
  <c r="K2527" i="1"/>
  <c r="O2399" i="1"/>
  <c r="N2399" i="1"/>
  <c r="M2399" i="1"/>
  <c r="L2399" i="1"/>
  <c r="K2399" i="1"/>
  <c r="O2199" i="1"/>
  <c r="N2199" i="1"/>
  <c r="M2199" i="1"/>
  <c r="L2199" i="1"/>
  <c r="K2199" i="1"/>
  <c r="O2198" i="1"/>
  <c r="N2198" i="1"/>
  <c r="M2198" i="1"/>
  <c r="L2198" i="1"/>
  <c r="K2198" i="1"/>
  <c r="O3241" i="1"/>
  <c r="N3241" i="1"/>
  <c r="M3241" i="1"/>
  <c r="L3241" i="1"/>
  <c r="K3241" i="1"/>
  <c r="O1308" i="1"/>
  <c r="N1308" i="1"/>
  <c r="M1308" i="1"/>
  <c r="L1308" i="1"/>
  <c r="K1308" i="1"/>
  <c r="O1266" i="1"/>
  <c r="N1266" i="1"/>
  <c r="M1266" i="1"/>
  <c r="L1266" i="1"/>
  <c r="K1266" i="1"/>
  <c r="O2334" i="1"/>
  <c r="N2334" i="1"/>
  <c r="M2334" i="1"/>
  <c r="L2334" i="1"/>
  <c r="K2334" i="1"/>
  <c r="O3326" i="1"/>
  <c r="N3326" i="1"/>
  <c r="M3326" i="1"/>
  <c r="L3326" i="1"/>
  <c r="K3326" i="1"/>
  <c r="K748" i="1"/>
  <c r="K1366" i="1"/>
  <c r="K2081" i="1"/>
  <c r="K691" i="1"/>
  <c r="K816" i="1"/>
  <c r="K452" i="1"/>
  <c r="K1157" i="1"/>
  <c r="K1599" i="1"/>
  <c r="K1904" i="1"/>
  <c r="K1548" i="1"/>
  <c r="K1522" i="1"/>
  <c r="K2149" i="1"/>
  <c r="K2284" i="1"/>
  <c r="K3251" i="1"/>
  <c r="K1215" i="1"/>
  <c r="K1737" i="1"/>
  <c r="K3170" i="1"/>
  <c r="O3527" i="1"/>
  <c r="N3527" i="1"/>
  <c r="M3527" i="1"/>
  <c r="K3527" i="1"/>
  <c r="L3527" i="1"/>
  <c r="O2449" i="1"/>
  <c r="N2449" i="1"/>
  <c r="M2449" i="1"/>
  <c r="L2449" i="1"/>
  <c r="K2449" i="1"/>
  <c r="O1256" i="1"/>
  <c r="N1256" i="1"/>
  <c r="M1256" i="1"/>
  <c r="L1256" i="1"/>
  <c r="K1256" i="1"/>
  <c r="O506" i="1"/>
  <c r="N506" i="1"/>
  <c r="M506" i="1"/>
  <c r="L506" i="1"/>
  <c r="K506" i="1"/>
  <c r="O3257" i="1"/>
  <c r="N3257" i="1"/>
  <c r="M3257" i="1"/>
  <c r="L3257" i="1"/>
  <c r="K3257" i="1"/>
  <c r="O1558" i="1"/>
  <c r="N1558" i="1"/>
  <c r="M1558" i="1"/>
  <c r="L1558" i="1"/>
  <c r="K1558" i="1"/>
  <c r="O1025" i="1"/>
  <c r="N1025" i="1"/>
  <c r="M1025" i="1"/>
  <c r="L1025" i="1"/>
  <c r="K1025" i="1"/>
  <c r="O1837" i="1"/>
  <c r="N1837" i="1"/>
  <c r="M1837" i="1"/>
  <c r="L1837" i="1"/>
  <c r="K1837" i="1"/>
  <c r="O351" i="1"/>
  <c r="N351" i="1"/>
  <c r="M351" i="1"/>
  <c r="L351" i="1"/>
  <c r="K351" i="1"/>
  <c r="O299" i="1"/>
  <c r="N299" i="1"/>
  <c r="M299" i="1"/>
  <c r="L299" i="1"/>
  <c r="K299" i="1"/>
  <c r="O213" i="1"/>
  <c r="N213" i="1"/>
  <c r="M213" i="1"/>
  <c r="L213" i="1"/>
  <c r="K213" i="1"/>
  <c r="O633" i="1"/>
  <c r="N633" i="1"/>
  <c r="M633" i="1"/>
  <c r="L633" i="1"/>
  <c r="K633" i="1"/>
  <c r="O3164" i="1"/>
  <c r="N3164" i="1"/>
  <c r="M3164" i="1"/>
  <c r="L3164" i="1"/>
  <c r="K3164" i="1"/>
  <c r="O643" i="1"/>
  <c r="N643" i="1"/>
  <c r="M643" i="1"/>
  <c r="L643" i="1"/>
  <c r="K643" i="1"/>
  <c r="O3040" i="1"/>
  <c r="N3040" i="1"/>
  <c r="M3040" i="1"/>
  <c r="L3040" i="1"/>
  <c r="K3040" i="1"/>
  <c r="O2986" i="1"/>
  <c r="N2986" i="1"/>
  <c r="M2986" i="1"/>
  <c r="L2986" i="1"/>
  <c r="K2986" i="1"/>
  <c r="O2866" i="1"/>
  <c r="N2866" i="1"/>
  <c r="M2866" i="1"/>
  <c r="L2866" i="1"/>
  <c r="K2866" i="1"/>
  <c r="O1922" i="1"/>
  <c r="N1922" i="1"/>
  <c r="M1922" i="1"/>
  <c r="L1922" i="1"/>
  <c r="K1922" i="1"/>
  <c r="O2135" i="1"/>
  <c r="N2135" i="1"/>
  <c r="M2135" i="1"/>
  <c r="L2135" i="1"/>
  <c r="K2135" i="1"/>
  <c r="O856" i="1"/>
  <c r="N856" i="1"/>
  <c r="M856" i="1"/>
  <c r="L856" i="1"/>
  <c r="K856" i="1"/>
  <c r="O319" i="1"/>
  <c r="N319" i="1"/>
  <c r="M319" i="1"/>
  <c r="L319" i="1"/>
  <c r="K319" i="1"/>
  <c r="O827" i="1"/>
  <c r="N827" i="1"/>
  <c r="M827" i="1"/>
  <c r="L827" i="1"/>
  <c r="K827" i="1"/>
  <c r="O604" i="1"/>
  <c r="N604" i="1"/>
  <c r="M604" i="1"/>
  <c r="L604" i="1"/>
  <c r="K604" i="1"/>
  <c r="O1878" i="1"/>
  <c r="N1878" i="1"/>
  <c r="M1878" i="1"/>
  <c r="L1878" i="1"/>
  <c r="K1878" i="1"/>
  <c r="O390" i="1"/>
  <c r="N390" i="1"/>
  <c r="M390" i="1"/>
  <c r="L390" i="1"/>
  <c r="K390" i="1"/>
  <c r="O995" i="1"/>
  <c r="N995" i="1"/>
  <c r="M995" i="1"/>
  <c r="L995" i="1"/>
  <c r="K995" i="1"/>
  <c r="O327" i="1"/>
  <c r="N327" i="1"/>
  <c r="M327" i="1"/>
  <c r="K327" i="1"/>
  <c r="L327" i="1"/>
  <c r="O1966" i="1"/>
  <c r="N1966" i="1"/>
  <c r="M1966" i="1"/>
  <c r="L1966" i="1"/>
  <c r="K1966" i="1"/>
  <c r="O1516" i="1"/>
  <c r="N1516" i="1"/>
  <c r="M1516" i="1"/>
  <c r="L1516" i="1"/>
  <c r="K1516" i="1"/>
  <c r="O528" i="1"/>
  <c r="N528" i="1"/>
  <c r="M528" i="1"/>
  <c r="L528" i="1"/>
  <c r="K528" i="1"/>
  <c r="O1300" i="1"/>
  <c r="N1300" i="1"/>
  <c r="M1300" i="1"/>
  <c r="L1300" i="1"/>
  <c r="K1300" i="1"/>
  <c r="O527" i="1"/>
  <c r="N527" i="1"/>
  <c r="M527" i="1"/>
  <c r="L527" i="1"/>
  <c r="K527" i="1"/>
  <c r="O577" i="1"/>
  <c r="N577" i="1"/>
  <c r="M577" i="1"/>
  <c r="L577" i="1"/>
  <c r="K577" i="1"/>
  <c r="O406" i="1"/>
  <c r="N406" i="1"/>
  <c r="M406" i="1"/>
  <c r="L406" i="1"/>
  <c r="K406" i="1"/>
  <c r="O1368" i="1"/>
  <c r="N1368" i="1"/>
  <c r="M1368" i="1"/>
  <c r="L1368" i="1"/>
  <c r="K1368" i="1"/>
  <c r="O1920" i="1"/>
  <c r="N1920" i="1"/>
  <c r="M1920" i="1"/>
  <c r="L1920" i="1"/>
  <c r="K1920" i="1"/>
  <c r="O2055" i="1"/>
  <c r="N2055" i="1"/>
  <c r="M2055" i="1"/>
  <c r="L2055" i="1"/>
  <c r="K2055" i="1"/>
  <c r="O346" i="1"/>
  <c r="N346" i="1"/>
  <c r="M346" i="1"/>
  <c r="L346" i="1"/>
  <c r="K346" i="1"/>
  <c r="O1488" i="1"/>
  <c r="N1488" i="1"/>
  <c r="M1488" i="1"/>
  <c r="L1488" i="1"/>
  <c r="K1488" i="1"/>
  <c r="O1194" i="1"/>
  <c r="N1194" i="1"/>
  <c r="M1194" i="1"/>
  <c r="L1194" i="1"/>
  <c r="K1194" i="1"/>
  <c r="O3127" i="1"/>
  <c r="N3127" i="1"/>
  <c r="M3127" i="1"/>
  <c r="L3127" i="1"/>
  <c r="K3127" i="1"/>
  <c r="O309" i="1"/>
  <c r="N309" i="1"/>
  <c r="M309" i="1"/>
  <c r="L309" i="1"/>
  <c r="K309" i="1"/>
  <c r="O1496" i="1"/>
  <c r="N1496" i="1"/>
  <c r="M1496" i="1"/>
  <c r="L1496" i="1"/>
  <c r="K1496" i="1"/>
  <c r="O481" i="1"/>
  <c r="N481" i="1"/>
  <c r="M481" i="1"/>
  <c r="L481" i="1"/>
  <c r="K481" i="1"/>
  <c r="O1224" i="1"/>
  <c r="N1224" i="1"/>
  <c r="M1224" i="1"/>
  <c r="L1224" i="1"/>
  <c r="K1224" i="1"/>
  <c r="O266" i="1"/>
  <c r="N266" i="1"/>
  <c r="M266" i="1"/>
  <c r="L266" i="1"/>
  <c r="K266" i="1"/>
  <c r="O2372" i="1"/>
  <c r="N2372" i="1"/>
  <c r="M2372" i="1"/>
  <c r="L2372" i="1"/>
  <c r="K2372" i="1"/>
  <c r="O1874" i="1"/>
  <c r="N1874" i="1"/>
  <c r="M1874" i="1"/>
  <c r="L1874" i="1"/>
  <c r="K1874" i="1"/>
  <c r="O1992" i="1"/>
  <c r="N1992" i="1"/>
  <c r="M1992" i="1"/>
  <c r="L1992" i="1"/>
  <c r="K1992" i="1"/>
  <c r="O964" i="1"/>
  <c r="N964" i="1"/>
  <c r="M964" i="1"/>
  <c r="L964" i="1"/>
  <c r="K964" i="1"/>
  <c r="O3600" i="1"/>
  <c r="N3600" i="1"/>
  <c r="M3600" i="1"/>
  <c r="L3600" i="1"/>
  <c r="K3600" i="1"/>
  <c r="O683" i="1"/>
  <c r="N683" i="1"/>
  <c r="M683" i="1"/>
  <c r="L683" i="1"/>
  <c r="K683" i="1"/>
  <c r="O2678" i="1"/>
  <c r="N2678" i="1"/>
  <c r="M2678" i="1"/>
  <c r="L2678" i="1"/>
  <c r="K2678" i="1"/>
  <c r="O2737" i="1"/>
  <c r="N2737" i="1"/>
  <c r="M2737" i="1"/>
  <c r="L2737" i="1"/>
  <c r="K2737" i="1"/>
  <c r="O3102" i="1"/>
  <c r="N3102" i="1"/>
  <c r="M3102" i="1"/>
  <c r="L3102" i="1"/>
  <c r="K3102" i="1"/>
  <c r="O2358" i="1"/>
  <c r="N2358" i="1"/>
  <c r="M2358" i="1"/>
  <c r="L2358" i="1"/>
  <c r="K2358" i="1"/>
  <c r="O938" i="1"/>
  <c r="N938" i="1"/>
  <c r="M938" i="1"/>
  <c r="L938" i="1"/>
  <c r="K938" i="1"/>
  <c r="O1361" i="1"/>
  <c r="N1361" i="1"/>
  <c r="M1361" i="1"/>
  <c r="L1361" i="1"/>
  <c r="K1361" i="1"/>
  <c r="O1930" i="1"/>
  <c r="N1930" i="1"/>
  <c r="M1930" i="1"/>
  <c r="L1930" i="1"/>
  <c r="K1930" i="1"/>
  <c r="O3432" i="1"/>
  <c r="N3432" i="1"/>
  <c r="M3432" i="1"/>
  <c r="L3432" i="1"/>
  <c r="K3432" i="1"/>
  <c r="O3155" i="1"/>
  <c r="N3155" i="1"/>
  <c r="M3155" i="1"/>
  <c r="L3155" i="1"/>
  <c r="K3155" i="1"/>
  <c r="O1459" i="1"/>
  <c r="N1459" i="1"/>
  <c r="M1459" i="1"/>
  <c r="L1459" i="1"/>
  <c r="K1459" i="1"/>
  <c r="O2292" i="1"/>
  <c r="N2292" i="1"/>
  <c r="M2292" i="1"/>
  <c r="L2292" i="1"/>
  <c r="K2292" i="1"/>
  <c r="O2140" i="1"/>
  <c r="N2140" i="1"/>
  <c r="M2140" i="1"/>
  <c r="L2140" i="1"/>
  <c r="K2140" i="1"/>
  <c r="O2689" i="1"/>
  <c r="N2689" i="1"/>
  <c r="M2689" i="1"/>
  <c r="L2689" i="1"/>
  <c r="K2689" i="1"/>
  <c r="O588" i="1"/>
  <c r="N588" i="1"/>
  <c r="M588" i="1"/>
  <c r="L588" i="1"/>
  <c r="K588" i="1"/>
  <c r="O31" i="1"/>
  <c r="N31" i="1"/>
  <c r="M31" i="1"/>
  <c r="L31" i="1"/>
  <c r="K31" i="1"/>
  <c r="O2159" i="1"/>
  <c r="N2159" i="1"/>
  <c r="M2159" i="1"/>
  <c r="L2159" i="1"/>
  <c r="K2159" i="1"/>
  <c r="O298" i="1"/>
  <c r="N298" i="1"/>
  <c r="M298" i="1"/>
  <c r="L298" i="1"/>
  <c r="K298" i="1"/>
  <c r="O1238" i="1"/>
  <c r="N1238" i="1"/>
  <c r="M1238" i="1"/>
  <c r="L1238" i="1"/>
  <c r="K1238" i="1"/>
  <c r="O2168" i="1"/>
  <c r="N2168" i="1"/>
  <c r="M2168" i="1"/>
  <c r="L2168" i="1"/>
  <c r="K2168" i="1"/>
  <c r="O1887" i="1"/>
  <c r="N1887" i="1"/>
  <c r="M1887" i="1"/>
  <c r="L1887" i="1"/>
  <c r="K1887" i="1"/>
  <c r="O2551" i="1"/>
  <c r="N2551" i="1"/>
  <c r="M2551" i="1"/>
  <c r="L2551" i="1"/>
  <c r="K2551" i="1"/>
  <c r="O2550" i="1"/>
  <c r="N2550" i="1"/>
  <c r="M2550" i="1"/>
  <c r="L2550" i="1"/>
  <c r="K2550" i="1"/>
  <c r="O2619" i="1"/>
  <c r="N2619" i="1"/>
  <c r="M2619" i="1"/>
  <c r="L2619" i="1"/>
  <c r="K2619" i="1"/>
  <c r="O2934" i="1"/>
  <c r="N2934" i="1"/>
  <c r="M2934" i="1"/>
  <c r="L2934" i="1"/>
  <c r="K2934" i="1"/>
  <c r="O1481" i="1"/>
  <c r="N1481" i="1"/>
  <c r="M1481" i="1"/>
  <c r="L1481" i="1"/>
  <c r="K1481" i="1"/>
  <c r="O1843" i="1"/>
  <c r="N1843" i="1"/>
  <c r="M1843" i="1"/>
  <c r="L1843" i="1"/>
  <c r="K1843" i="1"/>
  <c r="O1718" i="1"/>
  <c r="N1718" i="1"/>
  <c r="M1718" i="1"/>
  <c r="L1718" i="1"/>
  <c r="K1718" i="1"/>
  <c r="O2820" i="1"/>
  <c r="N2820" i="1"/>
  <c r="M2820" i="1"/>
  <c r="L2820" i="1"/>
  <c r="K2820" i="1"/>
  <c r="O916" i="1"/>
  <c r="N916" i="1"/>
  <c r="M916" i="1"/>
  <c r="L916" i="1"/>
  <c r="K916" i="1"/>
  <c r="O903" i="1"/>
  <c r="N903" i="1"/>
  <c r="M903" i="1"/>
  <c r="L903" i="1"/>
  <c r="K903" i="1"/>
  <c r="O3100" i="1"/>
  <c r="N3100" i="1"/>
  <c r="M3100" i="1"/>
  <c r="L3100" i="1"/>
  <c r="K3100" i="1"/>
  <c r="O610" i="1"/>
  <c r="N610" i="1"/>
  <c r="M610" i="1"/>
  <c r="L610" i="1"/>
  <c r="K610" i="1"/>
  <c r="O3440" i="1"/>
  <c r="N3440" i="1"/>
  <c r="M3440" i="1"/>
  <c r="L3440" i="1"/>
  <c r="K3440" i="1"/>
  <c r="O224" i="1"/>
  <c r="N224" i="1"/>
  <c r="M224" i="1"/>
  <c r="L224" i="1"/>
  <c r="K224" i="1"/>
  <c r="O190" i="1"/>
  <c r="N190" i="1"/>
  <c r="M190" i="1"/>
  <c r="L190" i="1"/>
  <c r="K190" i="1"/>
  <c r="O3017" i="1"/>
  <c r="N3017" i="1"/>
  <c r="M3017" i="1"/>
  <c r="L3017" i="1"/>
  <c r="K3017" i="1"/>
  <c r="O812" i="1"/>
  <c r="N812" i="1"/>
  <c r="M812" i="1"/>
  <c r="L812" i="1"/>
  <c r="K812" i="1"/>
  <c r="O24" i="1"/>
  <c r="N24" i="1"/>
  <c r="M24" i="1"/>
  <c r="L24" i="1"/>
  <c r="K24" i="1"/>
  <c r="O2288" i="1"/>
  <c r="N2288" i="1"/>
  <c r="M2288" i="1"/>
  <c r="L2288" i="1"/>
  <c r="K2288" i="1"/>
  <c r="O2233" i="1"/>
  <c r="N2233" i="1"/>
  <c r="M2233" i="1"/>
  <c r="L2233" i="1"/>
  <c r="K2233" i="1"/>
  <c r="O3401" i="1"/>
  <c r="N3401" i="1"/>
  <c r="M3401" i="1"/>
  <c r="L3401" i="1"/>
  <c r="K3401" i="1"/>
  <c r="O1799" i="1"/>
  <c r="N1799" i="1"/>
  <c r="M1799" i="1"/>
  <c r="L1799" i="1"/>
  <c r="K1799" i="1"/>
  <c r="O3344" i="1"/>
  <c r="N3344" i="1"/>
  <c r="M3344" i="1"/>
  <c r="L3344" i="1"/>
  <c r="K3344" i="1"/>
  <c r="O90" i="1"/>
  <c r="N90" i="1"/>
  <c r="M90" i="1"/>
  <c r="L90" i="1"/>
  <c r="K90" i="1"/>
  <c r="O3343" i="1"/>
  <c r="N3343" i="1"/>
  <c r="M3343" i="1"/>
  <c r="L3343" i="1"/>
  <c r="K3343" i="1"/>
  <c r="O2990" i="1"/>
  <c r="N2990" i="1"/>
  <c r="M2990" i="1"/>
  <c r="L2990" i="1"/>
  <c r="K2990" i="1"/>
  <c r="O3171" i="1"/>
  <c r="N3171" i="1"/>
  <c r="M3171" i="1"/>
  <c r="L3171" i="1"/>
  <c r="K3171" i="1"/>
  <c r="O1866" i="1"/>
  <c r="N1866" i="1"/>
  <c r="M1866" i="1"/>
  <c r="L1866" i="1"/>
  <c r="K1866" i="1"/>
  <c r="O828" i="1"/>
  <c r="N828" i="1"/>
  <c r="M828" i="1"/>
  <c r="L828" i="1"/>
  <c r="K828" i="1"/>
  <c r="O1685" i="1"/>
  <c r="N1685" i="1"/>
  <c r="M1685" i="1"/>
  <c r="L1685" i="1"/>
  <c r="K1685" i="1"/>
  <c r="O2247" i="1"/>
  <c r="N2247" i="1"/>
  <c r="M2247" i="1"/>
  <c r="L2247" i="1"/>
  <c r="K2247" i="1"/>
  <c r="O2298" i="1"/>
  <c r="N2298" i="1"/>
  <c r="M2298" i="1"/>
  <c r="L2298" i="1"/>
  <c r="K2298" i="1"/>
  <c r="O2146" i="1"/>
  <c r="N2146" i="1"/>
  <c r="M2146" i="1"/>
  <c r="L2146" i="1"/>
  <c r="K2146" i="1"/>
  <c r="O7" i="1"/>
  <c r="N7" i="1"/>
  <c r="M7" i="1"/>
  <c r="K7" i="1"/>
  <c r="L7" i="1"/>
  <c r="O849" i="1"/>
  <c r="N849" i="1"/>
  <c r="M849" i="1"/>
  <c r="L849" i="1"/>
  <c r="K849" i="1"/>
  <c r="O1143" i="1"/>
  <c r="N1143" i="1"/>
  <c r="M1143" i="1"/>
  <c r="L1143" i="1"/>
  <c r="K1143" i="1"/>
  <c r="O17" i="1"/>
  <c r="N17" i="1"/>
  <c r="M17" i="1"/>
  <c r="L17" i="1"/>
  <c r="K17" i="1"/>
  <c r="O1671" i="1"/>
  <c r="N1671" i="1"/>
  <c r="M1671" i="1"/>
  <c r="L1671" i="1"/>
  <c r="K1671" i="1"/>
  <c r="O1503" i="1"/>
  <c r="N1503" i="1"/>
  <c r="M1503" i="1"/>
  <c r="L1503" i="1"/>
  <c r="K1503" i="1"/>
  <c r="O1084" i="1"/>
  <c r="N1084" i="1"/>
  <c r="M1084" i="1"/>
  <c r="L1084" i="1"/>
  <c r="K1084" i="1"/>
  <c r="O1621" i="1"/>
  <c r="N1621" i="1"/>
  <c r="M1621" i="1"/>
  <c r="L1621" i="1"/>
  <c r="K1621" i="1"/>
  <c r="O755" i="1"/>
  <c r="N755" i="1"/>
  <c r="M755" i="1"/>
  <c r="L755" i="1"/>
  <c r="K755" i="1"/>
  <c r="O1178" i="1"/>
  <c r="N1178" i="1"/>
  <c r="M1178" i="1"/>
  <c r="L1178" i="1"/>
  <c r="K1178" i="1"/>
  <c r="O1684" i="1"/>
  <c r="N1684" i="1"/>
  <c r="M1684" i="1"/>
  <c r="L1684" i="1"/>
  <c r="K1684" i="1"/>
  <c r="O1430" i="1"/>
  <c r="N1430" i="1"/>
  <c r="M1430" i="1"/>
  <c r="L1430" i="1"/>
  <c r="K1430" i="1"/>
  <c r="O1725" i="1"/>
  <c r="N1725" i="1"/>
  <c r="M1725" i="1"/>
  <c r="L1725" i="1"/>
  <c r="K1725" i="1"/>
  <c r="O1819" i="1"/>
  <c r="N1819" i="1"/>
  <c r="M1819" i="1"/>
  <c r="L1819" i="1"/>
  <c r="K1819" i="1"/>
  <c r="O1421" i="1"/>
  <c r="N1421" i="1"/>
  <c r="M1421" i="1"/>
  <c r="L1421" i="1"/>
  <c r="K1421" i="1"/>
  <c r="O42" i="1"/>
  <c r="N42" i="1"/>
  <c r="L42" i="1"/>
  <c r="M42" i="1"/>
  <c r="K42" i="1"/>
  <c r="O1613" i="1"/>
  <c r="N1613" i="1"/>
  <c r="M1613" i="1"/>
  <c r="K1613" i="1"/>
  <c r="L1613" i="1"/>
  <c r="O1502" i="1"/>
  <c r="N1502" i="1"/>
  <c r="M1502" i="1"/>
  <c r="L1502" i="1"/>
  <c r="K1502" i="1"/>
  <c r="O1420" i="1"/>
  <c r="N1420" i="1"/>
  <c r="M1420" i="1"/>
  <c r="L1420" i="1"/>
  <c r="K1420" i="1"/>
  <c r="O3329" i="1"/>
  <c r="N3329" i="1"/>
  <c r="M3329" i="1"/>
  <c r="L3329" i="1"/>
  <c r="K3329" i="1"/>
  <c r="O869" i="1"/>
  <c r="N869" i="1"/>
  <c r="M869" i="1"/>
  <c r="L869" i="1"/>
  <c r="K869" i="1"/>
  <c r="O2752" i="1"/>
  <c r="N2752" i="1"/>
  <c r="M2752" i="1"/>
  <c r="L2752" i="1"/>
  <c r="K2752" i="1"/>
  <c r="O792" i="1"/>
  <c r="N792" i="1"/>
  <c r="M792" i="1"/>
  <c r="L792" i="1"/>
  <c r="K792" i="1"/>
  <c r="O1294" i="1"/>
  <c r="N1294" i="1"/>
  <c r="M1294" i="1"/>
  <c r="L1294" i="1"/>
  <c r="K1294" i="1"/>
  <c r="O2751" i="1"/>
  <c r="N2751" i="1"/>
  <c r="M2751" i="1"/>
  <c r="L2751" i="1"/>
  <c r="K2751" i="1"/>
  <c r="O848" i="1"/>
  <c r="N848" i="1"/>
  <c r="M848" i="1"/>
  <c r="L848" i="1"/>
  <c r="K848" i="1"/>
  <c r="O3013" i="1"/>
  <c r="N3013" i="1"/>
  <c r="M3013" i="1"/>
  <c r="L3013" i="1"/>
  <c r="K3013" i="1"/>
  <c r="O2415" i="1"/>
  <c r="N2415" i="1"/>
  <c r="M2415" i="1"/>
  <c r="L2415" i="1"/>
  <c r="K2415" i="1"/>
  <c r="O2340" i="1"/>
  <c r="N2340" i="1"/>
  <c r="M2340" i="1"/>
  <c r="L2340" i="1"/>
  <c r="K2340" i="1"/>
  <c r="O1218" i="1"/>
  <c r="N1218" i="1"/>
  <c r="M1218" i="1"/>
  <c r="L1218" i="1"/>
  <c r="K1218" i="1"/>
  <c r="O2745" i="1"/>
  <c r="N2745" i="1"/>
  <c r="M2745" i="1"/>
  <c r="L2745" i="1"/>
  <c r="K2745" i="1"/>
  <c r="O553" i="1"/>
  <c r="N553" i="1"/>
  <c r="M553" i="1"/>
  <c r="L553" i="1"/>
  <c r="K553" i="1"/>
  <c r="O1876" i="1"/>
  <c r="N1876" i="1"/>
  <c r="M1876" i="1"/>
  <c r="K1876" i="1"/>
  <c r="L1876" i="1"/>
  <c r="O122" i="1"/>
  <c r="N122" i="1"/>
  <c r="M122" i="1"/>
  <c r="L122" i="1"/>
  <c r="K122" i="1"/>
  <c r="O2280" i="1"/>
  <c r="N2280" i="1"/>
  <c r="M2280" i="1"/>
  <c r="L2280" i="1"/>
  <c r="K2280" i="1"/>
  <c r="O569" i="1"/>
  <c r="N569" i="1"/>
  <c r="M569" i="1"/>
  <c r="L569" i="1"/>
  <c r="K569" i="1"/>
  <c r="O2875" i="1"/>
  <c r="N2875" i="1"/>
  <c r="M2875" i="1"/>
  <c r="L2875" i="1"/>
  <c r="K2875" i="1"/>
  <c r="O820" i="1"/>
  <c r="N820" i="1"/>
  <c r="M820" i="1"/>
  <c r="L820" i="1"/>
  <c r="K820" i="1"/>
  <c r="O1515" i="1"/>
  <c r="N1515" i="1"/>
  <c r="M1515" i="1"/>
  <c r="L1515" i="1"/>
  <c r="K1515" i="1"/>
  <c r="O2231" i="1"/>
  <c r="N2231" i="1"/>
  <c r="M2231" i="1"/>
  <c r="L2231" i="1"/>
  <c r="K2231" i="1"/>
  <c r="O2267" i="1"/>
  <c r="N2267" i="1"/>
  <c r="M2267" i="1"/>
  <c r="L2267" i="1"/>
  <c r="K2267" i="1"/>
  <c r="O81" i="1"/>
  <c r="N81" i="1"/>
  <c r="L81" i="1"/>
  <c r="M81" i="1"/>
  <c r="K81" i="1"/>
  <c r="O1338" i="1"/>
  <c r="N1338" i="1"/>
  <c r="M1338" i="1"/>
  <c r="L1338" i="1"/>
  <c r="K1338" i="1"/>
  <c r="O731" i="1"/>
  <c r="N731" i="1"/>
  <c r="M731" i="1"/>
  <c r="L731" i="1"/>
  <c r="K731" i="1"/>
  <c r="O2484" i="1"/>
  <c r="N2484" i="1"/>
  <c r="M2484" i="1"/>
  <c r="L2484" i="1"/>
  <c r="K2484" i="1"/>
  <c r="O183" i="1"/>
  <c r="N183" i="1"/>
  <c r="M183" i="1"/>
  <c r="L183" i="1"/>
  <c r="K183" i="1"/>
  <c r="O417" i="1"/>
  <c r="N417" i="1"/>
  <c r="M417" i="1"/>
  <c r="L417" i="1"/>
  <c r="K417" i="1"/>
  <c r="O2408" i="1"/>
  <c r="N2408" i="1"/>
  <c r="M2408" i="1"/>
  <c r="L2408" i="1"/>
  <c r="K2408" i="1"/>
  <c r="O247" i="1"/>
  <c r="N247" i="1"/>
  <c r="M247" i="1"/>
  <c r="K247" i="1"/>
  <c r="L247" i="1"/>
  <c r="O2483" i="1"/>
  <c r="N2483" i="1"/>
  <c r="M2483" i="1"/>
  <c r="L2483" i="1"/>
  <c r="K2483" i="1"/>
  <c r="O1153" i="1"/>
  <c r="N1153" i="1"/>
  <c r="M1153" i="1"/>
  <c r="L1153" i="1"/>
  <c r="K1153" i="1"/>
  <c r="O518" i="1"/>
  <c r="N518" i="1"/>
  <c r="M518" i="1"/>
  <c r="L518" i="1"/>
  <c r="K518" i="1"/>
  <c r="O2592" i="1"/>
  <c r="N2592" i="1"/>
  <c r="M2592" i="1"/>
  <c r="L2592" i="1"/>
  <c r="K2592" i="1"/>
  <c r="O3003" i="1"/>
  <c r="N3003" i="1"/>
  <c r="M3003" i="1"/>
  <c r="L3003" i="1"/>
  <c r="K3003" i="1"/>
  <c r="O3504" i="1"/>
  <c r="N3504" i="1"/>
  <c r="M3504" i="1"/>
  <c r="L3504" i="1"/>
  <c r="K3504" i="1"/>
  <c r="O568" i="1"/>
  <c r="N568" i="1"/>
  <c r="M568" i="1"/>
  <c r="L568" i="1"/>
  <c r="K568" i="1"/>
  <c r="O2679" i="1"/>
  <c r="N2679" i="1"/>
  <c r="M2679" i="1"/>
  <c r="L2679" i="1"/>
  <c r="K2679" i="1"/>
  <c r="O95" i="1"/>
  <c r="N95" i="1"/>
  <c r="M95" i="1"/>
  <c r="L95" i="1"/>
  <c r="K95" i="1"/>
  <c r="O389" i="1"/>
  <c r="N389" i="1"/>
  <c r="M389" i="1"/>
  <c r="L389" i="1"/>
  <c r="K389" i="1"/>
  <c r="O2637" i="1"/>
  <c r="N2637" i="1"/>
  <c r="M2637" i="1"/>
  <c r="L2637" i="1"/>
  <c r="K2637" i="1"/>
  <c r="O2096" i="1"/>
  <c r="N2096" i="1"/>
  <c r="M2096" i="1"/>
  <c r="L2096" i="1"/>
  <c r="K2096" i="1"/>
  <c r="O3498" i="1"/>
  <c r="N3498" i="1"/>
  <c r="M3498" i="1"/>
  <c r="L3498" i="1"/>
  <c r="K3498" i="1"/>
  <c r="O2578" i="1"/>
  <c r="N2578" i="1"/>
  <c r="M2578" i="1"/>
  <c r="L2578" i="1"/>
  <c r="K2578" i="1"/>
  <c r="O2859" i="1"/>
  <c r="N2859" i="1"/>
  <c r="M2859" i="1"/>
  <c r="L2859" i="1"/>
  <c r="K2859" i="1"/>
  <c r="O310" i="1"/>
  <c r="N310" i="1"/>
  <c r="M310" i="1"/>
  <c r="L310" i="1"/>
  <c r="K310" i="1"/>
  <c r="O2181" i="1"/>
  <c r="N2181" i="1"/>
  <c r="M2181" i="1"/>
  <c r="L2181" i="1"/>
  <c r="K2181" i="1"/>
  <c r="O3615" i="1"/>
  <c r="N3615" i="1"/>
  <c r="M3615" i="1"/>
  <c r="L3615" i="1"/>
  <c r="K3615" i="1"/>
  <c r="O421" i="1"/>
  <c r="N421" i="1"/>
  <c r="M421" i="1"/>
  <c r="L421" i="1"/>
  <c r="K421" i="1"/>
  <c r="O2901" i="1"/>
  <c r="N2901" i="1"/>
  <c r="M2901" i="1"/>
  <c r="L2901" i="1"/>
  <c r="K2901" i="1"/>
  <c r="O2364" i="1"/>
  <c r="N2364" i="1"/>
  <c r="M2364" i="1"/>
  <c r="L2364" i="1"/>
  <c r="K2364" i="1"/>
  <c r="O2158" i="1"/>
  <c r="N2158" i="1"/>
  <c r="M2158" i="1"/>
  <c r="L2158" i="1"/>
  <c r="K2158" i="1"/>
  <c r="O405" i="1"/>
  <c r="N405" i="1"/>
  <c r="M405" i="1"/>
  <c r="L405" i="1"/>
  <c r="K405" i="1"/>
  <c r="O717" i="1"/>
  <c r="N717" i="1"/>
  <c r="M717" i="1"/>
  <c r="L717" i="1"/>
  <c r="K717" i="1"/>
  <c r="O2001" i="1"/>
  <c r="N2001" i="1"/>
  <c r="M2001" i="1"/>
  <c r="L2001" i="1"/>
  <c r="K2001" i="1"/>
  <c r="O2618" i="1"/>
  <c r="N2618" i="1"/>
  <c r="M2618" i="1"/>
  <c r="L2618" i="1"/>
  <c r="K2618" i="1"/>
  <c r="O36" i="1"/>
  <c r="N36" i="1"/>
  <c r="M36" i="1"/>
  <c r="L36" i="1"/>
  <c r="K36" i="1"/>
  <c r="O493" i="1"/>
  <c r="N493" i="1"/>
  <c r="M493" i="1"/>
  <c r="L493" i="1"/>
  <c r="K493" i="1"/>
  <c r="O1356" i="1"/>
  <c r="N1356" i="1"/>
  <c r="M1356" i="1"/>
  <c r="L1356" i="1"/>
  <c r="K1356" i="1"/>
  <c r="O859" i="1"/>
  <c r="N859" i="1"/>
  <c r="M859" i="1"/>
  <c r="L859" i="1"/>
  <c r="K859" i="1"/>
  <c r="O3074" i="1"/>
  <c r="N3074" i="1"/>
  <c r="M3074" i="1"/>
  <c r="K3074" i="1"/>
  <c r="L3074" i="1"/>
  <c r="O1162" i="1"/>
  <c r="N1162" i="1"/>
  <c r="M1162" i="1"/>
  <c r="L1162" i="1"/>
  <c r="K1162" i="1"/>
  <c r="O3348" i="1"/>
  <c r="N3348" i="1"/>
  <c r="M3348" i="1"/>
  <c r="L3348" i="1"/>
  <c r="K3348" i="1"/>
  <c r="O29" i="1"/>
  <c r="N29" i="1"/>
  <c r="M29" i="1"/>
  <c r="L29" i="1"/>
  <c r="K29" i="1"/>
  <c r="O1487" i="1"/>
  <c r="N1487" i="1"/>
  <c r="M1487" i="1"/>
  <c r="L1487" i="1"/>
  <c r="K1487" i="1"/>
  <c r="O245" i="1"/>
  <c r="N245" i="1"/>
  <c r="M245" i="1"/>
  <c r="L245" i="1"/>
  <c r="K245" i="1"/>
  <c r="O3409" i="1"/>
  <c r="N3409" i="1"/>
  <c r="M3409" i="1"/>
  <c r="L3409" i="1"/>
  <c r="K3409" i="1"/>
  <c r="O229" i="1"/>
  <c r="N229" i="1"/>
  <c r="M229" i="1"/>
  <c r="L229" i="1"/>
  <c r="K229" i="1"/>
  <c r="O1647" i="1"/>
  <c r="N1647" i="1"/>
  <c r="M1647" i="1"/>
  <c r="L1647" i="1"/>
  <c r="K1647" i="1"/>
  <c r="O3377" i="1"/>
  <c r="N3377" i="1"/>
  <c r="M3377" i="1"/>
  <c r="L3377" i="1"/>
  <c r="K3377" i="1"/>
  <c r="O769" i="1"/>
  <c r="N769" i="1"/>
  <c r="M769" i="1"/>
  <c r="L769" i="1"/>
  <c r="K769" i="1"/>
  <c r="O3503" i="1"/>
  <c r="N3503" i="1"/>
  <c r="M3503" i="1"/>
  <c r="L3503" i="1"/>
  <c r="K3503" i="1"/>
  <c r="O1344" i="1"/>
  <c r="N1344" i="1"/>
  <c r="M1344" i="1"/>
  <c r="L1344" i="1"/>
  <c r="K1344" i="1"/>
  <c r="O369" i="1"/>
  <c r="N369" i="1"/>
  <c r="M369" i="1"/>
  <c r="L369" i="1"/>
  <c r="K369" i="1"/>
  <c r="O492" i="1"/>
  <c r="N492" i="1"/>
  <c r="M492" i="1"/>
  <c r="L492" i="1"/>
  <c r="K492" i="1"/>
  <c r="O1271" i="1"/>
  <c r="N1271" i="1"/>
  <c r="M1271" i="1"/>
  <c r="L1271" i="1"/>
  <c r="K1271" i="1"/>
  <c r="O275" i="1"/>
  <c r="N275" i="1"/>
  <c r="M275" i="1"/>
  <c r="L275" i="1"/>
  <c r="K275" i="1"/>
  <c r="O1875" i="1"/>
  <c r="N1875" i="1"/>
  <c r="M1875" i="1"/>
  <c r="L1875" i="1"/>
  <c r="K1875" i="1"/>
  <c r="O1428" i="1"/>
  <c r="N1428" i="1"/>
  <c r="M1428" i="1"/>
  <c r="L1428" i="1"/>
  <c r="K1428" i="1"/>
  <c r="O2949" i="1"/>
  <c r="N2949" i="1"/>
  <c r="M2949" i="1"/>
  <c r="L2949" i="1"/>
  <c r="K2949" i="1"/>
  <c r="O1015" i="1"/>
  <c r="N1015" i="1"/>
  <c r="M1015" i="1"/>
  <c r="L1015" i="1"/>
  <c r="K1015" i="1"/>
  <c r="O2711" i="1"/>
  <c r="N2711" i="1"/>
  <c r="M2711" i="1"/>
  <c r="L2711" i="1"/>
  <c r="K2711" i="1"/>
  <c r="O2383" i="1"/>
  <c r="N2383" i="1"/>
  <c r="M2383" i="1"/>
  <c r="L2383" i="1"/>
  <c r="K2383" i="1"/>
  <c r="O2726" i="1"/>
  <c r="N2726" i="1"/>
  <c r="M2726" i="1"/>
  <c r="L2726" i="1"/>
  <c r="K2726" i="1"/>
  <c r="O897" i="1"/>
  <c r="N897" i="1"/>
  <c r="M897" i="1"/>
  <c r="L897" i="1"/>
  <c r="K897" i="1"/>
  <c r="O228" i="1"/>
  <c r="N228" i="1"/>
  <c r="M228" i="1"/>
  <c r="L228" i="1"/>
  <c r="K228" i="1"/>
  <c r="O2139" i="1"/>
  <c r="N2139" i="1"/>
  <c r="M2139" i="1"/>
  <c r="L2139" i="1"/>
  <c r="K2139" i="1"/>
  <c r="O2697" i="1"/>
  <c r="N2697" i="1"/>
  <c r="M2697" i="1"/>
  <c r="L2697" i="1"/>
  <c r="K2697" i="1"/>
  <c r="O3024" i="1"/>
  <c r="N3024" i="1"/>
  <c r="M3024" i="1"/>
  <c r="L3024" i="1"/>
  <c r="K3024" i="1"/>
  <c r="O2589" i="1"/>
  <c r="N2589" i="1"/>
  <c r="M2589" i="1"/>
  <c r="L2589" i="1"/>
  <c r="K2589" i="1"/>
  <c r="O1944" i="1"/>
  <c r="N1944" i="1"/>
  <c r="M1944" i="1"/>
  <c r="L1944" i="1"/>
  <c r="K1944" i="1"/>
  <c r="O2262" i="1"/>
  <c r="N2262" i="1"/>
  <c r="M2262" i="1"/>
  <c r="L2262" i="1"/>
  <c r="K2262" i="1"/>
  <c r="O1379" i="1"/>
  <c r="N1379" i="1"/>
  <c r="M1379" i="1"/>
  <c r="L1379" i="1"/>
  <c r="K1379" i="1"/>
  <c r="O3353" i="1"/>
  <c r="N3353" i="1"/>
  <c r="M3353" i="1"/>
  <c r="L3353" i="1"/>
  <c r="K3353" i="1"/>
  <c r="O608" i="1"/>
  <c r="N608" i="1"/>
  <c r="M608" i="1"/>
  <c r="L608" i="1"/>
  <c r="K608" i="1"/>
  <c r="O700" i="1"/>
  <c r="N700" i="1"/>
  <c r="M700" i="1"/>
  <c r="L700" i="1"/>
  <c r="K700" i="1"/>
  <c r="O3113" i="1"/>
  <c r="N3113" i="1"/>
  <c r="M3113" i="1"/>
  <c r="L3113" i="1"/>
  <c r="K3113" i="1"/>
  <c r="O344" i="1"/>
  <c r="N344" i="1"/>
  <c r="M344" i="1"/>
  <c r="L344" i="1"/>
  <c r="K344" i="1"/>
  <c r="O1757" i="1"/>
  <c r="N1757" i="1"/>
  <c r="M1757" i="1"/>
  <c r="L1757" i="1"/>
  <c r="K1757" i="1"/>
  <c r="O445" i="1"/>
  <c r="N445" i="1"/>
  <c r="M445" i="1"/>
  <c r="L445" i="1"/>
  <c r="K445" i="1"/>
  <c r="O1467" i="1"/>
  <c r="N1467" i="1"/>
  <c r="M1467" i="1"/>
  <c r="L1467" i="1"/>
  <c r="K1467" i="1"/>
  <c r="O1750" i="1"/>
  <c r="N1750" i="1"/>
  <c r="M1750" i="1"/>
  <c r="L1750" i="1"/>
  <c r="K1750" i="1"/>
  <c r="O1065" i="1"/>
  <c r="N1065" i="1"/>
  <c r="M1065" i="1"/>
  <c r="L1065" i="1"/>
  <c r="K1065" i="1"/>
  <c r="O2642" i="1"/>
  <c r="N2642" i="1"/>
  <c r="M2642" i="1"/>
  <c r="L2642" i="1"/>
  <c r="K2642" i="1"/>
  <c r="O2012" i="1"/>
  <c r="N2012" i="1"/>
  <c r="M2012" i="1"/>
  <c r="L2012" i="1"/>
  <c r="K2012" i="1"/>
  <c r="O2611" i="1"/>
  <c r="N2611" i="1"/>
  <c r="M2611" i="1"/>
  <c r="L2611" i="1"/>
  <c r="K2611" i="1"/>
  <c r="O2610" i="1"/>
  <c r="N2610" i="1"/>
  <c r="M2610" i="1"/>
  <c r="L2610" i="1"/>
  <c r="K2610" i="1"/>
  <c r="O790" i="1"/>
  <c r="N790" i="1"/>
  <c r="M790" i="1"/>
  <c r="L790" i="1"/>
  <c r="K790" i="1"/>
  <c r="O2735" i="1"/>
  <c r="N2735" i="1"/>
  <c r="M2735" i="1"/>
  <c r="L2735" i="1"/>
  <c r="K2735" i="1"/>
  <c r="O1919" i="1"/>
  <c r="N1919" i="1"/>
  <c r="M1919" i="1"/>
  <c r="L1919" i="1"/>
  <c r="K1919" i="1"/>
  <c r="O3242" i="1"/>
  <c r="N3242" i="1"/>
  <c r="M3242" i="1"/>
  <c r="L3242" i="1"/>
  <c r="K3242" i="1"/>
  <c r="O2734" i="1"/>
  <c r="N2734" i="1"/>
  <c r="M2734" i="1"/>
  <c r="L2734" i="1"/>
  <c r="K2734" i="1"/>
  <c r="O2317" i="1"/>
  <c r="N2317" i="1"/>
  <c r="M2317" i="1"/>
  <c r="L2317" i="1"/>
  <c r="K2317" i="1"/>
  <c r="O1232" i="1"/>
  <c r="N1232" i="1"/>
  <c r="M1232" i="1"/>
  <c r="L1232" i="1"/>
  <c r="K1232" i="1"/>
  <c r="O1602" i="1"/>
  <c r="N1602" i="1"/>
  <c r="M1602" i="1"/>
  <c r="L1602" i="1"/>
  <c r="K1602" i="1"/>
  <c r="O136" i="1"/>
  <c r="N136" i="1"/>
  <c r="M136" i="1"/>
  <c r="L136" i="1"/>
  <c r="K136" i="1"/>
  <c r="O92" i="1"/>
  <c r="N92" i="1"/>
  <c r="M92" i="1"/>
  <c r="L92" i="1"/>
  <c r="K92" i="1"/>
  <c r="O706" i="1"/>
  <c r="N706" i="1"/>
  <c r="M706" i="1"/>
  <c r="L706" i="1"/>
  <c r="K706" i="1"/>
  <c r="O2362" i="1"/>
  <c r="N2362" i="1"/>
  <c r="M2362" i="1"/>
  <c r="L2362" i="1"/>
  <c r="K2362" i="1"/>
  <c r="O3569" i="1"/>
  <c r="N3569" i="1"/>
  <c r="M3569" i="1"/>
  <c r="L3569" i="1"/>
  <c r="K3569" i="1"/>
  <c r="O1678" i="1"/>
  <c r="N1678" i="1"/>
  <c r="M1678" i="1"/>
  <c r="L1678" i="1"/>
  <c r="K1678" i="1"/>
  <c r="O3438" i="1"/>
  <c r="N3438" i="1"/>
  <c r="M3438" i="1"/>
  <c r="L3438" i="1"/>
  <c r="K3438" i="1"/>
  <c r="O3340" i="1"/>
  <c r="N3340" i="1"/>
  <c r="M3340" i="1"/>
  <c r="L3340" i="1"/>
  <c r="K3340" i="1"/>
  <c r="O2843" i="1"/>
  <c r="N2843" i="1"/>
  <c r="M2843" i="1"/>
  <c r="L2843" i="1"/>
  <c r="K2843" i="1"/>
  <c r="O1507" i="1"/>
  <c r="N1507" i="1"/>
  <c r="M1507" i="1"/>
  <c r="L1507" i="1"/>
  <c r="K1507" i="1"/>
  <c r="O2770" i="1"/>
  <c r="N2770" i="1"/>
  <c r="M2770" i="1"/>
  <c r="L2770" i="1"/>
  <c r="K2770" i="1"/>
  <c r="O290" i="1"/>
  <c r="N290" i="1"/>
  <c r="M290" i="1"/>
  <c r="L290" i="1"/>
  <c r="K290" i="1"/>
  <c r="O3086" i="1"/>
  <c r="N3086" i="1"/>
  <c r="M3086" i="1"/>
  <c r="L3086" i="1"/>
  <c r="K3086" i="1"/>
  <c r="O3490" i="1"/>
  <c r="N3490" i="1"/>
  <c r="M3490" i="1"/>
  <c r="L3490" i="1"/>
  <c r="K3490" i="1"/>
  <c r="O3543" i="1"/>
  <c r="N3543" i="1"/>
  <c r="M3543" i="1"/>
  <c r="L3543" i="1"/>
  <c r="K3543" i="1"/>
  <c r="O2837" i="1"/>
  <c r="N2837" i="1"/>
  <c r="M2837" i="1"/>
  <c r="L2837" i="1"/>
  <c r="K2837" i="1"/>
  <c r="O3204" i="1"/>
  <c r="N3204" i="1"/>
  <c r="M3204" i="1"/>
  <c r="L3204" i="1"/>
  <c r="K3204" i="1"/>
  <c r="O480" i="1"/>
  <c r="N480" i="1"/>
  <c r="M480" i="1"/>
  <c r="L480" i="1"/>
  <c r="K480" i="1"/>
  <c r="O79" i="1"/>
  <c r="N79" i="1"/>
  <c r="M79" i="1"/>
  <c r="L79" i="1"/>
  <c r="K79" i="1"/>
  <c r="O2312" i="1"/>
  <c r="N2312" i="1"/>
  <c r="M2312" i="1"/>
  <c r="K2312" i="1"/>
  <c r="L2312" i="1"/>
  <c r="O1658" i="1"/>
  <c r="N1658" i="1"/>
  <c r="M1658" i="1"/>
  <c r="L1658" i="1"/>
  <c r="K1658" i="1"/>
  <c r="O692" i="1"/>
  <c r="N692" i="1"/>
  <c r="M692" i="1"/>
  <c r="L692" i="1"/>
  <c r="K692" i="1"/>
  <c r="O2632" i="1"/>
  <c r="N2632" i="1"/>
  <c r="M2632" i="1"/>
  <c r="L2632" i="1"/>
  <c r="K2632" i="1"/>
  <c r="O560" i="1"/>
  <c r="N560" i="1"/>
  <c r="M560" i="1"/>
  <c r="L560" i="1"/>
  <c r="K560" i="1"/>
  <c r="O1991" i="1"/>
  <c r="N1991" i="1"/>
  <c r="M1991" i="1"/>
  <c r="L1991" i="1"/>
  <c r="K1991" i="1"/>
  <c r="O1104" i="1"/>
  <c r="N1104" i="1"/>
  <c r="M1104" i="1"/>
  <c r="L1104" i="1"/>
  <c r="K1104" i="1"/>
  <c r="O567" i="1"/>
  <c r="N567" i="1"/>
  <c r="M567" i="1"/>
  <c r="L567" i="1"/>
  <c r="K567" i="1"/>
  <c r="O1784" i="1"/>
  <c r="N1784" i="1"/>
  <c r="M1784" i="1"/>
  <c r="L1784" i="1"/>
  <c r="K1784" i="1"/>
  <c r="O1462" i="1"/>
  <c r="N1462" i="1"/>
  <c r="M1462" i="1"/>
  <c r="L1462" i="1"/>
  <c r="K1462" i="1"/>
  <c r="O2434" i="1"/>
  <c r="N2434" i="1"/>
  <c r="M2434" i="1"/>
  <c r="L2434" i="1"/>
  <c r="K2434" i="1"/>
  <c r="O3468" i="1"/>
  <c r="N3468" i="1"/>
  <c r="M3468" i="1"/>
  <c r="L3468" i="1"/>
  <c r="K3468" i="1"/>
  <c r="O1585" i="1"/>
  <c r="N1585" i="1"/>
  <c r="M1585" i="1"/>
  <c r="L1585" i="1"/>
  <c r="K1585" i="1"/>
  <c r="O699" i="1"/>
  <c r="N699" i="1"/>
  <c r="M699" i="1"/>
  <c r="L699" i="1"/>
  <c r="K699" i="1"/>
  <c r="O2921" i="1"/>
  <c r="N2921" i="1"/>
  <c r="M2921" i="1"/>
  <c r="L2921" i="1"/>
  <c r="K2921" i="1"/>
  <c r="O1013" i="1"/>
  <c r="N1013" i="1"/>
  <c r="M1013" i="1"/>
  <c r="L1013" i="1"/>
  <c r="K1013" i="1"/>
  <c r="O237" i="1"/>
  <c r="N237" i="1"/>
  <c r="M237" i="1"/>
  <c r="L237" i="1"/>
  <c r="K237" i="1"/>
  <c r="O514" i="1"/>
  <c r="N514" i="1"/>
  <c r="M514" i="1"/>
  <c r="L514" i="1"/>
  <c r="K514" i="1"/>
  <c r="O3405" i="1"/>
  <c r="N3405" i="1"/>
  <c r="M3405" i="1"/>
  <c r="L3405" i="1"/>
  <c r="K3405" i="1"/>
  <c r="O1298" i="1"/>
  <c r="N1298" i="1"/>
  <c r="M1298" i="1"/>
  <c r="L1298" i="1"/>
  <c r="K1298" i="1"/>
  <c r="O3132" i="1"/>
  <c r="N3132" i="1"/>
  <c r="M3132" i="1"/>
  <c r="L3132" i="1"/>
  <c r="K3132" i="1"/>
  <c r="O2885" i="1"/>
  <c r="N2885" i="1"/>
  <c r="M2885" i="1"/>
  <c r="L2885" i="1"/>
  <c r="K2885" i="1"/>
  <c r="O3288" i="1"/>
  <c r="N3288" i="1"/>
  <c r="M3288" i="1"/>
  <c r="L3288" i="1"/>
  <c r="K3288" i="1"/>
  <c r="O1261" i="1"/>
  <c r="N1261" i="1"/>
  <c r="M1261" i="1"/>
  <c r="L1261" i="1"/>
  <c r="K1261" i="1"/>
  <c r="O1896" i="1"/>
  <c r="N1896" i="1"/>
  <c r="M1896" i="1"/>
  <c r="L1896" i="1"/>
  <c r="K1896" i="1"/>
  <c r="O435" i="1"/>
  <c r="N435" i="1"/>
  <c r="M435" i="1"/>
  <c r="L435" i="1"/>
  <c r="K435" i="1"/>
  <c r="O3232" i="1"/>
  <c r="N3232" i="1"/>
  <c r="M3232" i="1"/>
  <c r="L3232" i="1"/>
  <c r="K3232" i="1"/>
  <c r="O1948" i="1"/>
  <c r="N1948" i="1"/>
  <c r="M1948" i="1"/>
  <c r="L1948" i="1"/>
  <c r="K1948" i="1"/>
  <c r="O15" i="1"/>
  <c r="N15" i="1"/>
  <c r="M15" i="1"/>
  <c r="L15" i="1"/>
  <c r="K15" i="1"/>
  <c r="O158" i="1"/>
  <c r="N158" i="1"/>
  <c r="M158" i="1"/>
  <c r="L158" i="1"/>
  <c r="K158" i="1"/>
  <c r="O582" i="1"/>
  <c r="N582" i="1"/>
  <c r="M582" i="1"/>
  <c r="L582" i="1"/>
  <c r="K582" i="1"/>
  <c r="O657" i="1"/>
  <c r="N657" i="1"/>
  <c r="M657" i="1"/>
  <c r="L657" i="1"/>
  <c r="K657" i="1"/>
  <c r="O3370" i="1"/>
  <c r="N3370" i="1"/>
  <c r="M3370" i="1"/>
  <c r="L3370" i="1"/>
  <c r="K3370" i="1"/>
  <c r="O3415" i="1"/>
  <c r="N3415" i="1"/>
  <c r="M3415" i="1"/>
  <c r="L3415" i="1"/>
  <c r="K3415" i="1"/>
  <c r="O817" i="1"/>
  <c r="N817" i="1"/>
  <c r="M817" i="1"/>
  <c r="L817" i="1"/>
  <c r="K817" i="1"/>
  <c r="O3142" i="1"/>
  <c r="N3142" i="1"/>
  <c r="M3142" i="1"/>
  <c r="L3142" i="1"/>
  <c r="K3142" i="1"/>
  <c r="O2193" i="1"/>
  <c r="N2193" i="1"/>
  <c r="M2193" i="1"/>
  <c r="L2193" i="1"/>
  <c r="K2193" i="1"/>
  <c r="O1911" i="1"/>
  <c r="N1911" i="1"/>
  <c r="M1911" i="1"/>
  <c r="L1911" i="1"/>
  <c r="K1911" i="1"/>
  <c r="O1310" i="1"/>
  <c r="N1310" i="1"/>
  <c r="M1310" i="1"/>
  <c r="L1310" i="1"/>
  <c r="K1310" i="1"/>
  <c r="O3098" i="1"/>
  <c r="N3098" i="1"/>
  <c r="M3098" i="1"/>
  <c r="L3098" i="1"/>
  <c r="K3098" i="1"/>
  <c r="O1090" i="1"/>
  <c r="N1090" i="1"/>
  <c r="M1090" i="1"/>
  <c r="L1090" i="1"/>
  <c r="K1090" i="1"/>
  <c r="O13" i="1"/>
  <c r="N13" i="1"/>
  <c r="M13" i="1"/>
  <c r="L13" i="1"/>
  <c r="K13" i="1"/>
  <c r="O3207" i="1"/>
  <c r="N3207" i="1"/>
  <c r="M3207" i="1"/>
  <c r="L3207" i="1"/>
  <c r="K3207" i="1"/>
  <c r="O3117" i="1"/>
  <c r="N3117" i="1"/>
  <c r="M3117" i="1"/>
  <c r="L3117" i="1"/>
  <c r="K3117" i="1"/>
  <c r="O2090" i="1"/>
  <c r="N2090" i="1"/>
  <c r="M2090" i="1"/>
  <c r="L2090" i="1"/>
  <c r="K2090" i="1"/>
  <c r="O1343" i="1"/>
  <c r="N1343" i="1"/>
  <c r="M1343" i="1"/>
  <c r="L1343" i="1"/>
  <c r="K1343" i="1"/>
  <c r="O2456" i="1"/>
  <c r="N2456" i="1"/>
  <c r="M2456" i="1"/>
  <c r="L2456" i="1"/>
  <c r="K2456" i="1"/>
  <c r="O242" i="1"/>
  <c r="N242" i="1"/>
  <c r="M242" i="1"/>
  <c r="L242" i="1"/>
  <c r="K242" i="1"/>
  <c r="O983" i="1"/>
  <c r="N983" i="1"/>
  <c r="M983" i="1"/>
  <c r="L983" i="1"/>
  <c r="K983" i="1"/>
  <c r="O1869" i="1"/>
  <c r="N1869" i="1"/>
  <c r="M1869" i="1"/>
  <c r="L1869" i="1"/>
  <c r="K1869" i="1"/>
  <c r="O3123" i="1"/>
  <c r="N3123" i="1"/>
  <c r="M3123" i="1"/>
  <c r="L3123" i="1"/>
  <c r="K3123" i="1"/>
  <c r="O2398" i="1"/>
  <c r="N2398" i="1"/>
  <c r="M2398" i="1"/>
  <c r="L2398" i="1"/>
  <c r="K2398" i="1"/>
  <c r="O3327" i="1"/>
  <c r="N3327" i="1"/>
  <c r="L3327" i="1"/>
  <c r="M3327" i="1"/>
  <c r="K3327" i="1"/>
  <c r="O2779" i="1"/>
  <c r="N2779" i="1"/>
  <c r="M2779" i="1"/>
  <c r="L2779" i="1"/>
  <c r="K2779" i="1"/>
  <c r="O2710" i="1"/>
  <c r="N2710" i="1"/>
  <c r="M2710" i="1"/>
  <c r="L2710" i="1"/>
  <c r="K2710" i="1"/>
  <c r="O85" i="1"/>
  <c r="N85" i="1"/>
  <c r="M85" i="1"/>
  <c r="L85" i="1"/>
  <c r="K85" i="1"/>
  <c r="O943" i="1"/>
  <c r="N943" i="1"/>
  <c r="M943" i="1"/>
  <c r="L943" i="1"/>
  <c r="K943" i="1"/>
  <c r="O2571" i="1"/>
  <c r="N2571" i="1"/>
  <c r="M2571" i="1"/>
  <c r="L2571" i="1"/>
  <c r="K2571" i="1"/>
  <c r="O2355" i="1"/>
  <c r="N2355" i="1"/>
  <c r="M2355" i="1"/>
  <c r="L2355" i="1"/>
  <c r="K2355" i="1"/>
  <c r="O3268" i="1"/>
  <c r="N3268" i="1"/>
  <c r="M3268" i="1"/>
  <c r="L3268" i="1"/>
  <c r="K3268" i="1"/>
  <c r="O1721" i="1"/>
  <c r="N1721" i="1"/>
  <c r="M1721" i="1"/>
  <c r="L1721" i="1"/>
  <c r="K1721" i="1"/>
  <c r="O2093" i="1"/>
  <c r="N2093" i="1"/>
  <c r="M2093" i="1"/>
  <c r="L2093" i="1"/>
  <c r="K2093" i="1"/>
  <c r="O2533" i="1"/>
  <c r="N2533" i="1"/>
  <c r="M2533" i="1"/>
  <c r="L2533" i="1"/>
  <c r="K2533" i="1"/>
  <c r="O2351" i="1"/>
  <c r="N2351" i="1"/>
  <c r="M2351" i="1"/>
  <c r="L2351" i="1"/>
  <c r="K2351" i="1"/>
  <c r="O1783" i="1"/>
  <c r="N1783" i="1"/>
  <c r="M1783" i="1"/>
  <c r="L1783" i="1"/>
  <c r="K1783" i="1"/>
  <c r="O2249" i="1"/>
  <c r="N2249" i="1"/>
  <c r="M2249" i="1"/>
  <c r="L2249" i="1"/>
  <c r="K2249" i="1"/>
  <c r="O1022" i="1"/>
  <c r="N1022" i="1"/>
  <c r="M1022" i="1"/>
  <c r="L1022" i="1"/>
  <c r="K1022" i="1"/>
  <c r="O593" i="1"/>
  <c r="N593" i="1"/>
  <c r="M593" i="1"/>
  <c r="L593" i="1"/>
  <c r="K593" i="1"/>
  <c r="O1284" i="1"/>
  <c r="N1284" i="1"/>
  <c r="M1284" i="1"/>
  <c r="L1284" i="1"/>
  <c r="K1284" i="1"/>
  <c r="O2025" i="1"/>
  <c r="N2025" i="1"/>
  <c r="M2025" i="1"/>
  <c r="L2025" i="1"/>
  <c r="K2025" i="1"/>
  <c r="O2908" i="1"/>
  <c r="N2908" i="1"/>
  <c r="M2908" i="1"/>
  <c r="L2908" i="1"/>
  <c r="K2908" i="1"/>
  <c r="O3190" i="1"/>
  <c r="N3190" i="1"/>
  <c r="M3190" i="1"/>
  <c r="L3190" i="1"/>
  <c r="K3190" i="1"/>
  <c r="O1827" i="1"/>
  <c r="N1827" i="1"/>
  <c r="M1827" i="1"/>
  <c r="L1827" i="1"/>
  <c r="K1827" i="1"/>
  <c r="O2347" i="1"/>
  <c r="N2347" i="1"/>
  <c r="M2347" i="1"/>
  <c r="L2347" i="1"/>
  <c r="K2347" i="1"/>
  <c r="O426" i="1"/>
  <c r="N426" i="1"/>
  <c r="M426" i="1"/>
  <c r="L426" i="1"/>
  <c r="K426" i="1"/>
  <c r="O1884" i="1"/>
  <c r="N1884" i="1"/>
  <c r="M1884" i="1"/>
  <c r="L1884" i="1"/>
  <c r="K1884" i="1"/>
  <c r="O430" i="1"/>
  <c r="N430" i="1"/>
  <c r="M430" i="1"/>
  <c r="L430" i="1"/>
  <c r="K430" i="1"/>
  <c r="O2604" i="1"/>
  <c r="N2604" i="1"/>
  <c r="M2604" i="1"/>
  <c r="L2604" i="1"/>
  <c r="K2604" i="1"/>
  <c r="O2708" i="1"/>
  <c r="N2708" i="1"/>
  <c r="M2708" i="1"/>
  <c r="L2708" i="1"/>
  <c r="K2708" i="1"/>
  <c r="O2332" i="1"/>
  <c r="N2332" i="1"/>
  <c r="M2332" i="1"/>
  <c r="L2332" i="1"/>
  <c r="K2332" i="1"/>
  <c r="O1197" i="1"/>
  <c r="N1197" i="1"/>
  <c r="M1197" i="1"/>
  <c r="L1197" i="1"/>
  <c r="K1197" i="1"/>
  <c r="O1733" i="1"/>
  <c r="N1733" i="1"/>
  <c r="M1733" i="1"/>
  <c r="L1733" i="1"/>
  <c r="K1733" i="1"/>
  <c r="O581" i="1"/>
  <c r="N581" i="1"/>
  <c r="M581" i="1"/>
  <c r="L581" i="1"/>
  <c r="K581" i="1"/>
  <c r="O3217" i="1"/>
  <c r="N3217" i="1"/>
  <c r="M3217" i="1"/>
  <c r="L3217" i="1"/>
  <c r="K3217" i="1"/>
  <c r="O3059" i="1"/>
  <c r="N3059" i="1"/>
  <c r="M3059" i="1"/>
  <c r="L3059" i="1"/>
  <c r="K3059" i="1"/>
  <c r="O3" i="1"/>
  <c r="N3" i="1"/>
  <c r="M3" i="1"/>
  <c r="L3" i="1"/>
  <c r="K3" i="1"/>
  <c r="O1820" i="1"/>
  <c r="N1820" i="1"/>
  <c r="M1820" i="1"/>
  <c r="L1820" i="1"/>
  <c r="K1820" i="1"/>
  <c r="O2389" i="1"/>
  <c r="N2389" i="1"/>
  <c r="M2389" i="1"/>
  <c r="L2389" i="1"/>
  <c r="K2389" i="1"/>
  <c r="O2451" i="1"/>
  <c r="N2451" i="1"/>
  <c r="M2451" i="1"/>
  <c r="L2451" i="1"/>
  <c r="K2451" i="1"/>
  <c r="O1523" i="1"/>
  <c r="N1523" i="1"/>
  <c r="M1523" i="1"/>
  <c r="L1523" i="1"/>
  <c r="K1523" i="1"/>
  <c r="O3023" i="1"/>
  <c r="N3023" i="1"/>
  <c r="M3023" i="1"/>
  <c r="L3023" i="1"/>
  <c r="K3023" i="1"/>
  <c r="O62" i="1"/>
  <c r="N62" i="1"/>
  <c r="M62" i="1"/>
  <c r="L62" i="1"/>
  <c r="K62" i="1"/>
  <c r="O1123" i="1"/>
  <c r="N1123" i="1"/>
  <c r="M1123" i="1"/>
  <c r="L1123" i="1"/>
  <c r="K1123" i="1"/>
  <c r="O745" i="1"/>
  <c r="N745" i="1"/>
  <c r="M745" i="1"/>
  <c r="L745" i="1"/>
  <c r="K745" i="1"/>
  <c r="O2814" i="1"/>
  <c r="N2814" i="1"/>
  <c r="M2814" i="1"/>
  <c r="L2814" i="1"/>
  <c r="K2814" i="1"/>
  <c r="O2982" i="1"/>
  <c r="N2982" i="1"/>
  <c r="M2982" i="1"/>
  <c r="L2982" i="1"/>
  <c r="K2982" i="1"/>
  <c r="O2021" i="1"/>
  <c r="N2021" i="1"/>
  <c r="M2021" i="1"/>
  <c r="L2021" i="1"/>
  <c r="K2021" i="1"/>
  <c r="O925" i="1"/>
  <c r="N925" i="1"/>
  <c r="M925" i="1"/>
  <c r="L925" i="1"/>
  <c r="K925" i="1"/>
  <c r="O3575" i="1"/>
  <c r="N3575" i="1"/>
  <c r="M3575" i="1"/>
  <c r="L3575" i="1"/>
  <c r="K3575" i="1"/>
  <c r="O2742" i="1"/>
  <c r="N2742" i="1"/>
  <c r="M2742" i="1"/>
  <c r="L2742" i="1"/>
  <c r="K2742" i="1"/>
  <c r="O1473" i="1"/>
  <c r="N1473" i="1"/>
  <c r="M1473" i="1"/>
  <c r="L1473" i="1"/>
  <c r="K1473" i="1"/>
  <c r="O1350" i="1"/>
  <c r="N1350" i="1"/>
  <c r="M1350" i="1"/>
  <c r="L1350" i="1"/>
  <c r="K1350" i="1"/>
  <c r="O3053" i="1"/>
  <c r="N3053" i="1"/>
  <c r="M3053" i="1"/>
  <c r="L3053" i="1"/>
  <c r="K3053" i="1"/>
  <c r="O2666" i="1"/>
  <c r="N2666" i="1"/>
  <c r="M2666" i="1"/>
  <c r="L2666" i="1"/>
  <c r="K2666" i="1"/>
  <c r="O3550" i="1"/>
  <c r="N3550" i="1"/>
  <c r="M3550" i="1"/>
  <c r="L3550" i="1"/>
  <c r="K3550" i="1"/>
  <c r="O2841" i="1"/>
  <c r="N2841" i="1"/>
  <c r="M2841" i="1"/>
  <c r="L2841" i="1"/>
  <c r="K2841" i="1"/>
  <c r="O1274" i="1"/>
  <c r="N1274" i="1"/>
  <c r="M1274" i="1"/>
  <c r="L1274" i="1"/>
  <c r="K1274" i="1"/>
  <c r="O1839" i="1"/>
  <c r="N1839" i="1"/>
  <c r="M1839" i="1"/>
  <c r="L1839" i="1"/>
  <c r="K1839" i="1"/>
  <c r="O3131" i="1"/>
  <c r="N3131" i="1"/>
  <c r="M3131" i="1"/>
  <c r="L3131" i="1"/>
  <c r="K3131" i="1"/>
  <c r="O1847" i="1"/>
  <c r="N1847" i="1"/>
  <c r="M1847" i="1"/>
  <c r="L1847" i="1"/>
  <c r="K1847" i="1"/>
  <c r="O3487" i="1"/>
  <c r="N3487" i="1"/>
  <c r="M3487" i="1"/>
  <c r="L3487" i="1"/>
  <c r="K3487" i="1"/>
  <c r="O1169" i="1"/>
  <c r="N1169" i="1"/>
  <c r="M1169" i="1"/>
  <c r="L1169" i="1"/>
  <c r="K1169" i="1"/>
  <c r="O674" i="1"/>
  <c r="N674" i="1"/>
  <c r="M674" i="1"/>
  <c r="L674" i="1"/>
  <c r="K674" i="1"/>
  <c r="O3231" i="1"/>
  <c r="N3231" i="1"/>
  <c r="M3231" i="1"/>
  <c r="L3231" i="1"/>
  <c r="K3231" i="1"/>
  <c r="O3486" i="1"/>
  <c r="N3486" i="1"/>
  <c r="M3486" i="1"/>
  <c r="L3486" i="1"/>
  <c r="K3486" i="1"/>
  <c r="O3216" i="1"/>
  <c r="N3216" i="1"/>
  <c r="M3216" i="1"/>
  <c r="K3216" i="1"/>
  <c r="L3216" i="1"/>
  <c r="O630" i="1"/>
  <c r="N630" i="1"/>
  <c r="M630" i="1"/>
  <c r="L630" i="1"/>
  <c r="K630" i="1"/>
  <c r="O2789" i="1"/>
  <c r="N2789" i="1"/>
  <c r="M2789" i="1"/>
  <c r="L2789" i="1"/>
  <c r="K2789" i="1"/>
  <c r="O3320" i="1"/>
  <c r="N3320" i="1"/>
  <c r="M3320" i="1"/>
  <c r="L3320" i="1"/>
  <c r="K3320" i="1"/>
  <c r="O1175" i="1"/>
  <c r="N1175" i="1"/>
  <c r="M1175" i="1"/>
  <c r="L1175" i="1"/>
  <c r="K1175" i="1"/>
  <c r="O1371" i="1"/>
  <c r="N1371" i="1"/>
  <c r="M1371" i="1"/>
  <c r="L1371" i="1"/>
  <c r="K1371" i="1"/>
  <c r="O3474" i="1"/>
  <c r="N3474" i="1"/>
  <c r="M3474" i="1"/>
  <c r="L3474" i="1"/>
  <c r="K3474" i="1"/>
  <c r="O2017" i="1"/>
  <c r="N2017" i="1"/>
  <c r="M2017" i="1"/>
  <c r="L2017" i="1"/>
  <c r="K2017" i="1"/>
  <c r="O666" i="1"/>
  <c r="N666" i="1"/>
  <c r="M666" i="1"/>
  <c r="L666" i="1"/>
  <c r="K666" i="1"/>
  <c r="O2628" i="1"/>
  <c r="N2628" i="1"/>
  <c r="M2628" i="1"/>
  <c r="L2628" i="1"/>
  <c r="K2628" i="1"/>
  <c r="O987" i="1"/>
  <c r="N987" i="1"/>
  <c r="M987" i="1"/>
  <c r="L987" i="1"/>
  <c r="K987" i="1"/>
  <c r="O2715" i="1"/>
  <c r="N2715" i="1"/>
  <c r="M2715" i="1"/>
  <c r="L2715" i="1"/>
  <c r="K2715" i="1"/>
  <c r="O2005" i="1"/>
  <c r="N2005" i="1"/>
  <c r="M2005" i="1"/>
  <c r="L2005" i="1"/>
  <c r="K2005" i="1"/>
  <c r="O2809" i="1"/>
  <c r="N2809" i="1"/>
  <c r="M2809" i="1"/>
  <c r="L2809" i="1"/>
  <c r="K2809" i="1"/>
  <c r="O2532" i="1"/>
  <c r="N2532" i="1"/>
  <c r="M2532" i="1"/>
  <c r="L2532" i="1"/>
  <c r="K2532" i="1"/>
  <c r="O1872" i="1"/>
  <c r="N1872" i="1"/>
  <c r="M1872" i="1"/>
  <c r="L1872" i="1"/>
  <c r="K1872" i="1"/>
  <c r="O1626" i="1"/>
  <c r="N1626" i="1"/>
  <c r="M1626" i="1"/>
  <c r="L1626" i="1"/>
  <c r="K1626" i="1"/>
  <c r="O986" i="1"/>
  <c r="N986" i="1"/>
  <c r="M986" i="1"/>
  <c r="L986" i="1"/>
  <c r="K986" i="1"/>
  <c r="O1450" i="1"/>
  <c r="N1450" i="1"/>
  <c r="M1450" i="1"/>
  <c r="L1450" i="1"/>
  <c r="K1450" i="1"/>
  <c r="O673" i="1"/>
  <c r="N673" i="1"/>
  <c r="M673" i="1"/>
  <c r="L673" i="1"/>
  <c r="O784" i="1"/>
  <c r="N784" i="1"/>
  <c r="M784" i="1"/>
  <c r="L784" i="1"/>
  <c r="K784" i="1"/>
  <c r="O2142" i="1"/>
  <c r="N2142" i="1"/>
  <c r="M2142" i="1"/>
  <c r="L2142" i="1"/>
  <c r="K2142" i="1"/>
  <c r="O464" i="1"/>
  <c r="N464" i="1"/>
  <c r="M464" i="1"/>
  <c r="L464" i="1"/>
  <c r="K464" i="1"/>
  <c r="O764" i="1"/>
  <c r="N764" i="1"/>
  <c r="M764" i="1"/>
  <c r="L764" i="1"/>
  <c r="K764" i="1"/>
  <c r="O714" i="1"/>
  <c r="N714" i="1"/>
  <c r="M714" i="1"/>
  <c r="L714" i="1"/>
  <c r="K714" i="1"/>
  <c r="O1767" i="1"/>
  <c r="N1767" i="1"/>
  <c r="M1767" i="1"/>
  <c r="L1767" i="1"/>
  <c r="K1767" i="1"/>
  <c r="O328" i="1"/>
  <c r="N328" i="1"/>
  <c r="M328" i="1"/>
  <c r="L328" i="1"/>
  <c r="K328" i="1"/>
  <c r="O2031" i="1"/>
  <c r="N2031" i="1"/>
  <c r="M2031" i="1"/>
  <c r="L2031" i="1"/>
  <c r="O796" i="1"/>
  <c r="N796" i="1"/>
  <c r="M796" i="1"/>
  <c r="L796" i="1"/>
  <c r="K796" i="1"/>
  <c r="O1056" i="1"/>
  <c r="N1056" i="1"/>
  <c r="M1056" i="1"/>
  <c r="L1056" i="1"/>
  <c r="K1056" i="1"/>
  <c r="O2123" i="1"/>
  <c r="N2123" i="1"/>
  <c r="M2123" i="1"/>
  <c r="L2123" i="1"/>
  <c r="K2123" i="1"/>
  <c r="O1196" i="1"/>
  <c r="N1196" i="1"/>
  <c r="M1196" i="1"/>
  <c r="L1196" i="1"/>
  <c r="K1196" i="1"/>
  <c r="O689" i="1"/>
  <c r="N689" i="1"/>
  <c r="M689" i="1"/>
  <c r="L689" i="1"/>
  <c r="K689" i="1"/>
  <c r="O3602" i="1"/>
  <c r="N3602" i="1"/>
  <c r="M3602" i="1"/>
  <c r="L3602" i="1"/>
  <c r="K3602" i="1"/>
  <c r="O2500" i="1"/>
  <c r="N2500" i="1"/>
  <c r="M2500" i="1"/>
  <c r="L2500" i="1"/>
  <c r="K2500" i="1"/>
  <c r="O3179" i="1"/>
  <c r="N3179" i="1"/>
  <c r="M3179" i="1"/>
  <c r="L3179" i="1"/>
  <c r="O999" i="1"/>
  <c r="N999" i="1"/>
  <c r="M999" i="1"/>
  <c r="L999" i="1"/>
  <c r="K999" i="1"/>
  <c r="O1700" i="1"/>
  <c r="N1700" i="1"/>
  <c r="M1700" i="1"/>
  <c r="L1700" i="1"/>
  <c r="K1700" i="1"/>
  <c r="O2425" i="1"/>
  <c r="N2425" i="1"/>
  <c r="M2425" i="1"/>
  <c r="L2425" i="1"/>
  <c r="K2425" i="1"/>
  <c r="O2681" i="1"/>
  <c r="N2681" i="1"/>
  <c r="M2681" i="1"/>
  <c r="L2681" i="1"/>
  <c r="K2681" i="1"/>
  <c r="O1112" i="1"/>
  <c r="N1112" i="1"/>
  <c r="M1112" i="1"/>
  <c r="L1112" i="1"/>
  <c r="K1112" i="1"/>
  <c r="O2089" i="1"/>
  <c r="N2089" i="1"/>
  <c r="M2089" i="1"/>
  <c r="L2089" i="1"/>
  <c r="K2089" i="1"/>
  <c r="O1174" i="1"/>
  <c r="N1174" i="1"/>
  <c r="M1174" i="1"/>
  <c r="L1174" i="1"/>
  <c r="K1174" i="1"/>
  <c r="O1688" i="1"/>
  <c r="N1688" i="1"/>
  <c r="M1688" i="1"/>
  <c r="L1688" i="1"/>
  <c r="O1760" i="1"/>
  <c r="N1760" i="1"/>
  <c r="M1760" i="1"/>
  <c r="L1760" i="1"/>
  <c r="K1760" i="1"/>
  <c r="O2974" i="1"/>
  <c r="N2974" i="1"/>
  <c r="M2974" i="1"/>
  <c r="L2974" i="1"/>
  <c r="K2974" i="1"/>
  <c r="O1028" i="1"/>
  <c r="N1028" i="1"/>
  <c r="M1028" i="1"/>
  <c r="L1028" i="1"/>
  <c r="K1028" i="1"/>
  <c r="O1483" i="1"/>
  <c r="N1483" i="1"/>
  <c r="M1483" i="1"/>
  <c r="L1483" i="1"/>
  <c r="K1483" i="1"/>
  <c r="O509" i="1"/>
  <c r="N509" i="1"/>
  <c r="M509" i="1"/>
  <c r="L509" i="1"/>
  <c r="K509" i="1"/>
  <c r="O890" i="1"/>
  <c r="N890" i="1"/>
  <c r="M890" i="1"/>
  <c r="L890" i="1"/>
  <c r="K890" i="1"/>
  <c r="O1838" i="1"/>
  <c r="N1838" i="1"/>
  <c r="M1838" i="1"/>
  <c r="L1838" i="1"/>
  <c r="K1838" i="1"/>
  <c r="O2087" i="1"/>
  <c r="N2087" i="1"/>
  <c r="M2087" i="1"/>
  <c r="L2087" i="1"/>
  <c r="O2924" i="1"/>
  <c r="N2924" i="1"/>
  <c r="M2924" i="1"/>
  <c r="L2924" i="1"/>
  <c r="K2924" i="1"/>
  <c r="O487" i="1"/>
  <c r="M487" i="1"/>
  <c r="N487" i="1"/>
  <c r="L487" i="1"/>
  <c r="K487" i="1"/>
  <c r="O2211" i="1"/>
  <c r="N2211" i="1"/>
  <c r="M2211" i="1"/>
  <c r="L2211" i="1"/>
  <c r="K2211" i="1"/>
  <c r="O2659" i="1"/>
  <c r="N2659" i="1"/>
  <c r="L2659" i="1"/>
  <c r="M2659" i="1"/>
  <c r="K2659" i="1"/>
  <c r="O172" i="1"/>
  <c r="N172" i="1"/>
  <c r="M172" i="1"/>
  <c r="L172" i="1"/>
  <c r="K172" i="1"/>
  <c r="O477" i="1"/>
  <c r="N477" i="1"/>
  <c r="M477" i="1"/>
  <c r="L477" i="1"/>
  <c r="K477" i="1"/>
  <c r="O3447" i="1"/>
  <c r="N3447" i="1"/>
  <c r="M3447" i="1"/>
  <c r="L3447" i="1"/>
  <c r="O923" i="1"/>
  <c r="N923" i="1"/>
  <c r="M923" i="1"/>
  <c r="L923" i="1"/>
  <c r="K923" i="1"/>
  <c r="O1370" i="1"/>
  <c r="N1370" i="1"/>
  <c r="M1370" i="1"/>
  <c r="L1370" i="1"/>
  <c r="K1370" i="1"/>
  <c r="O2271" i="1"/>
  <c r="N2271" i="1"/>
  <c r="M2271" i="1"/>
  <c r="L2271" i="1"/>
  <c r="K2271" i="1"/>
  <c r="O1997" i="1"/>
  <c r="N1997" i="1"/>
  <c r="M1997" i="1"/>
  <c r="L1997" i="1"/>
  <c r="K1997" i="1"/>
  <c r="O3509" i="1"/>
  <c r="N3509" i="1"/>
  <c r="M3509" i="1"/>
  <c r="L3509" i="1"/>
  <c r="K3509" i="1"/>
  <c r="O1802" i="1"/>
  <c r="N1802" i="1"/>
  <c r="M1802" i="1"/>
  <c r="L1802" i="1"/>
  <c r="K1802" i="1"/>
  <c r="O3290" i="1"/>
  <c r="N3290" i="1"/>
  <c r="M3290" i="1"/>
  <c r="L3290" i="1"/>
  <c r="K3290" i="1"/>
  <c r="O2475" i="1"/>
  <c r="N2475" i="1"/>
  <c r="M2475" i="1"/>
  <c r="L2475" i="1"/>
  <c r="K2475" i="1"/>
  <c r="O3429" i="1"/>
  <c r="N3429" i="1"/>
  <c r="M3429" i="1"/>
  <c r="L3429" i="1"/>
  <c r="K3429" i="1"/>
  <c r="O1694" i="1"/>
  <c r="N1694" i="1"/>
  <c r="M1694" i="1"/>
  <c r="L1694" i="1"/>
  <c r="K1694" i="1"/>
  <c r="O2833" i="1"/>
  <c r="N2833" i="1"/>
  <c r="M2833" i="1"/>
  <c r="L2833" i="1"/>
  <c r="K2833" i="1"/>
  <c r="O554" i="1"/>
  <c r="N554" i="1"/>
  <c r="M554" i="1"/>
  <c r="L554" i="1"/>
  <c r="K554" i="1"/>
  <c r="O2109" i="1"/>
  <c r="N2109" i="1"/>
  <c r="M2109" i="1"/>
  <c r="L2109" i="1"/>
  <c r="K2109" i="1"/>
  <c r="O3173" i="1"/>
  <c r="N3173" i="1"/>
  <c r="M3173" i="1"/>
  <c r="K3173" i="1"/>
  <c r="L3173" i="1"/>
  <c r="O1297" i="1"/>
  <c r="N1297" i="1"/>
  <c r="M1297" i="1"/>
  <c r="L1297" i="1"/>
  <c r="K1297" i="1"/>
  <c r="O179" i="1"/>
  <c r="N179" i="1"/>
  <c r="M179" i="1"/>
  <c r="L179" i="1"/>
  <c r="K179" i="1"/>
  <c r="O2378" i="1"/>
  <c r="N2378" i="1"/>
  <c r="M2378" i="1"/>
  <c r="L2378" i="1"/>
  <c r="K2378" i="1"/>
  <c r="O2222" i="1"/>
  <c r="N2222" i="1"/>
  <c r="M2222" i="1"/>
  <c r="L2222" i="1"/>
  <c r="K2222" i="1"/>
  <c r="O1946" i="1"/>
  <c r="N1946" i="1"/>
  <c r="M1946" i="1"/>
  <c r="L1946" i="1"/>
  <c r="K1946" i="1"/>
  <c r="O2995" i="1"/>
  <c r="N2995" i="1"/>
  <c r="M2995" i="1"/>
  <c r="L2995" i="1"/>
  <c r="K2995" i="1"/>
  <c r="O1314" i="1"/>
  <c r="N1314" i="1"/>
  <c r="M1314" i="1"/>
  <c r="L1314" i="1"/>
  <c r="K1314" i="1"/>
  <c r="O2582" i="1"/>
  <c r="N2582" i="1"/>
  <c r="M2582" i="1"/>
  <c r="L2582" i="1"/>
  <c r="K2582" i="1"/>
  <c r="O1766" i="1"/>
  <c r="N1766" i="1"/>
  <c r="M1766" i="1"/>
  <c r="L1766" i="1"/>
  <c r="K1766" i="1"/>
  <c r="O226" i="1"/>
  <c r="N226" i="1"/>
  <c r="M226" i="1"/>
  <c r="L226" i="1"/>
  <c r="K226" i="1"/>
  <c r="O583" i="1"/>
  <c r="N583" i="1"/>
  <c r="M583" i="1"/>
  <c r="L583" i="1"/>
  <c r="K583" i="1"/>
  <c r="O3464" i="1"/>
  <c r="N3464" i="1"/>
  <c r="M3464" i="1"/>
  <c r="L3464" i="1"/>
  <c r="K3464" i="1"/>
  <c r="O3022" i="1"/>
  <c r="N3022" i="1"/>
  <c r="M3022" i="1"/>
  <c r="L3022" i="1"/>
  <c r="K3022" i="1"/>
  <c r="O3050" i="1"/>
  <c r="N3050" i="1"/>
  <c r="M3050" i="1"/>
  <c r="L3050" i="1"/>
  <c r="K3050" i="1"/>
  <c r="O1511" i="1"/>
  <c r="N1511" i="1"/>
  <c r="M1511" i="1"/>
  <c r="L1511" i="1"/>
  <c r="K1511" i="1"/>
  <c r="O2581" i="1"/>
  <c r="N2581" i="1"/>
  <c r="M2581" i="1"/>
  <c r="K2581" i="1"/>
  <c r="L2581" i="1"/>
  <c r="O1680" i="1"/>
  <c r="N1680" i="1"/>
  <c r="M1680" i="1"/>
  <c r="L1680" i="1"/>
  <c r="K1680" i="1"/>
  <c r="O3009" i="1"/>
  <c r="N3009" i="1"/>
  <c r="M3009" i="1"/>
  <c r="L3009" i="1"/>
  <c r="K3009" i="1"/>
  <c r="O3471" i="1"/>
  <c r="N3471" i="1"/>
  <c r="M3471" i="1"/>
  <c r="L3471" i="1"/>
  <c r="K3471" i="1"/>
  <c r="O1227" i="1"/>
  <c r="N1227" i="1"/>
  <c r="M1227" i="1"/>
  <c r="L1227" i="1"/>
  <c r="K1227" i="1"/>
  <c r="O1472" i="1"/>
  <c r="N1472" i="1"/>
  <c r="M1472" i="1"/>
  <c r="L1472" i="1"/>
  <c r="K1472" i="1"/>
  <c r="O2944" i="1"/>
  <c r="N2944" i="1"/>
  <c r="M2944" i="1"/>
  <c r="L2944" i="1"/>
  <c r="K2944" i="1"/>
  <c r="O2714" i="1"/>
  <c r="N2714" i="1"/>
  <c r="M2714" i="1"/>
  <c r="L2714" i="1"/>
  <c r="K2714" i="1"/>
  <c r="O3566" i="1"/>
  <c r="N3566" i="1"/>
  <c r="M3566" i="1"/>
  <c r="L3566" i="1"/>
  <c r="K3566" i="1"/>
  <c r="O261" i="1"/>
  <c r="N261" i="1"/>
  <c r="M261" i="1"/>
  <c r="L261" i="1"/>
  <c r="K261" i="1"/>
  <c r="O709" i="1"/>
  <c r="N709" i="1"/>
  <c r="M709" i="1"/>
  <c r="L709" i="1"/>
  <c r="K709" i="1"/>
  <c r="O1679" i="1"/>
  <c r="N1679" i="1"/>
  <c r="M1679" i="1"/>
  <c r="L1679" i="1"/>
  <c r="K1679" i="1"/>
  <c r="O3259" i="1"/>
  <c r="N3259" i="1"/>
  <c r="M3259" i="1"/>
  <c r="L3259" i="1"/>
  <c r="K3259" i="1"/>
  <c r="O1752" i="1"/>
  <c r="N1752" i="1"/>
  <c r="M1752" i="1"/>
  <c r="L1752" i="1"/>
  <c r="K1752" i="1"/>
  <c r="K63" i="1"/>
  <c r="K3390" i="1"/>
  <c r="K919" i="1"/>
  <c r="K1242" i="1"/>
  <c r="K2444" i="1"/>
  <c r="K955" i="1"/>
  <c r="K1549" i="1"/>
  <c r="K1983" i="1"/>
  <c r="K2662" i="1"/>
  <c r="K2891" i="1"/>
  <c r="K1653" i="1"/>
  <c r="K1714" i="1"/>
  <c r="K3179" i="1"/>
  <c r="K2601" i="1"/>
  <c r="O3063" i="1"/>
  <c r="N3063" i="1"/>
  <c r="M3063" i="1"/>
  <c r="L3063" i="1"/>
  <c r="K3063" i="1"/>
  <c r="O3056" i="1"/>
  <c r="N3056" i="1"/>
  <c r="M3056" i="1"/>
  <c r="K3056" i="1"/>
  <c r="L3056" i="1"/>
  <c r="O2807" i="1"/>
  <c r="N2807" i="1"/>
  <c r="M2807" i="1"/>
  <c r="L2807" i="1"/>
  <c r="K2807" i="1"/>
  <c r="O1672" i="1"/>
  <c r="N1672" i="1"/>
  <c r="M1672" i="1"/>
  <c r="L1672" i="1"/>
  <c r="K1672" i="1"/>
  <c r="O1098" i="1"/>
  <c r="N1098" i="1"/>
  <c r="M1098" i="1"/>
  <c r="L1098" i="1"/>
  <c r="K1098" i="1"/>
  <c r="O3452" i="1"/>
  <c r="N3452" i="1"/>
  <c r="M3452" i="1"/>
  <c r="K3452" i="1"/>
  <c r="L3452" i="1"/>
  <c r="O2727" i="1"/>
  <c r="N2727" i="1"/>
  <c r="M2727" i="1"/>
  <c r="L2727" i="1"/>
  <c r="K2727" i="1"/>
  <c r="O2023" i="1"/>
  <c r="N2023" i="1"/>
  <c r="M2023" i="1"/>
  <c r="L2023" i="1"/>
  <c r="K2023" i="1"/>
  <c r="O2440" i="1"/>
  <c r="N2440" i="1"/>
  <c r="M2440" i="1"/>
  <c r="L2440" i="1"/>
  <c r="K2440" i="1"/>
  <c r="O2728" i="1"/>
  <c r="N2728" i="1"/>
  <c r="M2728" i="1"/>
  <c r="L2728" i="1"/>
  <c r="K2728" i="1"/>
  <c r="O2086" i="1"/>
  <c r="N2086" i="1"/>
  <c r="M2086" i="1"/>
  <c r="L2086" i="1"/>
  <c r="K2086" i="1"/>
  <c r="O1900" i="1"/>
  <c r="N1900" i="1"/>
  <c r="M1900" i="1"/>
  <c r="L1900" i="1"/>
  <c r="K1900" i="1"/>
  <c r="O2498" i="1"/>
  <c r="N2498" i="1"/>
  <c r="M2498" i="1"/>
  <c r="L2498" i="1"/>
  <c r="K2498" i="1"/>
  <c r="O1225" i="1"/>
  <c r="N1225" i="1"/>
  <c r="M1225" i="1"/>
  <c r="L1225" i="1"/>
  <c r="K1225" i="1"/>
  <c r="O1301" i="1"/>
  <c r="N1301" i="1"/>
  <c r="M1301" i="1"/>
  <c r="L1301" i="1"/>
  <c r="K1301" i="1"/>
  <c r="O775" i="1"/>
  <c r="N775" i="1"/>
  <c r="M775" i="1"/>
  <c r="L775" i="1"/>
  <c r="K775" i="1"/>
  <c r="O550" i="1"/>
  <c r="N550" i="1"/>
  <c r="L550" i="1"/>
  <c r="M550" i="1"/>
  <c r="K550" i="1"/>
  <c r="O2328" i="1"/>
  <c r="N2328" i="1"/>
  <c r="M2328" i="1"/>
  <c r="L2328" i="1"/>
  <c r="K2328" i="1"/>
  <c r="O1545" i="1"/>
  <c r="N1545" i="1"/>
  <c r="M1545" i="1"/>
  <c r="L1545" i="1"/>
  <c r="K1545" i="1"/>
  <c r="O1032" i="1"/>
  <c r="N1032" i="1"/>
  <c r="M1032" i="1"/>
  <c r="L1032" i="1"/>
  <c r="K1032" i="1"/>
  <c r="O1326" i="1"/>
  <c r="N1326" i="1"/>
  <c r="M1326" i="1"/>
  <c r="L1326" i="1"/>
  <c r="K1326" i="1"/>
  <c r="O659" i="1"/>
  <c r="N659" i="1"/>
  <c r="M659" i="1"/>
  <c r="L659" i="1"/>
  <c r="K659" i="1"/>
  <c r="O1738" i="1"/>
  <c r="N1738" i="1"/>
  <c r="M1738" i="1"/>
  <c r="L1738" i="1"/>
  <c r="K1738" i="1"/>
  <c r="O811" i="1"/>
  <c r="N811" i="1"/>
  <c r="M811" i="1"/>
  <c r="L811" i="1"/>
  <c r="K811" i="1"/>
  <c r="O1262" i="1"/>
  <c r="N1262" i="1"/>
  <c r="M1262" i="1"/>
  <c r="L1262" i="1"/>
  <c r="K1262" i="1"/>
  <c r="O2844" i="1"/>
  <c r="N2844" i="1"/>
  <c r="M2844" i="1"/>
  <c r="L2844" i="1"/>
  <c r="K2844" i="1"/>
  <c r="O1557" i="1"/>
  <c r="N1557" i="1"/>
  <c r="M1557" i="1"/>
  <c r="L1557" i="1"/>
  <c r="K1557" i="1"/>
  <c r="O2134" i="1"/>
  <c r="N2134" i="1"/>
  <c r="M2134" i="1"/>
  <c r="L2134" i="1"/>
  <c r="K2134" i="1"/>
  <c r="O1655" i="1"/>
  <c r="N1655" i="1"/>
  <c r="M1655" i="1"/>
  <c r="L1655" i="1"/>
  <c r="K1655" i="1"/>
  <c r="O1950" i="1"/>
  <c r="N1950" i="1"/>
  <c r="M1950" i="1"/>
  <c r="L1950" i="1"/>
  <c r="K1950" i="1"/>
  <c r="O694" i="1"/>
  <c r="N694" i="1"/>
  <c r="M694" i="1"/>
  <c r="K694" i="1"/>
  <c r="L694" i="1"/>
  <c r="O1712" i="1"/>
  <c r="N1712" i="1"/>
  <c r="M1712" i="1"/>
  <c r="L1712" i="1"/>
  <c r="K1712" i="1"/>
  <c r="O2392" i="1"/>
  <c r="N2392" i="1"/>
  <c r="M2392" i="1"/>
  <c r="L2392" i="1"/>
  <c r="K2392" i="1"/>
  <c r="O2466" i="1"/>
  <c r="N2466" i="1"/>
  <c r="M2466" i="1"/>
  <c r="L2466" i="1"/>
  <c r="K2466" i="1"/>
  <c r="O6" i="1"/>
  <c r="N6" i="1"/>
  <c r="M6" i="1"/>
  <c r="L6" i="1"/>
  <c r="K6" i="1"/>
  <c r="O855" i="1"/>
  <c r="N855" i="1"/>
  <c r="M855" i="1"/>
  <c r="L855" i="1"/>
  <c r="K855" i="1"/>
  <c r="O3492" i="1"/>
  <c r="N3492" i="1"/>
  <c r="M3492" i="1"/>
  <c r="L3492" i="1"/>
  <c r="K3492" i="1"/>
  <c r="O1058" i="1"/>
  <c r="N1058" i="1"/>
  <c r="M1058" i="1"/>
  <c r="L1058" i="1"/>
  <c r="K1058" i="1"/>
  <c r="O1016" i="1"/>
  <c r="N1016" i="1"/>
  <c r="M1016" i="1"/>
  <c r="L1016" i="1"/>
  <c r="K1016" i="1"/>
  <c r="O862" i="1"/>
  <c r="N862" i="1"/>
  <c r="M862" i="1"/>
  <c r="L862" i="1"/>
  <c r="K862" i="1"/>
  <c r="O274" i="1"/>
  <c r="N274" i="1"/>
  <c r="M274" i="1"/>
  <c r="L274" i="1"/>
  <c r="K274" i="1"/>
  <c r="O2848" i="1"/>
  <c r="N2848" i="1"/>
  <c r="M2848" i="1"/>
  <c r="L2848" i="1"/>
  <c r="K2848" i="1"/>
  <c r="O1864" i="1"/>
  <c r="N1864" i="1"/>
  <c r="M1864" i="1"/>
  <c r="L1864" i="1"/>
  <c r="K1864" i="1"/>
  <c r="O638" i="1"/>
  <c r="N638" i="1"/>
  <c r="M638" i="1"/>
  <c r="L638" i="1"/>
  <c r="K638" i="1"/>
  <c r="O616" i="1"/>
  <c r="N616" i="1"/>
  <c r="M616" i="1"/>
  <c r="L616" i="1"/>
  <c r="K616" i="1"/>
  <c r="O968" i="1"/>
  <c r="N968" i="1"/>
  <c r="M968" i="1"/>
  <c r="L968" i="1"/>
  <c r="K968" i="1"/>
  <c r="O375" i="1"/>
  <c r="N375" i="1"/>
  <c r="M375" i="1"/>
  <c r="L375" i="1"/>
  <c r="K375" i="1"/>
  <c r="O891" i="1"/>
  <c r="N891" i="1"/>
  <c r="M891" i="1"/>
  <c r="L891" i="1"/>
  <c r="K891" i="1"/>
  <c r="O292" i="1"/>
  <c r="N292" i="1"/>
  <c r="M292" i="1"/>
  <c r="L292" i="1"/>
  <c r="K292" i="1"/>
  <c r="O70" i="1"/>
  <c r="N70" i="1"/>
  <c r="M70" i="1"/>
  <c r="L70" i="1"/>
  <c r="K70" i="1"/>
  <c r="O661" i="1"/>
  <c r="N661" i="1"/>
  <c r="M661" i="1"/>
  <c r="L661" i="1"/>
  <c r="K661" i="1"/>
  <c r="O97" i="1"/>
  <c r="N97" i="1"/>
  <c r="M97" i="1"/>
  <c r="L97" i="1"/>
  <c r="K97" i="1"/>
  <c r="O1951" i="1"/>
  <c r="N1951" i="1"/>
  <c r="M1951" i="1"/>
  <c r="L1951" i="1"/>
  <c r="K1951" i="1"/>
  <c r="O1505" i="1"/>
  <c r="N1505" i="1"/>
  <c r="M1505" i="1"/>
  <c r="L1505" i="1"/>
  <c r="K1505" i="1"/>
  <c r="O37" i="1"/>
  <c r="N37" i="1"/>
  <c r="M37" i="1"/>
  <c r="L37" i="1"/>
  <c r="K37" i="1"/>
  <c r="O171" i="1"/>
  <c r="N171" i="1"/>
  <c r="M171" i="1"/>
  <c r="L171" i="1"/>
  <c r="K171" i="1"/>
  <c r="O2387" i="1"/>
  <c r="N2387" i="1"/>
  <c r="M2387" i="1"/>
  <c r="L2387" i="1"/>
  <c r="K2387" i="1"/>
  <c r="O207" i="1"/>
  <c r="N207" i="1"/>
  <c r="M207" i="1"/>
  <c r="L207" i="1"/>
  <c r="K207" i="1"/>
  <c r="O3522" i="1"/>
  <c r="N3522" i="1"/>
  <c r="M3522" i="1"/>
  <c r="L3522" i="1"/>
  <c r="K3522" i="1"/>
  <c r="O850" i="1"/>
  <c r="N850" i="1"/>
  <c r="M850" i="1"/>
  <c r="L850" i="1"/>
  <c r="K850" i="1"/>
  <c r="O3029" i="1"/>
  <c r="N3029" i="1"/>
  <c r="M3029" i="1"/>
  <c r="L3029" i="1"/>
  <c r="K3029" i="1"/>
  <c r="O1133" i="1"/>
  <c r="N1133" i="1"/>
  <c r="M1133" i="1"/>
  <c r="L1133" i="1"/>
  <c r="K1133" i="1"/>
  <c r="O1596" i="1"/>
  <c r="N1596" i="1"/>
  <c r="M1596" i="1"/>
  <c r="L1596" i="1"/>
  <c r="K1596" i="1"/>
  <c r="O653" i="1"/>
  <c r="N653" i="1"/>
  <c r="M653" i="1"/>
  <c r="L653" i="1"/>
  <c r="K653" i="1"/>
  <c r="O499" i="1"/>
  <c r="N499" i="1"/>
  <c r="M499" i="1"/>
  <c r="L499" i="1"/>
  <c r="K499" i="1"/>
  <c r="O1630" i="1"/>
  <c r="N1630" i="1"/>
  <c r="M1630" i="1"/>
  <c r="L1630" i="1"/>
  <c r="K1630" i="1"/>
  <c r="O2513" i="1"/>
  <c r="N2513" i="1"/>
  <c r="M2513" i="1"/>
  <c r="L2513" i="1"/>
  <c r="K2513" i="1"/>
  <c r="O1583" i="1"/>
  <c r="N1583" i="1"/>
  <c r="M1583" i="1"/>
  <c r="L1583" i="1"/>
  <c r="K1583" i="1"/>
  <c r="O3222" i="1"/>
  <c r="N3222" i="1"/>
  <c r="M3222" i="1"/>
  <c r="L3222" i="1"/>
  <c r="K3222" i="1"/>
  <c r="O2505" i="1"/>
  <c r="N2505" i="1"/>
  <c r="M2505" i="1"/>
  <c r="L2505" i="1"/>
  <c r="K2505" i="1"/>
  <c r="O2602" i="1"/>
  <c r="N2602" i="1"/>
  <c r="M2602" i="1"/>
  <c r="L2602" i="1"/>
  <c r="K2602" i="1"/>
  <c r="O170" i="1"/>
  <c r="N170" i="1"/>
  <c r="M170" i="1"/>
  <c r="L170" i="1"/>
  <c r="K170" i="1"/>
  <c r="O397" i="1"/>
  <c r="N397" i="1"/>
  <c r="M397" i="1"/>
  <c r="L397" i="1"/>
  <c r="K397" i="1"/>
  <c r="O2948" i="1"/>
  <c r="N2948" i="1"/>
  <c r="M2948" i="1"/>
  <c r="L2948" i="1"/>
  <c r="K2948" i="1"/>
  <c r="O3590" i="1"/>
  <c r="N3590" i="1"/>
  <c r="M3590" i="1"/>
  <c r="L3590" i="1"/>
  <c r="K3590" i="1"/>
  <c r="O3573" i="1"/>
  <c r="N3573" i="1"/>
  <c r="M3573" i="1"/>
  <c r="L3573" i="1"/>
  <c r="K3573" i="1"/>
  <c r="O621" i="1"/>
  <c r="N621" i="1"/>
  <c r="M621" i="1"/>
  <c r="L621" i="1"/>
  <c r="K621" i="1"/>
  <c r="O2839" i="1"/>
  <c r="N2839" i="1"/>
  <c r="L2839" i="1"/>
  <c r="M2839" i="1"/>
  <c r="K2839" i="1"/>
  <c r="O2838" i="1"/>
  <c r="N2838" i="1"/>
  <c r="M2838" i="1"/>
  <c r="L2838" i="1"/>
  <c r="K2838" i="1"/>
  <c r="O1693" i="1"/>
  <c r="N1693" i="1"/>
  <c r="M1693" i="1"/>
  <c r="L1693" i="1"/>
  <c r="K1693" i="1"/>
  <c r="O1758" i="1"/>
  <c r="N1758" i="1"/>
  <c r="M1758" i="1"/>
  <c r="L1758" i="1"/>
  <c r="K1758" i="1"/>
  <c r="O1535" i="1"/>
  <c r="N1535" i="1"/>
  <c r="M1535" i="1"/>
  <c r="L1535" i="1"/>
  <c r="K1535" i="1"/>
  <c r="O2747" i="1"/>
  <c r="N2747" i="1"/>
  <c r="M2747" i="1"/>
  <c r="L2747" i="1"/>
  <c r="K2747" i="1"/>
  <c r="O2385" i="1"/>
  <c r="N2385" i="1"/>
  <c r="M2385" i="1"/>
  <c r="L2385" i="1"/>
  <c r="K2385" i="1"/>
  <c r="O813" i="1"/>
  <c r="N813" i="1"/>
  <c r="M813" i="1"/>
  <c r="L813" i="1"/>
  <c r="K813" i="1"/>
  <c r="O3484" i="1"/>
  <c r="N3484" i="1"/>
  <c r="M3484" i="1"/>
  <c r="L3484" i="1"/>
  <c r="K3484" i="1"/>
  <c r="O3108" i="1"/>
  <c r="N3108" i="1"/>
  <c r="M3108" i="1"/>
  <c r="L3108" i="1"/>
  <c r="K3108" i="1"/>
  <c r="O2234" i="1"/>
  <c r="N2234" i="1"/>
  <c r="M2234" i="1"/>
  <c r="L2234" i="1"/>
  <c r="K2234" i="1"/>
  <c r="O539" i="1"/>
  <c r="N539" i="1"/>
  <c r="M539" i="1"/>
  <c r="L539" i="1"/>
  <c r="K539" i="1"/>
  <c r="O3483" i="1"/>
  <c r="N3483" i="1"/>
  <c r="M3483" i="1"/>
  <c r="L3483" i="1"/>
  <c r="K3483" i="1"/>
  <c r="O1879" i="1"/>
  <c r="N1879" i="1"/>
  <c r="M1879" i="1"/>
  <c r="L1879" i="1"/>
  <c r="K1879" i="1"/>
  <c r="O3559" i="1"/>
  <c r="N3559" i="1"/>
  <c r="M3559" i="1"/>
  <c r="L3559" i="1"/>
  <c r="K3559" i="1"/>
  <c r="O671" i="1"/>
  <c r="N671" i="1"/>
  <c r="M671" i="1"/>
  <c r="L671" i="1"/>
  <c r="K671" i="1"/>
  <c r="O2776" i="1"/>
  <c r="N2776" i="1"/>
  <c r="M2776" i="1"/>
  <c r="L2776" i="1"/>
  <c r="K2776" i="1"/>
  <c r="O2909" i="1"/>
  <c r="N2909" i="1"/>
  <c r="M2909" i="1"/>
  <c r="L2909" i="1"/>
  <c r="K2909" i="1"/>
  <c r="O3221" i="1"/>
  <c r="N3221" i="1"/>
  <c r="M3221" i="1"/>
  <c r="L3221" i="1"/>
  <c r="K3221" i="1"/>
  <c r="O252" i="1"/>
  <c r="N252" i="1"/>
  <c r="M252" i="1"/>
  <c r="L252" i="1"/>
  <c r="K252" i="1"/>
  <c r="O1453" i="1"/>
  <c r="N1453" i="1"/>
  <c r="M1453" i="1"/>
  <c r="L1453" i="1"/>
  <c r="K1453" i="1"/>
  <c r="O312" i="1"/>
  <c r="N312" i="1"/>
  <c r="M312" i="1"/>
  <c r="L312" i="1"/>
  <c r="K312" i="1"/>
  <c r="O2101" i="1"/>
  <c r="N2101" i="1"/>
  <c r="M2101" i="1"/>
  <c r="L2101" i="1"/>
  <c r="K2101" i="1"/>
  <c r="O685" i="1"/>
  <c r="N685" i="1"/>
  <c r="M685" i="1"/>
  <c r="L685" i="1"/>
  <c r="K685" i="1"/>
  <c r="O72" i="1"/>
  <c r="N72" i="1"/>
  <c r="M72" i="1"/>
  <c r="L72" i="1"/>
  <c r="K72" i="1"/>
  <c r="O2393" i="1"/>
  <c r="N2393" i="1"/>
  <c r="M2393" i="1"/>
  <c r="L2393" i="1"/>
  <c r="K2393" i="1"/>
  <c r="O1360" i="1"/>
  <c r="N1360" i="1"/>
  <c r="M1360" i="1"/>
  <c r="L1360" i="1"/>
  <c r="K1360" i="1"/>
  <c r="O3149" i="1"/>
  <c r="N3149" i="1"/>
  <c r="M3149" i="1"/>
  <c r="L3149" i="1"/>
  <c r="K3149" i="1"/>
  <c r="O1497" i="1"/>
  <c r="N1497" i="1"/>
  <c r="M1497" i="1"/>
  <c r="L1497" i="1"/>
  <c r="O1142" i="1"/>
  <c r="N1142" i="1"/>
  <c r="M1142" i="1"/>
  <c r="L1142" i="1"/>
  <c r="K1142" i="1"/>
  <c r="O2417" i="1"/>
  <c r="N2417" i="1"/>
  <c r="M2417" i="1"/>
  <c r="L2417" i="1"/>
  <c r="K2417" i="1"/>
  <c r="O3095" i="1"/>
  <c r="N3095" i="1"/>
  <c r="M3095" i="1"/>
  <c r="L3095" i="1"/>
  <c r="K3095" i="1"/>
  <c r="O1921" i="1"/>
  <c r="N1921" i="1"/>
  <c r="M1921" i="1"/>
  <c r="L1921" i="1"/>
  <c r="K1921" i="1"/>
  <c r="O276" i="1"/>
  <c r="N276" i="1"/>
  <c r="M276" i="1"/>
  <c r="L276" i="1"/>
  <c r="K276" i="1"/>
  <c r="O2780" i="1"/>
  <c r="N2780" i="1"/>
  <c r="M2780" i="1"/>
  <c r="L2780" i="1"/>
  <c r="K2780" i="1"/>
  <c r="O860" i="1"/>
  <c r="N860" i="1"/>
  <c r="M860" i="1"/>
  <c r="L860" i="1"/>
  <c r="K860" i="1"/>
  <c r="O2246" i="1"/>
  <c r="N2246" i="1"/>
  <c r="M2246" i="1"/>
  <c r="L2246" i="1"/>
  <c r="O58" i="1"/>
  <c r="N58" i="1"/>
  <c r="M58" i="1"/>
  <c r="L58" i="1"/>
  <c r="K58" i="1"/>
  <c r="O2182" i="1"/>
  <c r="N2182" i="1"/>
  <c r="M2182" i="1"/>
  <c r="L2182" i="1"/>
  <c r="K2182" i="1"/>
  <c r="O740" i="1"/>
  <c r="N740" i="1"/>
  <c r="M740" i="1"/>
  <c r="L740" i="1"/>
  <c r="K740" i="1"/>
  <c r="O2706" i="1"/>
  <c r="N2706" i="1"/>
  <c r="M2706" i="1"/>
  <c r="L2706" i="1"/>
  <c r="K2706" i="1"/>
  <c r="O1369" i="1"/>
  <c r="N1369" i="1"/>
  <c r="M1369" i="1"/>
  <c r="L1369" i="1"/>
  <c r="K1369" i="1"/>
  <c r="O722" i="1"/>
  <c r="N722" i="1"/>
  <c r="M722" i="1"/>
  <c r="L722" i="1"/>
  <c r="K722" i="1"/>
  <c r="O1786" i="1"/>
  <c r="N1786" i="1"/>
  <c r="M1786" i="1"/>
  <c r="L1786" i="1"/>
  <c r="K1786" i="1"/>
  <c r="O3028" i="1"/>
  <c r="N3028" i="1"/>
  <c r="M3028" i="1"/>
  <c r="L3028" i="1"/>
  <c r="O1771" i="1"/>
  <c r="N1771" i="1"/>
  <c r="M1771" i="1"/>
  <c r="L1771" i="1"/>
  <c r="K1771" i="1"/>
  <c r="O333" i="1"/>
  <c r="N333" i="1"/>
  <c r="M333" i="1"/>
  <c r="L333" i="1"/>
  <c r="K333" i="1"/>
  <c r="O2416" i="1"/>
  <c r="N2416" i="1"/>
  <c r="M2416" i="1"/>
  <c r="L2416" i="1"/>
  <c r="K2416" i="1"/>
  <c r="O1395" i="1"/>
  <c r="N1395" i="1"/>
  <c r="M1395" i="1"/>
  <c r="L1395" i="1"/>
  <c r="K1395" i="1"/>
  <c r="O2819" i="1"/>
  <c r="N2819" i="1"/>
  <c r="M2819" i="1"/>
  <c r="L2819" i="1"/>
  <c r="K2819" i="1"/>
  <c r="O2542" i="1"/>
  <c r="N2542" i="1"/>
  <c r="M2542" i="1"/>
  <c r="L2542" i="1"/>
  <c r="K2542" i="1"/>
  <c r="O1077" i="1"/>
  <c r="N1077" i="1"/>
  <c r="M1077" i="1"/>
  <c r="L1077" i="1"/>
  <c r="K1077" i="1"/>
  <c r="O695" i="1"/>
  <c r="N695" i="1"/>
  <c r="M695" i="1"/>
  <c r="L695" i="1"/>
  <c r="O3526" i="1"/>
  <c r="N3526" i="1"/>
  <c r="M3526" i="1"/>
  <c r="L3526" i="1"/>
  <c r="K3526" i="1"/>
  <c r="O2374" i="1"/>
  <c r="N2374" i="1"/>
  <c r="M2374" i="1"/>
  <c r="L2374" i="1"/>
  <c r="K2374" i="1"/>
  <c r="O482" i="1"/>
  <c r="N482" i="1"/>
  <c r="M482" i="1"/>
  <c r="L482" i="1"/>
  <c r="K482" i="1"/>
  <c r="O2762" i="1"/>
  <c r="N2762" i="1"/>
  <c r="M2762" i="1"/>
  <c r="L2762" i="1"/>
  <c r="K2762" i="1"/>
  <c r="O2540" i="1"/>
  <c r="N2540" i="1"/>
  <c r="M2540" i="1"/>
  <c r="L2540" i="1"/>
  <c r="K2540" i="1"/>
  <c r="O2694" i="1"/>
  <c r="N2694" i="1"/>
  <c r="M2694" i="1"/>
  <c r="L2694" i="1"/>
  <c r="K2694" i="1"/>
  <c r="O1824" i="1"/>
  <c r="N1824" i="1"/>
  <c r="M1824" i="1"/>
  <c r="L1824" i="1"/>
  <c r="K1824" i="1"/>
  <c r="O2895" i="1"/>
  <c r="N2895" i="1"/>
  <c r="M2895" i="1"/>
  <c r="L2895" i="1"/>
  <c r="O2028" i="1"/>
  <c r="N2028" i="1"/>
  <c r="M2028" i="1"/>
  <c r="L2028" i="1"/>
  <c r="K2028" i="1"/>
  <c r="O1524" i="1"/>
  <c r="N1524" i="1"/>
  <c r="M1524" i="1"/>
  <c r="L1524" i="1"/>
  <c r="K1524" i="1"/>
  <c r="O3469" i="1"/>
  <c r="N3469" i="1"/>
  <c r="M3469" i="1"/>
  <c r="L3469" i="1"/>
  <c r="K3469" i="1"/>
  <c r="O1037" i="1"/>
  <c r="N1037" i="1"/>
  <c r="M1037" i="1"/>
  <c r="L1037" i="1"/>
  <c r="K1037" i="1"/>
  <c r="O989" i="1"/>
  <c r="N989" i="1"/>
  <c r="M989" i="1"/>
  <c r="L989" i="1"/>
  <c r="K989" i="1"/>
  <c r="O1273" i="1"/>
  <c r="N1273" i="1"/>
  <c r="M1273" i="1"/>
  <c r="L1273" i="1"/>
  <c r="K1273" i="1"/>
  <c r="O2612" i="1"/>
  <c r="N2612" i="1"/>
  <c r="M2612" i="1"/>
  <c r="L2612" i="1"/>
  <c r="K2612" i="1"/>
  <c r="O1125" i="1"/>
  <c r="N1125" i="1"/>
  <c r="M1125" i="1"/>
  <c r="L1125" i="1"/>
  <c r="K1125" i="1"/>
  <c r="O288" i="1"/>
  <c r="N288" i="1"/>
  <c r="M288" i="1"/>
  <c r="L288" i="1"/>
  <c r="K288" i="1"/>
  <c r="O449" i="1"/>
  <c r="N449" i="1"/>
  <c r="M449" i="1"/>
  <c r="L449" i="1"/>
  <c r="K449" i="1"/>
  <c r="O826" i="1"/>
  <c r="N826" i="1"/>
  <c r="M826" i="1"/>
  <c r="L826" i="1"/>
  <c r="K826" i="1"/>
  <c r="O422" i="1"/>
  <c r="N422" i="1"/>
  <c r="M422" i="1"/>
  <c r="L422" i="1"/>
  <c r="K422" i="1"/>
  <c r="O753" i="1"/>
  <c r="N753" i="1"/>
  <c r="M753" i="1"/>
  <c r="L753" i="1"/>
  <c r="K753" i="1"/>
  <c r="O77" i="1"/>
  <c r="N77" i="1"/>
  <c r="M77" i="1"/>
  <c r="L77" i="1"/>
  <c r="K77" i="1"/>
  <c r="O1510" i="1"/>
  <c r="N1510" i="1"/>
  <c r="M1510" i="1"/>
  <c r="L1510" i="1"/>
  <c r="K1510" i="1"/>
  <c r="O1292" i="1"/>
  <c r="N1292" i="1"/>
  <c r="M1292" i="1"/>
  <c r="L1292" i="1"/>
  <c r="K1292" i="1"/>
  <c r="O868" i="1"/>
  <c r="N868" i="1"/>
  <c r="M868" i="1"/>
  <c r="L868" i="1"/>
  <c r="K868" i="1"/>
  <c r="O3106" i="1"/>
  <c r="N3106" i="1"/>
  <c r="M3106" i="1"/>
  <c r="L3106" i="1"/>
  <c r="K3106" i="1"/>
  <c r="O1457" i="1"/>
  <c r="N1457" i="1"/>
  <c r="M1457" i="1"/>
  <c r="L1457" i="1"/>
  <c r="K1457" i="1"/>
  <c r="O2369" i="1"/>
  <c r="N2369" i="1"/>
  <c r="M2369" i="1"/>
  <c r="L2369" i="1"/>
  <c r="K2369" i="1"/>
  <c r="O1177" i="1"/>
  <c r="N1177" i="1"/>
  <c r="M1177" i="1"/>
  <c r="L1177" i="1"/>
  <c r="K1177" i="1"/>
  <c r="O1891" i="1"/>
  <c r="N1891" i="1"/>
  <c r="M1891" i="1"/>
  <c r="L1891" i="1"/>
  <c r="K1891" i="1"/>
  <c r="O1325" i="1"/>
  <c r="N1325" i="1"/>
  <c r="M1325" i="1"/>
  <c r="L1325" i="1"/>
  <c r="K1325" i="1"/>
  <c r="O87" i="1"/>
  <c r="N87" i="1"/>
  <c r="M87" i="1"/>
  <c r="L87" i="1"/>
  <c r="K87" i="1"/>
  <c r="O1443" i="1"/>
  <c r="N1443" i="1"/>
  <c r="M1443" i="1"/>
  <c r="L1443" i="1"/>
  <c r="K1443" i="1"/>
  <c r="O2067" i="1"/>
  <c r="N2067" i="1"/>
  <c r="M2067" i="1"/>
  <c r="L2067" i="1"/>
  <c r="K2067" i="1"/>
  <c r="O2718" i="1"/>
  <c r="N2718" i="1"/>
  <c r="M2718" i="1"/>
  <c r="L2718" i="1"/>
  <c r="K2718" i="1"/>
  <c r="O1281" i="1"/>
  <c r="N1281" i="1"/>
  <c r="M1281" i="1"/>
  <c r="L1281" i="1"/>
  <c r="K1281" i="1"/>
  <c r="O2893" i="1"/>
  <c r="N2893" i="1"/>
  <c r="M2893" i="1"/>
  <c r="L2893" i="1"/>
  <c r="K2893" i="1"/>
  <c r="O1419" i="1"/>
  <c r="N1419" i="1"/>
  <c r="M1419" i="1"/>
  <c r="L1419" i="1"/>
  <c r="K1419" i="1"/>
  <c r="O1711" i="1"/>
  <c r="N1711" i="1"/>
  <c r="M1711" i="1"/>
  <c r="L1711" i="1"/>
  <c r="K1711" i="1"/>
  <c r="O2968" i="1"/>
  <c r="N2968" i="1"/>
  <c r="M2968" i="1"/>
  <c r="L2968" i="1"/>
  <c r="K2968" i="1"/>
  <c r="O2245" i="1"/>
  <c r="N2245" i="1"/>
  <c r="M2245" i="1"/>
  <c r="L2245" i="1"/>
  <c r="K2245" i="1"/>
  <c r="O2761" i="1"/>
  <c r="N2761" i="1"/>
  <c r="M2761" i="1"/>
  <c r="L2761" i="1"/>
  <c r="K2761" i="1"/>
  <c r="O2984" i="1"/>
  <c r="N2984" i="1"/>
  <c r="M2984" i="1"/>
  <c r="L2984" i="1"/>
  <c r="K2984" i="1"/>
  <c r="O3169" i="1"/>
  <c r="N3169" i="1"/>
  <c r="M3169" i="1"/>
  <c r="L3169" i="1"/>
  <c r="K3169" i="1"/>
  <c r="O2279" i="1"/>
  <c r="N2279" i="1"/>
  <c r="M2279" i="1"/>
  <c r="L2279" i="1"/>
  <c r="K2279" i="1"/>
  <c r="O576" i="1"/>
  <c r="N576" i="1"/>
  <c r="M576" i="1"/>
  <c r="L576" i="1"/>
  <c r="K576" i="1"/>
  <c r="O1823" i="1"/>
  <c r="N1823" i="1"/>
  <c r="M1823" i="1"/>
  <c r="L1823" i="1"/>
  <c r="K1823" i="1"/>
  <c r="O2278" i="1"/>
  <c r="N2278" i="1"/>
  <c r="M2278" i="1"/>
  <c r="L2278" i="1"/>
  <c r="K2278" i="1"/>
  <c r="O1577" i="1"/>
  <c r="N1577" i="1"/>
  <c r="M1577" i="1"/>
  <c r="L1577" i="1"/>
  <c r="K1577" i="1"/>
  <c r="O1074" i="1"/>
  <c r="N1074" i="1"/>
  <c r="M1074" i="1"/>
  <c r="L1074" i="1"/>
  <c r="K1074" i="1"/>
  <c r="O3459" i="1"/>
  <c r="N3459" i="1"/>
  <c r="M3459" i="1"/>
  <c r="L3459" i="1"/>
  <c r="K3459" i="1"/>
  <c r="O721" i="1"/>
  <c r="N721" i="1"/>
  <c r="M721" i="1"/>
  <c r="L721" i="1"/>
  <c r="K721" i="1"/>
  <c r="O640" i="1"/>
  <c r="N640" i="1"/>
  <c r="M640" i="1"/>
  <c r="L640" i="1"/>
  <c r="K640" i="1"/>
  <c r="O2054" i="1"/>
  <c r="N2054" i="1"/>
  <c r="M2054" i="1"/>
  <c r="L2054" i="1"/>
  <c r="K2054" i="1"/>
  <c r="O1149" i="1"/>
  <c r="N1149" i="1"/>
  <c r="M1149" i="1"/>
  <c r="L1149" i="1"/>
  <c r="K1149" i="1"/>
  <c r="O1374" i="1"/>
  <c r="N1374" i="1"/>
  <c r="M1374" i="1"/>
  <c r="L1374" i="1"/>
  <c r="K1374" i="1"/>
  <c r="O1082" i="1"/>
  <c r="N1082" i="1"/>
  <c r="M1082" i="1"/>
  <c r="L1082" i="1"/>
  <c r="K1082" i="1"/>
  <c r="O668" i="1"/>
  <c r="N668" i="1"/>
  <c r="M668" i="1"/>
  <c r="L668" i="1"/>
  <c r="K668" i="1"/>
  <c r="O2428" i="1"/>
  <c r="N2428" i="1"/>
  <c r="M2428" i="1"/>
  <c r="L2428" i="1"/>
  <c r="K2428" i="1"/>
  <c r="O2053" i="1"/>
  <c r="N2053" i="1"/>
  <c r="M2053" i="1"/>
  <c r="L2053" i="1"/>
  <c r="K2053" i="1"/>
  <c r="O141" i="1"/>
  <c r="N141" i="1"/>
  <c r="M141" i="1"/>
  <c r="L141" i="1"/>
  <c r="K141" i="1"/>
  <c r="O928" i="1"/>
  <c r="N928" i="1"/>
  <c r="M928" i="1"/>
  <c r="L928" i="1"/>
  <c r="K928" i="1"/>
  <c r="O3008" i="1"/>
  <c r="N3008" i="1"/>
  <c r="M3008" i="1"/>
  <c r="L3008" i="1"/>
  <c r="K3008" i="1"/>
  <c r="O3611" i="1"/>
  <c r="N3611" i="1"/>
  <c r="M3611" i="1"/>
  <c r="L3611" i="1"/>
  <c r="K3611" i="1"/>
  <c r="O2577" i="1"/>
  <c r="N2577" i="1"/>
  <c r="L2577" i="1"/>
  <c r="M2577" i="1"/>
  <c r="K2577" i="1"/>
  <c r="O52" i="1"/>
  <c r="N52" i="1"/>
  <c r="M52" i="1"/>
  <c r="L52" i="1"/>
  <c r="K52" i="1"/>
  <c r="O1250" i="1"/>
  <c r="N1250" i="1"/>
  <c r="M1250" i="1"/>
  <c r="L1250" i="1"/>
  <c r="K1250" i="1"/>
  <c r="O2502" i="1"/>
  <c r="N2502" i="1"/>
  <c r="M2502" i="1"/>
  <c r="L2502" i="1"/>
  <c r="K2502" i="1"/>
  <c r="O1081" i="1"/>
  <c r="N1081" i="1"/>
  <c r="M1081" i="1"/>
  <c r="L1081" i="1"/>
  <c r="K1081" i="1"/>
  <c r="O2426" i="1"/>
  <c r="N2426" i="1"/>
  <c r="M2426" i="1"/>
  <c r="L2426" i="1"/>
  <c r="K2426" i="1"/>
  <c r="O2157" i="1"/>
  <c r="N2157" i="1"/>
  <c r="M2157" i="1"/>
  <c r="L2157" i="1"/>
  <c r="K2157" i="1"/>
  <c r="O2384" i="1"/>
  <c r="N2384" i="1"/>
  <c r="M2384" i="1"/>
  <c r="L2384" i="1"/>
  <c r="K2384" i="1"/>
  <c r="O1842" i="1"/>
  <c r="N1842" i="1"/>
  <c r="M1842" i="1"/>
  <c r="L1842" i="1"/>
  <c r="K1842" i="1"/>
  <c r="O845" i="1"/>
  <c r="N845" i="1"/>
  <c r="M845" i="1"/>
  <c r="L845" i="1"/>
  <c r="K845" i="1"/>
  <c r="O3601" i="1"/>
  <c r="N3601" i="1"/>
  <c r="M3601" i="1"/>
  <c r="L3601" i="1"/>
  <c r="K3601" i="1"/>
  <c r="O286" i="1"/>
  <c r="N286" i="1"/>
  <c r="M286" i="1"/>
  <c r="L286" i="1"/>
  <c r="K286" i="1"/>
  <c r="O2956" i="1"/>
  <c r="N2956" i="1"/>
  <c r="M2956" i="1"/>
  <c r="L2956" i="1"/>
  <c r="K2956" i="1"/>
  <c r="O2073" i="1"/>
  <c r="N2073" i="1"/>
  <c r="M2073" i="1"/>
  <c r="L2073" i="1"/>
  <c r="K2073" i="1"/>
  <c r="O2277" i="1"/>
  <c r="N2277" i="1"/>
  <c r="M2277" i="1"/>
  <c r="L2277" i="1"/>
  <c r="K2277" i="1"/>
  <c r="O1603" i="1"/>
  <c r="N1603" i="1"/>
  <c r="M1603" i="1"/>
  <c r="L1603" i="1"/>
  <c r="K1603" i="1"/>
  <c r="O1542" i="1"/>
  <c r="N1542" i="1"/>
  <c r="M1542" i="1"/>
  <c r="L1542" i="1"/>
  <c r="K1542" i="1"/>
  <c r="O420" i="1"/>
  <c r="N420" i="1"/>
  <c r="M420" i="1"/>
  <c r="L420" i="1"/>
  <c r="K420" i="1"/>
  <c r="O3247" i="1"/>
  <c r="N3247" i="1"/>
  <c r="M3247" i="1"/>
  <c r="L3247" i="1"/>
  <c r="K3247" i="1"/>
  <c r="O2407" i="1"/>
  <c r="N2407" i="1"/>
  <c r="M2407" i="1"/>
  <c r="L2407" i="1"/>
  <c r="K2407" i="1"/>
  <c r="O2357" i="1"/>
  <c r="N2357" i="1"/>
  <c r="M2357" i="1"/>
  <c r="L2357" i="1"/>
  <c r="K2357" i="1"/>
  <c r="O716" i="1"/>
  <c r="N716" i="1"/>
  <c r="M716" i="1"/>
  <c r="L716" i="1"/>
  <c r="K716" i="1"/>
  <c r="O3112" i="1"/>
  <c r="N3112" i="1"/>
  <c r="M3112" i="1"/>
  <c r="L3112" i="1"/>
  <c r="K3112" i="1"/>
  <c r="O1403" i="1"/>
  <c r="N1403" i="1"/>
  <c r="M1403" i="1"/>
  <c r="L1403" i="1"/>
  <c r="K1403" i="1"/>
  <c r="O2931" i="1"/>
  <c r="N2931" i="1"/>
  <c r="M2931" i="1"/>
  <c r="L2931" i="1"/>
  <c r="K2931" i="1"/>
  <c r="O2373" i="1"/>
  <c r="N2373" i="1"/>
  <c r="M2373" i="1"/>
  <c r="L2373" i="1"/>
  <c r="K2373" i="1"/>
  <c r="O1600" i="1"/>
  <c r="N1600" i="1"/>
  <c r="M1600" i="1"/>
  <c r="L1600" i="1"/>
  <c r="K1600" i="1"/>
  <c r="O3073" i="1"/>
  <c r="N3073" i="1"/>
  <c r="M3073" i="1"/>
  <c r="L3073" i="1"/>
  <c r="K3073" i="1"/>
  <c r="O3167" i="1"/>
  <c r="N3167" i="1"/>
  <c r="M3167" i="1"/>
  <c r="L3167" i="1"/>
  <c r="K3167" i="1"/>
  <c r="O182" i="1"/>
  <c r="N182" i="1"/>
  <c r="M182" i="1"/>
  <c r="L182" i="1"/>
  <c r="K182" i="1"/>
  <c r="O3462" i="1"/>
  <c r="N3462" i="1"/>
  <c r="M3462" i="1"/>
  <c r="L3462" i="1"/>
  <c r="K3462" i="1"/>
  <c r="O1570" i="1"/>
  <c r="N1570" i="1"/>
  <c r="M1570" i="1"/>
  <c r="L1570" i="1"/>
  <c r="K1570" i="1"/>
  <c r="O2100" i="1"/>
  <c r="N2100" i="1"/>
  <c r="M2100" i="1"/>
  <c r="L2100" i="1"/>
  <c r="K2100" i="1"/>
  <c r="O2413" i="1"/>
  <c r="N2413" i="1"/>
  <c r="M2413" i="1"/>
  <c r="L2413" i="1"/>
  <c r="K2413" i="1"/>
  <c r="O2052" i="1"/>
  <c r="N2052" i="1"/>
  <c r="M2052" i="1"/>
  <c r="L2052" i="1"/>
  <c r="K2052" i="1"/>
  <c r="O2406" i="1"/>
  <c r="N2406" i="1"/>
  <c r="M2406" i="1"/>
  <c r="L2406" i="1"/>
  <c r="K2406" i="1"/>
  <c r="O2230" i="1"/>
  <c r="N2230" i="1"/>
  <c r="M2230" i="1"/>
  <c r="L2230" i="1"/>
  <c r="K2230" i="1"/>
  <c r="O3189" i="1"/>
  <c r="N3189" i="1"/>
  <c r="M3189" i="1"/>
  <c r="L3189" i="1"/>
  <c r="K3189" i="1"/>
  <c r="O2687" i="1"/>
  <c r="N2687" i="1"/>
  <c r="M2687" i="1"/>
  <c r="L2687" i="1"/>
  <c r="K2687" i="1"/>
  <c r="O28" i="1"/>
  <c r="N28" i="1"/>
  <c r="M28" i="1"/>
  <c r="L28" i="1"/>
  <c r="K28" i="1"/>
  <c r="O361" i="1"/>
  <c r="N361" i="1"/>
  <c r="M361" i="1"/>
  <c r="L361" i="1"/>
  <c r="K361" i="1"/>
  <c r="O637" i="1"/>
  <c r="N637" i="1"/>
  <c r="M637" i="1"/>
  <c r="L637" i="1"/>
  <c r="K637" i="1"/>
  <c r="O3255" i="1"/>
  <c r="N3255" i="1"/>
  <c r="M3255" i="1"/>
  <c r="L3255" i="1"/>
  <c r="K3255" i="1"/>
  <c r="O250" i="1"/>
  <c r="N250" i="1"/>
  <c r="M250" i="1"/>
  <c r="L250" i="1"/>
  <c r="K250" i="1"/>
  <c r="O896" i="1"/>
  <c r="N896" i="1"/>
  <c r="M896" i="1"/>
  <c r="L896" i="1"/>
  <c r="K896" i="1"/>
  <c r="O1619" i="1"/>
  <c r="N1619" i="1"/>
  <c r="M1619" i="1"/>
  <c r="K1619" i="1"/>
  <c r="L1619" i="1"/>
  <c r="O1955" i="1"/>
  <c r="N1955" i="1"/>
  <c r="M1955" i="1"/>
  <c r="L1955" i="1"/>
  <c r="K1955" i="1"/>
  <c r="O2626" i="1"/>
  <c r="N2626" i="1"/>
  <c r="M2626" i="1"/>
  <c r="L2626" i="1"/>
  <c r="K2626" i="1"/>
  <c r="O1014" i="1"/>
  <c r="N1014" i="1"/>
  <c r="L1014" i="1"/>
  <c r="M1014" i="1"/>
  <c r="K1014" i="1"/>
  <c r="O86" i="1"/>
  <c r="N86" i="1"/>
  <c r="M86" i="1"/>
  <c r="L86" i="1"/>
  <c r="K86" i="1"/>
  <c r="O1594" i="1"/>
  <c r="N1594" i="1"/>
  <c r="M1594" i="1"/>
  <c r="L1594" i="1"/>
  <c r="K1594" i="1"/>
  <c r="O1151" i="1"/>
  <c r="N1151" i="1"/>
  <c r="M1151" i="1"/>
  <c r="L1151" i="1"/>
  <c r="K1151" i="1"/>
  <c r="O2528" i="1"/>
  <c r="N2528" i="1"/>
  <c r="M2528" i="1"/>
  <c r="L2528" i="1"/>
  <c r="K2528" i="1"/>
  <c r="O2083" i="1"/>
  <c r="N2083" i="1"/>
  <c r="M2083" i="1"/>
  <c r="L2083" i="1"/>
  <c r="K2083" i="1"/>
  <c r="O2320" i="1"/>
  <c r="N2320" i="1"/>
  <c r="M2320" i="1"/>
  <c r="L2320" i="1"/>
  <c r="K2320" i="1"/>
  <c r="O2646" i="1"/>
  <c r="N2646" i="1"/>
  <c r="M2646" i="1"/>
  <c r="L2646" i="1"/>
  <c r="K2646" i="1"/>
  <c r="O1030" i="1"/>
  <c r="N1030" i="1"/>
  <c r="M1030" i="1"/>
  <c r="L1030" i="1"/>
  <c r="K1030" i="1"/>
  <c r="O599" i="1"/>
  <c r="N599" i="1"/>
  <c r="M599" i="1"/>
  <c r="L599" i="1"/>
  <c r="K599" i="1"/>
  <c r="O2051" i="1"/>
  <c r="N2051" i="1"/>
  <c r="M2051" i="1"/>
  <c r="L2051" i="1"/>
  <c r="K2051" i="1"/>
  <c r="O3233" i="1"/>
  <c r="N3233" i="1"/>
  <c r="M3233" i="1"/>
  <c r="L3233" i="1"/>
  <c r="K3233" i="1"/>
  <c r="O1977" i="1"/>
  <c r="N1977" i="1"/>
  <c r="M1977" i="1"/>
  <c r="L1977" i="1"/>
  <c r="K1977" i="1"/>
  <c r="O2750" i="1"/>
  <c r="N2750" i="1"/>
  <c r="M2750" i="1"/>
  <c r="L2750" i="1"/>
  <c r="K2750" i="1"/>
  <c r="O3246" i="1"/>
  <c r="N3246" i="1"/>
  <c r="M3246" i="1"/>
  <c r="L3246" i="1"/>
  <c r="K3246" i="1"/>
  <c r="O1486" i="1"/>
  <c r="N1486" i="1"/>
  <c r="M1486" i="1"/>
  <c r="L1486" i="1"/>
  <c r="K1486" i="1"/>
  <c r="O428" i="1"/>
  <c r="N428" i="1"/>
  <c r="M428" i="1"/>
  <c r="L428" i="1"/>
  <c r="K428" i="1"/>
  <c r="O279" i="1"/>
  <c r="N279" i="1"/>
  <c r="M279" i="1"/>
  <c r="L279" i="1"/>
  <c r="K279" i="1"/>
  <c r="O392" i="1"/>
  <c r="N392" i="1"/>
  <c r="M392" i="1"/>
  <c r="L392" i="1"/>
  <c r="K392" i="1"/>
  <c r="O2237" i="1"/>
  <c r="N2237" i="1"/>
  <c r="M2237" i="1"/>
  <c r="L2237" i="1"/>
  <c r="K2237" i="1"/>
  <c r="O908" i="1"/>
  <c r="N908" i="1"/>
  <c r="M908" i="1"/>
  <c r="L908" i="1"/>
  <c r="K908" i="1"/>
  <c r="O3269" i="1"/>
  <c r="N3269" i="1"/>
  <c r="M3269" i="1"/>
  <c r="L3269" i="1"/>
  <c r="K3269" i="1"/>
  <c r="O2743" i="1"/>
  <c r="N2743" i="1"/>
  <c r="M2743" i="1"/>
  <c r="L2743" i="1"/>
  <c r="K2743" i="1"/>
  <c r="O1761" i="1"/>
  <c r="N1761" i="1"/>
  <c r="M1761" i="1"/>
  <c r="L1761" i="1"/>
  <c r="K1761" i="1"/>
  <c r="O3072" i="1"/>
  <c r="N3072" i="1"/>
  <c r="M3072" i="1"/>
  <c r="L3072" i="1"/>
  <c r="K3072" i="1"/>
  <c r="O559" i="1"/>
  <c r="N559" i="1"/>
  <c r="M559" i="1"/>
  <c r="L559" i="1"/>
  <c r="K559" i="1"/>
  <c r="O1723" i="1"/>
  <c r="N1723" i="1"/>
  <c r="M1723" i="1"/>
  <c r="L1723" i="1"/>
  <c r="K1723" i="1"/>
  <c r="O2769" i="1"/>
  <c r="N2769" i="1"/>
  <c r="M2769" i="1"/>
  <c r="L2769" i="1"/>
  <c r="K2769" i="1"/>
  <c r="O1984" i="1"/>
  <c r="N1984" i="1"/>
  <c r="M1984" i="1"/>
  <c r="L1984" i="1"/>
  <c r="K1984" i="1"/>
  <c r="O1373" i="1"/>
  <c r="N1373" i="1"/>
  <c r="M1373" i="1"/>
  <c r="L1373" i="1"/>
  <c r="K1373" i="1"/>
  <c r="O956" i="1"/>
  <c r="N956" i="1"/>
  <c r="M956" i="1"/>
  <c r="L956" i="1"/>
  <c r="K956" i="1"/>
  <c r="O1791" i="1"/>
  <c r="N1791" i="1"/>
  <c r="L1791" i="1"/>
  <c r="M1791" i="1"/>
  <c r="K1791" i="1"/>
  <c r="O2856" i="1"/>
  <c r="N2856" i="1"/>
  <c r="M2856" i="1"/>
  <c r="L2856" i="1"/>
  <c r="K2856" i="1"/>
  <c r="O1434" i="1"/>
  <c r="N1434" i="1"/>
  <c r="M1434" i="1"/>
  <c r="L1434" i="1"/>
  <c r="K1434" i="1"/>
  <c r="O1193" i="1"/>
  <c r="N1193" i="1"/>
  <c r="M1193" i="1"/>
  <c r="L1193" i="1"/>
  <c r="K1193" i="1"/>
  <c r="O3556" i="1"/>
  <c r="N3556" i="1"/>
  <c r="M3556" i="1"/>
  <c r="L3556" i="1"/>
  <c r="K3556" i="1"/>
  <c r="O1756" i="1"/>
  <c r="N1756" i="1"/>
  <c r="M1756" i="1"/>
  <c r="L1756" i="1"/>
  <c r="K1756" i="1"/>
  <c r="O2636" i="1"/>
  <c r="N2636" i="1"/>
  <c r="M2636" i="1"/>
  <c r="L2636" i="1"/>
  <c r="K2636" i="1"/>
  <c r="O2686" i="1"/>
  <c r="N2686" i="1"/>
  <c r="M2686" i="1"/>
  <c r="L2686" i="1"/>
  <c r="K2686" i="1"/>
  <c r="O3118" i="1"/>
  <c r="N3118" i="1"/>
  <c r="M3118" i="1"/>
  <c r="L3118" i="1"/>
  <c r="K3118" i="1"/>
  <c r="O1816" i="1"/>
  <c r="N1816" i="1"/>
  <c r="M1816" i="1"/>
  <c r="L1816" i="1"/>
  <c r="K1816" i="1"/>
  <c r="O1873" i="1"/>
  <c r="N1873" i="1"/>
  <c r="M1873" i="1"/>
  <c r="L1873" i="1"/>
  <c r="K1873" i="1"/>
  <c r="O2046" i="1"/>
  <c r="N2046" i="1"/>
  <c r="M2046" i="1"/>
  <c r="L2046" i="1"/>
  <c r="K2046" i="1"/>
  <c r="O2705" i="1"/>
  <c r="N2705" i="1"/>
  <c r="M2705" i="1"/>
  <c r="K2705" i="1"/>
  <c r="L2705" i="1"/>
  <c r="O1427" i="1"/>
  <c r="N1427" i="1"/>
  <c r="M1427" i="1"/>
  <c r="L1427" i="1"/>
  <c r="K1427" i="1"/>
  <c r="O134" i="1"/>
  <c r="N134" i="1"/>
  <c r="M134" i="1"/>
  <c r="L134" i="1"/>
  <c r="K134" i="1"/>
  <c r="O2607" i="1"/>
  <c r="N2607" i="1"/>
  <c r="M2607" i="1"/>
  <c r="L2607" i="1"/>
  <c r="K2607" i="1"/>
  <c r="O2997" i="1"/>
  <c r="N2997" i="1"/>
  <c r="M2997" i="1"/>
  <c r="L2997" i="1"/>
  <c r="K2997" i="1"/>
  <c r="O3292" i="1"/>
  <c r="N3292" i="1"/>
  <c r="M3292" i="1"/>
  <c r="L3292" i="1"/>
  <c r="K3292" i="1"/>
  <c r="O120" i="1"/>
  <c r="N120" i="1"/>
  <c r="M120" i="1"/>
  <c r="L120" i="1"/>
  <c r="K120" i="1"/>
  <c r="O3124" i="1"/>
  <c r="N3124" i="1"/>
  <c r="M3124" i="1"/>
  <c r="L3124" i="1"/>
  <c r="K3124" i="1"/>
  <c r="O1267" i="1"/>
  <c r="N1267" i="1"/>
  <c r="M1267" i="1"/>
  <c r="L1267" i="1"/>
  <c r="K1267" i="1"/>
  <c r="O1565" i="1"/>
  <c r="N1565" i="1"/>
  <c r="M1565" i="1"/>
  <c r="L1565" i="1"/>
  <c r="K1565" i="1"/>
  <c r="O1206" i="1"/>
  <c r="N1206" i="1"/>
  <c r="M1206" i="1"/>
  <c r="L1206" i="1"/>
  <c r="K1206" i="1"/>
  <c r="O1103" i="1"/>
  <c r="N1103" i="1"/>
  <c r="M1103" i="1"/>
  <c r="L1103" i="1"/>
  <c r="K1103" i="1"/>
  <c r="O1455" i="1"/>
  <c r="N1455" i="1"/>
  <c r="M1455" i="1"/>
  <c r="L1455" i="1"/>
  <c r="K1455" i="1"/>
  <c r="O552" i="1"/>
  <c r="N552" i="1"/>
  <c r="M552" i="1"/>
  <c r="L552" i="1"/>
  <c r="K552" i="1"/>
  <c r="O2361" i="1"/>
  <c r="N2361" i="1"/>
  <c r="M2361" i="1"/>
  <c r="L2361" i="1"/>
  <c r="K2361" i="1"/>
  <c r="O349" i="1"/>
  <c r="N349" i="1"/>
  <c r="M349" i="1"/>
  <c r="L349" i="1"/>
  <c r="K349" i="1"/>
  <c r="O3307" i="1"/>
  <c r="N3307" i="1"/>
  <c r="M3307" i="1"/>
  <c r="K3307" i="1"/>
  <c r="L3307" i="1"/>
  <c r="K3281" i="1"/>
  <c r="K1500" i="1"/>
  <c r="K3312" i="1"/>
  <c r="K981" i="1"/>
  <c r="K1089" i="1"/>
  <c r="K1990" i="1"/>
  <c r="K2290" i="1"/>
  <c r="K1113" i="1"/>
  <c r="K1041" i="1"/>
  <c r="K3195" i="1"/>
  <c r="K1846" i="1"/>
  <c r="K3205" i="1"/>
  <c r="K2031" i="1"/>
  <c r="K1438" i="1"/>
  <c r="K3508" i="1"/>
  <c r="K2246" i="1"/>
  <c r="K2459" i="1"/>
  <c r="K3294" i="1"/>
  <c r="O2441" i="1"/>
  <c r="N2441" i="1"/>
  <c r="M2441" i="1"/>
  <c r="L2441" i="1"/>
  <c r="K2441" i="1"/>
  <c r="O2268" i="1"/>
  <c r="N2268" i="1"/>
  <c r="M2268" i="1"/>
  <c r="L2268" i="1"/>
  <c r="K2268" i="1"/>
  <c r="O321" i="1"/>
  <c r="N321" i="1"/>
  <c r="M321" i="1"/>
  <c r="L321" i="1"/>
  <c r="K321" i="1"/>
  <c r="O1996" i="1"/>
  <c r="N1996" i="1"/>
  <c r="M1996" i="1"/>
  <c r="L1996" i="1"/>
  <c r="K1996" i="1"/>
  <c r="O3309" i="1"/>
  <c r="N3309" i="1"/>
  <c r="M3309" i="1"/>
  <c r="L3309" i="1"/>
  <c r="K3309" i="1"/>
  <c r="O2221" i="1"/>
  <c r="N2221" i="1"/>
  <c r="M2221" i="1"/>
  <c r="L2221" i="1"/>
  <c r="K2221" i="1"/>
  <c r="O104" i="1"/>
  <c r="N104" i="1"/>
  <c r="M104" i="1"/>
  <c r="L104" i="1"/>
  <c r="K104" i="1"/>
  <c r="O2480" i="1"/>
  <c r="N2480" i="1"/>
  <c r="M2480" i="1"/>
  <c r="L2480" i="1"/>
  <c r="K2480" i="1"/>
  <c r="O1836" i="1"/>
  <c r="N1836" i="1"/>
  <c r="M1836" i="1"/>
  <c r="L1836" i="1"/>
  <c r="K1836" i="1"/>
  <c r="O905" i="1"/>
  <c r="N905" i="1"/>
  <c r="M905" i="1"/>
  <c r="L905" i="1"/>
  <c r="K905" i="1"/>
  <c r="O2756" i="1"/>
  <c r="N2756" i="1"/>
  <c r="M2756" i="1"/>
  <c r="L2756" i="1"/>
  <c r="K2756" i="1"/>
  <c r="O2827" i="1"/>
  <c r="N2827" i="1"/>
  <c r="M2827" i="1"/>
  <c r="L2827" i="1"/>
  <c r="K2827" i="1"/>
  <c r="O362" i="1"/>
  <c r="N362" i="1"/>
  <c r="M362" i="1"/>
  <c r="L362" i="1"/>
  <c r="K362" i="1"/>
  <c r="O49" i="1"/>
  <c r="N49" i="1"/>
  <c r="M49" i="1"/>
  <c r="L49" i="1"/>
  <c r="K49" i="1"/>
  <c r="O529" i="1"/>
  <c r="N529" i="1"/>
  <c r="M529" i="1"/>
  <c r="L529" i="1"/>
  <c r="K529" i="1"/>
  <c r="O3069" i="1"/>
  <c r="N3069" i="1"/>
  <c r="M3069" i="1"/>
  <c r="L3069" i="1"/>
  <c r="K3069" i="1"/>
  <c r="O59" i="1"/>
  <c r="N59" i="1"/>
  <c r="M59" i="1"/>
  <c r="L59" i="1"/>
  <c r="K59" i="1"/>
  <c r="O1094" i="1"/>
  <c r="N1094" i="1"/>
  <c r="M1094" i="1"/>
  <c r="L1094" i="1"/>
  <c r="K1094" i="1"/>
  <c r="O3324" i="1"/>
  <c r="N3324" i="1"/>
  <c r="M3324" i="1"/>
  <c r="L3324" i="1"/>
  <c r="K3324" i="1"/>
  <c r="O18" i="1"/>
  <c r="N18" i="1"/>
  <c r="M18" i="1"/>
  <c r="L18" i="1"/>
  <c r="K18" i="1"/>
  <c r="O3049" i="1"/>
  <c r="N3049" i="1"/>
  <c r="M3049" i="1"/>
  <c r="L3049" i="1"/>
  <c r="K3049" i="1"/>
  <c r="O1141" i="1"/>
  <c r="N1141" i="1"/>
  <c r="M1141" i="1"/>
  <c r="K1141" i="1"/>
  <c r="L1141" i="1"/>
  <c r="O2559" i="1"/>
  <c r="N2559" i="1"/>
  <c r="M2559" i="1"/>
  <c r="L2559" i="1"/>
  <c r="K2559" i="1"/>
  <c r="O718" i="1"/>
  <c r="N718" i="1"/>
  <c r="M718" i="1"/>
  <c r="L718" i="1"/>
  <c r="K718" i="1"/>
  <c r="O821" i="1"/>
  <c r="N821" i="1"/>
  <c r="M821" i="1"/>
  <c r="L821" i="1"/>
  <c r="K821" i="1"/>
  <c r="O2327" i="1"/>
  <c r="N2327" i="1"/>
  <c r="M2327" i="1"/>
  <c r="L2327" i="1"/>
  <c r="K2327" i="1"/>
  <c r="O82" i="1"/>
  <c r="N82" i="1"/>
  <c r="M82" i="1"/>
  <c r="L82" i="1"/>
  <c r="K82" i="1"/>
  <c r="O1659" i="1"/>
  <c r="N1659" i="1"/>
  <c r="M1659" i="1"/>
  <c r="L1659" i="1"/>
  <c r="K1659" i="1"/>
  <c r="O2194" i="1"/>
  <c r="N2194" i="1"/>
  <c r="M2194" i="1"/>
  <c r="L2194" i="1"/>
  <c r="K2194" i="1"/>
  <c r="O825" i="1"/>
  <c r="N825" i="1"/>
  <c r="M825" i="1"/>
  <c r="L825" i="1"/>
  <c r="K825" i="1"/>
  <c r="O467" i="1"/>
  <c r="N467" i="1"/>
  <c r="M467" i="1"/>
  <c r="L467" i="1"/>
  <c r="K467" i="1"/>
  <c r="O1176" i="1"/>
  <c r="N1176" i="1"/>
  <c r="M1176" i="1"/>
  <c r="K1176" i="1"/>
  <c r="L1176" i="1"/>
  <c r="O2291" i="1"/>
  <c r="N2291" i="1"/>
  <c r="M2291" i="1"/>
  <c r="L2291" i="1"/>
  <c r="K2291" i="1"/>
  <c r="O800" i="1"/>
  <c r="N800" i="1"/>
  <c r="M800" i="1"/>
  <c r="L800" i="1"/>
  <c r="K800" i="1"/>
  <c r="O204" i="1"/>
  <c r="N204" i="1"/>
  <c r="M204" i="1"/>
  <c r="L204" i="1"/>
  <c r="K204" i="1"/>
  <c r="O116" i="1"/>
  <c r="N116" i="1"/>
  <c r="M116" i="1"/>
  <c r="L116" i="1"/>
  <c r="K116" i="1"/>
  <c r="O2712" i="1"/>
  <c r="N2712" i="1"/>
  <c r="M2712" i="1"/>
  <c r="L2712" i="1"/>
  <c r="K2712" i="1"/>
  <c r="O1717" i="1"/>
  <c r="N1717" i="1"/>
  <c r="M1717" i="1"/>
  <c r="L1717" i="1"/>
  <c r="K1717" i="1"/>
  <c r="O1441" i="1"/>
  <c r="N1441" i="1"/>
  <c r="M1441" i="1"/>
  <c r="L1441" i="1"/>
  <c r="K1441" i="1"/>
  <c r="O160" i="1"/>
  <c r="N160" i="1"/>
  <c r="M160" i="1"/>
  <c r="L160" i="1"/>
  <c r="K160" i="1"/>
  <c r="O238" i="1"/>
  <c r="N238" i="1"/>
  <c r="M238" i="1"/>
  <c r="L238" i="1"/>
  <c r="K238" i="1"/>
  <c r="O1393" i="1"/>
  <c r="N1393" i="1"/>
  <c r="M1393" i="1"/>
  <c r="L1393" i="1"/>
  <c r="K1393" i="1"/>
  <c r="O1956" i="1"/>
  <c r="N1956" i="1"/>
  <c r="M1956" i="1"/>
  <c r="L1956" i="1"/>
  <c r="K1956" i="1"/>
  <c r="O2775" i="1"/>
  <c r="N2775" i="1"/>
  <c r="M2775" i="1"/>
  <c r="L2775" i="1"/>
  <c r="K2775" i="1"/>
  <c r="O2547" i="1"/>
  <c r="N2547" i="1"/>
  <c r="M2547" i="1"/>
  <c r="L2547" i="1"/>
  <c r="K2547" i="1"/>
  <c r="O2546" i="1"/>
  <c r="N2546" i="1"/>
  <c r="M2546" i="1"/>
  <c r="L2546" i="1"/>
  <c r="K2546" i="1"/>
  <c r="O2013" i="1"/>
  <c r="N2013" i="1"/>
  <c r="M2013" i="1"/>
  <c r="L2013" i="1"/>
  <c r="K2013" i="1"/>
  <c r="O2011" i="1"/>
  <c r="N2011" i="1"/>
  <c r="M2011" i="1"/>
  <c r="L2011" i="1"/>
  <c r="K2011" i="1"/>
  <c r="O3196" i="1"/>
  <c r="N3196" i="1"/>
  <c r="M3196" i="1"/>
  <c r="L3196" i="1"/>
  <c r="K3196" i="1"/>
  <c r="O2537" i="1"/>
  <c r="N2537" i="1"/>
  <c r="M2537" i="1"/>
  <c r="L2537" i="1"/>
  <c r="K2537" i="1"/>
  <c r="O135" i="1"/>
  <c r="N135" i="1"/>
  <c r="M135" i="1"/>
  <c r="L135" i="1"/>
  <c r="K135" i="1"/>
  <c r="O2930" i="1"/>
  <c r="N2930" i="1"/>
  <c r="M2930" i="1"/>
  <c r="L2930" i="1"/>
  <c r="K2930" i="1"/>
  <c r="O2759" i="1"/>
  <c r="N2759" i="1"/>
  <c r="M2759" i="1"/>
  <c r="L2759" i="1"/>
  <c r="K2759" i="1"/>
  <c r="O2019" i="1"/>
  <c r="N2019" i="1"/>
  <c r="M2019" i="1"/>
  <c r="L2019" i="1"/>
  <c r="K2019" i="1"/>
  <c r="O1890" i="1"/>
  <c r="N1890" i="1"/>
  <c r="M1890" i="1"/>
  <c r="L1890" i="1"/>
  <c r="K1890" i="1"/>
  <c r="O770" i="1"/>
  <c r="N770" i="1"/>
  <c r="M770" i="1"/>
  <c r="L770" i="1"/>
  <c r="K770" i="1"/>
  <c r="O595" i="1"/>
  <c r="N595" i="1"/>
  <c r="M595" i="1"/>
  <c r="L595" i="1"/>
  <c r="K595" i="1"/>
  <c r="O1649" i="1"/>
  <c r="N1649" i="1"/>
  <c r="M1649" i="1"/>
  <c r="L1649" i="1"/>
  <c r="K1649" i="1"/>
  <c r="O1589" i="1"/>
  <c r="N1589" i="1"/>
  <c r="M1589" i="1"/>
  <c r="L1589" i="1"/>
  <c r="K1589" i="1"/>
  <c r="O1288" i="1"/>
  <c r="N1288" i="1"/>
  <c r="M1288" i="1"/>
  <c r="L1288" i="1"/>
  <c r="K1288" i="1"/>
  <c r="O3139" i="1"/>
  <c r="N3139" i="1"/>
  <c r="M3139" i="1"/>
  <c r="L3139" i="1"/>
  <c r="K3139" i="1"/>
  <c r="O1320" i="1"/>
  <c r="N1320" i="1"/>
  <c r="M1320" i="1"/>
  <c r="L1320" i="1"/>
  <c r="K1320" i="1"/>
  <c r="O3258" i="1"/>
  <c r="N3258" i="1"/>
  <c r="M3258" i="1"/>
  <c r="L3258" i="1"/>
  <c r="K3258" i="1"/>
  <c r="O131" i="1"/>
  <c r="N131" i="1"/>
  <c r="M131" i="1"/>
  <c r="L131" i="1"/>
  <c r="K131" i="1"/>
  <c r="O1422" i="1"/>
  <c r="N1422" i="1"/>
  <c r="M1422" i="1"/>
  <c r="L1422" i="1"/>
  <c r="K1422" i="1"/>
  <c r="O1888" i="1"/>
  <c r="N1888" i="1"/>
  <c r="M1888" i="1"/>
  <c r="L1888" i="1"/>
  <c r="K1888" i="1"/>
  <c r="O794" i="1"/>
  <c r="N794" i="1"/>
  <c r="M794" i="1"/>
  <c r="L794" i="1"/>
  <c r="K794" i="1"/>
  <c r="O1066" i="1"/>
  <c r="N1066" i="1"/>
  <c r="M1066" i="1"/>
  <c r="L1066" i="1"/>
  <c r="K1066" i="1"/>
  <c r="O1201" i="1"/>
  <c r="N1201" i="1"/>
  <c r="M1201" i="1"/>
  <c r="L1201" i="1"/>
  <c r="K1201" i="1"/>
  <c r="O2304" i="1"/>
  <c r="N2304" i="1"/>
  <c r="M2304" i="1"/>
  <c r="L2304" i="1"/>
  <c r="K2304" i="1"/>
  <c r="O2370" i="1"/>
  <c r="N2370" i="1"/>
  <c r="M2370" i="1"/>
  <c r="L2370" i="1"/>
  <c r="K2370" i="1"/>
  <c r="O1800" i="1"/>
  <c r="N1800" i="1"/>
  <c r="M1800" i="1"/>
  <c r="L1800" i="1"/>
  <c r="K1800" i="1"/>
  <c r="O904" i="1"/>
  <c r="N904" i="1"/>
  <c r="M904" i="1"/>
  <c r="L904" i="1"/>
  <c r="K904" i="1"/>
  <c r="O1844" i="1"/>
  <c r="N1844" i="1"/>
  <c r="M1844" i="1"/>
  <c r="L1844" i="1"/>
  <c r="K1844" i="1"/>
  <c r="O2147" i="1"/>
  <c r="N2147" i="1"/>
  <c r="M2147" i="1"/>
  <c r="L2147" i="1"/>
  <c r="K2147" i="1"/>
  <c r="O294" i="1"/>
  <c r="N294" i="1"/>
  <c r="M294" i="1"/>
  <c r="L294" i="1"/>
  <c r="K294" i="1"/>
  <c r="O1323" i="1"/>
  <c r="N1323" i="1"/>
  <c r="M1323" i="1"/>
  <c r="L1323" i="1"/>
  <c r="K1323" i="1"/>
  <c r="O3392" i="1"/>
  <c r="N3392" i="1"/>
  <c r="M3392" i="1"/>
  <c r="L3392" i="1"/>
  <c r="K3392" i="1"/>
  <c r="O1740" i="1"/>
  <c r="N1740" i="1"/>
  <c r="M1740" i="1"/>
  <c r="L1740" i="1"/>
  <c r="K1740" i="1"/>
  <c r="O1385" i="1"/>
  <c r="N1385" i="1"/>
  <c r="M1385" i="1"/>
  <c r="L1385" i="1"/>
  <c r="K1385" i="1"/>
  <c r="O3315" i="1"/>
  <c r="N3315" i="1"/>
  <c r="M3315" i="1"/>
  <c r="L3315" i="1"/>
  <c r="K3315" i="1"/>
  <c r="O530" i="1"/>
  <c r="N530" i="1"/>
  <c r="M530" i="1"/>
  <c r="L530" i="1"/>
  <c r="K530" i="1"/>
  <c r="O1282" i="1"/>
  <c r="N1282" i="1"/>
  <c r="M1282" i="1"/>
  <c r="L1282" i="1"/>
  <c r="K1282" i="1"/>
  <c r="O793" i="1"/>
  <c r="N793" i="1"/>
  <c r="M793" i="1"/>
  <c r="L793" i="1"/>
  <c r="K793" i="1"/>
  <c r="O1469" i="1"/>
  <c r="N1469" i="1"/>
  <c r="M1469" i="1"/>
  <c r="L1469" i="1"/>
  <c r="K1469" i="1"/>
  <c r="O1263" i="1"/>
  <c r="N1263" i="1"/>
  <c r="M1263" i="1"/>
  <c r="L1263" i="1"/>
  <c r="K1263" i="1"/>
  <c r="O1414" i="1"/>
  <c r="N1414" i="1"/>
  <c r="M1414" i="1"/>
  <c r="L1414" i="1"/>
  <c r="K1414" i="1"/>
  <c r="O540" i="1"/>
  <c r="N540" i="1"/>
  <c r="M540" i="1"/>
  <c r="L540" i="1"/>
  <c r="K540" i="1"/>
  <c r="O893" i="1"/>
  <c r="N893" i="1"/>
  <c r="M893" i="1"/>
  <c r="L893" i="1"/>
  <c r="K893" i="1"/>
  <c r="O3144" i="1"/>
  <c r="N3144" i="1"/>
  <c r="M3144" i="1"/>
  <c r="L3144" i="1"/>
  <c r="K3144" i="1"/>
  <c r="O3539" i="1"/>
  <c r="N3539" i="1"/>
  <c r="M3539" i="1"/>
  <c r="L3539" i="1"/>
  <c r="K3539" i="1"/>
  <c r="O1534" i="1"/>
  <c r="N1534" i="1"/>
  <c r="M1534" i="1"/>
  <c r="L1534" i="1"/>
  <c r="K1534" i="1"/>
  <c r="O861" i="1"/>
  <c r="N861" i="1"/>
  <c r="M861" i="1"/>
  <c r="L861" i="1"/>
  <c r="K861" i="1"/>
  <c r="O609" i="1"/>
  <c r="N609" i="1"/>
  <c r="M609" i="1"/>
  <c r="L609" i="1"/>
  <c r="K609" i="1"/>
  <c r="O2650" i="1"/>
  <c r="N2650" i="1"/>
  <c r="M2650" i="1"/>
  <c r="L2650" i="1"/>
  <c r="K2650" i="1"/>
  <c r="O313" i="1"/>
  <c r="N313" i="1"/>
  <c r="M313" i="1"/>
  <c r="L313" i="1"/>
  <c r="K313" i="1"/>
  <c r="O2232" i="1"/>
  <c r="N2232" i="1"/>
  <c r="M2232" i="1"/>
  <c r="L2232" i="1"/>
  <c r="K2232" i="1"/>
  <c r="O1008" i="1"/>
  <c r="N1008" i="1"/>
  <c r="M1008" i="1"/>
  <c r="K1008" i="1"/>
  <c r="L1008" i="1"/>
  <c r="O2504" i="1"/>
  <c r="N2504" i="1"/>
  <c r="M2504" i="1"/>
  <c r="L2504" i="1"/>
  <c r="K2504" i="1"/>
  <c r="O1085" i="1"/>
  <c r="N1085" i="1"/>
  <c r="M1085" i="1"/>
  <c r="L1085" i="1"/>
  <c r="K1085" i="1"/>
  <c r="O2049" i="1"/>
  <c r="N2049" i="1"/>
  <c r="M2049" i="1"/>
  <c r="L2049" i="1"/>
  <c r="K2049" i="1"/>
  <c r="O3617" i="1"/>
  <c r="N3617" i="1"/>
  <c r="M3617" i="1"/>
  <c r="L3617" i="1"/>
  <c r="K3617" i="1"/>
  <c r="O1708" i="1"/>
  <c r="N1708" i="1"/>
  <c r="M1708" i="1"/>
  <c r="L1708" i="1"/>
  <c r="K1708" i="1"/>
  <c r="O1899" i="1"/>
  <c r="N1899" i="1"/>
  <c r="M1899" i="1"/>
  <c r="L1899" i="1"/>
  <c r="K1899" i="1"/>
  <c r="O835" i="1"/>
  <c r="N835" i="1"/>
  <c r="M835" i="1"/>
  <c r="L835" i="1"/>
  <c r="K835" i="1"/>
  <c r="O2189" i="1"/>
  <c r="N2189" i="1"/>
  <c r="M2189" i="1"/>
  <c r="L2189" i="1"/>
  <c r="K2189" i="1"/>
  <c r="O1458" i="1"/>
  <c r="N1458" i="1"/>
  <c r="M1458" i="1"/>
  <c r="L1458" i="1"/>
  <c r="K1458" i="1"/>
  <c r="O802" i="1"/>
  <c r="N802" i="1"/>
  <c r="M802" i="1"/>
  <c r="L802" i="1"/>
  <c r="K802" i="1"/>
  <c r="O2781" i="1"/>
  <c r="N2781" i="1"/>
  <c r="M2781" i="1"/>
  <c r="L2781" i="1"/>
  <c r="K2781" i="1"/>
  <c r="O1468" i="1"/>
  <c r="N1468" i="1"/>
  <c r="M1468" i="1"/>
  <c r="L1468" i="1"/>
  <c r="K1468" i="1"/>
  <c r="O2609" i="1"/>
  <c r="N2609" i="1"/>
  <c r="M2609" i="1"/>
  <c r="L2609" i="1"/>
  <c r="K2609" i="1"/>
  <c r="O3308" i="1"/>
  <c r="N3308" i="1"/>
  <c r="M3308" i="1"/>
  <c r="L3308" i="1"/>
  <c r="K3308" i="1"/>
  <c r="O1960" i="1"/>
  <c r="N1960" i="1"/>
  <c r="M1960" i="1"/>
  <c r="L1960" i="1"/>
  <c r="O570" i="1"/>
  <c r="N570" i="1"/>
  <c r="M570" i="1"/>
  <c r="L570" i="1"/>
  <c r="K570" i="1"/>
  <c r="O3277" i="1"/>
  <c r="N3277" i="1"/>
  <c r="M3277" i="1"/>
  <c r="L3277" i="1"/>
  <c r="K3277" i="1"/>
  <c r="O22" i="1"/>
  <c r="N22" i="1"/>
  <c r="M22" i="1"/>
  <c r="L22" i="1"/>
  <c r="K22" i="1"/>
  <c r="O2865" i="1"/>
  <c r="N2865" i="1"/>
  <c r="M2865" i="1"/>
  <c r="L2865" i="1"/>
  <c r="K2865" i="1"/>
  <c r="O124" i="1"/>
  <c r="N124" i="1"/>
  <c r="M124" i="1"/>
  <c r="L124" i="1"/>
  <c r="K124" i="1"/>
  <c r="O1244" i="1"/>
  <c r="N1244" i="1"/>
  <c r="M1244" i="1"/>
  <c r="L1244" i="1"/>
  <c r="K1244" i="1"/>
  <c r="O206" i="1"/>
  <c r="N206" i="1"/>
  <c r="M206" i="1"/>
  <c r="L206" i="1"/>
  <c r="O2958" i="1"/>
  <c r="N2958" i="1"/>
  <c r="M2958" i="1"/>
  <c r="K2958" i="1"/>
  <c r="L2958" i="1"/>
  <c r="O1645" i="1"/>
  <c r="N1645" i="1"/>
  <c r="M1645" i="1"/>
  <c r="L1645" i="1"/>
  <c r="K1645" i="1"/>
  <c r="O311" i="1"/>
  <c r="N311" i="1"/>
  <c r="M311" i="1"/>
  <c r="L311" i="1"/>
  <c r="K311" i="1"/>
  <c r="O2600" i="1"/>
  <c r="N2600" i="1"/>
  <c r="M2600" i="1"/>
  <c r="L2600" i="1"/>
  <c r="K2600" i="1"/>
  <c r="O1233" i="1"/>
  <c r="N1233" i="1"/>
  <c r="M1233" i="1"/>
  <c r="L1233" i="1"/>
  <c r="K1233" i="1"/>
  <c r="O2467" i="1"/>
  <c r="N2467" i="1"/>
  <c r="M2467" i="1"/>
  <c r="L2467" i="1"/>
  <c r="K2467" i="1"/>
  <c r="O2409" i="1"/>
  <c r="N2409" i="1"/>
  <c r="M2409" i="1"/>
  <c r="L2409" i="1"/>
  <c r="K2409" i="1"/>
  <c r="O1404" i="1"/>
  <c r="N1404" i="1"/>
  <c r="M1404" i="1"/>
  <c r="L1404" i="1"/>
  <c r="O468" i="1"/>
  <c r="N468" i="1"/>
  <c r="M468" i="1"/>
  <c r="L468" i="1"/>
  <c r="K468" i="1"/>
  <c r="O3303" i="1"/>
  <c r="N3303" i="1"/>
  <c r="M3303" i="1"/>
  <c r="L3303" i="1"/>
  <c r="K3303" i="1"/>
  <c r="O774" i="1"/>
  <c r="M774" i="1"/>
  <c r="N774" i="1"/>
  <c r="L774" i="1"/>
  <c r="K774" i="1"/>
  <c r="O2063" i="1"/>
  <c r="N2063" i="1"/>
  <c r="M2063" i="1"/>
  <c r="L2063" i="1"/>
  <c r="K2063" i="1"/>
  <c r="O2649" i="1"/>
  <c r="N2649" i="1"/>
  <c r="M2649" i="1"/>
  <c r="L2649" i="1"/>
  <c r="K2649" i="1"/>
  <c r="O3128" i="1"/>
  <c r="N3128" i="1"/>
  <c r="M3128" i="1"/>
  <c r="L3128" i="1"/>
  <c r="K3128" i="1"/>
  <c r="O3249" i="1"/>
  <c r="N3249" i="1"/>
  <c r="M3249" i="1"/>
  <c r="L3249" i="1"/>
  <c r="K3249" i="1"/>
  <c r="O2599" i="1"/>
  <c r="N2599" i="1"/>
  <c r="M2599" i="1"/>
  <c r="L2599" i="1"/>
  <c r="O2430" i="1"/>
  <c r="N2430" i="1"/>
  <c r="M2430" i="1"/>
  <c r="K2430" i="1"/>
  <c r="L2430" i="1"/>
  <c r="O1971" i="1"/>
  <c r="N1971" i="1"/>
  <c r="M1971" i="1"/>
  <c r="L1971" i="1"/>
  <c r="K1971" i="1"/>
  <c r="O142" i="1"/>
  <c r="N142" i="1"/>
  <c r="M142" i="1"/>
  <c r="L142" i="1"/>
  <c r="K142" i="1"/>
  <c r="O847" i="1"/>
  <c r="N847" i="1"/>
  <c r="M847" i="1"/>
  <c r="L847" i="1"/>
  <c r="K847" i="1"/>
  <c r="O2056" i="1"/>
  <c r="N2056" i="1"/>
  <c r="M2056" i="1"/>
  <c r="L2056" i="1"/>
  <c r="K2056" i="1"/>
  <c r="O1938" i="1"/>
  <c r="N1938" i="1"/>
  <c r="M1938" i="1"/>
  <c r="L1938" i="1"/>
  <c r="K1938" i="1"/>
  <c r="O1214" i="1"/>
  <c r="N1214" i="1"/>
  <c r="M1214" i="1"/>
  <c r="L1214" i="1"/>
  <c r="K1214" i="1"/>
  <c r="O3039" i="1"/>
  <c r="N3039" i="1"/>
  <c r="M3039" i="1"/>
  <c r="L3039" i="1"/>
  <c r="O1277" i="1"/>
  <c r="N1277" i="1"/>
  <c r="M1277" i="1"/>
  <c r="L1277" i="1"/>
  <c r="K1277" i="1"/>
  <c r="O3209" i="1"/>
  <c r="N3209" i="1"/>
  <c r="M3209" i="1"/>
  <c r="L3209" i="1"/>
  <c r="K3209" i="1"/>
  <c r="O3298" i="1"/>
  <c r="N3298" i="1"/>
  <c r="M3298" i="1"/>
  <c r="L3298" i="1"/>
  <c r="K3298" i="1"/>
  <c r="O513" i="1"/>
  <c r="N513" i="1"/>
  <c r="M513" i="1"/>
  <c r="L513" i="1"/>
  <c r="K513" i="1"/>
  <c r="O1394" i="1"/>
  <c r="N1394" i="1"/>
  <c r="M1394" i="1"/>
  <c r="L1394" i="1"/>
  <c r="K1394" i="1"/>
  <c r="O1413" i="1"/>
  <c r="N1413" i="1"/>
  <c r="M1413" i="1"/>
  <c r="L1413" i="1"/>
  <c r="K1413" i="1"/>
  <c r="O846" i="1"/>
  <c r="N846" i="1"/>
  <c r="M846" i="1"/>
  <c r="L846" i="1"/>
  <c r="K846" i="1"/>
  <c r="O2574" i="1"/>
  <c r="N2574" i="1"/>
  <c r="M2574" i="1"/>
  <c r="L2574" i="1"/>
  <c r="K2574" i="1"/>
  <c r="O669" i="1"/>
  <c r="M669" i="1"/>
  <c r="N669" i="1"/>
  <c r="L669" i="1"/>
  <c r="K669" i="1"/>
  <c r="O2698" i="1"/>
  <c r="N2698" i="1"/>
  <c r="M2698" i="1"/>
  <c r="L2698" i="1"/>
  <c r="K2698" i="1"/>
  <c r="O1044" i="1"/>
  <c r="N1044" i="1"/>
  <c r="M1044" i="1"/>
  <c r="L1044" i="1"/>
  <c r="K1044" i="1"/>
  <c r="O1965" i="1"/>
  <c r="N1965" i="1"/>
  <c r="M1965" i="1"/>
  <c r="L1965" i="1"/>
  <c r="K1965" i="1"/>
  <c r="O1036" i="1"/>
  <c r="N1036" i="1"/>
  <c r="M1036" i="1"/>
  <c r="L1036" i="1"/>
  <c r="K1036" i="1"/>
  <c r="O1509" i="1"/>
  <c r="N1509" i="1"/>
  <c r="M1509" i="1"/>
  <c r="L1509" i="1"/>
  <c r="K1509" i="1"/>
  <c r="O1829" i="1"/>
  <c r="N1829" i="1"/>
  <c r="M1829" i="1"/>
  <c r="L1829" i="1"/>
  <c r="K1829" i="1"/>
  <c r="O2075" i="1"/>
  <c r="N2075" i="1"/>
  <c r="M2075" i="1"/>
  <c r="L2075" i="1"/>
  <c r="K2075" i="1"/>
  <c r="O1132" i="1"/>
  <c r="N1132" i="1"/>
  <c r="M1132" i="1"/>
  <c r="L1132" i="1"/>
  <c r="K1132" i="1"/>
  <c r="O1106" i="1"/>
  <c r="N1106" i="1"/>
  <c r="M1106" i="1"/>
  <c r="L1106" i="1"/>
  <c r="K1106" i="1"/>
  <c r="O433" i="1"/>
  <c r="N433" i="1"/>
  <c r="M433" i="1"/>
  <c r="L433" i="1"/>
  <c r="K433" i="1"/>
  <c r="O726" i="1"/>
  <c r="N726" i="1"/>
  <c r="M726" i="1"/>
  <c r="L726" i="1"/>
  <c r="K726" i="1"/>
  <c r="O3499" i="1"/>
  <c r="N3499" i="1"/>
  <c r="M3499" i="1"/>
  <c r="L3499" i="1"/>
  <c r="K3499" i="1"/>
  <c r="O2654" i="1"/>
  <c r="N2654" i="1"/>
  <c r="M2654" i="1"/>
  <c r="L2654" i="1"/>
  <c r="K2654" i="1"/>
  <c r="O3489" i="1"/>
  <c r="N3489" i="1"/>
  <c r="M3489" i="1"/>
  <c r="L3489" i="1"/>
  <c r="K3489" i="1"/>
  <c r="O2172" i="1"/>
  <c r="N2172" i="1"/>
  <c r="M2172" i="1"/>
  <c r="L2172" i="1"/>
  <c r="K2172" i="1"/>
  <c r="O3334" i="1"/>
  <c r="N3334" i="1"/>
  <c r="M3334" i="1"/>
  <c r="L3334" i="1"/>
  <c r="K3334" i="1"/>
  <c r="O1648" i="1"/>
  <c r="N1648" i="1"/>
  <c r="M1648" i="1"/>
  <c r="L1648" i="1"/>
  <c r="K1648" i="1"/>
  <c r="O1299" i="1"/>
  <c r="N1299" i="1"/>
  <c r="M1299" i="1"/>
  <c r="L1299" i="1"/>
  <c r="K1299" i="1"/>
  <c r="O600" i="1"/>
  <c r="N600" i="1"/>
  <c r="M600" i="1"/>
  <c r="L600" i="1"/>
  <c r="K600" i="1"/>
  <c r="O1435" i="1"/>
  <c r="N1435" i="1"/>
  <c r="M1435" i="1"/>
  <c r="L1435" i="1"/>
  <c r="K1435" i="1"/>
  <c r="O2473" i="1"/>
  <c r="N2473" i="1"/>
  <c r="M2473" i="1"/>
  <c r="L2473" i="1"/>
  <c r="K2473" i="1"/>
  <c r="O1779" i="1"/>
  <c r="N1779" i="1"/>
  <c r="M1779" i="1"/>
  <c r="L1779" i="1"/>
  <c r="K1779" i="1"/>
  <c r="O641" i="1"/>
  <c r="N641" i="1"/>
  <c r="M641" i="1"/>
  <c r="L641" i="1"/>
  <c r="K641" i="1"/>
  <c r="O2870" i="1"/>
  <c r="N2870" i="1"/>
  <c r="M2870" i="1"/>
  <c r="L2870" i="1"/>
  <c r="K2870" i="1"/>
  <c r="O2457" i="1"/>
  <c r="N2457" i="1"/>
  <c r="M2457" i="1"/>
  <c r="L2457" i="1"/>
  <c r="K2457" i="1"/>
  <c r="O3385" i="1"/>
  <c r="N3385" i="1"/>
  <c r="M3385" i="1"/>
  <c r="L3385" i="1"/>
  <c r="K3385" i="1"/>
  <c r="O575" i="1"/>
  <c r="N575" i="1"/>
  <c r="M575" i="1"/>
  <c r="L575" i="1"/>
  <c r="K575" i="1"/>
  <c r="O3234" i="1"/>
  <c r="N3234" i="1"/>
  <c r="M3234" i="1"/>
  <c r="L3234" i="1"/>
  <c r="K3234" i="1"/>
  <c r="O617" i="1"/>
  <c r="N617" i="1"/>
  <c r="M617" i="1"/>
  <c r="L617" i="1"/>
  <c r="K617" i="1"/>
  <c r="O1620" i="1"/>
  <c r="N1620" i="1"/>
  <c r="M1620" i="1"/>
  <c r="L1620" i="1"/>
  <c r="K1620" i="1"/>
  <c r="O1797" i="1"/>
  <c r="N1797" i="1"/>
  <c r="M1797" i="1"/>
  <c r="L1797" i="1"/>
  <c r="K1797" i="1"/>
  <c r="O1442" i="1"/>
  <c r="N1442" i="1"/>
  <c r="M1442" i="1"/>
  <c r="L1442" i="1"/>
  <c r="K1442" i="1"/>
  <c r="O1508" i="1"/>
  <c r="N1508" i="1"/>
  <c r="M1508" i="1"/>
  <c r="L1508" i="1"/>
  <c r="K1508" i="1"/>
  <c r="O3026" i="1"/>
  <c r="N3026" i="1"/>
  <c r="M3026" i="1"/>
  <c r="L3026" i="1"/>
  <c r="K3026" i="1"/>
  <c r="O920" i="1"/>
  <c r="N920" i="1"/>
  <c r="M920" i="1"/>
  <c r="L920" i="1"/>
  <c r="K920" i="1"/>
  <c r="O3558" i="1"/>
  <c r="N3558" i="1"/>
  <c r="M3558" i="1"/>
  <c r="L3558" i="1"/>
  <c r="K3558" i="1"/>
  <c r="O2957" i="1"/>
  <c r="N2957" i="1"/>
  <c r="M2957" i="1"/>
  <c r="L2957" i="1"/>
  <c r="K2957" i="1"/>
  <c r="O3061" i="1"/>
  <c r="N3061" i="1"/>
  <c r="M3061" i="1"/>
  <c r="L3061" i="1"/>
  <c r="K3061" i="1"/>
  <c r="O3579" i="1"/>
  <c r="N3579" i="1"/>
  <c r="M3579" i="1"/>
  <c r="L3579" i="1"/>
  <c r="K3579" i="1"/>
  <c r="O3593" i="1"/>
  <c r="N3593" i="1"/>
  <c r="M3593" i="1"/>
  <c r="L3593" i="1"/>
  <c r="K3593" i="1"/>
  <c r="O2180" i="1"/>
  <c r="N2180" i="1"/>
  <c r="M2180" i="1"/>
  <c r="L2180" i="1"/>
  <c r="K2180" i="1"/>
  <c r="O1835" i="1"/>
  <c r="N1835" i="1"/>
  <c r="M1835" i="1"/>
  <c r="L1835" i="1"/>
  <c r="K1835" i="1"/>
  <c r="O1886" i="1"/>
  <c r="N1886" i="1"/>
  <c r="M1886" i="1"/>
  <c r="L1886" i="1"/>
  <c r="K1886" i="1"/>
  <c r="O2027" i="1"/>
  <c r="N2027" i="1"/>
  <c r="M2027" i="1"/>
  <c r="L2027" i="1"/>
  <c r="K2027" i="1"/>
  <c r="O2519" i="1"/>
  <c r="N2519" i="1"/>
  <c r="M2519" i="1"/>
  <c r="L2519" i="1"/>
  <c r="K2519" i="1"/>
  <c r="O2000" i="1"/>
  <c r="N2000" i="1"/>
  <c r="M2000" i="1"/>
  <c r="L2000" i="1"/>
  <c r="K2000" i="1"/>
  <c r="O2976" i="1"/>
  <c r="N2976" i="1"/>
  <c r="M2976" i="1"/>
  <c r="L2976" i="1"/>
  <c r="K2976" i="1"/>
  <c r="O460" i="1"/>
  <c r="N460" i="1"/>
  <c r="M460" i="1"/>
  <c r="L460" i="1"/>
  <c r="K460" i="1"/>
  <c r="O2447" i="1"/>
  <c r="N2447" i="1"/>
  <c r="M2447" i="1"/>
  <c r="L2447" i="1"/>
  <c r="K2447" i="1"/>
  <c r="O639" i="1"/>
  <c r="N639" i="1"/>
  <c r="M639" i="1"/>
  <c r="L639" i="1"/>
  <c r="K639" i="1"/>
  <c r="O1690" i="1"/>
  <c r="N1690" i="1"/>
  <c r="M1690" i="1"/>
  <c r="L1690" i="1"/>
  <c r="K1690" i="1"/>
  <c r="O1957" i="1"/>
  <c r="N1957" i="1"/>
  <c r="M1957" i="1"/>
  <c r="L1957" i="1"/>
  <c r="K1957" i="1"/>
  <c r="O2744" i="1"/>
  <c r="N2744" i="1"/>
  <c r="M2744" i="1"/>
  <c r="L2744" i="1"/>
  <c r="K2744" i="1"/>
  <c r="O1706" i="1"/>
  <c r="N1706" i="1"/>
  <c r="M1706" i="1"/>
  <c r="L1706" i="1"/>
  <c r="K1706" i="1"/>
  <c r="O203" i="1"/>
  <c r="N203" i="1"/>
  <c r="M203" i="1"/>
  <c r="L203" i="1"/>
  <c r="K203" i="1"/>
  <c r="O1768" i="1"/>
  <c r="N1768" i="1"/>
  <c r="M1768" i="1"/>
  <c r="L1768" i="1"/>
  <c r="K1768" i="1"/>
  <c r="O1705" i="1"/>
  <c r="N1705" i="1"/>
  <c r="M1705" i="1"/>
  <c r="L1705" i="1"/>
  <c r="K1705" i="1"/>
  <c r="O1006" i="1"/>
  <c r="N1006" i="1"/>
  <c r="M1006" i="1"/>
  <c r="L1006" i="1"/>
  <c r="K1006" i="1"/>
  <c r="O3200" i="1"/>
  <c r="N3200" i="1"/>
  <c r="M3200" i="1"/>
  <c r="L3200" i="1"/>
  <c r="K3200" i="1"/>
  <c r="O594" i="1"/>
  <c r="N594" i="1"/>
  <c r="M594" i="1"/>
  <c r="L594" i="1"/>
  <c r="K594" i="1"/>
  <c r="O3588" i="1"/>
  <c r="N3588" i="1"/>
  <c r="M3588" i="1"/>
  <c r="L3588" i="1"/>
  <c r="K3588" i="1"/>
  <c r="O1962" i="1"/>
  <c r="N1962" i="1"/>
  <c r="M1962" i="1"/>
  <c r="L1962" i="1"/>
  <c r="K1962" i="1"/>
  <c r="O1031" i="1"/>
  <c r="N1031" i="1"/>
  <c r="M1031" i="1"/>
  <c r="L1031" i="1"/>
  <c r="K1031" i="1"/>
  <c r="O2178" i="1"/>
  <c r="N2178" i="1"/>
  <c r="M2178" i="1"/>
  <c r="L2178" i="1"/>
  <c r="K2178" i="1"/>
  <c r="O684" i="1"/>
  <c r="N684" i="1"/>
  <c r="M684" i="1"/>
  <c r="L684" i="1"/>
  <c r="K684" i="1"/>
  <c r="O1378" i="1"/>
  <c r="N1378" i="1"/>
  <c r="M1378" i="1"/>
  <c r="L1378" i="1"/>
  <c r="K1378" i="1"/>
  <c r="O2857" i="1"/>
  <c r="N2857" i="1"/>
  <c r="M2857" i="1"/>
  <c r="L2857" i="1"/>
  <c r="K2857" i="1"/>
  <c r="O3137" i="1"/>
  <c r="N3137" i="1"/>
  <c r="M3137" i="1"/>
  <c r="L3137" i="1"/>
  <c r="K3137" i="1"/>
  <c r="O93" i="1"/>
  <c r="N93" i="1"/>
  <c r="M93" i="1"/>
  <c r="L93" i="1"/>
  <c r="K93" i="1"/>
  <c r="O1269" i="1"/>
  <c r="N1269" i="1"/>
  <c r="M1269" i="1"/>
  <c r="L1269" i="1"/>
  <c r="K1269" i="1"/>
  <c r="O308" i="1"/>
  <c r="N308" i="1"/>
  <c r="M308" i="1"/>
  <c r="L308" i="1"/>
  <c r="K308" i="1"/>
  <c r="O2883" i="1"/>
  <c r="N2883" i="1"/>
  <c r="M2883" i="1"/>
  <c r="L2883" i="1"/>
  <c r="K2883" i="1"/>
  <c r="O798" i="1"/>
  <c r="N798" i="1"/>
  <c r="M798" i="1"/>
  <c r="L798" i="1"/>
  <c r="K798" i="1"/>
  <c r="O383" i="1"/>
  <c r="N383" i="1"/>
  <c r="M383" i="1"/>
  <c r="L383" i="1"/>
  <c r="K383" i="1"/>
  <c r="O71" i="1"/>
  <c r="N71" i="1"/>
  <c r="M71" i="1"/>
  <c r="L71" i="1"/>
  <c r="K71" i="1"/>
  <c r="O2296" i="1"/>
  <c r="N2296" i="1"/>
  <c r="M2296" i="1"/>
  <c r="L2296" i="1"/>
  <c r="K2296" i="1"/>
  <c r="O2785" i="1"/>
  <c r="N2785" i="1"/>
  <c r="M2785" i="1"/>
  <c r="L2785" i="1"/>
  <c r="K2785" i="1"/>
  <c r="O1291" i="1"/>
  <c r="N1291" i="1"/>
  <c r="M1291" i="1"/>
  <c r="L1291" i="1"/>
  <c r="K1291" i="1"/>
  <c r="O2325" i="1"/>
  <c r="N2325" i="1"/>
  <c r="M2325" i="1"/>
  <c r="L2325" i="1"/>
  <c r="K2325" i="1"/>
  <c r="O432" i="1"/>
  <c r="N432" i="1"/>
  <c r="M432" i="1"/>
  <c r="L432" i="1"/>
  <c r="K432" i="1"/>
  <c r="O3495" i="1"/>
  <c r="N3495" i="1"/>
  <c r="M3495" i="1"/>
  <c r="L3495" i="1"/>
  <c r="K3495" i="1"/>
  <c r="O2219" i="1"/>
  <c r="N2219" i="1"/>
  <c r="M2219" i="1"/>
  <c r="L2219" i="1"/>
  <c r="K2219" i="1"/>
  <c r="O40" i="1"/>
  <c r="N40" i="1"/>
  <c r="M40" i="1"/>
  <c r="L40" i="1"/>
  <c r="K40" i="1"/>
  <c r="O892" i="1"/>
  <c r="N892" i="1"/>
  <c r="M892" i="1"/>
  <c r="L892" i="1"/>
  <c r="K892" i="1"/>
  <c r="O2545" i="1"/>
  <c r="N2545" i="1"/>
  <c r="M2545" i="1"/>
  <c r="L2545" i="1"/>
  <c r="K2545" i="1"/>
  <c r="O2171" i="1"/>
  <c r="N2171" i="1"/>
  <c r="M2171" i="1"/>
  <c r="K2171" i="1"/>
  <c r="L2171" i="1"/>
  <c r="O396" i="1"/>
  <c r="N396" i="1"/>
  <c r="M396" i="1"/>
  <c r="L396" i="1"/>
  <c r="K396" i="1"/>
  <c r="O2084" i="1"/>
  <c r="N2084" i="1"/>
  <c r="M2084" i="1"/>
  <c r="L2084" i="1"/>
  <c r="K2084" i="1"/>
  <c r="O1105" i="1"/>
  <c r="N1105" i="1"/>
  <c r="M1105" i="1"/>
  <c r="L1105" i="1"/>
  <c r="K1105" i="1"/>
  <c r="O658" i="1"/>
  <c r="N658" i="1"/>
  <c r="M658" i="1"/>
  <c r="L658" i="1"/>
  <c r="K658" i="1"/>
  <c r="O780" i="1"/>
  <c r="N780" i="1"/>
  <c r="M780" i="1"/>
  <c r="L780" i="1"/>
  <c r="K780" i="1"/>
  <c r="O1986" i="1"/>
  <c r="N1986" i="1"/>
  <c r="M1986" i="1"/>
  <c r="L1986" i="1"/>
  <c r="K1986" i="1"/>
  <c r="O818" i="1"/>
  <c r="N818" i="1"/>
  <c r="M818" i="1"/>
  <c r="L818" i="1"/>
  <c r="K818" i="1"/>
  <c r="O1912" i="1"/>
  <c r="N1912" i="1"/>
  <c r="M1912" i="1"/>
  <c r="K1912" i="1"/>
  <c r="L1912" i="1"/>
  <c r="O2061" i="1"/>
  <c r="N2061" i="1"/>
  <c r="M2061" i="1"/>
  <c r="L2061" i="1"/>
  <c r="K2061" i="1"/>
  <c r="O1189" i="1"/>
  <c r="N1189" i="1"/>
  <c r="M1189" i="1"/>
  <c r="L1189" i="1"/>
  <c r="K1189" i="1"/>
  <c r="O1821" i="1"/>
  <c r="N1821" i="1"/>
  <c r="M1821" i="1"/>
  <c r="L1821" i="1"/>
  <c r="K1821" i="1"/>
  <c r="O167" i="1"/>
  <c r="N167" i="1"/>
  <c r="M167" i="1"/>
  <c r="L167" i="1"/>
  <c r="K167" i="1"/>
  <c r="O2324" i="1"/>
  <c r="N2324" i="1"/>
  <c r="M2324" i="1"/>
  <c r="L2324" i="1"/>
  <c r="K2324" i="1"/>
  <c r="O1778" i="1"/>
  <c r="N1778" i="1"/>
  <c r="M1778" i="1"/>
  <c r="L1778" i="1"/>
  <c r="K1778" i="1"/>
  <c r="O810" i="1"/>
  <c r="N810" i="1"/>
  <c r="M810" i="1"/>
  <c r="L810" i="1"/>
  <c r="K810" i="1"/>
  <c r="O2184" i="1"/>
  <c r="N2184" i="1"/>
  <c r="M2184" i="1"/>
  <c r="L2184" i="1"/>
  <c r="K2184" i="1"/>
  <c r="O1803" i="1"/>
  <c r="N1803" i="1"/>
  <c r="M1803" i="1"/>
  <c r="L1803" i="1"/>
  <c r="K1803" i="1"/>
  <c r="O573" i="1"/>
  <c r="N573" i="1"/>
  <c r="M573" i="1"/>
  <c r="L573" i="1"/>
  <c r="K573" i="1"/>
  <c r="O1131" i="1"/>
  <c r="N1131" i="1"/>
  <c r="M1131" i="1"/>
  <c r="L1131" i="1"/>
  <c r="K1131" i="1"/>
  <c r="O243" i="1"/>
  <c r="N243" i="1"/>
  <c r="M243" i="1"/>
  <c r="L243" i="1"/>
  <c r="K243" i="1"/>
  <c r="O2566" i="1"/>
  <c r="N2566" i="1"/>
  <c r="M2566" i="1"/>
  <c r="L2566" i="1"/>
  <c r="K2566" i="1"/>
  <c r="O937" i="1"/>
  <c r="N937" i="1"/>
  <c r="M937" i="1"/>
  <c r="L937" i="1"/>
  <c r="K937" i="1"/>
  <c r="O3568" i="1"/>
  <c r="N3568" i="1"/>
  <c r="M3568" i="1"/>
  <c r="L3568" i="1"/>
  <c r="K3568" i="1"/>
  <c r="O382" i="1"/>
  <c r="N382" i="1"/>
  <c r="M382" i="1"/>
  <c r="K382" i="1"/>
  <c r="L382" i="1"/>
  <c r="O2112" i="1"/>
  <c r="N2112" i="1"/>
  <c r="M2112" i="1"/>
  <c r="L2112" i="1"/>
  <c r="K2112" i="1"/>
  <c r="O221" i="1"/>
  <c r="N221" i="1"/>
  <c r="M221" i="1"/>
  <c r="L221" i="1"/>
  <c r="K221" i="1"/>
  <c r="O2125" i="1"/>
  <c r="N2125" i="1"/>
  <c r="M2125" i="1"/>
  <c r="L2125" i="1"/>
  <c r="K2125" i="1"/>
  <c r="O1495" i="1"/>
  <c r="N1495" i="1"/>
  <c r="M1495" i="1"/>
  <c r="L1495" i="1"/>
  <c r="K1495" i="1"/>
  <c r="O3283" i="1"/>
  <c r="N3283" i="1"/>
  <c r="M3283" i="1"/>
  <c r="L3283" i="1"/>
  <c r="K3283" i="1"/>
  <c r="O2598" i="1"/>
  <c r="N2598" i="1"/>
  <c r="M2598" i="1"/>
  <c r="L2598" i="1"/>
  <c r="K2598" i="1"/>
  <c r="O628" i="1"/>
  <c r="N628" i="1"/>
  <c r="M628" i="1"/>
  <c r="L628" i="1"/>
  <c r="K628" i="1"/>
  <c r="O34" i="1"/>
  <c r="N34" i="1"/>
  <c r="M34" i="1"/>
  <c r="K34" i="1"/>
  <c r="L34" i="1"/>
  <c r="O3599" i="1"/>
  <c r="N3599" i="1"/>
  <c r="M3599" i="1"/>
  <c r="L3599" i="1"/>
  <c r="K3599" i="1"/>
  <c r="O1181" i="1"/>
  <c r="N1181" i="1"/>
  <c r="M1181" i="1"/>
  <c r="L1181" i="1"/>
  <c r="K1181" i="1"/>
  <c r="O1130" i="1"/>
  <c r="N1130" i="1"/>
  <c r="M1130" i="1"/>
  <c r="L1130" i="1"/>
  <c r="K1130" i="1"/>
  <c r="O297" i="1"/>
  <c r="N297" i="1"/>
  <c r="M297" i="1"/>
  <c r="L297" i="1"/>
  <c r="K297" i="1"/>
  <c r="O2683" i="1"/>
  <c r="N2683" i="1"/>
  <c r="M2683" i="1"/>
  <c r="L2683" i="1"/>
  <c r="K2683" i="1"/>
  <c r="O3031" i="1"/>
  <c r="N3031" i="1"/>
  <c r="M3031" i="1"/>
  <c r="L3031" i="1"/>
  <c r="K3031" i="1"/>
  <c r="O2036" i="1"/>
  <c r="N2036" i="1"/>
  <c r="M2036" i="1"/>
  <c r="L2036" i="1"/>
  <c r="K2036" i="1"/>
  <c r="O2588" i="1"/>
  <c r="N2588" i="1"/>
  <c r="M2588" i="1"/>
  <c r="L2588" i="1"/>
  <c r="K2588" i="1"/>
  <c r="O1817" i="1"/>
  <c r="N1817" i="1"/>
  <c r="M1817" i="1"/>
  <c r="L1817" i="1"/>
  <c r="K1817" i="1"/>
  <c r="O3238" i="1"/>
  <c r="N3238" i="1"/>
  <c r="M3238" i="1"/>
  <c r="L3238" i="1"/>
  <c r="K3238" i="1"/>
  <c r="O2842" i="1"/>
  <c r="N2842" i="1"/>
  <c r="M2842" i="1"/>
  <c r="L2842" i="1"/>
  <c r="K2842" i="1"/>
  <c r="O865" i="1"/>
  <c r="N865" i="1"/>
  <c r="M865" i="1"/>
  <c r="L865" i="1"/>
  <c r="K865" i="1"/>
  <c r="O3592" i="1"/>
  <c r="N3592" i="1"/>
  <c r="M3592" i="1"/>
  <c r="L3592" i="1"/>
  <c r="K3592" i="1"/>
  <c r="O2243" i="1"/>
  <c r="N2243" i="1"/>
  <c r="M2243" i="1"/>
  <c r="L2243" i="1"/>
  <c r="K2243" i="1"/>
  <c r="O1330" i="1"/>
  <c r="N1330" i="1"/>
  <c r="M1330" i="1"/>
  <c r="L1330" i="1"/>
  <c r="K1330" i="1"/>
  <c r="O3161" i="1"/>
  <c r="N3161" i="1"/>
  <c r="M3161" i="1"/>
  <c r="L3161" i="1"/>
  <c r="K3161" i="1"/>
  <c r="O2749" i="1"/>
  <c r="N2749" i="1"/>
  <c r="M2749" i="1"/>
  <c r="L2749" i="1"/>
  <c r="K2749" i="1"/>
  <c r="O496" i="1"/>
  <c r="N496" i="1"/>
  <c r="M496" i="1"/>
  <c r="L496" i="1"/>
  <c r="K496" i="1"/>
  <c r="O1628" i="1"/>
  <c r="N1628" i="1"/>
  <c r="M1628" i="1"/>
  <c r="L1628" i="1"/>
  <c r="K1628" i="1"/>
  <c r="O2534" i="1"/>
  <c r="N2534" i="1"/>
  <c r="M2534" i="1"/>
  <c r="L2534" i="1"/>
  <c r="K2534" i="1"/>
  <c r="O147" i="1"/>
  <c r="N147" i="1"/>
  <c r="M147" i="1"/>
  <c r="L147" i="1"/>
  <c r="K147" i="1"/>
  <c r="O1862" i="1"/>
  <c r="N1862" i="1"/>
  <c r="M1862" i="1"/>
  <c r="L1862" i="1"/>
  <c r="K1862" i="1"/>
  <c r="O3282" i="1"/>
  <c r="N3282" i="1"/>
  <c r="M3282" i="1"/>
  <c r="L3282" i="1"/>
  <c r="K3282" i="1"/>
  <c r="O265" i="1"/>
  <c r="N265" i="1"/>
  <c r="M265" i="1"/>
  <c r="L265" i="1"/>
  <c r="K265" i="1"/>
  <c r="O14" i="1"/>
  <c r="N14" i="1"/>
  <c r="M14" i="1"/>
  <c r="L14" i="1"/>
  <c r="K14" i="1"/>
  <c r="O627" i="1"/>
  <c r="N627" i="1"/>
  <c r="M627" i="1"/>
  <c r="L627" i="1"/>
  <c r="K627" i="1"/>
  <c r="O1280" i="1"/>
  <c r="N1280" i="1"/>
  <c r="M1280" i="1"/>
  <c r="L1280" i="1"/>
  <c r="K1280" i="1"/>
  <c r="O3206" i="1"/>
  <c r="N3206" i="1"/>
  <c r="L3206" i="1"/>
  <c r="M3206" i="1"/>
  <c r="K3206" i="1"/>
  <c r="O2572" i="1"/>
  <c r="N2572" i="1"/>
  <c r="M2572" i="1"/>
  <c r="L2572" i="1"/>
  <c r="K2572" i="1"/>
  <c r="O2605" i="1"/>
  <c r="N2605" i="1"/>
  <c r="M2605" i="1"/>
  <c r="L2605" i="1"/>
  <c r="K2605" i="1"/>
  <c r="O443" i="1"/>
  <c r="N443" i="1"/>
  <c r="M443" i="1"/>
  <c r="L443" i="1"/>
  <c r="K443" i="1"/>
  <c r="O1969" i="1"/>
  <c r="N1969" i="1"/>
  <c r="M1969" i="1"/>
  <c r="L1969" i="1"/>
  <c r="K1969" i="1"/>
  <c r="O2316" i="1"/>
  <c r="N2316" i="1"/>
  <c r="M2316" i="1"/>
  <c r="L2316" i="1"/>
  <c r="K2316" i="1"/>
  <c r="O1309" i="1"/>
  <c r="N1309" i="1"/>
  <c r="M1309" i="1"/>
  <c r="L1309" i="1"/>
  <c r="K1309" i="1"/>
  <c r="O1639" i="1"/>
  <c r="N1639" i="1"/>
  <c r="M1639" i="1"/>
  <c r="L1639" i="1"/>
  <c r="K1639" i="1"/>
  <c r="O3078" i="1"/>
  <c r="N3078" i="1"/>
  <c r="L3078" i="1"/>
  <c r="M3078" i="1"/>
  <c r="K3078" i="1"/>
  <c r="O1627" i="1"/>
  <c r="N1627" i="1"/>
  <c r="M1627" i="1"/>
  <c r="L1627" i="1"/>
  <c r="K1627" i="1"/>
  <c r="O2557" i="1"/>
  <c r="N2557" i="1"/>
  <c r="M2557" i="1"/>
  <c r="L2557" i="1"/>
  <c r="K2557" i="1"/>
  <c r="O2045" i="1"/>
  <c r="N2045" i="1"/>
  <c r="M2045" i="1"/>
  <c r="L2045" i="1"/>
  <c r="K2045" i="1"/>
  <c r="O2333" i="1"/>
  <c r="N2333" i="1"/>
  <c r="M2333" i="1"/>
  <c r="L2333" i="1"/>
  <c r="K2333" i="1"/>
  <c r="O150" i="1"/>
  <c r="N150" i="1"/>
  <c r="M150" i="1"/>
  <c r="L150" i="1"/>
  <c r="K150" i="1"/>
  <c r="O2518" i="1"/>
  <c r="N2518" i="1"/>
  <c r="M2518" i="1"/>
  <c r="L2518" i="1"/>
  <c r="K2518" i="1"/>
  <c r="O1855" i="1"/>
  <c r="N1855" i="1"/>
  <c r="M1855" i="1"/>
  <c r="L1855" i="1"/>
  <c r="K1855" i="1"/>
  <c r="O2945" i="1"/>
  <c r="N2945" i="1"/>
  <c r="L2945" i="1"/>
  <c r="M2945" i="1"/>
  <c r="K2945" i="1"/>
  <c r="O2359" i="1"/>
  <c r="N2359" i="1"/>
  <c r="M2359" i="1"/>
  <c r="L2359" i="1"/>
  <c r="K2359" i="1"/>
  <c r="O1564" i="1"/>
  <c r="N1564" i="1"/>
  <c r="M1564" i="1"/>
  <c r="L1564" i="1"/>
  <c r="K1564" i="1"/>
  <c r="O2523" i="1"/>
  <c r="N2523" i="1"/>
  <c r="M2523" i="1"/>
  <c r="L2523" i="1"/>
  <c r="K2523" i="1"/>
  <c r="O331" i="1"/>
  <c r="N331" i="1"/>
  <c r="M331" i="1"/>
  <c r="L331" i="1"/>
  <c r="K331" i="1"/>
  <c r="O91" i="1"/>
  <c r="N91" i="1"/>
  <c r="M91" i="1"/>
  <c r="L91" i="1"/>
  <c r="K91" i="1"/>
  <c r="O2350" i="1"/>
  <c r="N2350" i="1"/>
  <c r="M2350" i="1"/>
  <c r="L2350" i="1"/>
  <c r="K2350" i="1"/>
  <c r="O2803" i="1"/>
  <c r="N2803" i="1"/>
  <c r="M2803" i="1"/>
  <c r="L2803" i="1"/>
  <c r="K2803" i="1"/>
  <c r="O1241" i="1"/>
  <c r="N1241" i="1"/>
  <c r="M1241" i="1"/>
  <c r="L1241" i="1"/>
  <c r="K1241" i="1"/>
  <c r="O3092" i="1"/>
  <c r="N3092" i="1"/>
  <c r="M3092" i="1"/>
  <c r="L3092" i="1"/>
  <c r="K3092" i="1"/>
  <c r="O3237" i="1"/>
  <c r="N3237" i="1"/>
  <c r="M3237" i="1"/>
  <c r="L3237" i="1"/>
  <c r="K3237" i="1"/>
  <c r="O2564" i="1"/>
  <c r="N2564" i="1"/>
  <c r="M2564" i="1"/>
  <c r="L2564" i="1"/>
  <c r="K2564" i="1"/>
  <c r="O187" i="1"/>
  <c r="N187" i="1"/>
  <c r="M187" i="1"/>
  <c r="L187" i="1"/>
  <c r="K187" i="1"/>
  <c r="O3397" i="1"/>
  <c r="N3397" i="1"/>
  <c r="M3397" i="1"/>
  <c r="L3397" i="1"/>
  <c r="K3397" i="1"/>
  <c r="O1861" i="1"/>
  <c r="N1861" i="1"/>
  <c r="M1861" i="1"/>
  <c r="L1861" i="1"/>
  <c r="K1861" i="1"/>
  <c r="O3005" i="1"/>
  <c r="N3005" i="1"/>
  <c r="M3005" i="1"/>
  <c r="L3005" i="1"/>
  <c r="K3005" i="1"/>
  <c r="O198" i="1"/>
  <c r="N198" i="1"/>
  <c r="M198" i="1"/>
  <c r="L198" i="1"/>
  <c r="K198" i="1"/>
  <c r="O404" i="1"/>
  <c r="N404" i="1"/>
  <c r="M404" i="1"/>
  <c r="L404" i="1"/>
  <c r="K404" i="1"/>
  <c r="O585" i="1"/>
  <c r="N585" i="1"/>
  <c r="M585" i="1"/>
  <c r="L585" i="1"/>
  <c r="K585" i="1"/>
  <c r="O3362" i="1"/>
  <c r="N3362" i="1"/>
  <c r="M3362" i="1"/>
  <c r="L3362" i="1"/>
  <c r="K3362" i="1"/>
  <c r="O3437" i="1"/>
  <c r="N3437" i="1"/>
  <c r="M3437" i="1"/>
  <c r="L3437" i="1"/>
  <c r="K3437" i="1"/>
  <c r="O2624" i="1"/>
  <c r="N2624" i="1"/>
  <c r="M2624" i="1"/>
  <c r="L2624" i="1"/>
  <c r="K2624" i="1"/>
  <c r="O3347" i="1"/>
  <c r="N3347" i="1"/>
  <c r="M3347" i="1"/>
  <c r="L3347" i="1"/>
  <c r="K3347" i="1"/>
  <c r="O3436" i="1"/>
  <c r="N3436" i="1"/>
  <c r="M3436" i="1"/>
  <c r="L3436" i="1"/>
  <c r="K3436" i="1"/>
  <c r="O1466" i="1"/>
  <c r="N1466" i="1"/>
  <c r="M1466" i="1"/>
  <c r="L1466" i="1"/>
  <c r="K1466" i="1"/>
  <c r="O3077" i="1"/>
  <c r="N3077" i="1"/>
  <c r="M3077" i="1"/>
  <c r="L3077" i="1"/>
  <c r="K3077" i="1"/>
  <c r="O3576" i="1"/>
  <c r="N3576" i="1"/>
  <c r="M3576" i="1"/>
  <c r="L3576" i="1"/>
  <c r="K3576" i="1"/>
  <c r="O2143" i="1"/>
  <c r="N2143" i="1"/>
  <c r="M2143" i="1"/>
  <c r="L2143" i="1"/>
  <c r="K2143" i="1"/>
  <c r="O285" i="1"/>
  <c r="N285" i="1"/>
  <c r="M285" i="1"/>
  <c r="L285" i="1"/>
  <c r="K285" i="1"/>
  <c r="O1485" i="1"/>
  <c r="N1485" i="1"/>
  <c r="M1485" i="1"/>
  <c r="L1485" i="1"/>
  <c r="K1485" i="1"/>
  <c r="O301" i="1"/>
  <c r="N301" i="1"/>
  <c r="M301" i="1"/>
  <c r="L301" i="1"/>
  <c r="K301" i="1"/>
  <c r="O760" i="1"/>
  <c r="N760" i="1"/>
  <c r="M760" i="1"/>
  <c r="L760" i="1"/>
  <c r="K760" i="1"/>
  <c r="O3396" i="1"/>
  <c r="N3396" i="1"/>
  <c r="M3396" i="1"/>
  <c r="L3396" i="1"/>
  <c r="K3396" i="1"/>
  <c r="O3383" i="1"/>
  <c r="N3383" i="1"/>
  <c r="M3383" i="1"/>
  <c r="L3383" i="1"/>
  <c r="K3383" i="1"/>
  <c r="O2432" i="1"/>
  <c r="N2432" i="1"/>
  <c r="M2432" i="1"/>
  <c r="L2432" i="1"/>
  <c r="K2432" i="1"/>
  <c r="O1715" i="1"/>
  <c r="N1715" i="1"/>
  <c r="M1715" i="1"/>
  <c r="L1715" i="1"/>
  <c r="K1715" i="1"/>
  <c r="O759" i="1"/>
  <c r="N759" i="1"/>
  <c r="M759" i="1"/>
  <c r="L759" i="1"/>
  <c r="K759" i="1"/>
  <c r="O3551" i="1"/>
  <c r="N3551" i="1"/>
  <c r="M3551" i="1"/>
  <c r="L3551" i="1"/>
  <c r="K3551" i="1"/>
  <c r="O584" i="1"/>
  <c r="N584" i="1"/>
  <c r="M584" i="1"/>
  <c r="L584" i="1"/>
  <c r="K584" i="1"/>
  <c r="O2294" i="1"/>
  <c r="N2294" i="1"/>
  <c r="M2294" i="1"/>
  <c r="L2294" i="1"/>
  <c r="K2294" i="1"/>
  <c r="O564" i="1"/>
  <c r="N564" i="1"/>
  <c r="M564" i="1"/>
  <c r="L564" i="1"/>
  <c r="K564" i="1"/>
  <c r="O744" i="1"/>
  <c r="N744" i="1"/>
  <c r="M744" i="1"/>
  <c r="L744" i="1"/>
  <c r="K744" i="1"/>
  <c r="O235" i="1"/>
  <c r="N235" i="1"/>
  <c r="M235" i="1"/>
  <c r="L235" i="1"/>
  <c r="K235" i="1"/>
  <c r="O3555" i="1"/>
  <c r="N3555" i="1"/>
  <c r="M3555" i="1"/>
  <c r="L3555" i="1"/>
  <c r="K3555" i="1"/>
  <c r="O942" i="1"/>
  <c r="N942" i="1"/>
  <c r="M942" i="1"/>
  <c r="L942" i="1"/>
  <c r="K942" i="1"/>
  <c r="O2622" i="1"/>
  <c r="N2622" i="1"/>
  <c r="M2622" i="1"/>
  <c r="L2622" i="1"/>
  <c r="K2622" i="1"/>
  <c r="O366" i="1"/>
  <c r="N366" i="1"/>
  <c r="M366" i="1"/>
  <c r="L366" i="1"/>
  <c r="K366" i="1"/>
  <c r="O1720" i="1"/>
  <c r="N1720" i="1"/>
  <c r="M1720" i="1"/>
  <c r="L1720" i="1"/>
  <c r="K1720" i="1"/>
  <c r="O1894" i="1"/>
  <c r="N1894" i="1"/>
  <c r="M1894" i="1"/>
  <c r="L1894" i="1"/>
  <c r="K1894" i="1"/>
  <c r="O3336" i="1"/>
  <c r="N3336" i="1"/>
  <c r="M3336" i="1"/>
  <c r="L3336" i="1"/>
  <c r="K3336" i="1"/>
  <c r="O961" i="1"/>
  <c r="N961" i="1"/>
  <c r="M961" i="1"/>
  <c r="L961" i="1"/>
  <c r="K961" i="1"/>
  <c r="O2723" i="1"/>
  <c r="N2723" i="1"/>
  <c r="M2723" i="1"/>
  <c r="L2723" i="1"/>
  <c r="K2723" i="1"/>
  <c r="O399" i="1"/>
  <c r="N399" i="1"/>
  <c r="M399" i="1"/>
  <c r="L399" i="1"/>
  <c r="K399" i="1"/>
  <c r="O2115" i="1"/>
  <c r="N2115" i="1"/>
  <c r="M2115" i="1"/>
  <c r="L2115" i="1"/>
  <c r="K2115" i="1"/>
  <c r="O61" i="1"/>
  <c r="N61" i="1"/>
  <c r="M61" i="1"/>
  <c r="L61" i="1"/>
  <c r="K61" i="1"/>
  <c r="O2516" i="1"/>
  <c r="N2516" i="1"/>
  <c r="M2516" i="1"/>
  <c r="L2516" i="1"/>
  <c r="K2516" i="1"/>
  <c r="O1528" i="1"/>
  <c r="N1528" i="1"/>
  <c r="M1528" i="1"/>
  <c r="L1528" i="1"/>
  <c r="K1528" i="1"/>
  <c r="O3265" i="1"/>
  <c r="N3265" i="1"/>
  <c r="M3265" i="1"/>
  <c r="L3265" i="1"/>
  <c r="K3265" i="1"/>
  <c r="O306" i="1"/>
  <c r="N306" i="1"/>
  <c r="M306" i="1"/>
  <c r="L306" i="1"/>
  <c r="K306" i="1"/>
  <c r="O655" i="1"/>
  <c r="N655" i="1"/>
  <c r="M655" i="1"/>
  <c r="L655" i="1"/>
  <c r="K655" i="1"/>
  <c r="O60" i="1"/>
  <c r="N60" i="1"/>
  <c r="M60" i="1"/>
  <c r="L60" i="1"/>
  <c r="K60" i="1"/>
  <c r="O1958" i="1"/>
  <c r="N1958" i="1"/>
  <c r="M1958" i="1"/>
  <c r="L1958" i="1"/>
  <c r="K1958" i="1"/>
  <c r="O33" i="1"/>
  <c r="N33" i="1"/>
  <c r="M33" i="1"/>
  <c r="L33" i="1"/>
  <c r="K33" i="1"/>
  <c r="O256" i="1"/>
  <c r="N256" i="1"/>
  <c r="M256" i="1"/>
  <c r="L256" i="1"/>
  <c r="K256" i="1"/>
  <c r="O2331" i="1"/>
  <c r="N2331" i="1"/>
  <c r="M2331" i="1"/>
  <c r="L2331" i="1"/>
  <c r="K2331" i="1"/>
  <c r="O322" i="1"/>
  <c r="N322" i="1"/>
  <c r="M322" i="1"/>
  <c r="L322" i="1"/>
  <c r="K322" i="1"/>
  <c r="O3346" i="1"/>
  <c r="N3346" i="1"/>
  <c r="M3346" i="1"/>
  <c r="L3346" i="1"/>
  <c r="K3346" i="1"/>
  <c r="O3382" i="1"/>
  <c r="N3382" i="1"/>
  <c r="M3382" i="1"/>
  <c r="L3382" i="1"/>
  <c r="K3382" i="1"/>
  <c r="O1781" i="1"/>
  <c r="N1781" i="1"/>
  <c r="M1781" i="1"/>
  <c r="L1781" i="1"/>
  <c r="K1781" i="1"/>
  <c r="O2616" i="1"/>
  <c r="N2616" i="1"/>
  <c r="M2616" i="1"/>
  <c r="L2616" i="1"/>
  <c r="K2616" i="1"/>
  <c r="O2919" i="1"/>
  <c r="N2919" i="1"/>
  <c r="M2919" i="1"/>
  <c r="L2919" i="1"/>
  <c r="K2919" i="1"/>
  <c r="O3501" i="1"/>
  <c r="N3501" i="1"/>
  <c r="M3501" i="1"/>
  <c r="L3501" i="1"/>
  <c r="K3501" i="1"/>
  <c r="O3286" i="1"/>
  <c r="N3286" i="1"/>
  <c r="M3286" i="1"/>
  <c r="L3286" i="1"/>
  <c r="K3286" i="1"/>
  <c r="O39" i="1"/>
  <c r="N39" i="1"/>
  <c r="M39" i="1"/>
  <c r="L39" i="1"/>
  <c r="K39" i="1"/>
  <c r="O1931" i="1"/>
  <c r="N1931" i="1"/>
  <c r="M1931" i="1"/>
  <c r="L1931" i="1"/>
  <c r="K1931" i="1"/>
  <c r="O380" i="1"/>
  <c r="N380" i="1"/>
  <c r="M380" i="1"/>
  <c r="L380" i="1"/>
  <c r="K380" i="1"/>
  <c r="O2309" i="1"/>
  <c r="N2309" i="1"/>
  <c r="M2309" i="1"/>
  <c r="L2309" i="1"/>
  <c r="K2309" i="1"/>
  <c r="O3122" i="1"/>
  <c r="N3122" i="1"/>
  <c r="M3122" i="1"/>
  <c r="L3122" i="1"/>
  <c r="K3122" i="1"/>
  <c r="O851" i="1"/>
  <c r="N851" i="1"/>
  <c r="M851" i="1"/>
  <c r="L851" i="1"/>
  <c r="O3613" i="1"/>
  <c r="N3613" i="1"/>
  <c r="M3613" i="1"/>
  <c r="L3613" i="1"/>
  <c r="K3613" i="1"/>
  <c r="O3198" i="1"/>
  <c r="N3198" i="1"/>
  <c r="M3198" i="1"/>
  <c r="L3198" i="1"/>
  <c r="K3198" i="1"/>
  <c r="O1854" i="1"/>
  <c r="N1854" i="1"/>
  <c r="M1854" i="1"/>
  <c r="L1854" i="1"/>
  <c r="K1854" i="1"/>
  <c r="O953" i="1"/>
  <c r="N953" i="1"/>
  <c r="M953" i="1"/>
  <c r="L953" i="1"/>
  <c r="K953" i="1"/>
  <c r="O940" i="1"/>
  <c r="N940" i="1"/>
  <c r="M940" i="1"/>
  <c r="L940" i="1"/>
  <c r="K940" i="1"/>
  <c r="O2169" i="1"/>
  <c r="N2169" i="1"/>
  <c r="M2169" i="1"/>
  <c r="L2169" i="1"/>
  <c r="K2169" i="1"/>
  <c r="O3159" i="1"/>
  <c r="N3159" i="1"/>
  <c r="M3159" i="1"/>
  <c r="L3159" i="1"/>
  <c r="K3159" i="1"/>
  <c r="O2690" i="1"/>
  <c r="N2690" i="1"/>
  <c r="M2690" i="1"/>
  <c r="L2690" i="1"/>
  <c r="O11" i="1"/>
  <c r="N11" i="1"/>
  <c r="M11" i="1"/>
  <c r="L11" i="1"/>
  <c r="K11" i="1"/>
  <c r="O724" i="1"/>
  <c r="N724" i="1"/>
  <c r="M724" i="1"/>
  <c r="L724" i="1"/>
  <c r="K724" i="1"/>
  <c r="O1615" i="1"/>
  <c r="N1615" i="1"/>
  <c r="M1615" i="1"/>
  <c r="L1615" i="1"/>
  <c r="K1615" i="1"/>
  <c r="O3407" i="1"/>
  <c r="N3407" i="1"/>
  <c r="M3407" i="1"/>
  <c r="L3407" i="1"/>
  <c r="K3407" i="1"/>
  <c r="O165" i="1"/>
  <c r="N165" i="1"/>
  <c r="M165" i="1"/>
  <c r="L165" i="1"/>
  <c r="K165" i="1"/>
  <c r="O3564" i="1"/>
  <c r="N3564" i="1"/>
  <c r="M3564" i="1"/>
  <c r="L3564" i="1"/>
  <c r="K3564" i="1"/>
  <c r="O1947" i="1"/>
  <c r="N1947" i="1"/>
  <c r="M1947" i="1"/>
  <c r="L1947" i="1"/>
  <c r="O914" i="1"/>
  <c r="N914" i="1"/>
  <c r="M914" i="1"/>
  <c r="L914" i="1"/>
  <c r="K914" i="1"/>
  <c r="O2880" i="1"/>
  <c r="N2880" i="1"/>
  <c r="M2880" i="1"/>
  <c r="L2880" i="1"/>
  <c r="K2880" i="1"/>
  <c r="O191" i="1"/>
  <c r="N191" i="1"/>
  <c r="M191" i="1"/>
  <c r="K191" i="1"/>
  <c r="L191" i="1"/>
  <c r="O1364" i="1"/>
  <c r="N1364" i="1"/>
  <c r="M1364" i="1"/>
  <c r="L1364" i="1"/>
  <c r="K1364" i="1"/>
  <c r="O372" i="1"/>
  <c r="N372" i="1"/>
  <c r="M372" i="1"/>
  <c r="L372" i="1"/>
  <c r="K372" i="1"/>
  <c r="O3549" i="1"/>
  <c r="N3549" i="1"/>
  <c r="M3549" i="1"/>
  <c r="L3549" i="1"/>
  <c r="K3549" i="1"/>
  <c r="O503" i="1"/>
  <c r="N503" i="1"/>
  <c r="M503" i="1"/>
  <c r="L503" i="1"/>
  <c r="K503" i="1"/>
  <c r="O1967" i="1"/>
  <c r="N1967" i="1"/>
  <c r="M1967" i="1"/>
  <c r="L1967" i="1"/>
  <c r="O1353" i="1"/>
  <c r="N1353" i="1"/>
  <c r="M1353" i="1"/>
  <c r="L1353" i="1"/>
  <c r="K1353" i="1"/>
  <c r="O1698" i="1"/>
  <c r="N1698" i="1"/>
  <c r="M1698" i="1"/>
  <c r="L1698" i="1"/>
  <c r="K1698" i="1"/>
  <c r="O913" i="1"/>
  <c r="N913" i="1"/>
  <c r="M913" i="1"/>
  <c r="L913" i="1"/>
  <c r="K913" i="1"/>
  <c r="O2395" i="1"/>
  <c r="N2395" i="1"/>
  <c r="M2395" i="1"/>
  <c r="L2395" i="1"/>
  <c r="K2395" i="1"/>
  <c r="O211" i="1"/>
  <c r="N211" i="1"/>
  <c r="M211" i="1"/>
  <c r="L211" i="1"/>
  <c r="K211" i="1"/>
  <c r="O2225" i="1"/>
  <c r="N2225" i="1"/>
  <c r="M2225" i="1"/>
  <c r="L2225" i="1"/>
  <c r="K2225" i="1"/>
  <c r="O180" i="1"/>
  <c r="N180" i="1"/>
  <c r="M180" i="1"/>
  <c r="L180" i="1"/>
  <c r="K180" i="1"/>
  <c r="O3548" i="1"/>
  <c r="N3548" i="1"/>
  <c r="M3548" i="1"/>
  <c r="L3548" i="1"/>
  <c r="O2722" i="1"/>
  <c r="N2722" i="1"/>
  <c r="M2722" i="1"/>
  <c r="L2722" i="1"/>
  <c r="K2722" i="1"/>
  <c r="O2016" i="1"/>
  <c r="N2016" i="1"/>
  <c r="M2016" i="1"/>
  <c r="L2016" i="1"/>
  <c r="K2016" i="1"/>
  <c r="O414" i="1"/>
  <c r="N414" i="1"/>
  <c r="M414" i="1"/>
  <c r="L414" i="1"/>
  <c r="K414" i="1"/>
  <c r="O2020" i="1"/>
  <c r="N2020" i="1"/>
  <c r="M2020" i="1"/>
  <c r="L2020" i="1"/>
  <c r="K2020" i="1"/>
  <c r="O1204" i="1"/>
  <c r="N1204" i="1"/>
  <c r="M1204" i="1"/>
  <c r="L1204" i="1"/>
  <c r="K1204" i="1"/>
  <c r="O562" i="1"/>
  <c r="N562" i="1"/>
  <c r="M562" i="1"/>
  <c r="L562" i="1"/>
  <c r="K562" i="1"/>
  <c r="O2721" i="1"/>
  <c r="N2721" i="1"/>
  <c r="M2721" i="1"/>
  <c r="L2721" i="1"/>
  <c r="O1832" i="1"/>
  <c r="N1832" i="1"/>
  <c r="M1832" i="1"/>
  <c r="L1832" i="1"/>
  <c r="K1832" i="1"/>
  <c r="O2849" i="1"/>
  <c r="N2849" i="1"/>
  <c r="M2849" i="1"/>
  <c r="L2849" i="1"/>
  <c r="K2849" i="1"/>
  <c r="O3355" i="1"/>
  <c r="N3355" i="1"/>
  <c r="M3355" i="1"/>
  <c r="L3355" i="1"/>
  <c r="O2224" i="1"/>
  <c r="N2224" i="1"/>
  <c r="M2224" i="1"/>
  <c r="L2224" i="1"/>
  <c r="K2224" i="1"/>
  <c r="O2300" i="1"/>
  <c r="N2300" i="1"/>
  <c r="M2300" i="1"/>
  <c r="L2300" i="1"/>
  <c r="K2300" i="1"/>
  <c r="O2024" i="1"/>
  <c r="N2024" i="1"/>
  <c r="M2024" i="1"/>
  <c r="L2024" i="1"/>
  <c r="K2024" i="1"/>
  <c r="O2703" i="1"/>
  <c r="N2703" i="1"/>
  <c r="M2703" i="1"/>
  <c r="L2703" i="1"/>
  <c r="K2703" i="1"/>
  <c r="O1754" i="1"/>
  <c r="N1754" i="1"/>
  <c r="M1754" i="1"/>
  <c r="L1754" i="1"/>
  <c r="K1754" i="1"/>
  <c r="O364" i="1"/>
  <c r="N364" i="1"/>
  <c r="M364" i="1"/>
  <c r="L364" i="1"/>
  <c r="K364" i="1"/>
  <c r="O1060" i="1"/>
  <c r="N1060" i="1"/>
  <c r="M1060" i="1"/>
  <c r="L1060" i="1"/>
  <c r="K1060" i="1"/>
  <c r="O1670" i="1"/>
  <c r="N1670" i="1"/>
  <c r="M1670" i="1"/>
  <c r="L1670" i="1"/>
  <c r="O2707" i="1"/>
  <c r="N2707" i="1"/>
  <c r="M2707" i="1"/>
  <c r="K2707" i="1"/>
  <c r="L2707" i="1"/>
  <c r="O2269" i="1"/>
  <c r="N2269" i="1"/>
  <c r="M2269" i="1"/>
  <c r="L2269" i="1"/>
  <c r="K2269" i="1"/>
  <c r="O1315" i="1"/>
  <c r="N1315" i="1"/>
  <c r="M1315" i="1"/>
  <c r="L1315" i="1"/>
  <c r="K1315" i="1"/>
  <c r="O2103" i="1"/>
  <c r="N2103" i="1"/>
  <c r="M2103" i="1"/>
  <c r="L2103" i="1"/>
  <c r="K2103" i="1"/>
  <c r="O1448" i="1"/>
  <c r="N1448" i="1"/>
  <c r="M1448" i="1"/>
  <c r="L1448" i="1"/>
  <c r="K1448" i="1"/>
  <c r="O629" i="1"/>
  <c r="N629" i="1"/>
  <c r="M629" i="1"/>
  <c r="L629" i="1"/>
  <c r="K629" i="1"/>
  <c r="O3380" i="1"/>
  <c r="N3380" i="1"/>
  <c r="M3380" i="1"/>
  <c r="L3380" i="1"/>
  <c r="O502" i="1"/>
  <c r="N502" i="1"/>
  <c r="M502" i="1"/>
  <c r="L502" i="1"/>
  <c r="K502" i="1"/>
  <c r="O1145" i="1"/>
  <c r="N1145" i="1"/>
  <c r="M1145" i="1"/>
  <c r="L1145" i="1"/>
  <c r="K1145" i="1"/>
  <c r="O1742" i="1"/>
  <c r="N1742" i="1"/>
  <c r="M1742" i="1"/>
  <c r="L1742" i="1"/>
  <c r="K1742" i="1"/>
  <c r="O2808" i="1"/>
  <c r="N2808" i="1"/>
  <c r="M2808" i="1"/>
  <c r="L2808" i="1"/>
  <c r="K2808" i="1"/>
  <c r="K395" i="1"/>
  <c r="K537" i="1"/>
  <c r="K647" i="1"/>
  <c r="K2798" i="1"/>
  <c r="K3000" i="1"/>
  <c r="K3267" i="1"/>
  <c r="K504" i="1"/>
  <c r="K3016" i="1"/>
  <c r="K2150" i="1"/>
  <c r="K2124" i="1"/>
  <c r="K441" i="1"/>
  <c r="K654" i="1"/>
  <c r="K673" i="1"/>
  <c r="K1947" i="1"/>
  <c r="K2655" i="1"/>
  <c r="K3422" i="1"/>
  <c r="K1248" i="1"/>
  <c r="K3380" i="1"/>
  <c r="K1906" i="1"/>
  <c r="K642" i="1"/>
  <c r="K538" i="1"/>
  <c r="K3039" i="1"/>
  <c r="O1999" i="1"/>
  <c r="N1999" i="1"/>
  <c r="M1999" i="1"/>
  <c r="L1999" i="1"/>
  <c r="O3441" i="1"/>
  <c r="N3441" i="1"/>
  <c r="M3441" i="1"/>
  <c r="L3441" i="1"/>
  <c r="O2335" i="1"/>
  <c r="N2335" i="1"/>
  <c r="M2335" i="1"/>
  <c r="L2335" i="1"/>
  <c r="O808" i="1"/>
  <c r="N808" i="1"/>
  <c r="M808" i="1"/>
  <c r="L808" i="1"/>
  <c r="O3007" i="1"/>
  <c r="N3007" i="1"/>
  <c r="M3007" i="1"/>
  <c r="L3007" i="1"/>
  <c r="O1408" i="1"/>
  <c r="N1408" i="1"/>
  <c r="M1408" i="1"/>
  <c r="L1408" i="1"/>
  <c r="O1000" i="1"/>
  <c r="N1000" i="1"/>
  <c r="M1000" i="1"/>
  <c r="L1000" i="1"/>
  <c r="O3297" i="1"/>
  <c r="N3297" i="1"/>
  <c r="M3297" i="1"/>
  <c r="O2352" i="1"/>
  <c r="N2352" i="1"/>
  <c r="M2352" i="1"/>
  <c r="L2352" i="1"/>
  <c r="O2302" i="1"/>
  <c r="N2302" i="1"/>
  <c r="M2302" i="1"/>
  <c r="L2302" i="1"/>
  <c r="O1643" i="1"/>
  <c r="N1643" i="1"/>
  <c r="M1643" i="1"/>
  <c r="L1643" i="1"/>
  <c r="O219" i="1"/>
  <c r="N219" i="1"/>
  <c r="M219" i="1"/>
  <c r="L219" i="1"/>
  <c r="O2397" i="1"/>
  <c r="N2397" i="1"/>
  <c r="M2397" i="1"/>
  <c r="L2397" i="1"/>
  <c r="O3534" i="1"/>
  <c r="N3534" i="1"/>
  <c r="L3534" i="1"/>
  <c r="M3534" i="1"/>
  <c r="O264" i="1"/>
  <c r="N264" i="1"/>
  <c r="M264" i="1"/>
  <c r="L264" i="1"/>
  <c r="O418" i="1"/>
  <c r="N418" i="1"/>
  <c r="M418" i="1"/>
  <c r="L418" i="1"/>
  <c r="O2704" i="1"/>
  <c r="N2704" i="1"/>
  <c r="M2704" i="1"/>
  <c r="L2704" i="1"/>
  <c r="O918" i="1"/>
  <c r="N918" i="1"/>
  <c r="M918" i="1"/>
  <c r="L918" i="1"/>
  <c r="O636" i="1"/>
  <c r="N636" i="1"/>
  <c r="M636" i="1"/>
  <c r="L636" i="1"/>
  <c r="O12" i="1"/>
  <c r="N12" i="1"/>
  <c r="M12" i="1"/>
  <c r="L12" i="1"/>
  <c r="O330" i="1"/>
  <c r="N330" i="1"/>
  <c r="M330" i="1"/>
  <c r="L330" i="1"/>
  <c r="O3006" i="1"/>
  <c r="N3006" i="1"/>
  <c r="M3006" i="1"/>
  <c r="L3006" i="1"/>
  <c r="O181" i="1"/>
  <c r="N181" i="1"/>
  <c r="M181" i="1"/>
  <c r="L181" i="1"/>
  <c r="O1198" i="1"/>
  <c r="N1198" i="1"/>
  <c r="M1198" i="1"/>
  <c r="L1198" i="1"/>
  <c r="O2213" i="1"/>
  <c r="N2213" i="1"/>
  <c r="M2213" i="1"/>
  <c r="L2213" i="1"/>
  <c r="O615" i="1"/>
  <c r="N615" i="1"/>
  <c r="M615" i="1"/>
  <c r="L615" i="1"/>
  <c r="O1080" i="1"/>
  <c r="N1080" i="1"/>
  <c r="M1080" i="1"/>
  <c r="L1080" i="1"/>
  <c r="O1135" i="1"/>
  <c r="N1135" i="1"/>
  <c r="M1135" i="1"/>
  <c r="L1135" i="1"/>
  <c r="O108" i="1"/>
  <c r="N108" i="1"/>
  <c r="M108" i="1"/>
  <c r="L108" i="1"/>
  <c r="O1676" i="1"/>
  <c r="N1676" i="1"/>
  <c r="M1676" i="1"/>
  <c r="L1676" i="1"/>
  <c r="O746" i="1"/>
  <c r="N746" i="1"/>
  <c r="M746" i="1"/>
  <c r="L746" i="1"/>
  <c r="O1811" i="1"/>
  <c r="N1811" i="1"/>
  <c r="M1811" i="1"/>
  <c r="L1811" i="1"/>
  <c r="O1407" i="1"/>
  <c r="N1407" i="1"/>
  <c r="M1407" i="1"/>
  <c r="L1407" i="1"/>
  <c r="O2953" i="1"/>
  <c r="N2953" i="1"/>
  <c r="M2953" i="1"/>
  <c r="O2487" i="1"/>
  <c r="N2487" i="1"/>
  <c r="M2487" i="1"/>
  <c r="L2487" i="1"/>
  <c r="O307" i="1"/>
  <c r="N307" i="1"/>
  <c r="M307" i="1"/>
  <c r="L307" i="1"/>
  <c r="O3224" i="1"/>
  <c r="N3224" i="1"/>
  <c r="M3224" i="1"/>
  <c r="L3224" i="1"/>
  <c r="O2695" i="1"/>
  <c r="N2695" i="1"/>
  <c r="M2695" i="1"/>
  <c r="L2695" i="1"/>
  <c r="O408" i="1"/>
  <c r="N408" i="1"/>
  <c r="M408" i="1"/>
  <c r="L408" i="1"/>
  <c r="O2264" i="1"/>
  <c r="N2264" i="1"/>
  <c r="M2264" i="1"/>
  <c r="L2264" i="1"/>
  <c r="O1304" i="1"/>
  <c r="N1304" i="1"/>
  <c r="M1304" i="1"/>
  <c r="L1304" i="1"/>
  <c r="O2766" i="1"/>
  <c r="N2766" i="1"/>
  <c r="M2766" i="1"/>
  <c r="O2203" i="1"/>
  <c r="N2203" i="1"/>
  <c r="M2203" i="1"/>
  <c r="L2203" i="1"/>
  <c r="O877" i="1"/>
  <c r="N877" i="1"/>
  <c r="M877" i="1"/>
  <c r="L877" i="1"/>
  <c r="O359" i="1"/>
  <c r="N359" i="1"/>
  <c r="M359" i="1"/>
  <c r="L359" i="1"/>
  <c r="O3153" i="1"/>
  <c r="N3153" i="1"/>
  <c r="M3153" i="1"/>
  <c r="L3153" i="1"/>
  <c r="O2464" i="1"/>
  <c r="N2464" i="1"/>
  <c r="M2464" i="1"/>
  <c r="L2464" i="1"/>
  <c r="O2472" i="1"/>
  <c r="N2472" i="1"/>
  <c r="M2472" i="1"/>
  <c r="L2472" i="1"/>
  <c r="O2700" i="1"/>
  <c r="N2700" i="1"/>
  <c r="M2700" i="1"/>
  <c r="L2700" i="1"/>
  <c r="O3369" i="1"/>
  <c r="N3369" i="1"/>
  <c r="M3369" i="1"/>
  <c r="L3369" i="1"/>
  <c r="O3202" i="1"/>
  <c r="N3202" i="1"/>
  <c r="M3202" i="1"/>
  <c r="L3202" i="1"/>
  <c r="O806" i="1"/>
  <c r="N806" i="1"/>
  <c r="M806" i="1"/>
  <c r="L806" i="1"/>
  <c r="O815" i="1"/>
  <c r="N815" i="1"/>
  <c r="M815" i="1"/>
  <c r="L815" i="1"/>
  <c r="O814" i="1"/>
  <c r="N814" i="1"/>
  <c r="M814" i="1"/>
  <c r="L814" i="1"/>
  <c r="O1581" i="1"/>
  <c r="N1581" i="1"/>
  <c r="M1581" i="1"/>
  <c r="L1581" i="1"/>
  <c r="O2630" i="1"/>
  <c r="N2630" i="1"/>
  <c r="M2630" i="1"/>
  <c r="L2630" i="1"/>
  <c r="O1411" i="1"/>
  <c r="N1411" i="1"/>
  <c r="M1411" i="1"/>
  <c r="L1411" i="1"/>
  <c r="O580" i="1"/>
  <c r="N580" i="1"/>
  <c r="M580" i="1"/>
  <c r="L580" i="1"/>
  <c r="O494" i="1"/>
  <c r="N494" i="1"/>
  <c r="M494" i="1"/>
  <c r="L494" i="1"/>
  <c r="O3431" i="1"/>
  <c r="N3431" i="1"/>
  <c r="M3431" i="1"/>
  <c r="L3431" i="1"/>
  <c r="O1796" i="1"/>
  <c r="N1796" i="1"/>
  <c r="M1796" i="1"/>
  <c r="L1796" i="1"/>
  <c r="O1004" i="1"/>
  <c r="N1004" i="1"/>
  <c r="M1004" i="1"/>
  <c r="L1004" i="1"/>
  <c r="O1415" i="1"/>
  <c r="N1415" i="1"/>
  <c r="M1415" i="1"/>
  <c r="L1415" i="1"/>
  <c r="O1401" i="1"/>
  <c r="N1401" i="1"/>
  <c r="M1401" i="1"/>
  <c r="L1401" i="1"/>
  <c r="O3215" i="1"/>
  <c r="N3215" i="1"/>
  <c r="M3215" i="1"/>
  <c r="L3215" i="1"/>
  <c r="O1675" i="1"/>
  <c r="N1675" i="1"/>
  <c r="M1675" i="1"/>
  <c r="L1675" i="1"/>
  <c r="O1538" i="1"/>
  <c r="N1538" i="1"/>
  <c r="M1538" i="1"/>
  <c r="L1538" i="1"/>
  <c r="O2847" i="1"/>
  <c r="N2847" i="1"/>
  <c r="M2847" i="1"/>
  <c r="L2847" i="1"/>
  <c r="O3004" i="1"/>
  <c r="N3004" i="1"/>
  <c r="M3004" i="1"/>
  <c r="L3004" i="1"/>
  <c r="O192" i="1"/>
  <c r="N192" i="1"/>
  <c r="M192" i="1"/>
  <c r="L192" i="1"/>
  <c r="O365" i="1"/>
  <c r="N365" i="1"/>
  <c r="M365" i="1"/>
  <c r="L365" i="1"/>
  <c r="O3045" i="1"/>
  <c r="M3045" i="1"/>
  <c r="N3045" i="1"/>
  <c r="L3045" i="1"/>
  <c r="O2810" i="1"/>
  <c r="N2810" i="1"/>
  <c r="M2810" i="1"/>
  <c r="L2810" i="1"/>
  <c r="O765" i="1"/>
  <c r="N765" i="1"/>
  <c r="M765" i="1"/>
  <c r="L765" i="1"/>
  <c r="O3097" i="1"/>
  <c r="N3097" i="1"/>
  <c r="M3097" i="1"/>
  <c r="L3097" i="1"/>
  <c r="O703" i="1"/>
  <c r="N703" i="1"/>
  <c r="M703" i="1"/>
  <c r="L703" i="1"/>
  <c r="O2163" i="1"/>
  <c r="N2163" i="1"/>
  <c r="M2163" i="1"/>
  <c r="L2163" i="1"/>
  <c r="O2315" i="1"/>
  <c r="N2315" i="1"/>
  <c r="M2315" i="1"/>
  <c r="L2315" i="1"/>
  <c r="O3091" i="1"/>
  <c r="N3091" i="1"/>
  <c r="M3091" i="1"/>
  <c r="L3091" i="1"/>
  <c r="O3368" i="1"/>
  <c r="N3368" i="1"/>
  <c r="M3368" i="1"/>
  <c r="L3368" i="1"/>
  <c r="O3236" i="1"/>
  <c r="N3236" i="1"/>
  <c r="M3236" i="1"/>
  <c r="L3236" i="1"/>
  <c r="O1909" i="1"/>
  <c r="N1909" i="1"/>
  <c r="M1909" i="1"/>
  <c r="L1909" i="1"/>
  <c r="O1815" i="1"/>
  <c r="N1815" i="1"/>
  <c r="M1815" i="1"/>
  <c r="L1815" i="1"/>
  <c r="O1087" i="1"/>
  <c r="N1087" i="1"/>
  <c r="M1087" i="1"/>
  <c r="L1087" i="1"/>
  <c r="O2064" i="1"/>
  <c r="N2064" i="1"/>
  <c r="M2064" i="1"/>
  <c r="L2064" i="1"/>
  <c r="O613" i="1"/>
  <c r="N613" i="1"/>
  <c r="M613" i="1"/>
  <c r="L613" i="1"/>
  <c r="O2110" i="1"/>
  <c r="N2110" i="1"/>
  <c r="M2110" i="1"/>
  <c r="L2110" i="1"/>
  <c r="O2155" i="1"/>
  <c r="N2155" i="1"/>
  <c r="M2155" i="1"/>
  <c r="L2155" i="1"/>
  <c r="O2677" i="1"/>
  <c r="N2677" i="1"/>
  <c r="M2677" i="1"/>
  <c r="L2677" i="1"/>
  <c r="O1574" i="1"/>
  <c r="N1574" i="1"/>
  <c r="M1574" i="1"/>
  <c r="L1574" i="1"/>
  <c r="O1208" i="1"/>
  <c r="N1208" i="1"/>
  <c r="M1208" i="1"/>
  <c r="L1208" i="1"/>
  <c r="O3273" i="1"/>
  <c r="N3273" i="1"/>
  <c r="M3273" i="1"/>
  <c r="L3273" i="1"/>
  <c r="O2691" i="1"/>
  <c r="N2691" i="1"/>
  <c r="M2691" i="1"/>
  <c r="L2691" i="1"/>
  <c r="O1328" i="1"/>
  <c r="N1328" i="1"/>
  <c r="M1328" i="1"/>
  <c r="L1328" i="1"/>
  <c r="O523" i="1"/>
  <c r="N523" i="1"/>
  <c r="M523" i="1"/>
  <c r="L523" i="1"/>
  <c r="O777" i="1"/>
  <c r="N777" i="1"/>
  <c r="M777" i="1"/>
  <c r="L777" i="1"/>
  <c r="O1780" i="1"/>
  <c r="N1780" i="1"/>
  <c r="M1780" i="1"/>
  <c r="L1780" i="1"/>
  <c r="O3597" i="1"/>
  <c r="M3597" i="1"/>
  <c r="N3597" i="1"/>
  <c r="L3597" i="1"/>
  <c r="O831" i="1"/>
  <c r="N831" i="1"/>
  <c r="M831" i="1"/>
  <c r="L831" i="1"/>
  <c r="O2242" i="1"/>
  <c r="N2242" i="1"/>
  <c r="M2242" i="1"/>
  <c r="L2242" i="1"/>
  <c r="O20" i="1"/>
  <c r="N20" i="1"/>
  <c r="M20" i="1"/>
  <c r="L20" i="1"/>
  <c r="O1537" i="1"/>
  <c r="N1537" i="1"/>
  <c r="M1537" i="1"/>
  <c r="L1537" i="1"/>
  <c r="O1713" i="1"/>
  <c r="N1713" i="1"/>
  <c r="M1713" i="1"/>
  <c r="L1713" i="1"/>
  <c r="O296" i="1"/>
  <c r="N296" i="1"/>
  <c r="M296" i="1"/>
  <c r="L296" i="1"/>
  <c r="O164" i="1"/>
  <c r="N164" i="1"/>
  <c r="M164" i="1"/>
  <c r="L164" i="1"/>
  <c r="O750" i="1"/>
  <c r="M750" i="1"/>
  <c r="N750" i="1"/>
  <c r="L750" i="1"/>
  <c r="O3434" i="1"/>
  <c r="N3434" i="1"/>
  <c r="M3434" i="1"/>
  <c r="L3434" i="1"/>
  <c r="O1998" i="1"/>
  <c r="N1998" i="1"/>
  <c r="M1998" i="1"/>
  <c r="L1998" i="1"/>
  <c r="O1055" i="1"/>
  <c r="N1055" i="1"/>
  <c r="M1055" i="1"/>
  <c r="L1055" i="1"/>
  <c r="O1185" i="1"/>
  <c r="N1185" i="1"/>
  <c r="M1185" i="1"/>
  <c r="L1185" i="1"/>
  <c r="O1995" i="1"/>
  <c r="N1995" i="1"/>
  <c r="M1995" i="1"/>
  <c r="L1995" i="1"/>
  <c r="O3185" i="1"/>
  <c r="N3185" i="1"/>
  <c r="M3185" i="1"/>
  <c r="L3185" i="1"/>
  <c r="O917" i="1"/>
  <c r="N917" i="1"/>
  <c r="M917" i="1"/>
  <c r="L917" i="1"/>
  <c r="O1936" i="1"/>
  <c r="M1936" i="1"/>
  <c r="N1936" i="1"/>
  <c r="L1936" i="1"/>
  <c r="O3373" i="1"/>
  <c r="N3373" i="1"/>
  <c r="M3373" i="1"/>
  <c r="L3373" i="1"/>
  <c r="O1258" i="1"/>
  <c r="N1258" i="1"/>
  <c r="M1258" i="1"/>
  <c r="L1258" i="1"/>
  <c r="O3372" i="1"/>
  <c r="N3372" i="1"/>
  <c r="M3372" i="1"/>
  <c r="L3372" i="1"/>
  <c r="O3311" i="1"/>
  <c r="N3311" i="1"/>
  <c r="M3311" i="1"/>
  <c r="L3311" i="1"/>
  <c r="O3563" i="1"/>
  <c r="N3563" i="1"/>
  <c r="M3563" i="1"/>
  <c r="L3563" i="1"/>
  <c r="O857" i="1"/>
  <c r="N857" i="1"/>
  <c r="M857" i="1"/>
  <c r="L857" i="1"/>
  <c r="O2829" i="1"/>
  <c r="N2829" i="1"/>
  <c r="M2829" i="1"/>
  <c r="L2829" i="1"/>
  <c r="O2937" i="1"/>
  <c r="M2937" i="1"/>
  <c r="N2937" i="1"/>
  <c r="L2937" i="1"/>
  <c r="O1775" i="1"/>
  <c r="N1775" i="1"/>
  <c r="M1775" i="1"/>
  <c r="L1775" i="1"/>
  <c r="O2039" i="1"/>
  <c r="N2039" i="1"/>
  <c r="M2039" i="1"/>
  <c r="L2039" i="1"/>
  <c r="O883" i="1"/>
  <c r="N883" i="1"/>
  <c r="M883" i="1"/>
  <c r="L883" i="1"/>
  <c r="O2154" i="1"/>
  <c r="N2154" i="1"/>
  <c r="M2154" i="1"/>
  <c r="L2154" i="1"/>
  <c r="O3612" i="1"/>
  <c r="N3612" i="1"/>
  <c r="M3612" i="1"/>
  <c r="L3612" i="1"/>
  <c r="O3562" i="1"/>
  <c r="N3562" i="1"/>
  <c r="M3562" i="1"/>
  <c r="L3562" i="1"/>
  <c r="O542" i="1"/>
  <c r="N542" i="1"/>
  <c r="M542" i="1"/>
  <c r="L542" i="1"/>
  <c r="O1536" i="1"/>
  <c r="N1536" i="1"/>
  <c r="M1536" i="1"/>
  <c r="L1536" i="1"/>
  <c r="O1341" i="1"/>
  <c r="N1341" i="1"/>
  <c r="M1341" i="1"/>
  <c r="L1341" i="1"/>
  <c r="O606" i="1"/>
  <c r="N606" i="1"/>
  <c r="M606" i="1"/>
  <c r="L606" i="1"/>
  <c r="O3591" i="1"/>
  <c r="N3591" i="1"/>
  <c r="M3591" i="1"/>
  <c r="L3591" i="1"/>
  <c r="O1753" i="1"/>
  <c r="N1753" i="1"/>
  <c r="M1753" i="1"/>
  <c r="L1753" i="1"/>
  <c r="O2621" i="1"/>
  <c r="N2621" i="1"/>
  <c r="M2621" i="1"/>
  <c r="L2621" i="1"/>
  <c r="O1975" i="1"/>
  <c r="N1975" i="1"/>
  <c r="M1975" i="1"/>
  <c r="L1975" i="1"/>
  <c r="O2912" i="1"/>
  <c r="N2912" i="1"/>
  <c r="M2912" i="1"/>
  <c r="L2912" i="1"/>
  <c r="O3456" i="1"/>
  <c r="M3456" i="1"/>
  <c r="N3456" i="1"/>
  <c r="L3456" i="1"/>
  <c r="O125" i="1"/>
  <c r="N125" i="1"/>
  <c r="M125" i="1"/>
  <c r="L125" i="1"/>
  <c r="O3051" i="1"/>
  <c r="N3051" i="1"/>
  <c r="M3051" i="1"/>
  <c r="L3051" i="1"/>
  <c r="O1444" i="1"/>
  <c r="N1444" i="1"/>
  <c r="M1444" i="1"/>
  <c r="L1444" i="1"/>
  <c r="O1851" i="1"/>
  <c r="N1851" i="1"/>
  <c r="M1851" i="1"/>
  <c r="L1851" i="1"/>
  <c r="O413" i="1"/>
  <c r="N413" i="1"/>
  <c r="M413" i="1"/>
  <c r="L413" i="1"/>
  <c r="O3433" i="1"/>
  <c r="N3433" i="1"/>
  <c r="M3433" i="1"/>
  <c r="L3433" i="1"/>
  <c r="O1809" i="1"/>
  <c r="N1809" i="1"/>
  <c r="M1809" i="1"/>
  <c r="L1809" i="1"/>
  <c r="O2443" i="1"/>
  <c r="M2443" i="1"/>
  <c r="N2443" i="1"/>
  <c r="L2443" i="1"/>
  <c r="O1657" i="1"/>
  <c r="N1657" i="1"/>
  <c r="M1657" i="1"/>
  <c r="L1657" i="1"/>
  <c r="O1121" i="1"/>
  <c r="N1121" i="1"/>
  <c r="M1121" i="1"/>
  <c r="L1121" i="1"/>
  <c r="O1203" i="1"/>
  <c r="N1203" i="1"/>
  <c r="M1203" i="1"/>
  <c r="L1203" i="1"/>
  <c r="O1167" i="1"/>
  <c r="N1167" i="1"/>
  <c r="M1167" i="1"/>
  <c r="L1167" i="1"/>
  <c r="O1908" i="1"/>
  <c r="N1908" i="1"/>
  <c r="M1908" i="1"/>
  <c r="L1908" i="1"/>
  <c r="O156" i="1"/>
  <c r="N156" i="1"/>
  <c r="M156" i="1"/>
  <c r="L156" i="1"/>
  <c r="O249" i="1"/>
  <c r="N249" i="1"/>
  <c r="M249" i="1"/>
  <c r="L249" i="1"/>
  <c r="O2561" i="1"/>
  <c r="M2561" i="1"/>
  <c r="N2561" i="1"/>
  <c r="L2561" i="1"/>
  <c r="O3310" i="1"/>
  <c r="N3310" i="1"/>
  <c r="M3310" i="1"/>
  <c r="L3310" i="1"/>
  <c r="O457" i="1"/>
  <c r="N457" i="1"/>
  <c r="M457" i="1"/>
  <c r="L457" i="1"/>
  <c r="O1302" i="1"/>
  <c r="N1302" i="1"/>
  <c r="M1302" i="1"/>
  <c r="L1302" i="1"/>
  <c r="O394" i="1"/>
  <c r="N394" i="1"/>
  <c r="M394" i="1"/>
  <c r="L394" i="1"/>
  <c r="O2038" i="1"/>
  <c r="N2038" i="1"/>
  <c r="M2038" i="1"/>
  <c r="L2038" i="1"/>
  <c r="O2673" i="1"/>
  <c r="N2673" i="1"/>
  <c r="M2673" i="1"/>
  <c r="L2673" i="1"/>
  <c r="O3033" i="1"/>
  <c r="N3033" i="1"/>
  <c r="M3033" i="1"/>
  <c r="L3033" i="1"/>
  <c r="O2738" i="1"/>
  <c r="N2738" i="1"/>
  <c r="M2738" i="1"/>
  <c r="L2738" i="1"/>
  <c r="O2993" i="1"/>
  <c r="N2993" i="1"/>
  <c r="M2993" i="1"/>
  <c r="L2993" i="1"/>
  <c r="O1568" i="1"/>
  <c r="N1568" i="1"/>
  <c r="M1568" i="1"/>
  <c r="L1568" i="1"/>
  <c r="O3263" i="1"/>
  <c r="N3263" i="1"/>
  <c r="M3263" i="1"/>
  <c r="L3263" i="1"/>
  <c r="O2569" i="1"/>
  <c r="N2569" i="1"/>
  <c r="M2569" i="1"/>
  <c r="L2569" i="1"/>
  <c r="O1989" i="1"/>
  <c r="N1989" i="1"/>
  <c r="M1989" i="1"/>
  <c r="L1989" i="1"/>
  <c r="O2787" i="1"/>
  <c r="N2787" i="1"/>
  <c r="M2787" i="1"/>
  <c r="L2787" i="1"/>
  <c r="K241" i="1"/>
  <c r="K3467" i="1"/>
  <c r="K1903" i="1"/>
  <c r="K704" i="1"/>
  <c r="K1087" i="1"/>
  <c r="K3273" i="1"/>
  <c r="K2242" i="1"/>
  <c r="K1998" i="1"/>
  <c r="K1258" i="1"/>
  <c r="K2039" i="1"/>
  <c r="K1536" i="1"/>
  <c r="K3456" i="1"/>
  <c r="K2443" i="1"/>
  <c r="K2561" i="1"/>
  <c r="K2738" i="1"/>
  <c r="L2766" i="1"/>
  <c r="O2241" i="1"/>
  <c r="N2241" i="1"/>
  <c r="M2241" i="1"/>
  <c r="L2241" i="1"/>
  <c r="O2174" i="1"/>
  <c r="N2174" i="1"/>
  <c r="M2174" i="1"/>
  <c r="L2174" i="1"/>
  <c r="O2905" i="1"/>
  <c r="N2905" i="1"/>
  <c r="M2905" i="1"/>
  <c r="L2905" i="1"/>
  <c r="O681" i="1"/>
  <c r="N681" i="1"/>
  <c r="M681" i="1"/>
  <c r="L681" i="1"/>
  <c r="O2553" i="1"/>
  <c r="N2553" i="1"/>
  <c r="M2553" i="1"/>
  <c r="O2994" i="1"/>
  <c r="N2994" i="1"/>
  <c r="M2994" i="1"/>
  <c r="L2994" i="1"/>
  <c r="O795" i="1"/>
  <c r="N795" i="1"/>
  <c r="M795" i="1"/>
  <c r="L795" i="1"/>
  <c r="O1741" i="1"/>
  <c r="N1741" i="1"/>
  <c r="M1741" i="1"/>
  <c r="L1741" i="1"/>
  <c r="O2823" i="1"/>
  <c r="N2823" i="1"/>
  <c r="M2823" i="1"/>
  <c r="L2823" i="1"/>
  <c r="O749" i="1"/>
  <c r="N749" i="1"/>
  <c r="M749" i="1"/>
  <c r="L749" i="1"/>
  <c r="O3158" i="1"/>
  <c r="N3158" i="1"/>
  <c r="M3158" i="1"/>
  <c r="L3158" i="1"/>
  <c r="O864" i="1"/>
  <c r="N864" i="1"/>
  <c r="M864" i="1"/>
  <c r="L864" i="1"/>
  <c r="O1560" i="1"/>
  <c r="N1560" i="1"/>
  <c r="M1560" i="1"/>
  <c r="L1560" i="1"/>
  <c r="O2490" i="1"/>
  <c r="N2490" i="1"/>
  <c r="M2490" i="1"/>
  <c r="L2490" i="1"/>
  <c r="O1492" i="1"/>
  <c r="M1492" i="1"/>
  <c r="N1492" i="1"/>
  <c r="L1492" i="1"/>
  <c r="O508" i="1"/>
  <c r="N508" i="1"/>
  <c r="M508" i="1"/>
  <c r="L508" i="1"/>
  <c r="O708" i="1"/>
  <c r="N708" i="1"/>
  <c r="M708" i="1"/>
  <c r="L708" i="1"/>
  <c r="O2469" i="1"/>
  <c r="N2469" i="1"/>
  <c r="M2469" i="1"/>
  <c r="L2469" i="1"/>
  <c r="O707" i="1"/>
  <c r="N707" i="1"/>
  <c r="M707" i="1"/>
  <c r="L707" i="1"/>
  <c r="K2323" i="1"/>
  <c r="K1815" i="1"/>
  <c r="K1208" i="1"/>
  <c r="K831" i="1"/>
  <c r="K3434" i="1"/>
  <c r="K3373" i="1"/>
  <c r="K1775" i="1"/>
  <c r="K3612" i="1"/>
  <c r="K2621" i="1"/>
  <c r="K413" i="1"/>
  <c r="K1908" i="1"/>
  <c r="K2994" i="1"/>
  <c r="K2038" i="1"/>
  <c r="K2490" i="1"/>
  <c r="K1989" i="1"/>
  <c r="O1651" i="1"/>
  <c r="N1651" i="1"/>
  <c r="M1651" i="1"/>
  <c r="L1651" i="1"/>
  <c r="O2129" i="1"/>
  <c r="N2129" i="1"/>
  <c r="M2129" i="1"/>
  <c r="L2129" i="1"/>
  <c r="O38" i="1"/>
  <c r="N38" i="1"/>
  <c r="M38" i="1"/>
  <c r="L38" i="1"/>
  <c r="O2620" i="1"/>
  <c r="N2620" i="1"/>
  <c r="M2620" i="1"/>
  <c r="L2620" i="1"/>
  <c r="O3580" i="1"/>
  <c r="N3580" i="1"/>
  <c r="M3580" i="1"/>
  <c r="L3580" i="1"/>
  <c r="O3345" i="1"/>
  <c r="N3345" i="1"/>
  <c r="M3345" i="1"/>
  <c r="L3345" i="1"/>
  <c r="O612" i="1"/>
  <c r="N612" i="1"/>
  <c r="M612" i="1"/>
  <c r="L612" i="1"/>
  <c r="O2552" i="1"/>
  <c r="N2552" i="1"/>
  <c r="M2552" i="1"/>
  <c r="L2552" i="1"/>
  <c r="O624" i="1"/>
  <c r="N624" i="1"/>
  <c r="M624" i="1"/>
  <c r="L624" i="1"/>
  <c r="O2680" i="1"/>
  <c r="N2680" i="1"/>
  <c r="M2680" i="1"/>
  <c r="L2680" i="1"/>
  <c r="O1128" i="1"/>
  <c r="N1128" i="1"/>
  <c r="M1128" i="1"/>
  <c r="L1128" i="1"/>
  <c r="O2043" i="1"/>
  <c r="N2043" i="1"/>
  <c r="M2043" i="1"/>
  <c r="L2043" i="1"/>
  <c r="O1264" i="1"/>
  <c r="N1264" i="1"/>
  <c r="M1264" i="1"/>
  <c r="L1264" i="1"/>
  <c r="O304" i="1"/>
  <c r="N304" i="1"/>
  <c r="M304" i="1"/>
  <c r="L304" i="1"/>
  <c r="O2346" i="1"/>
  <c r="N2346" i="1"/>
  <c r="M2346" i="1"/>
  <c r="L2346" i="1"/>
  <c r="O672" i="1"/>
  <c r="N672" i="1"/>
  <c r="M672" i="1"/>
  <c r="L672" i="1"/>
  <c r="O9" i="1"/>
  <c r="N9" i="1"/>
  <c r="M9" i="1"/>
  <c r="L9" i="1"/>
  <c r="O3455" i="1"/>
  <c r="N3455" i="1"/>
  <c r="M3455" i="1"/>
  <c r="L3455" i="1"/>
  <c r="O551" i="1"/>
  <c r="N551" i="1"/>
  <c r="M551" i="1"/>
  <c r="L551" i="1"/>
  <c r="O871" i="1"/>
  <c r="N871" i="1"/>
  <c r="M871" i="1"/>
  <c r="L871" i="1"/>
  <c r="O2270" i="1"/>
  <c r="N2270" i="1"/>
  <c r="M2270" i="1"/>
  <c r="L2270" i="1"/>
  <c r="O144" i="1"/>
  <c r="N144" i="1"/>
  <c r="M144" i="1"/>
  <c r="L144" i="1"/>
  <c r="K1909" i="1"/>
  <c r="K1574" i="1"/>
  <c r="K3597" i="1"/>
  <c r="K750" i="1"/>
  <c r="K1936" i="1"/>
  <c r="K2937" i="1"/>
  <c r="K606" i="1"/>
  <c r="K3051" i="1"/>
  <c r="K1651" i="1"/>
  <c r="K1121" i="1"/>
  <c r="K2905" i="1"/>
  <c r="K624" i="1"/>
  <c r="K457" i="1"/>
  <c r="K3158" i="1"/>
  <c r="K9" i="1"/>
  <c r="K1568" i="1"/>
  <c r="K2469" i="1"/>
  <c r="L2553" i="1"/>
  <c r="O2418" i="1"/>
  <c r="N2418" i="1"/>
  <c r="M2418" i="1"/>
  <c r="L2418" i="1"/>
  <c r="O2543" i="1"/>
  <c r="N2543" i="1"/>
  <c r="M2543" i="1"/>
  <c r="L2543" i="1"/>
  <c r="O3531" i="1"/>
  <c r="N3531" i="1"/>
  <c r="M3531" i="1"/>
  <c r="L3531" i="1"/>
  <c r="O2514" i="1"/>
  <c r="N2514" i="1"/>
  <c r="M2514" i="1"/>
  <c r="L2514" i="1"/>
  <c r="O985" i="1"/>
  <c r="N985" i="1"/>
  <c r="M985" i="1"/>
  <c r="L985" i="1"/>
  <c r="O1668" i="1"/>
  <c r="N1668" i="1"/>
  <c r="M1668" i="1"/>
  <c r="L1668" i="1"/>
  <c r="O597" i="1"/>
  <c r="N597" i="1"/>
  <c r="M597" i="1"/>
  <c r="L597" i="1"/>
  <c r="O2209" i="1"/>
  <c r="N2209" i="1"/>
  <c r="M2209" i="1"/>
  <c r="L2209" i="1"/>
  <c r="O952" i="1"/>
  <c r="N952" i="1"/>
  <c r="M952" i="1"/>
  <c r="L952" i="1"/>
  <c r="O757" i="1"/>
  <c r="N757" i="1"/>
  <c r="M757" i="1"/>
  <c r="L757" i="1"/>
  <c r="O3379" i="1"/>
  <c r="N3379" i="1"/>
  <c r="M3379" i="1"/>
  <c r="L3379" i="1"/>
  <c r="O2911" i="1"/>
  <c r="N2911" i="1"/>
  <c r="M2911" i="1"/>
  <c r="L2911" i="1"/>
  <c r="O1867" i="1"/>
  <c r="N1867" i="1"/>
  <c r="M1867" i="1"/>
  <c r="L1867" i="1"/>
  <c r="O900" i="1"/>
  <c r="N900" i="1"/>
  <c r="M900" i="1"/>
  <c r="L900" i="1"/>
  <c r="O3044" i="1"/>
  <c r="N3044" i="1"/>
  <c r="M3044" i="1"/>
  <c r="L3044" i="1"/>
  <c r="O2757" i="1"/>
  <c r="N2757" i="1"/>
  <c r="M2757" i="1"/>
  <c r="L2757" i="1"/>
  <c r="O2030" i="1"/>
  <c r="N2030" i="1"/>
  <c r="M2030" i="1"/>
  <c r="L2030" i="1"/>
  <c r="O2197" i="1"/>
  <c r="N2197" i="1"/>
  <c r="M2197" i="1"/>
  <c r="L2197" i="1"/>
  <c r="O3454" i="1"/>
  <c r="N3454" i="1"/>
  <c r="M3454" i="1"/>
  <c r="L3454" i="1"/>
  <c r="O665" i="1"/>
  <c r="N665" i="1"/>
  <c r="M665" i="1"/>
  <c r="L665" i="1"/>
  <c r="O507" i="1"/>
  <c r="N507" i="1"/>
  <c r="M507" i="1"/>
  <c r="L507" i="1"/>
  <c r="K1999" i="1"/>
  <c r="K3441" i="1"/>
  <c r="K2335" i="1"/>
  <c r="K808" i="1"/>
  <c r="K3007" i="1"/>
  <c r="K1408" i="1"/>
  <c r="K1000" i="1"/>
  <c r="K3297" i="1"/>
  <c r="K2352" i="1"/>
  <c r="K2302" i="1"/>
  <c r="K1643" i="1"/>
  <c r="K219" i="1"/>
  <c r="K2397" i="1"/>
  <c r="K3534" i="1"/>
  <c r="K264" i="1"/>
  <c r="K418" i="1"/>
  <c r="K2704" i="1"/>
  <c r="K918" i="1"/>
  <c r="K636" i="1"/>
  <c r="K12" i="1"/>
  <c r="K330" i="1"/>
  <c r="K3006" i="1"/>
  <c r="K181" i="1"/>
  <c r="K1198" i="1"/>
  <c r="K2213" i="1"/>
  <c r="K615" i="1"/>
  <c r="K1080" i="1"/>
  <c r="K1135" i="1"/>
  <c r="K108" i="1"/>
  <c r="K1676" i="1"/>
  <c r="K746" i="1"/>
  <c r="K1811" i="1"/>
  <c r="K1407" i="1"/>
  <c r="K2953" i="1"/>
  <c r="K2487" i="1"/>
  <c r="K307" i="1"/>
  <c r="K3224" i="1"/>
  <c r="K2695" i="1"/>
  <c r="K408" i="1"/>
  <c r="K2264" i="1"/>
  <c r="K1304" i="1"/>
  <c r="K2766" i="1"/>
  <c r="K2203" i="1"/>
  <c r="K877" i="1"/>
  <c r="K359" i="1"/>
  <c r="K3153" i="1"/>
  <c r="K2464" i="1"/>
  <c r="K2472" i="1"/>
  <c r="K2700" i="1"/>
  <c r="K3369" i="1"/>
  <c r="K3202" i="1"/>
  <c r="K806" i="1"/>
  <c r="K815" i="1"/>
  <c r="K814" i="1"/>
  <c r="K1581" i="1"/>
  <c r="K2630" i="1"/>
  <c r="K1411" i="1"/>
  <c r="K580" i="1"/>
  <c r="K494" i="1"/>
  <c r="K3431" i="1"/>
  <c r="K1796" i="1"/>
  <c r="K1004" i="1"/>
  <c r="K1415" i="1"/>
  <c r="K1401" i="1"/>
  <c r="K3215" i="1"/>
  <c r="K1675" i="1"/>
  <c r="K1538" i="1"/>
  <c r="K2847" i="1"/>
  <c r="K3004" i="1"/>
  <c r="K192" i="1"/>
  <c r="K365" i="1"/>
  <c r="K3045" i="1"/>
  <c r="K2810" i="1"/>
  <c r="K765" i="1"/>
  <c r="K3097" i="1"/>
  <c r="K703" i="1"/>
  <c r="K2163" i="1"/>
  <c r="K2315" i="1"/>
  <c r="K3091" i="1"/>
  <c r="K3368" i="1"/>
  <c r="K3236" i="1"/>
  <c r="K2677" i="1"/>
  <c r="K1780" i="1"/>
  <c r="K164" i="1"/>
  <c r="K917" i="1"/>
  <c r="K2829" i="1"/>
  <c r="K542" i="1"/>
  <c r="K2912" i="1"/>
  <c r="K1809" i="1"/>
  <c r="K2418" i="1"/>
  <c r="K3345" i="1"/>
  <c r="K249" i="1"/>
  <c r="K952" i="1"/>
  <c r="K1741" i="1"/>
  <c r="K304" i="1"/>
  <c r="K3033" i="1"/>
  <c r="K2030" i="1"/>
  <c r="O3130" i="1"/>
  <c r="N3130" i="1"/>
  <c r="M3130" i="1"/>
  <c r="K3130" i="1"/>
  <c r="L3130" i="1"/>
  <c r="O3485" i="1"/>
  <c r="N3485" i="1"/>
  <c r="M3485" i="1"/>
  <c r="L3485" i="1"/>
  <c r="K3485" i="1"/>
  <c r="O412" i="1"/>
  <c r="N412" i="1"/>
  <c r="M412" i="1"/>
  <c r="L412" i="1"/>
  <c r="K412" i="1"/>
  <c r="O3121" i="1"/>
  <c r="N3121" i="1"/>
  <c r="M3121" i="1"/>
  <c r="L3121" i="1"/>
  <c r="K3121" i="1"/>
  <c r="O1406" i="1"/>
  <c r="N1406" i="1"/>
  <c r="M1406" i="1"/>
  <c r="K1406" i="1"/>
  <c r="L1406" i="1"/>
  <c r="O1053" i="1"/>
  <c r="N1053" i="1"/>
  <c r="M1053" i="1"/>
  <c r="L1053" i="1"/>
  <c r="K1053" i="1"/>
  <c r="O1405" i="1"/>
  <c r="N1405" i="1"/>
  <c r="M1405" i="1"/>
  <c r="L1405" i="1"/>
  <c r="K1405" i="1"/>
  <c r="O787" i="1"/>
  <c r="N787" i="1"/>
  <c r="M787" i="1"/>
  <c r="L787" i="1"/>
  <c r="K787" i="1"/>
  <c r="O1579" i="1"/>
  <c r="N1579" i="1"/>
  <c r="M1579" i="1"/>
  <c r="K1579" i="1"/>
  <c r="L1579" i="1"/>
  <c r="O2879" i="1"/>
  <c r="N2879" i="1"/>
  <c r="M2879" i="1"/>
  <c r="L2879" i="1"/>
  <c r="K2879" i="1"/>
  <c r="O1108" i="1"/>
  <c r="N1108" i="1"/>
  <c r="M1108" i="1"/>
  <c r="L1108" i="1"/>
  <c r="K1108" i="1"/>
  <c r="O1493" i="1"/>
  <c r="N1493" i="1"/>
  <c r="M1493" i="1"/>
  <c r="K1493" i="1"/>
  <c r="O2536" i="1"/>
  <c r="N2536" i="1"/>
  <c r="M2536" i="1"/>
  <c r="L2536" i="1"/>
  <c r="K2536" i="1"/>
  <c r="O533" i="1"/>
  <c r="N533" i="1"/>
  <c r="M533" i="1"/>
  <c r="L533" i="1"/>
  <c r="K533" i="1"/>
  <c r="O3446" i="1"/>
  <c r="N3446" i="1"/>
  <c r="M3446" i="1"/>
  <c r="L3446" i="1"/>
  <c r="K3446" i="1"/>
  <c r="O462" i="1"/>
  <c r="N462" i="1"/>
  <c r="M462" i="1"/>
  <c r="K462" i="1"/>
  <c r="L462" i="1"/>
  <c r="O485" i="1"/>
  <c r="N485" i="1"/>
  <c r="M485" i="1"/>
  <c r="L485" i="1"/>
  <c r="K485" i="1"/>
  <c r="O2672" i="1"/>
  <c r="N2672" i="1"/>
  <c r="M2672" i="1"/>
  <c r="L2672" i="1"/>
  <c r="K2672" i="1"/>
  <c r="O3043" i="1"/>
  <c r="N3043" i="1"/>
  <c r="M3043" i="1"/>
  <c r="L3043" i="1"/>
  <c r="K3043" i="1"/>
  <c r="O260" i="1"/>
  <c r="N260" i="1"/>
  <c r="M260" i="1"/>
  <c r="K260" i="1"/>
  <c r="L260" i="1"/>
  <c r="O3151" i="1"/>
  <c r="N3151" i="1"/>
  <c r="M3151" i="1"/>
  <c r="L3151" i="1"/>
  <c r="K3151" i="1"/>
  <c r="K2155" i="1"/>
  <c r="K777" i="1"/>
  <c r="K296" i="1"/>
  <c r="K3185" i="1"/>
  <c r="K857" i="1"/>
  <c r="K2154" i="1"/>
  <c r="K1753" i="1"/>
  <c r="K1851" i="1"/>
  <c r="K38" i="1"/>
  <c r="K1167" i="1"/>
  <c r="K1668" i="1"/>
  <c r="K2553" i="1"/>
  <c r="K1128" i="1"/>
  <c r="K394" i="1"/>
  <c r="K900" i="1"/>
  <c r="K1560" i="1"/>
  <c r="K551" i="1"/>
  <c r="K2569" i="1"/>
  <c r="O1342" i="1"/>
  <c r="N1342" i="1"/>
  <c r="M1342" i="1"/>
  <c r="L1342" i="1"/>
  <c r="O201" i="1"/>
  <c r="N201" i="1"/>
  <c r="M201" i="1"/>
  <c r="O3448" i="1"/>
  <c r="N3448" i="1"/>
  <c r="M3448" i="1"/>
  <c r="L3448" i="1"/>
  <c r="O3141" i="1"/>
  <c r="N3141" i="1"/>
  <c r="M3141" i="1"/>
  <c r="L3141" i="1"/>
  <c r="O1616" i="1"/>
  <c r="N1616" i="1"/>
  <c r="M1616" i="1"/>
  <c r="L1616" i="1"/>
  <c r="O2034" i="1"/>
  <c r="N2034" i="1"/>
  <c r="M2034" i="1"/>
  <c r="L2034" i="1"/>
  <c r="O2176" i="1"/>
  <c r="N2176" i="1"/>
  <c r="M2176" i="1"/>
  <c r="L2176" i="1"/>
  <c r="O2192" i="1"/>
  <c r="N2192" i="1"/>
  <c r="M2192" i="1"/>
  <c r="L2192" i="1"/>
  <c r="O2433" i="1"/>
  <c r="N2433" i="1"/>
  <c r="M2433" i="1"/>
  <c r="L2433" i="1"/>
  <c r="O241" i="1"/>
  <c r="N241" i="1"/>
  <c r="M241" i="1"/>
  <c r="O1307" i="1"/>
  <c r="N1307" i="1"/>
  <c r="M1307" i="1"/>
  <c r="L1307" i="1"/>
  <c r="O3598" i="1"/>
  <c r="N3598" i="1"/>
  <c r="M3598" i="1"/>
  <c r="L3598" i="1"/>
  <c r="O2412" i="1"/>
  <c r="N2412" i="1"/>
  <c r="M2412" i="1"/>
  <c r="L2412" i="1"/>
  <c r="O3219" i="1"/>
  <c r="N3219" i="1"/>
  <c r="M3219" i="1"/>
  <c r="L3219" i="1"/>
  <c r="O368" i="1"/>
  <c r="N368" i="1"/>
  <c r="M368" i="1"/>
  <c r="L368" i="1"/>
  <c r="O1942" i="1"/>
  <c r="N1942" i="1"/>
  <c r="M1942" i="1"/>
  <c r="L1942" i="1"/>
  <c r="O1782" i="1"/>
  <c r="N1782" i="1"/>
  <c r="M1782" i="1"/>
  <c r="L1782" i="1"/>
  <c r="O3363" i="1"/>
  <c r="N3363" i="1"/>
  <c r="M3363" i="1"/>
  <c r="L3363" i="1"/>
  <c r="O112" i="1"/>
  <c r="N112" i="1"/>
  <c r="M112" i="1"/>
  <c r="L112" i="1"/>
  <c r="O1812" i="1"/>
  <c r="N1812" i="1"/>
  <c r="M1812" i="1"/>
  <c r="L1812" i="1"/>
  <c r="O626" i="1"/>
  <c r="N626" i="1"/>
  <c r="M626" i="1"/>
  <c r="L626" i="1"/>
  <c r="O21" i="1"/>
  <c r="N21" i="1"/>
  <c r="M21" i="1"/>
  <c r="L21" i="1"/>
  <c r="O2104" i="1"/>
  <c r="N2104" i="1"/>
  <c r="M2104" i="1"/>
  <c r="L2104" i="1"/>
  <c r="O980" i="1"/>
  <c r="N980" i="1"/>
  <c r="M980" i="1"/>
  <c r="L980" i="1"/>
  <c r="O3342" i="1"/>
  <c r="N3342" i="1"/>
  <c r="M3342" i="1"/>
  <c r="L3342" i="1"/>
  <c r="O2521" i="1"/>
  <c r="N2521" i="1"/>
  <c r="M2521" i="1"/>
  <c r="L2521" i="1"/>
  <c r="O2631" i="1"/>
  <c r="N2631" i="1"/>
  <c r="M2631" i="1"/>
  <c r="L2631" i="1"/>
  <c r="O1748" i="1"/>
  <c r="N1748" i="1"/>
  <c r="M1748" i="1"/>
  <c r="L1748" i="1"/>
  <c r="O1910" i="1"/>
  <c r="N1910" i="1"/>
  <c r="M1910" i="1"/>
  <c r="L1910" i="1"/>
  <c r="O1732" i="1"/>
  <c r="N1732" i="1"/>
  <c r="M1732" i="1"/>
  <c r="L1732" i="1"/>
  <c r="O2295" i="1"/>
  <c r="N2295" i="1"/>
  <c r="M2295" i="1"/>
  <c r="L2295" i="1"/>
  <c r="O2954" i="1"/>
  <c r="N2954" i="1"/>
  <c r="M2954" i="1"/>
  <c r="L2954" i="1"/>
  <c r="O3266" i="1"/>
  <c r="N3266" i="1"/>
  <c r="M3266" i="1"/>
  <c r="L3266" i="1"/>
  <c r="O1593" i="1"/>
  <c r="N1593" i="1"/>
  <c r="L1593" i="1"/>
  <c r="M1593" i="1"/>
  <c r="O3160" i="1"/>
  <c r="N3160" i="1"/>
  <c r="M3160" i="1"/>
  <c r="L3160" i="1"/>
  <c r="O3111" i="1"/>
  <c r="N3111" i="1"/>
  <c r="M3111" i="1"/>
  <c r="L3111" i="1"/>
  <c r="O3084" i="1"/>
  <c r="N3084" i="1"/>
  <c r="M3084" i="1"/>
  <c r="L3084" i="1"/>
  <c r="O1695" i="1"/>
  <c r="N1695" i="1"/>
  <c r="M1695" i="1"/>
  <c r="L1695" i="1"/>
  <c r="O2988" i="1"/>
  <c r="N2988" i="1"/>
  <c r="M2988" i="1"/>
  <c r="L2988" i="1"/>
  <c r="O2873" i="1"/>
  <c r="N2873" i="1"/>
  <c r="M2873" i="1"/>
  <c r="L2873" i="1"/>
  <c r="O2597" i="1"/>
  <c r="N2597" i="1"/>
  <c r="M2597" i="1"/>
  <c r="L2597" i="1"/>
  <c r="O1633" i="1"/>
  <c r="N1633" i="1"/>
  <c r="M1633" i="1"/>
  <c r="L1633" i="1"/>
  <c r="O1968" i="1"/>
  <c r="N1968" i="1"/>
  <c r="M1968" i="1"/>
  <c r="L1968" i="1"/>
  <c r="O3488" i="1"/>
  <c r="N3488" i="1"/>
  <c r="M3488" i="1"/>
  <c r="L3488" i="1"/>
  <c r="O2639" i="1"/>
  <c r="N2639" i="1"/>
  <c r="M2639" i="1"/>
  <c r="L2639" i="1"/>
  <c r="O1689" i="1"/>
  <c r="N1689" i="1"/>
  <c r="M1689" i="1"/>
  <c r="L1689" i="1"/>
  <c r="O1129" i="1"/>
  <c r="N1129" i="1"/>
  <c r="M1129" i="1"/>
  <c r="L1129" i="1"/>
  <c r="O2652" i="1"/>
  <c r="N2652" i="1"/>
  <c r="M2652" i="1"/>
  <c r="L2652" i="1"/>
  <c r="O3467" i="1"/>
  <c r="N3467" i="1"/>
  <c r="M3467" i="1"/>
  <c r="O698" i="1"/>
  <c r="N698" i="1"/>
  <c r="M698" i="1"/>
  <c r="L698" i="1"/>
  <c r="O138" i="1"/>
  <c r="N138" i="1"/>
  <c r="M138" i="1"/>
  <c r="L138" i="1"/>
  <c r="O3542" i="1"/>
  <c r="N3542" i="1"/>
  <c r="M3542" i="1"/>
  <c r="L3542" i="1"/>
  <c r="O278" i="1"/>
  <c r="N278" i="1"/>
  <c r="M278" i="1"/>
  <c r="L278" i="1"/>
  <c r="O675" i="1"/>
  <c r="N675" i="1"/>
  <c r="M675" i="1"/>
  <c r="L675" i="1"/>
  <c r="O2920" i="1"/>
  <c r="N2920" i="1"/>
  <c r="M2920" i="1"/>
  <c r="O3180" i="1"/>
  <c r="N3180" i="1"/>
  <c r="M3180" i="1"/>
  <c r="L3180" i="1"/>
  <c r="O2629" i="1"/>
  <c r="N2629" i="1"/>
  <c r="M2629" i="1"/>
  <c r="L2629" i="1"/>
  <c r="O3341" i="1"/>
  <c r="N3341" i="1"/>
  <c r="L3341" i="1"/>
  <c r="M3341" i="1"/>
  <c r="O197" i="1"/>
  <c r="N197" i="1"/>
  <c r="M197" i="1"/>
  <c r="L197" i="1"/>
  <c r="O2228" i="1"/>
  <c r="N2228" i="1"/>
  <c r="M2228" i="1"/>
  <c r="L2228" i="1"/>
  <c r="O667" i="1"/>
  <c r="N667" i="1"/>
  <c r="M667" i="1"/>
  <c r="L667" i="1"/>
  <c r="O1976" i="1"/>
  <c r="N1976" i="1"/>
  <c r="M1976" i="1"/>
  <c r="L1976" i="1"/>
  <c r="O3466" i="1"/>
  <c r="N3466" i="1"/>
  <c r="M3466" i="1"/>
  <c r="L3466" i="1"/>
  <c r="O2396" i="1"/>
  <c r="N2396" i="1"/>
  <c r="M2396" i="1"/>
  <c r="L2396" i="1"/>
  <c r="O442" i="1"/>
  <c r="N442" i="1"/>
  <c r="M442" i="1"/>
  <c r="L442" i="1"/>
  <c r="O3015" i="1"/>
  <c r="N3015" i="1"/>
  <c r="M3015" i="1"/>
  <c r="L3015" i="1"/>
  <c r="O1329" i="1"/>
  <c r="N1329" i="1"/>
  <c r="M1329" i="1"/>
  <c r="L1329" i="1"/>
  <c r="O1903" i="1"/>
  <c r="N1903" i="1"/>
  <c r="M1903" i="1"/>
  <c r="O2344" i="1"/>
  <c r="N2344" i="1"/>
  <c r="M2344" i="1"/>
  <c r="L2344" i="1"/>
  <c r="O132" i="1"/>
  <c r="N132" i="1"/>
  <c r="M132" i="1"/>
  <c r="L132" i="1"/>
  <c r="O3295" i="1"/>
  <c r="N3295" i="1"/>
  <c r="M3295" i="1"/>
  <c r="L3295" i="1"/>
  <c r="O1040" i="1"/>
  <c r="N1040" i="1"/>
  <c r="M1040" i="1"/>
  <c r="L1040" i="1"/>
  <c r="O3116" i="1"/>
  <c r="N3116" i="1"/>
  <c r="M3116" i="1"/>
  <c r="L3116" i="1"/>
  <c r="O739" i="1"/>
  <c r="N739" i="1"/>
  <c r="M739" i="1"/>
  <c r="L739" i="1"/>
  <c r="O704" i="1"/>
  <c r="N704" i="1"/>
  <c r="M704" i="1"/>
  <c r="O934" i="1"/>
  <c r="N934" i="1"/>
  <c r="M934" i="1"/>
  <c r="L934" i="1"/>
  <c r="O3240" i="1"/>
  <c r="N3240" i="1"/>
  <c r="M3240" i="1"/>
  <c r="L3240" i="1"/>
  <c r="O2996" i="1"/>
  <c r="N2996" i="1"/>
  <c r="M2996" i="1"/>
  <c r="L2996" i="1"/>
  <c r="O434" i="1"/>
  <c r="N434" i="1"/>
  <c r="M434" i="1"/>
  <c r="L434" i="1"/>
  <c r="O535" i="1"/>
  <c r="N535" i="1"/>
  <c r="M535" i="1"/>
  <c r="L535" i="1"/>
  <c r="O1883" i="1"/>
  <c r="N1883" i="1"/>
  <c r="M1883" i="1"/>
  <c r="L1883" i="1"/>
  <c r="O2216" i="1"/>
  <c r="N2216" i="1"/>
  <c r="M2216" i="1"/>
  <c r="L2216" i="1"/>
  <c r="O458" i="1"/>
  <c r="N458" i="1"/>
  <c r="M458" i="1"/>
  <c r="L458" i="1"/>
  <c r="O3090" i="1"/>
  <c r="N3090" i="1"/>
  <c r="M3090" i="1"/>
  <c r="L3090" i="1"/>
  <c r="O1400" i="1"/>
  <c r="N1400" i="1"/>
  <c r="M1400" i="1"/>
  <c r="L1400" i="1"/>
  <c r="O2419" i="1"/>
  <c r="N2419" i="1"/>
  <c r="M2419" i="1"/>
  <c r="L2419" i="1"/>
  <c r="O1354" i="1"/>
  <c r="N1354" i="1"/>
  <c r="M1354" i="1"/>
  <c r="L1354" i="1"/>
  <c r="O2634" i="1"/>
  <c r="N2634" i="1"/>
  <c r="M2634" i="1"/>
  <c r="L2634" i="1"/>
  <c r="O2301" i="1"/>
  <c r="N2301" i="1"/>
  <c r="M2301" i="1"/>
  <c r="L2301" i="1"/>
  <c r="O2437" i="1"/>
  <c r="N2437" i="1"/>
  <c r="M2437" i="1"/>
  <c r="L2437" i="1"/>
  <c r="O873" i="1"/>
  <c r="N873" i="1"/>
  <c r="M873" i="1"/>
  <c r="L873" i="1"/>
  <c r="O1902" i="1"/>
  <c r="N1902" i="1"/>
  <c r="M1902" i="1"/>
  <c r="L1902" i="1"/>
  <c r="O1289" i="1"/>
  <c r="N1289" i="1"/>
  <c r="M1289" i="1"/>
  <c r="L1289" i="1"/>
  <c r="O1039" i="1"/>
  <c r="N1039" i="1"/>
  <c r="M1039" i="1"/>
  <c r="L1039" i="1"/>
  <c r="O272" i="1"/>
  <c r="N272" i="1"/>
  <c r="M272" i="1"/>
  <c r="L272" i="1"/>
  <c r="O1192" i="1"/>
  <c r="N1192" i="1"/>
  <c r="M1192" i="1"/>
  <c r="L1192" i="1"/>
  <c r="O3146" i="1"/>
  <c r="N3146" i="1"/>
  <c r="M3146" i="1"/>
  <c r="L3146" i="1"/>
  <c r="O1249" i="1"/>
  <c r="N1249" i="1"/>
  <c r="M1249" i="1"/>
  <c r="L1249" i="1"/>
  <c r="O3052" i="1"/>
  <c r="N3052" i="1"/>
  <c r="M3052" i="1"/>
  <c r="L3052" i="1"/>
  <c r="O2938" i="1"/>
  <c r="N2938" i="1"/>
  <c r="M2938" i="1"/>
  <c r="L2938" i="1"/>
  <c r="O387" i="1"/>
  <c r="N387" i="1"/>
  <c r="M387" i="1"/>
  <c r="L387" i="1"/>
  <c r="O776" i="1"/>
  <c r="N776" i="1"/>
  <c r="M776" i="1"/>
  <c r="L776" i="1"/>
  <c r="O1925" i="1"/>
  <c r="N1925" i="1"/>
  <c r="M1925" i="1"/>
  <c r="L1925" i="1"/>
  <c r="O2322" i="1"/>
  <c r="N2322" i="1"/>
  <c r="M2322" i="1"/>
  <c r="L2322" i="1"/>
  <c r="O1699" i="1"/>
  <c r="N1699" i="1"/>
  <c r="M1699" i="1"/>
  <c r="L1699" i="1"/>
  <c r="O688" i="1"/>
  <c r="N688" i="1"/>
  <c r="M688" i="1"/>
  <c r="L688" i="1"/>
  <c r="O107" i="1"/>
  <c r="N107" i="1"/>
  <c r="M107" i="1"/>
  <c r="L107" i="1"/>
  <c r="O3272" i="1"/>
  <c r="N3272" i="1"/>
  <c r="M3272" i="1"/>
  <c r="L3272" i="1"/>
  <c r="O3278" i="1"/>
  <c r="N3278" i="1"/>
  <c r="M3278" i="1"/>
  <c r="L3278" i="1"/>
  <c r="O2410" i="1"/>
  <c r="N2410" i="1"/>
  <c r="M2410" i="1"/>
  <c r="L2410" i="1"/>
  <c r="O974" i="1"/>
  <c r="N974" i="1"/>
  <c r="M974" i="1"/>
  <c r="L974" i="1"/>
  <c r="O1666" i="1"/>
  <c r="N1666" i="1"/>
  <c r="M1666" i="1"/>
  <c r="L1666" i="1"/>
  <c r="O1072" i="1"/>
  <c r="N1072" i="1"/>
  <c r="M1072" i="1"/>
  <c r="L1072" i="1"/>
  <c r="O386" i="1"/>
  <c r="N386" i="1"/>
  <c r="M386" i="1"/>
  <c r="L386" i="1"/>
  <c r="O723" i="1"/>
  <c r="N723" i="1"/>
  <c r="M723" i="1"/>
  <c r="L723" i="1"/>
  <c r="O1512" i="1"/>
  <c r="N1512" i="1"/>
  <c r="M1512" i="1"/>
  <c r="L1512" i="1"/>
  <c r="O2796" i="1"/>
  <c r="N2796" i="1"/>
  <c r="M2796" i="1"/>
  <c r="L2796" i="1"/>
  <c r="O2962" i="1"/>
  <c r="N2962" i="1"/>
  <c r="M2962" i="1"/>
  <c r="L2962" i="1"/>
  <c r="O1704" i="1"/>
  <c r="N1704" i="1"/>
  <c r="M1704" i="1"/>
  <c r="L1704" i="1"/>
  <c r="O2867" i="1"/>
  <c r="N2867" i="1"/>
  <c r="M2867" i="1"/>
  <c r="L2867" i="1"/>
  <c r="O1399" i="1"/>
  <c r="N1399" i="1"/>
  <c r="M1399" i="1"/>
  <c r="L1399" i="1"/>
  <c r="O1020" i="1"/>
  <c r="N1020" i="1"/>
  <c r="M1020" i="1"/>
  <c r="L1020" i="1"/>
  <c r="O2846" i="1"/>
  <c r="N2846" i="1"/>
  <c r="M2846" i="1"/>
  <c r="L2846" i="1"/>
  <c r="O2748" i="1"/>
  <c r="N2748" i="1"/>
  <c r="M2748" i="1"/>
  <c r="L2748" i="1"/>
  <c r="O1019" i="1"/>
  <c r="N1019" i="1"/>
  <c r="M1019" i="1"/>
  <c r="L1019" i="1"/>
  <c r="O2462" i="1"/>
  <c r="N2462" i="1"/>
  <c r="M2462" i="1"/>
  <c r="L2462" i="1"/>
  <c r="O2853" i="1"/>
  <c r="N2853" i="1"/>
  <c r="M2853" i="1"/>
  <c r="L2853" i="1"/>
  <c r="O911" i="1"/>
  <c r="N911" i="1"/>
  <c r="M911" i="1"/>
  <c r="L911" i="1"/>
  <c r="O305" i="1"/>
  <c r="N305" i="1"/>
  <c r="M305" i="1"/>
  <c r="L305" i="1"/>
  <c r="O1924" i="1"/>
  <c r="N1924" i="1"/>
  <c r="M1924" i="1"/>
  <c r="L1924" i="1"/>
  <c r="O788" i="1"/>
  <c r="N788" i="1"/>
  <c r="M788" i="1"/>
  <c r="L788" i="1"/>
  <c r="O2365" i="1"/>
  <c r="N2365" i="1"/>
  <c r="M2365" i="1"/>
  <c r="L2365" i="1"/>
  <c r="O19" i="1"/>
  <c r="N19" i="1"/>
  <c r="M19" i="1"/>
  <c r="L19" i="1"/>
  <c r="O196" i="1"/>
  <c r="N196" i="1"/>
  <c r="M196" i="1"/>
  <c r="L196" i="1"/>
  <c r="O701" i="1"/>
  <c r="N701" i="1"/>
  <c r="M701" i="1"/>
  <c r="L701" i="1"/>
  <c r="O2508" i="1"/>
  <c r="N2508" i="1"/>
  <c r="M2508" i="1"/>
  <c r="L2508" i="1"/>
  <c r="O3134" i="1"/>
  <c r="N3134" i="1"/>
  <c r="M3134" i="1"/>
  <c r="L3134" i="1"/>
  <c r="O1652" i="1"/>
  <c r="N1652" i="1"/>
  <c r="M1652" i="1"/>
  <c r="L1652" i="1"/>
  <c r="O1035" i="1"/>
  <c r="N1035" i="1"/>
  <c r="M1035" i="1"/>
  <c r="L1035" i="1"/>
  <c r="O216" i="1"/>
  <c r="N216" i="1"/>
  <c r="M216" i="1"/>
  <c r="L216" i="1"/>
  <c r="O2153" i="1"/>
  <c r="N2153" i="1"/>
  <c r="M2153" i="1"/>
  <c r="L2153" i="1"/>
  <c r="O185" i="1"/>
  <c r="N185" i="1"/>
  <c r="M185" i="1"/>
  <c r="L185" i="1"/>
  <c r="O470" i="1"/>
  <c r="N470" i="1"/>
  <c r="M470" i="1"/>
  <c r="L470" i="1"/>
  <c r="O1296" i="1"/>
  <c r="N1296" i="1"/>
  <c r="M1296" i="1"/>
  <c r="L1296" i="1"/>
  <c r="O1788" i="1"/>
  <c r="N1788" i="1"/>
  <c r="M1788" i="1"/>
  <c r="L1788" i="1"/>
  <c r="O2967" i="1"/>
  <c r="N2967" i="1"/>
  <c r="L2967" i="1"/>
  <c r="M2967" i="1"/>
  <c r="O1246" i="1"/>
  <c r="N1246" i="1"/>
  <c r="M1246" i="1"/>
  <c r="L1246" i="1"/>
  <c r="O737" i="1"/>
  <c r="N737" i="1"/>
  <c r="M737" i="1"/>
  <c r="L737" i="1"/>
  <c r="O3325" i="1"/>
  <c r="N3325" i="1"/>
  <c r="M3325" i="1"/>
  <c r="L3325" i="1"/>
  <c r="O3165" i="1"/>
  <c r="N3165" i="1"/>
  <c r="M3165" i="1"/>
  <c r="L3165" i="1"/>
  <c r="O1156" i="1"/>
  <c r="N1156" i="1"/>
  <c r="M1156" i="1"/>
  <c r="L1156" i="1"/>
  <c r="O1498" i="1"/>
  <c r="N1498" i="1"/>
  <c r="M1498" i="1"/>
  <c r="L1498" i="1"/>
  <c r="O1506" i="1"/>
  <c r="N1506" i="1"/>
  <c r="M1506" i="1"/>
  <c r="L1506" i="1"/>
  <c r="O2377" i="1"/>
  <c r="N2377" i="1"/>
  <c r="M2377" i="1"/>
  <c r="L2377" i="1"/>
  <c r="O3541" i="1"/>
  <c r="N3541" i="1"/>
  <c r="M3541" i="1"/>
  <c r="L3541" i="1"/>
  <c r="O719" i="1"/>
  <c r="N719" i="1"/>
  <c r="M719" i="1"/>
  <c r="L719" i="1"/>
  <c r="O2674" i="1"/>
  <c r="N2674" i="1"/>
  <c r="M2674" i="1"/>
  <c r="L2674" i="1"/>
  <c r="O1673" i="1"/>
  <c r="N1673" i="1"/>
  <c r="M1673" i="1"/>
  <c r="L1673" i="1"/>
  <c r="O1859" i="1"/>
  <c r="N1859" i="1"/>
  <c r="M1859" i="1"/>
  <c r="L1859" i="1"/>
  <c r="O742" i="1"/>
  <c r="N742" i="1"/>
  <c r="M742" i="1"/>
  <c r="L742" i="1"/>
  <c r="O2651" i="1"/>
  <c r="N2651" i="1"/>
  <c r="M2651" i="1"/>
  <c r="L2651" i="1"/>
  <c r="O939" i="1"/>
  <c r="N939" i="1"/>
  <c r="M939" i="1"/>
  <c r="L939" i="1"/>
  <c r="O3157" i="1"/>
  <c r="N3157" i="1"/>
  <c r="M3157" i="1"/>
  <c r="L3157" i="1"/>
  <c r="O1631" i="1"/>
  <c r="N1631" i="1"/>
  <c r="M1631" i="1"/>
  <c r="L1631" i="1"/>
  <c r="O3042" i="1"/>
  <c r="N3042" i="1"/>
  <c r="M3042" i="1"/>
  <c r="L3042" i="1"/>
  <c r="O3041" i="1"/>
  <c r="N3041" i="1"/>
  <c r="M3041" i="1"/>
  <c r="L3041" i="1"/>
  <c r="O1387" i="1"/>
  <c r="N1387" i="1"/>
  <c r="M1387" i="1"/>
  <c r="L1387" i="1"/>
  <c r="K458" i="1"/>
  <c r="K2110" i="1"/>
  <c r="K873" i="1"/>
  <c r="K523" i="1"/>
  <c r="K3052" i="1"/>
  <c r="K1713" i="1"/>
  <c r="K107" i="1"/>
  <c r="K1995" i="1"/>
  <c r="K723" i="1"/>
  <c r="K3563" i="1"/>
  <c r="K2846" i="1"/>
  <c r="K2853" i="1"/>
  <c r="K1341" i="1"/>
  <c r="K701" i="1"/>
  <c r="K125" i="1"/>
  <c r="K470" i="1"/>
  <c r="K1657" i="1"/>
  <c r="K3531" i="1"/>
  <c r="K2174" i="1"/>
  <c r="K1156" i="1"/>
  <c r="K2552" i="1"/>
  <c r="K3310" i="1"/>
  <c r="K3379" i="1"/>
  <c r="K749" i="1"/>
  <c r="K1859" i="1"/>
  <c r="K672" i="1"/>
  <c r="K2993" i="1"/>
  <c r="K3454" i="1"/>
  <c r="K708" i="1"/>
  <c r="K1387" i="1"/>
  <c r="L201" i="1"/>
  <c r="L2953" i="1"/>
  <c r="L2920" i="1"/>
  <c r="O381" i="1"/>
  <c r="N381" i="1"/>
  <c r="M381" i="1"/>
  <c r="L381" i="1"/>
  <c r="O1259" i="1"/>
  <c r="N1259" i="1"/>
  <c r="M1259" i="1"/>
  <c r="L1259" i="1"/>
  <c r="O839" i="1"/>
  <c r="N839" i="1"/>
  <c r="M839" i="1"/>
  <c r="L839" i="1"/>
  <c r="O323" i="1"/>
  <c r="N323" i="1"/>
  <c r="M323" i="1"/>
  <c r="L323" i="1"/>
  <c r="O1159" i="1"/>
  <c r="N1159" i="1"/>
  <c r="M1159" i="1"/>
  <c r="L1159" i="1"/>
  <c r="O2191" i="1"/>
  <c r="N2191" i="1"/>
  <c r="M2191" i="1"/>
  <c r="L2191" i="1"/>
  <c r="O146" i="1"/>
  <c r="N146" i="1"/>
  <c r="M146" i="1"/>
  <c r="L146" i="1"/>
  <c r="O2709" i="1"/>
  <c r="N2709" i="1"/>
  <c r="M2709" i="1"/>
  <c r="L2709" i="1"/>
  <c r="O2868" i="1"/>
  <c r="N2868" i="1"/>
  <c r="M2868" i="1"/>
  <c r="L2868" i="1"/>
  <c r="O3291" i="1"/>
  <c r="N3291" i="1"/>
  <c r="M3291" i="1"/>
  <c r="L3291" i="1"/>
  <c r="O1677" i="1"/>
  <c r="N1677" i="1"/>
  <c r="M1677" i="1"/>
  <c r="L1677" i="1"/>
  <c r="O565" i="1"/>
  <c r="N565" i="1"/>
  <c r="M565" i="1"/>
  <c r="L565" i="1"/>
  <c r="O1240" i="1"/>
  <c r="N1240" i="1"/>
  <c r="M1240" i="1"/>
  <c r="L1240" i="1"/>
  <c r="O2855" i="1"/>
  <c r="N2855" i="1"/>
  <c r="M2855" i="1"/>
  <c r="L2855" i="1"/>
  <c r="O2925" i="1"/>
  <c r="N2925" i="1"/>
  <c r="M2925" i="1"/>
  <c r="L2925" i="1"/>
  <c r="O907" i="1"/>
  <c r="N907" i="1"/>
  <c r="M907" i="1"/>
  <c r="L907" i="1"/>
  <c r="O1790" i="1"/>
  <c r="N1790" i="1"/>
  <c r="M1790" i="1"/>
  <c r="L1790" i="1"/>
  <c r="O3403" i="1"/>
  <c r="N3403" i="1"/>
  <c r="M3403" i="1"/>
  <c r="L3403" i="1"/>
  <c r="O1709" i="1"/>
  <c r="N1709" i="1"/>
  <c r="M1709" i="1"/>
  <c r="L1709" i="1"/>
  <c r="O2767" i="1"/>
  <c r="N2767" i="1"/>
  <c r="M2767" i="1"/>
  <c r="L2767" i="1"/>
  <c r="O3414" i="1"/>
  <c r="N3414" i="1"/>
  <c r="M3414" i="1"/>
  <c r="L3414" i="1"/>
  <c r="O2836" i="1"/>
  <c r="N2836" i="1"/>
  <c r="M2836" i="1"/>
  <c r="L2836" i="1"/>
  <c r="O1932" i="1"/>
  <c r="N1932" i="1"/>
  <c r="M1932" i="1"/>
  <c r="L1932" i="1"/>
  <c r="O761" i="1"/>
  <c r="N761" i="1"/>
  <c r="M761" i="1"/>
  <c r="L761" i="1"/>
  <c r="O2525" i="1"/>
  <c r="N2525" i="1"/>
  <c r="M2525" i="1"/>
  <c r="L2525" i="1"/>
  <c r="O785" i="1"/>
  <c r="N785" i="1"/>
  <c r="M785" i="1"/>
  <c r="L785" i="1"/>
  <c r="O2116" i="1"/>
  <c r="N2116" i="1"/>
  <c r="M2116" i="1"/>
  <c r="L2116" i="1"/>
  <c r="O3352" i="1"/>
  <c r="N3352" i="1"/>
  <c r="M3352" i="1"/>
  <c r="L3352" i="1"/>
  <c r="O3300" i="1"/>
  <c r="N3300" i="1"/>
  <c r="M3300" i="1"/>
  <c r="L3300" i="1"/>
  <c r="O1582" i="1"/>
  <c r="N1582" i="1"/>
  <c r="M1582" i="1"/>
  <c r="L1582" i="1"/>
  <c r="O2860" i="1"/>
  <c r="N2860" i="1"/>
  <c r="M2860" i="1"/>
  <c r="L2860" i="1"/>
  <c r="O3054" i="1"/>
  <c r="N3054" i="1"/>
  <c r="M3054" i="1"/>
  <c r="L3054" i="1"/>
  <c r="O884" i="1"/>
  <c r="N884" i="1"/>
  <c r="M884" i="1"/>
  <c r="L884" i="1"/>
  <c r="O1318" i="1"/>
  <c r="N1318" i="1"/>
  <c r="M1318" i="1"/>
  <c r="L1318" i="1"/>
  <c r="O547" i="1"/>
  <c r="N547" i="1"/>
  <c r="M547" i="1"/>
  <c r="L547" i="1"/>
  <c r="O975" i="1"/>
  <c r="N975" i="1"/>
  <c r="M975" i="1"/>
  <c r="L975" i="1"/>
  <c r="O1102" i="1"/>
  <c r="N1102" i="1"/>
  <c r="M1102" i="1"/>
  <c r="L1102" i="1"/>
  <c r="O2164" i="1"/>
  <c r="N2164" i="1"/>
  <c r="M2164" i="1"/>
  <c r="L2164" i="1"/>
  <c r="O2570" i="1"/>
  <c r="N2570" i="1"/>
  <c r="M2570" i="1"/>
  <c r="L2570" i="1"/>
  <c r="O619" i="1"/>
  <c r="N619" i="1"/>
  <c r="M619" i="1"/>
  <c r="L619" i="1"/>
  <c r="O771" i="1"/>
  <c r="N771" i="1"/>
  <c r="M771" i="1"/>
  <c r="L771" i="1"/>
  <c r="O367" i="1"/>
  <c r="N367" i="1"/>
  <c r="M367" i="1"/>
  <c r="L367" i="1"/>
  <c r="O3518" i="1"/>
  <c r="N3518" i="1"/>
  <c r="M3518" i="1"/>
  <c r="L3518" i="1"/>
  <c r="O2471" i="1"/>
  <c r="N2471" i="1"/>
  <c r="M2471" i="1"/>
  <c r="L2471" i="1"/>
  <c r="O1063" i="1"/>
  <c r="N1063" i="1"/>
  <c r="M1063" i="1"/>
  <c r="L1063" i="1"/>
  <c r="O355" i="1"/>
  <c r="N355" i="1"/>
  <c r="M355" i="1"/>
  <c r="L355" i="1"/>
  <c r="O1638" i="1"/>
  <c r="N1638" i="1"/>
  <c r="M1638" i="1"/>
  <c r="L1638" i="1"/>
  <c r="O3083" i="1"/>
  <c r="N3083" i="1"/>
  <c r="M3083" i="1"/>
  <c r="L3083" i="1"/>
  <c r="O1608" i="1"/>
  <c r="N1608" i="1"/>
  <c r="M1608" i="1"/>
  <c r="L1608" i="1"/>
  <c r="O2784" i="1"/>
  <c r="N2784" i="1"/>
  <c r="M2784" i="1"/>
  <c r="L2784" i="1"/>
  <c r="O240" i="1"/>
  <c r="N240" i="1"/>
  <c r="M240" i="1"/>
  <c r="L240" i="1"/>
  <c r="O67" i="1"/>
  <c r="N67" i="1"/>
  <c r="M67" i="1"/>
  <c r="L67" i="1"/>
  <c r="O2661" i="1"/>
  <c r="N2661" i="1"/>
  <c r="M2661" i="1"/>
  <c r="L2661" i="1"/>
  <c r="O3330" i="1"/>
  <c r="N3330" i="1"/>
  <c r="M3330" i="1"/>
  <c r="L3330" i="1"/>
  <c r="O954" i="1"/>
  <c r="N954" i="1"/>
  <c r="M954" i="1"/>
  <c r="O212" i="1"/>
  <c r="N212" i="1"/>
  <c r="M212" i="1"/>
  <c r="L212" i="1"/>
  <c r="O3435" i="1"/>
  <c r="N3435" i="1"/>
  <c r="M3435" i="1"/>
  <c r="L3435" i="1"/>
  <c r="O2881" i="1"/>
  <c r="N2881" i="1"/>
  <c r="M2881" i="1"/>
  <c r="L2881" i="1"/>
  <c r="O1580" i="1"/>
  <c r="N1580" i="1"/>
  <c r="M1580" i="1"/>
  <c r="L1580" i="1"/>
  <c r="O978" i="1"/>
  <c r="N978" i="1"/>
  <c r="M978" i="1"/>
  <c r="L978" i="1"/>
  <c r="O78" i="1"/>
  <c r="N78" i="1"/>
  <c r="M78" i="1"/>
  <c r="L78" i="1"/>
  <c r="O1440" i="1"/>
  <c r="N1440" i="1"/>
  <c r="M1440" i="1"/>
  <c r="L1440" i="1"/>
  <c r="O3413" i="1"/>
  <c r="N3413" i="1"/>
  <c r="M3413" i="1"/>
  <c r="L3413" i="1"/>
  <c r="O645" i="1"/>
  <c r="N645" i="1"/>
  <c r="M645" i="1"/>
  <c r="L645" i="1"/>
  <c r="O3252" i="1"/>
  <c r="N3252" i="1"/>
  <c r="M3252" i="1"/>
  <c r="L3252" i="1"/>
  <c r="O2033" i="1"/>
  <c r="N2033" i="1"/>
  <c r="M2033" i="1"/>
  <c r="L2033" i="1"/>
  <c r="O2963" i="1"/>
  <c r="N2963" i="1"/>
  <c r="M2963" i="1"/>
  <c r="L2963" i="1"/>
  <c r="O2323" i="1"/>
  <c r="N2323" i="1"/>
  <c r="M2323" i="1"/>
  <c r="O2236" i="1"/>
  <c r="N2236" i="1"/>
  <c r="M2236" i="1"/>
  <c r="L2236" i="1"/>
  <c r="O1221" i="1"/>
  <c r="N1221" i="1"/>
  <c r="M1221" i="1"/>
  <c r="L1221" i="1"/>
  <c r="O3147" i="1"/>
  <c r="N3147" i="1"/>
  <c r="M3147" i="1"/>
  <c r="L3147" i="1"/>
  <c r="O941" i="1"/>
  <c r="N941" i="1"/>
  <c r="M941" i="1"/>
  <c r="L941" i="1"/>
  <c r="O1637" i="1"/>
  <c r="N1637" i="1"/>
  <c r="M1637" i="1"/>
  <c r="L1637" i="1"/>
  <c r="O2682" i="1"/>
  <c r="N2682" i="1"/>
  <c r="M2682" i="1"/>
  <c r="L2682" i="1"/>
  <c r="O1636" i="1"/>
  <c r="N1636" i="1"/>
  <c r="M1636" i="1"/>
  <c r="L1636" i="1"/>
  <c r="O3412" i="1"/>
  <c r="N3412" i="1"/>
  <c r="M3412" i="1"/>
  <c r="L3412" i="1"/>
  <c r="O2226" i="1"/>
  <c r="N2226" i="1"/>
  <c r="M2226" i="1"/>
  <c r="L2226" i="1"/>
  <c r="O1021" i="1"/>
  <c r="N1021" i="1"/>
  <c r="M1021" i="1"/>
  <c r="L1021" i="1"/>
  <c r="O1625" i="1"/>
  <c r="N1625" i="1"/>
  <c r="M1625" i="1"/>
  <c r="L1625" i="1"/>
  <c r="O234" i="1"/>
  <c r="N234" i="1"/>
  <c r="M234" i="1"/>
  <c r="O2830" i="1"/>
  <c r="N2830" i="1"/>
  <c r="M2830" i="1"/>
  <c r="L2830" i="1"/>
  <c r="O2431" i="1"/>
  <c r="N2431" i="1"/>
  <c r="M2431" i="1"/>
  <c r="L2431" i="1"/>
  <c r="O1941" i="1"/>
  <c r="N1941" i="1"/>
  <c r="M1941" i="1"/>
  <c r="L1941" i="1"/>
  <c r="O1926" i="1"/>
  <c r="N1926" i="1"/>
  <c r="M1926" i="1"/>
  <c r="L1926" i="1"/>
  <c r="O3110" i="1"/>
  <c r="N3110" i="1"/>
  <c r="M3110" i="1"/>
  <c r="L3110" i="1"/>
  <c r="O2665" i="1"/>
  <c r="N2665" i="1"/>
  <c r="M2665" i="1"/>
  <c r="L2665" i="1"/>
  <c r="O2510" i="1"/>
  <c r="N2510" i="1"/>
  <c r="M2510" i="1"/>
  <c r="L2510" i="1"/>
  <c r="O1826" i="1"/>
  <c r="N1826" i="1"/>
  <c r="M1826" i="1"/>
  <c r="L1826" i="1"/>
  <c r="O563" i="1"/>
  <c r="N563" i="1"/>
  <c r="M563" i="1"/>
  <c r="L563" i="1"/>
  <c r="O1168" i="1"/>
  <c r="N1168" i="1"/>
  <c r="M1168" i="1"/>
  <c r="L1168" i="1"/>
  <c r="O1810" i="1"/>
  <c r="N1810" i="1"/>
  <c r="M1810" i="1"/>
  <c r="L1810" i="1"/>
  <c r="O2914" i="1"/>
  <c r="N2914" i="1"/>
  <c r="M2914" i="1"/>
  <c r="L2914" i="1"/>
  <c r="O3014" i="1"/>
  <c r="N3014" i="1"/>
  <c r="M3014" i="1"/>
  <c r="L3014" i="1"/>
  <c r="O1793" i="1"/>
  <c r="N1793" i="1"/>
  <c r="M1793" i="1"/>
  <c r="L1793" i="1"/>
  <c r="O3319" i="1"/>
  <c r="N3319" i="1"/>
  <c r="M3319" i="1"/>
  <c r="L3319" i="1"/>
  <c r="O2813" i="1"/>
  <c r="N2813" i="1"/>
  <c r="M2813" i="1"/>
  <c r="O906" i="1"/>
  <c r="N906" i="1"/>
  <c r="M906" i="1"/>
  <c r="L906" i="1"/>
  <c r="O2645" i="1"/>
  <c r="N2645" i="1"/>
  <c r="M2645" i="1"/>
  <c r="L2645" i="1"/>
  <c r="O3103" i="1"/>
  <c r="N3103" i="1"/>
  <c r="M3103" i="1"/>
  <c r="L3103" i="1"/>
  <c r="O3465" i="1"/>
  <c r="N3465" i="1"/>
  <c r="M3465" i="1"/>
  <c r="L3465" i="1"/>
  <c r="O2834" i="1"/>
  <c r="N2834" i="1"/>
  <c r="M2834" i="1"/>
  <c r="L2834" i="1"/>
  <c r="O157" i="1"/>
  <c r="N157" i="1"/>
  <c r="M157" i="1"/>
  <c r="L157" i="1"/>
  <c r="O3532" i="1"/>
  <c r="N3532" i="1"/>
  <c r="M3532" i="1"/>
  <c r="L3532" i="1"/>
  <c r="O1062" i="1"/>
  <c r="N1062" i="1"/>
  <c r="M1062" i="1"/>
  <c r="L1062" i="1"/>
  <c r="O463" i="1"/>
  <c r="N463" i="1"/>
  <c r="M463" i="1"/>
  <c r="L463" i="1"/>
  <c r="O2411" i="1"/>
  <c r="N2411" i="1"/>
  <c r="M2411" i="1"/>
  <c r="L2411" i="1"/>
  <c r="O3367" i="1"/>
  <c r="N3367" i="1"/>
  <c r="M3367" i="1"/>
  <c r="L3367" i="1"/>
  <c r="O1061" i="1"/>
  <c r="N1061" i="1"/>
  <c r="M1061" i="1"/>
  <c r="L1061" i="1"/>
  <c r="O2509" i="1"/>
  <c r="N2509" i="1"/>
  <c r="M2509" i="1"/>
  <c r="L2509" i="1"/>
  <c r="O3511" i="1"/>
  <c r="N3511" i="1"/>
  <c r="M3511" i="1"/>
  <c r="L3511" i="1"/>
  <c r="O1079" i="1"/>
  <c r="N1079" i="1"/>
  <c r="M1079" i="1"/>
  <c r="L1079" i="1"/>
  <c r="O3584" i="1"/>
  <c r="N3584" i="1"/>
  <c r="M3584" i="1"/>
  <c r="O300" i="1"/>
  <c r="N300" i="1"/>
  <c r="M300" i="1"/>
  <c r="L300" i="1"/>
  <c r="O1755" i="1"/>
  <c r="N1755" i="1"/>
  <c r="M1755" i="1"/>
  <c r="L1755" i="1"/>
  <c r="O843" i="1"/>
  <c r="N843" i="1"/>
  <c r="M843" i="1"/>
  <c r="L843" i="1"/>
  <c r="O733" i="1"/>
  <c r="N733" i="1"/>
  <c r="M733" i="1"/>
  <c r="L733" i="1"/>
  <c r="O3395" i="1"/>
  <c r="N3395" i="1"/>
  <c r="M3395" i="1"/>
  <c r="L3395" i="1"/>
  <c r="O1012" i="1"/>
  <c r="N1012" i="1"/>
  <c r="M1012" i="1"/>
  <c r="L1012" i="1"/>
  <c r="O1792" i="1"/>
  <c r="N1792" i="1"/>
  <c r="M1792" i="1"/>
  <c r="L1792" i="1"/>
  <c r="O316" i="1"/>
  <c r="N316" i="1"/>
  <c r="M316" i="1"/>
  <c r="L316" i="1"/>
  <c r="O3089" i="1"/>
  <c r="N3089" i="1"/>
  <c r="M3089" i="1"/>
  <c r="L3089" i="1"/>
  <c r="K3089" i="1"/>
  <c r="O2470" i="1"/>
  <c r="N2470" i="1"/>
  <c r="M2470" i="1"/>
  <c r="L2470" i="1"/>
  <c r="K2470" i="1"/>
  <c r="O2319" i="1"/>
  <c r="N2319" i="1"/>
  <c r="M2319" i="1"/>
  <c r="L2319" i="1"/>
  <c r="K2319" i="1"/>
  <c r="O476" i="1"/>
  <c r="N476" i="1"/>
  <c r="M476" i="1"/>
  <c r="L476" i="1"/>
  <c r="K476" i="1"/>
  <c r="O2079" i="1"/>
  <c r="N2079" i="1"/>
  <c r="M2079" i="1"/>
  <c r="L2079" i="1"/>
  <c r="K2079" i="1"/>
  <c r="O3318" i="1"/>
  <c r="N3318" i="1"/>
  <c r="M3318" i="1"/>
  <c r="L3318" i="1"/>
  <c r="K3318" i="1"/>
  <c r="O1814" i="1"/>
  <c r="N1814" i="1"/>
  <c r="M1814" i="1"/>
  <c r="L1814" i="1"/>
  <c r="K1814" i="1"/>
  <c r="O1265" i="1"/>
  <c r="N1265" i="1"/>
  <c r="M1265" i="1"/>
  <c r="K1265" i="1"/>
  <c r="O1774" i="1"/>
  <c r="N1774" i="1"/>
  <c r="M1774" i="1"/>
  <c r="L1774" i="1"/>
  <c r="K1774" i="1"/>
  <c r="O1101" i="1"/>
  <c r="N1101" i="1"/>
  <c r="M1101" i="1"/>
  <c r="L1101" i="1"/>
  <c r="K1101" i="1"/>
  <c r="O440" i="1"/>
  <c r="N440" i="1"/>
  <c r="M440" i="1"/>
  <c r="L440" i="1"/>
  <c r="K440" i="1"/>
  <c r="O1235" i="1"/>
  <c r="N1235" i="1"/>
  <c r="M1235" i="1"/>
  <c r="L1235" i="1"/>
  <c r="K1235" i="1"/>
  <c r="O50" i="1"/>
  <c r="N50" i="1"/>
  <c r="M50" i="1"/>
  <c r="L50" i="1"/>
  <c r="K50" i="1"/>
  <c r="O2223" i="1"/>
  <c r="N2223" i="1"/>
  <c r="M2223" i="1"/>
  <c r="L2223" i="1"/>
  <c r="K2223" i="1"/>
  <c r="O1234" i="1"/>
  <c r="N1234" i="1"/>
  <c r="M1234" i="1"/>
  <c r="L1234" i="1"/>
  <c r="K1234" i="1"/>
  <c r="O2342" i="1"/>
  <c r="N2342" i="1"/>
  <c r="M2342" i="1"/>
  <c r="L2342" i="1"/>
  <c r="K2342" i="1"/>
  <c r="O2148" i="1"/>
  <c r="N2148" i="1"/>
  <c r="M2148" i="1"/>
  <c r="L2148" i="1"/>
  <c r="K2148" i="1"/>
  <c r="O2961" i="1"/>
  <c r="N2961" i="1"/>
  <c r="M2961" i="1"/>
  <c r="L2961" i="1"/>
  <c r="K2961" i="1"/>
  <c r="O2788" i="1"/>
  <c r="N2788" i="1"/>
  <c r="M2788" i="1"/>
  <c r="L2788" i="1"/>
  <c r="K2788" i="1"/>
  <c r="O1622" i="1"/>
  <c r="N1622" i="1"/>
  <c r="M1622" i="1"/>
  <c r="L1622" i="1"/>
  <c r="K1622" i="1"/>
  <c r="O2675" i="1"/>
  <c r="N2675" i="1"/>
  <c r="M2675" i="1"/>
  <c r="L2675" i="1"/>
  <c r="K2675" i="1"/>
  <c r="O872" i="1"/>
  <c r="N872" i="1"/>
  <c r="M872" i="1"/>
  <c r="L872" i="1"/>
  <c r="K872" i="1"/>
  <c r="O2099" i="1"/>
  <c r="N2099" i="1"/>
  <c r="M2099" i="1"/>
  <c r="L2099" i="1"/>
  <c r="K2099" i="1"/>
  <c r="O3145" i="1"/>
  <c r="N3145" i="1"/>
  <c r="M3145" i="1"/>
  <c r="K3145" i="1"/>
  <c r="O3081" i="1"/>
  <c r="N3081" i="1"/>
  <c r="M3081" i="1"/>
  <c r="L3081" i="1"/>
  <c r="K3081" i="1"/>
  <c r="O353" i="1"/>
  <c r="N353" i="1"/>
  <c r="M353" i="1"/>
  <c r="L353" i="1"/>
  <c r="K353" i="1"/>
  <c r="O1011" i="1"/>
  <c r="N1011" i="1"/>
  <c r="M1011" i="1"/>
  <c r="L1011" i="1"/>
  <c r="K1011" i="1"/>
  <c r="O1665" i="1"/>
  <c r="N1665" i="1"/>
  <c r="M1665" i="1"/>
  <c r="L1665" i="1"/>
  <c r="K1665" i="1"/>
  <c r="O1026" i="1"/>
  <c r="N1026" i="1"/>
  <c r="M1026" i="1"/>
  <c r="L1026" i="1"/>
  <c r="K1026" i="1"/>
  <c r="O1642" i="1"/>
  <c r="N1642" i="1"/>
  <c r="M1642" i="1"/>
  <c r="L1642" i="1"/>
  <c r="K1642" i="1"/>
  <c r="O596" i="1"/>
  <c r="N596" i="1"/>
  <c r="M596" i="1"/>
  <c r="L596" i="1"/>
  <c r="K596" i="1"/>
  <c r="O3035" i="1"/>
  <c r="N3035" i="1"/>
  <c r="M3035" i="1"/>
  <c r="L3035" i="1"/>
  <c r="K3035" i="1"/>
  <c r="O195" i="1"/>
  <c r="N195" i="1"/>
  <c r="M195" i="1"/>
  <c r="L195" i="1"/>
  <c r="K195" i="1"/>
  <c r="O3088" i="1"/>
  <c r="N3088" i="1"/>
  <c r="M3088" i="1"/>
  <c r="L3088" i="1"/>
  <c r="K3088" i="1"/>
  <c r="O486" i="1"/>
  <c r="N486" i="1"/>
  <c r="M486" i="1"/>
  <c r="L486" i="1"/>
  <c r="K486" i="1"/>
  <c r="O3540" i="1"/>
  <c r="N3540" i="1"/>
  <c r="M3540" i="1"/>
  <c r="L3540" i="1"/>
  <c r="K3540" i="1"/>
  <c r="O3583" i="1"/>
  <c r="N3583" i="1"/>
  <c r="M3583" i="1"/>
  <c r="L3583" i="1"/>
  <c r="K3583" i="1"/>
  <c r="O411" i="1"/>
  <c r="N411" i="1"/>
  <c r="M411" i="1"/>
  <c r="L411" i="1"/>
  <c r="K411" i="1"/>
  <c r="O2777" i="1"/>
  <c r="N2777" i="1"/>
  <c r="M2777" i="1"/>
  <c r="L2777" i="1"/>
  <c r="K2777" i="1"/>
  <c r="O3285" i="1"/>
  <c r="N3285" i="1"/>
  <c r="M3285" i="1"/>
  <c r="K3285" i="1"/>
  <c r="O1447" i="1"/>
  <c r="N1447" i="1"/>
  <c r="M1447" i="1"/>
  <c r="L1447" i="1"/>
  <c r="K1447" i="1"/>
  <c r="O1923" i="1"/>
  <c r="N1923" i="1"/>
  <c r="M1923" i="1"/>
  <c r="L1923" i="1"/>
  <c r="K1923" i="1"/>
  <c r="O3018" i="1"/>
  <c r="N3018" i="1"/>
  <c r="M3018" i="1"/>
  <c r="L3018" i="1"/>
  <c r="K3018" i="1"/>
  <c r="K2216" i="1"/>
  <c r="K234" i="1"/>
  <c r="K613" i="1"/>
  <c r="K2437" i="1"/>
  <c r="K1826" i="1"/>
  <c r="K1328" i="1"/>
  <c r="K1249" i="1"/>
  <c r="K2813" i="1"/>
  <c r="K1537" i="1"/>
  <c r="K688" i="1"/>
  <c r="K1062" i="1"/>
  <c r="K1185" i="1"/>
  <c r="K386" i="1"/>
  <c r="K3584" i="1"/>
  <c r="K3311" i="1"/>
  <c r="K1020" i="1"/>
  <c r="K316" i="1"/>
  <c r="K883" i="1"/>
  <c r="K3562" i="1"/>
  <c r="K2365" i="1"/>
  <c r="K1975" i="1"/>
  <c r="K216" i="1"/>
  <c r="K3433" i="1"/>
  <c r="K737" i="1"/>
  <c r="K3580" i="1"/>
  <c r="K156" i="1"/>
  <c r="K2209" i="1"/>
  <c r="K795" i="1"/>
  <c r="K719" i="1"/>
  <c r="K1264" i="1"/>
  <c r="K2673" i="1"/>
  <c r="K2757" i="1"/>
  <c r="K1492" i="1"/>
  <c r="K1631" i="1"/>
  <c r="K2270" i="1"/>
  <c r="K2787" i="1"/>
  <c r="L954" i="1"/>
  <c r="L1265" i="1"/>
</calcChain>
</file>

<file path=xl/sharedStrings.xml><?xml version="1.0" encoding="utf-8"?>
<sst xmlns="http://schemas.openxmlformats.org/spreadsheetml/2006/main" count="28399" uniqueCount="17331">
  <si>
    <t>Name</t>
  </si>
  <si>
    <t>Last known IP address</t>
  </si>
  <si>
    <t>MAC address</t>
  </si>
  <si>
    <t>fullSiteNumber</t>
  </si>
  <si>
    <t>Last Contact</t>
  </si>
  <si>
    <t>Memory Size (MB)</t>
  </si>
  <si>
    <t>Device Serial Number</t>
  </si>
  <si>
    <t>Device Type</t>
  </si>
  <si>
    <t>Structure Tag</t>
  </si>
  <si>
    <t>BAYSUS32D96A</t>
  </si>
  <si>
    <t>7.173.172.239</t>
  </si>
  <si>
    <t>C4651632D96A</t>
  </si>
  <si>
    <t>8CG9308HDR</t>
  </si>
  <si>
    <t>HP t430</t>
  </si>
  <si>
    <t>S04790.US-2016</t>
  </si>
  <si>
    <t>HP_t430</t>
  </si>
  <si>
    <t>S06520</t>
  </si>
  <si>
    <t>S06520.US-2016</t>
  </si>
  <si>
    <t>GENS080FE1</t>
  </si>
  <si>
    <t>7.78.204.20</t>
  </si>
  <si>
    <t>842AFD080FE1</t>
  </si>
  <si>
    <t>S06567</t>
  </si>
  <si>
    <t>8CG1079XRR</t>
  </si>
  <si>
    <t>S06567.US-2016</t>
  </si>
  <si>
    <t>GENS080FFC</t>
  </si>
  <si>
    <t>7.13.244.16</t>
  </si>
  <si>
    <t>842AFD080FFC</t>
  </si>
  <si>
    <t>S06422</t>
  </si>
  <si>
    <t>8CG1079XJF</t>
  </si>
  <si>
    <t>S06422.US-2016</t>
  </si>
  <si>
    <t>GENS081954</t>
  </si>
  <si>
    <t>7.67.28.89</t>
  </si>
  <si>
    <t>842AFD081954</t>
  </si>
  <si>
    <t>S06405</t>
  </si>
  <si>
    <t>8CG112CYGD</t>
  </si>
  <si>
    <t>S06405.US-2016</t>
  </si>
  <si>
    <t>GENS082DD8</t>
  </si>
  <si>
    <t>7.77.132.61</t>
  </si>
  <si>
    <t>842AFD082DD8</t>
  </si>
  <si>
    <t>S06501</t>
  </si>
  <si>
    <t>8CG122730V</t>
  </si>
  <si>
    <t>S06501.US-2016</t>
  </si>
  <si>
    <t>GENS168525</t>
  </si>
  <si>
    <t>55.112.135.152</t>
  </si>
  <si>
    <t>040E3C168525</t>
  </si>
  <si>
    <t>S08104</t>
  </si>
  <si>
    <t>8CG942F8Y3</t>
  </si>
  <si>
    <t>S08104.US-2016</t>
  </si>
  <si>
    <t>GENS1687D7</t>
  </si>
  <si>
    <t>7.30.228.108</t>
  </si>
  <si>
    <t>040E3C1687D7</t>
  </si>
  <si>
    <t>S04850</t>
  </si>
  <si>
    <t>8CG942F88S</t>
  </si>
  <si>
    <t>S04850.US-2016</t>
  </si>
  <si>
    <t>GENS2BE658</t>
  </si>
  <si>
    <t>7.66.4.178</t>
  </si>
  <si>
    <t>040E3C2BE658</t>
  </si>
  <si>
    <t>S06358</t>
  </si>
  <si>
    <t>8CG0172JW7</t>
  </si>
  <si>
    <t>S06358.US-2016</t>
  </si>
  <si>
    <t>GENS30B576</t>
  </si>
  <si>
    <t>7.69.20.157</t>
  </si>
  <si>
    <t>C4651630B576</t>
  </si>
  <si>
    <t>S06421</t>
  </si>
  <si>
    <t>8CG9295250</t>
  </si>
  <si>
    <t>S06421.US-2016</t>
  </si>
  <si>
    <t>GENS30F51A</t>
  </si>
  <si>
    <t>7.136.196.230</t>
  </si>
  <si>
    <t>C4651630F51A</t>
  </si>
  <si>
    <t>S06348</t>
  </si>
  <si>
    <t>8CG9303WTS</t>
  </si>
  <si>
    <t>S06348.US-2016</t>
  </si>
  <si>
    <t>GENS30F526</t>
  </si>
  <si>
    <t>7.156.244.29</t>
  </si>
  <si>
    <t>C4651630F526</t>
  </si>
  <si>
    <t>S04825</t>
  </si>
  <si>
    <t>8CG9303WW4</t>
  </si>
  <si>
    <t>S04825.US-2016</t>
  </si>
  <si>
    <t>GENS30FECF</t>
  </si>
  <si>
    <t>7.3.212.209</t>
  </si>
  <si>
    <t>C4651630FECF</t>
  </si>
  <si>
    <t>S06976</t>
  </si>
  <si>
    <t>8CG92962JD</t>
  </si>
  <si>
    <t>S06976.US-2016</t>
  </si>
  <si>
    <t>GENS31069B</t>
  </si>
  <si>
    <t>7.24.212.220</t>
  </si>
  <si>
    <t>C4651631069B</t>
  </si>
  <si>
    <t>S04950</t>
  </si>
  <si>
    <t>8CG9294ZVM</t>
  </si>
  <si>
    <t>S04950.US-2016</t>
  </si>
  <si>
    <t>GENS374E0B</t>
  </si>
  <si>
    <t>7.63.68.154</t>
  </si>
  <si>
    <t>040E3C374E0B</t>
  </si>
  <si>
    <t>S06659</t>
  </si>
  <si>
    <t>8CG0397K9N</t>
  </si>
  <si>
    <t>S06659.US-2016</t>
  </si>
  <si>
    <t>GENSUS</t>
  </si>
  <si>
    <t>S06514</t>
  </si>
  <si>
    <t>S06514.US-2016</t>
  </si>
  <si>
    <t>7.144.172.198</t>
  </si>
  <si>
    <t>842AFD083219</t>
  </si>
  <si>
    <t>S04755</t>
  </si>
  <si>
    <t>8CG1233JGM</t>
  </si>
  <si>
    <t>S04755.US-2016</t>
  </si>
  <si>
    <t>7.20.164.228</t>
  </si>
  <si>
    <t>040E3C167FE5</t>
  </si>
  <si>
    <t>S06444</t>
  </si>
  <si>
    <t>8CG942F3CY</t>
  </si>
  <si>
    <t>S06444.US-2016</t>
  </si>
  <si>
    <t>7.56.204.110</t>
  </si>
  <si>
    <t>842AFD080E43</t>
  </si>
  <si>
    <t>S06317</t>
  </si>
  <si>
    <t>8CG107B4WM</t>
  </si>
  <si>
    <t>S06317.US-2016</t>
  </si>
  <si>
    <t>S04775</t>
  </si>
  <si>
    <t>S04775.US-2016</t>
  </si>
  <si>
    <t>S04853</t>
  </si>
  <si>
    <t>S04853.US-2016</t>
  </si>
  <si>
    <t>7.163.52.46</t>
  </si>
  <si>
    <t>842AFD082DA0</t>
  </si>
  <si>
    <t>S04840</t>
  </si>
  <si>
    <t>8CG1233JG4</t>
  </si>
  <si>
    <t>S04840.US-2016</t>
  </si>
  <si>
    <t>S06269</t>
  </si>
  <si>
    <t>S06269.US-2016</t>
  </si>
  <si>
    <t>S08290</t>
  </si>
  <si>
    <t>S08290.US-2016</t>
  </si>
  <si>
    <t>7.126.60.193</t>
  </si>
  <si>
    <t>040E3C2BE6B6</t>
  </si>
  <si>
    <t>S04722</t>
  </si>
  <si>
    <t>8CG0172FWF</t>
  </si>
  <si>
    <t>S04722.US-2016</t>
  </si>
  <si>
    <t>7.84.196.210</t>
  </si>
  <si>
    <t>B07B256360C4</t>
  </si>
  <si>
    <t>S06415</t>
  </si>
  <si>
    <t>7ZDVJ93</t>
  </si>
  <si>
    <t>DELL_WYSE_3040_THIN_CLIENT</t>
  </si>
  <si>
    <t>S06415.US-2016</t>
  </si>
  <si>
    <t>S06661</t>
  </si>
  <si>
    <t>S06661.US-2016</t>
  </si>
  <si>
    <t>S04879</t>
  </si>
  <si>
    <t>S04879.US-2016</t>
  </si>
  <si>
    <t>7.146.92.95</t>
  </si>
  <si>
    <t>B07B25664F17</t>
  </si>
  <si>
    <t>S06205</t>
  </si>
  <si>
    <t>36K3K93</t>
  </si>
  <si>
    <t>S06205.US-2016</t>
  </si>
  <si>
    <t>7.7.164.180</t>
  </si>
  <si>
    <t>842AFD0821B7</t>
  </si>
  <si>
    <t>S08271</t>
  </si>
  <si>
    <t>8CG1132DCG</t>
  </si>
  <si>
    <t>S08271.US-2016</t>
  </si>
  <si>
    <t>S04041</t>
  </si>
  <si>
    <t>S04041.US-2016</t>
  </si>
  <si>
    <t>S06426</t>
  </si>
  <si>
    <t>S06426.US-2016</t>
  </si>
  <si>
    <t>7.144.172.201</t>
  </si>
  <si>
    <t>F43909279B0F</t>
  </si>
  <si>
    <t>8CG8385964</t>
  </si>
  <si>
    <t>S06403</t>
  </si>
  <si>
    <t>S06403.US-2016</t>
  </si>
  <si>
    <t>S06524</t>
  </si>
  <si>
    <t>S06524.US-2016</t>
  </si>
  <si>
    <t>7.51.76.122</t>
  </si>
  <si>
    <t>842AFD08176B</t>
  </si>
  <si>
    <t>S04784</t>
  </si>
  <si>
    <t>8CG112CYNX</t>
  </si>
  <si>
    <t>S04784.US-2016</t>
  </si>
  <si>
    <t>7.140.52.174</t>
  </si>
  <si>
    <t>842AFD081CD7</t>
  </si>
  <si>
    <t>S06261</t>
  </si>
  <si>
    <t>8CG112CYJ2</t>
  </si>
  <si>
    <t>S06261.US-2016</t>
  </si>
  <si>
    <t>7.19.36.231</t>
  </si>
  <si>
    <t>040E3C167BA7</t>
  </si>
  <si>
    <t>S06313</t>
  </si>
  <si>
    <t>8CG942F42V</t>
  </si>
  <si>
    <t>S06313.US-2016</t>
  </si>
  <si>
    <t>7.66.196.55</t>
  </si>
  <si>
    <t>040E3C3922D3</t>
  </si>
  <si>
    <t>S06382</t>
  </si>
  <si>
    <t>8CG0452YF2</t>
  </si>
  <si>
    <t>S06382.US-2016</t>
  </si>
  <si>
    <t>S06220</t>
  </si>
  <si>
    <t>S06220.US-2016</t>
  </si>
  <si>
    <t>S06203</t>
  </si>
  <si>
    <t>S06203.US-2016</t>
  </si>
  <si>
    <t>S08146</t>
  </si>
  <si>
    <t>S08146.US-2016</t>
  </si>
  <si>
    <t>7.12.44.111</t>
  </si>
  <si>
    <t>842AFD0832FD</t>
  </si>
  <si>
    <t>S08256</t>
  </si>
  <si>
    <t>8CG1233JG8</t>
  </si>
  <si>
    <t>S08256.US-2016</t>
  </si>
  <si>
    <t>7.17.212.65</t>
  </si>
  <si>
    <t>842AFD082A90</t>
  </si>
  <si>
    <t>S04785</t>
  </si>
  <si>
    <t>8CG122729V</t>
  </si>
  <si>
    <t>S04785.US-2016</t>
  </si>
  <si>
    <t>S06660.US-2016</t>
  </si>
  <si>
    <t>7.50.52.61</t>
  </si>
  <si>
    <t>842AFD0805D0</t>
  </si>
  <si>
    <t>S04819</t>
  </si>
  <si>
    <t>8CG1079SS8</t>
  </si>
  <si>
    <t>S04819.US-2016</t>
  </si>
  <si>
    <t>S04874</t>
  </si>
  <si>
    <t>S04874.US-2016</t>
  </si>
  <si>
    <t>7.35.156.29</t>
  </si>
  <si>
    <t>B07B2567C830</t>
  </si>
  <si>
    <t>S08139</t>
  </si>
  <si>
    <t>32P3K93</t>
  </si>
  <si>
    <t>S08139.US-2016</t>
  </si>
  <si>
    <t>S07191</t>
  </si>
  <si>
    <t>S07191.US-2016</t>
  </si>
  <si>
    <t>S06686</t>
  </si>
  <si>
    <t>S06686.US-2016</t>
  </si>
  <si>
    <t>S08298</t>
  </si>
  <si>
    <t>S08298.US-2016</t>
  </si>
  <si>
    <t>S08265</t>
  </si>
  <si>
    <t>S08265.US-2016</t>
  </si>
  <si>
    <t>S08164</t>
  </si>
  <si>
    <t>S08164.US-2016</t>
  </si>
  <si>
    <t>7.10.164.41</t>
  </si>
  <si>
    <t>842AFD081000</t>
  </si>
  <si>
    <t>S04852</t>
  </si>
  <si>
    <t>8CG10802SF</t>
  </si>
  <si>
    <t>S04852.US-2016</t>
  </si>
  <si>
    <t>7.211.228.185</t>
  </si>
  <si>
    <t>C465163106DA</t>
  </si>
  <si>
    <t>S08226</t>
  </si>
  <si>
    <t>8CG9294ZSY</t>
  </si>
  <si>
    <t>S08226.US-2016</t>
  </si>
  <si>
    <t>S08251</t>
  </si>
  <si>
    <t>S08251.US-2016</t>
  </si>
  <si>
    <t>S06352</t>
  </si>
  <si>
    <t>S06352.US-2016</t>
  </si>
  <si>
    <t>S08150</t>
  </si>
  <si>
    <t>S08150.US-2016</t>
  </si>
  <si>
    <t>7.77.244.218</t>
  </si>
  <si>
    <t>842AFD081754</t>
  </si>
  <si>
    <t>S06434</t>
  </si>
  <si>
    <t>8CG11300L2</t>
  </si>
  <si>
    <t>S06434.US-2016</t>
  </si>
  <si>
    <t>S06413</t>
  </si>
  <si>
    <t>S06413.US-2016</t>
  </si>
  <si>
    <t>7.67.36.184</t>
  </si>
  <si>
    <t>040E3C16858C</t>
  </si>
  <si>
    <t>S06412</t>
  </si>
  <si>
    <t>8CG942FB4B</t>
  </si>
  <si>
    <t>S06412.US-2016</t>
  </si>
  <si>
    <t>S08186</t>
  </si>
  <si>
    <t>S08186.US-2016</t>
  </si>
  <si>
    <t>7.165.244.228</t>
  </si>
  <si>
    <t>040E3C167F2D</t>
  </si>
  <si>
    <t>S04990</t>
  </si>
  <si>
    <t>8CG942F55M</t>
  </si>
  <si>
    <t>S04990.US-2016</t>
  </si>
  <si>
    <t>S08261</t>
  </si>
  <si>
    <t>S08261.US-2016</t>
  </si>
  <si>
    <t>7.125.92.222</t>
  </si>
  <si>
    <t>8CEC4B493A65</t>
  </si>
  <si>
    <t>S04721</t>
  </si>
  <si>
    <t>4ZD0WJ2</t>
  </si>
  <si>
    <t>S04721.US-2016</t>
  </si>
  <si>
    <t>S06582</t>
  </si>
  <si>
    <t>S06582.US-2016</t>
  </si>
  <si>
    <t>S04764</t>
  </si>
  <si>
    <t>S04764.US-2016</t>
  </si>
  <si>
    <t>7.112.132.203</t>
  </si>
  <si>
    <t>040E3C339E17</t>
  </si>
  <si>
    <t>8CG030296V</t>
  </si>
  <si>
    <t>S04875</t>
  </si>
  <si>
    <t>S04875.US-2016</t>
  </si>
  <si>
    <t>S06367</t>
  </si>
  <si>
    <t>S06367.US-2016</t>
  </si>
  <si>
    <t>7.182.148.20</t>
  </si>
  <si>
    <t>C4651630FD2A</t>
  </si>
  <si>
    <t>8CG92962BR</t>
  </si>
  <si>
    <t>S04770</t>
  </si>
  <si>
    <t>S04770.US-2016</t>
  </si>
  <si>
    <t>GENSUS08000A</t>
  </si>
  <si>
    <t>55.69.23.170</t>
  </si>
  <si>
    <t>842AFD08000A</t>
  </si>
  <si>
    <t>8CG1079SXC</t>
  </si>
  <si>
    <t>GENSUS08001E</t>
  </si>
  <si>
    <t>7.68.108.22</t>
  </si>
  <si>
    <t>842AFD08001E</t>
  </si>
  <si>
    <t>S06407</t>
  </si>
  <si>
    <t>8CG1079SSP</t>
  </si>
  <si>
    <t>S06407.US-2016</t>
  </si>
  <si>
    <t>GENSUS080043</t>
  </si>
  <si>
    <t>7.69.108.36</t>
  </si>
  <si>
    <t>842AFD080043</t>
  </si>
  <si>
    <t>S06432</t>
  </si>
  <si>
    <t>8CG1079SY0</t>
  </si>
  <si>
    <t>S06432.US-2016</t>
  </si>
  <si>
    <t>GENSUS080049</t>
  </si>
  <si>
    <t>7.135.76.163</t>
  </si>
  <si>
    <t>842AFD080049</t>
  </si>
  <si>
    <t>S06679</t>
  </si>
  <si>
    <t>8CG1080QFD</t>
  </si>
  <si>
    <t>S06679.US-2016</t>
  </si>
  <si>
    <t>GENSUS080060</t>
  </si>
  <si>
    <t>7.121.204.168</t>
  </si>
  <si>
    <t>842AFD080060</t>
  </si>
  <si>
    <t>S08211</t>
  </si>
  <si>
    <t>8CG1079SSM</t>
  </si>
  <si>
    <t>S08211.US-2016</t>
  </si>
  <si>
    <t>GENSUS080064</t>
  </si>
  <si>
    <t>7.69.20.174</t>
  </si>
  <si>
    <t>842AFD080064</t>
  </si>
  <si>
    <t>8CG1079SWG</t>
  </si>
  <si>
    <t>GENSUS080071</t>
  </si>
  <si>
    <t>7.64.236.109</t>
  </si>
  <si>
    <t>842AFD080071</t>
  </si>
  <si>
    <t>S06507</t>
  </si>
  <si>
    <t>8CG1079SXY</t>
  </si>
  <si>
    <t>S06507.US-2016</t>
  </si>
  <si>
    <t>GENSUS080086</t>
  </si>
  <si>
    <t>7.144.172.222</t>
  </si>
  <si>
    <t>842AFD080086</t>
  </si>
  <si>
    <t>8CG1079SSS</t>
  </si>
  <si>
    <t>GENSUS080087</t>
  </si>
  <si>
    <t>7.117.52.99</t>
  </si>
  <si>
    <t>842AFD080087</t>
  </si>
  <si>
    <t>S06204</t>
  </si>
  <si>
    <t>8CG1079SSQ</t>
  </si>
  <si>
    <t>S06204.US-2016</t>
  </si>
  <si>
    <t>GENSUS080097</t>
  </si>
  <si>
    <t>7.82.180.69</t>
  </si>
  <si>
    <t>842AFD080097</t>
  </si>
  <si>
    <t>S06249</t>
  </si>
  <si>
    <t>8CG1079SXL</t>
  </si>
  <si>
    <t>S06249.US-2016</t>
  </si>
  <si>
    <t>GENSUS0800AD</t>
  </si>
  <si>
    <t>7.142.204.201</t>
  </si>
  <si>
    <t>842AFD0800AD</t>
  </si>
  <si>
    <t>S06257</t>
  </si>
  <si>
    <t>8CG1080QF8</t>
  </si>
  <si>
    <t>S06257.US-2016</t>
  </si>
  <si>
    <t>GENSUS0800B1</t>
  </si>
  <si>
    <t>7.24.20.74</t>
  </si>
  <si>
    <t>842AFD0800B1</t>
  </si>
  <si>
    <t>S04736</t>
  </si>
  <si>
    <t>8CG1079SY3</t>
  </si>
  <si>
    <t>S04736.US-2016</t>
  </si>
  <si>
    <t>GENSUS0800C7</t>
  </si>
  <si>
    <t>7.159.4.117</t>
  </si>
  <si>
    <t>842AFD0800C7</t>
  </si>
  <si>
    <t>S04789</t>
  </si>
  <si>
    <t>8CG1079SWM</t>
  </si>
  <si>
    <t>S04789.US-2016</t>
  </si>
  <si>
    <t>GENSUS0800CB</t>
  </si>
  <si>
    <t>7.14.236.28</t>
  </si>
  <si>
    <t>842AFD0800CB</t>
  </si>
  <si>
    <t>S06424</t>
  </si>
  <si>
    <t>8CG1079SXT</t>
  </si>
  <si>
    <t>S06424.US-2016</t>
  </si>
  <si>
    <t>GENSUS0800CE</t>
  </si>
  <si>
    <t>55.36.55.150</t>
  </si>
  <si>
    <t>842AFD0800CE</t>
  </si>
  <si>
    <t>S08227</t>
  </si>
  <si>
    <t>8CG1079SXV</t>
  </si>
  <si>
    <t>S08227.US-2016</t>
  </si>
  <si>
    <t>GENSUS0800D4</t>
  </si>
  <si>
    <t>7.69.12.105</t>
  </si>
  <si>
    <t>842AFD0800D4</t>
  </si>
  <si>
    <t>S06420</t>
  </si>
  <si>
    <t>8CG1079SW8</t>
  </si>
  <si>
    <t>S06420.US-2016</t>
  </si>
  <si>
    <t>GENSUS0800EA</t>
  </si>
  <si>
    <t>7.93.84.117</t>
  </si>
  <si>
    <t>842AFD0800EA</t>
  </si>
  <si>
    <t>S06479</t>
  </si>
  <si>
    <t>8CG1079SSG</t>
  </si>
  <si>
    <t>S06479.US-2016</t>
  </si>
  <si>
    <t>GENSUS080104</t>
  </si>
  <si>
    <t>7.53.12.22</t>
  </si>
  <si>
    <t>842AFD080104</t>
  </si>
  <si>
    <t>S08196</t>
  </si>
  <si>
    <t>8CG1079SX7</t>
  </si>
  <si>
    <t>S08196.US-2016</t>
  </si>
  <si>
    <t>GENSUS08011C</t>
  </si>
  <si>
    <t>7.144.172.159</t>
  </si>
  <si>
    <t>842AFD08011C</t>
  </si>
  <si>
    <t>8CG1079SW1</t>
  </si>
  <si>
    <t>GENSUS080128</t>
  </si>
  <si>
    <t>7.90.100.23</t>
  </si>
  <si>
    <t>842AFD080128</t>
  </si>
  <si>
    <t>8CG1079SSF</t>
  </si>
  <si>
    <t>GENSUS080129</t>
  </si>
  <si>
    <t>7.49.212.199</t>
  </si>
  <si>
    <t>842AFD080129</t>
  </si>
  <si>
    <t>S08156</t>
  </si>
  <si>
    <t>8CG1079SSH</t>
  </si>
  <si>
    <t>S08156.US-2016</t>
  </si>
  <si>
    <t>GENSUS08014E</t>
  </si>
  <si>
    <t>7.14.236.22</t>
  </si>
  <si>
    <t>842AFD08014E</t>
  </si>
  <si>
    <t>8CG1079SQV</t>
  </si>
  <si>
    <t>GENSUS080166</t>
  </si>
  <si>
    <t>7.181.220.10</t>
  </si>
  <si>
    <t>842AFD080166</t>
  </si>
  <si>
    <t>S08272</t>
  </si>
  <si>
    <t>8CG1079SPM</t>
  </si>
  <si>
    <t>S08272.US-2016</t>
  </si>
  <si>
    <t>GENSUS08016E</t>
  </si>
  <si>
    <t>7.74.44.195</t>
  </si>
  <si>
    <t>842AFD08016E</t>
  </si>
  <si>
    <t>S06653</t>
  </si>
  <si>
    <t>8CG112CWSP</t>
  </si>
  <si>
    <t>S06653.US-2016</t>
  </si>
  <si>
    <t>GENSUS0801B4</t>
  </si>
  <si>
    <t>55.174.111.177</t>
  </si>
  <si>
    <t>842AFD0801B4</t>
  </si>
  <si>
    <t>S08183</t>
  </si>
  <si>
    <t>8CG1079SPT</t>
  </si>
  <si>
    <t>S08183.US-2016</t>
  </si>
  <si>
    <t>GENSUS0801D1</t>
  </si>
  <si>
    <t>7.146.108.72</t>
  </si>
  <si>
    <t>842AFD0801D1</t>
  </si>
  <si>
    <t>S06474</t>
  </si>
  <si>
    <t>8CG112CYM5</t>
  </si>
  <si>
    <t>S06474.US-2016</t>
  </si>
  <si>
    <t>GENSUS0801D6</t>
  </si>
  <si>
    <t>55.131.39.197</t>
  </si>
  <si>
    <t>842AFD0801D6</t>
  </si>
  <si>
    <t>S06449</t>
  </si>
  <si>
    <t>8CG1079SRQ</t>
  </si>
  <si>
    <t>S06449.US-2016</t>
  </si>
  <si>
    <t>GENSUS0801EE</t>
  </si>
  <si>
    <t>55.92.23.194</t>
  </si>
  <si>
    <t>842AFD0801EE</t>
  </si>
  <si>
    <t>S04787</t>
  </si>
  <si>
    <t>8CG1079SPG</t>
  </si>
  <si>
    <t>S04787.US-2016</t>
  </si>
  <si>
    <t>GENSUS080208</t>
  </si>
  <si>
    <t>7.21.124.195</t>
  </si>
  <si>
    <t>842AFD080208</t>
  </si>
  <si>
    <t>S04820</t>
  </si>
  <si>
    <t>8CG1079SPC</t>
  </si>
  <si>
    <t>S04820.US-2016</t>
  </si>
  <si>
    <t>GENSUS080209</t>
  </si>
  <si>
    <t>7.121.204.167</t>
  </si>
  <si>
    <t>842AFD080209</t>
  </si>
  <si>
    <t>8CG1079SPF</t>
  </si>
  <si>
    <t>GENSUS08020B</t>
  </si>
  <si>
    <t>7.8.188.172</t>
  </si>
  <si>
    <t>842AFD08020B</t>
  </si>
  <si>
    <t>S06452</t>
  </si>
  <si>
    <t>8CG1079SPY</t>
  </si>
  <si>
    <t>S06452.US-2016</t>
  </si>
  <si>
    <t>GENSUS080218</t>
  </si>
  <si>
    <t>7.73.204.25</t>
  </si>
  <si>
    <t>842AFD080218</t>
  </si>
  <si>
    <t>S06677</t>
  </si>
  <si>
    <t>8CG1079SRN</t>
  </si>
  <si>
    <t>S06677.US-2016</t>
  </si>
  <si>
    <t>GENSUS080240</t>
  </si>
  <si>
    <t>7.20.156.122</t>
  </si>
  <si>
    <t>842AFD080240</t>
  </si>
  <si>
    <t>S06342</t>
  </si>
  <si>
    <t>8CG107B50C</t>
  </si>
  <si>
    <t>S06342.US-2016</t>
  </si>
  <si>
    <t>GENSUS080283</t>
  </si>
  <si>
    <t>7.49.212.198</t>
  </si>
  <si>
    <t>842AFD080283</t>
  </si>
  <si>
    <t>8CG1079SR5</t>
  </si>
  <si>
    <t>GENSUS080298</t>
  </si>
  <si>
    <t>7.88.4.51</t>
  </si>
  <si>
    <t>842AFD080298</t>
  </si>
  <si>
    <t>S04720</t>
  </si>
  <si>
    <t>8CG1079STG</t>
  </si>
  <si>
    <t>S04720.US-2016</t>
  </si>
  <si>
    <t>GENSUS0802A9</t>
  </si>
  <si>
    <t>7.43.180.61</t>
  </si>
  <si>
    <t>842AFD0802A9</t>
  </si>
  <si>
    <t>S08133</t>
  </si>
  <si>
    <t>8CG112CWTZ</t>
  </si>
  <si>
    <t>S08133.US-2016</t>
  </si>
  <si>
    <t>GENSUS0802CC</t>
  </si>
  <si>
    <t>55.130.215.170</t>
  </si>
  <si>
    <t>842AFD0802CC</t>
  </si>
  <si>
    <t>S04818</t>
  </si>
  <si>
    <t>8CG1079STM</t>
  </si>
  <si>
    <t>S04818.US-2016</t>
  </si>
  <si>
    <t>GENSUS080306</t>
  </si>
  <si>
    <t>7.35.140.123</t>
  </si>
  <si>
    <t>842AFD080306</t>
  </si>
  <si>
    <t>S06254</t>
  </si>
  <si>
    <t>8CG1079SV2</t>
  </si>
  <si>
    <t>S06254.US-2016</t>
  </si>
  <si>
    <t>GENSUS080308</t>
  </si>
  <si>
    <t>7.49.132.189</t>
  </si>
  <si>
    <t>842AFD080308</t>
  </si>
  <si>
    <t>S04769</t>
  </si>
  <si>
    <t>8CG1079SP5</t>
  </si>
  <si>
    <t>S04769.US-2016</t>
  </si>
  <si>
    <t>GENSUS080309</t>
  </si>
  <si>
    <t>7.69.124.24</t>
  </si>
  <si>
    <t>842AFD080309</t>
  </si>
  <si>
    <t>S06436</t>
  </si>
  <si>
    <t>8CG1079SP3</t>
  </si>
  <si>
    <t>S06436.US-2016</t>
  </si>
  <si>
    <t>GENSUS08030E</t>
  </si>
  <si>
    <t>7.180.108.32</t>
  </si>
  <si>
    <t>842AFD08030E</t>
  </si>
  <si>
    <t>8CG1079STT</t>
  </si>
  <si>
    <t>GENSUS08030F</t>
  </si>
  <si>
    <t>7.130.220.144</t>
  </si>
  <si>
    <t>842AFD08030F</t>
  </si>
  <si>
    <t>S04830</t>
  </si>
  <si>
    <t>8CG1079STV</t>
  </si>
  <si>
    <t>S04830.US-2016</t>
  </si>
  <si>
    <t>GENSUS080320</t>
  </si>
  <si>
    <t>55.3.7.183</t>
  </si>
  <si>
    <t>842AFD080320</t>
  </si>
  <si>
    <t>S08149</t>
  </si>
  <si>
    <t>8CG1079SQD</t>
  </si>
  <si>
    <t>S08149.US-2016</t>
  </si>
  <si>
    <t>GENSUS080321</t>
  </si>
  <si>
    <t>7.144.172.220</t>
  </si>
  <si>
    <t>842AFD080321</t>
  </si>
  <si>
    <t>8CG1079SQB</t>
  </si>
  <si>
    <t>GENSUS080327</t>
  </si>
  <si>
    <t>7.167.148.31</t>
  </si>
  <si>
    <t>842AFD080327</t>
  </si>
  <si>
    <t>S04989</t>
  </si>
  <si>
    <t>8CG1079SQC</t>
  </si>
  <si>
    <t>S04989.US-2016</t>
  </si>
  <si>
    <t>GENSUS080383</t>
  </si>
  <si>
    <t>7.24.212.61</t>
  </si>
  <si>
    <t>842AFD080383</t>
  </si>
  <si>
    <t>8CG1079SS0</t>
  </si>
  <si>
    <t>GENSUS08038D</t>
  </si>
  <si>
    <t>7.21.36.173</t>
  </si>
  <si>
    <t>842AFD08038D</t>
  </si>
  <si>
    <t>S08165</t>
  </si>
  <si>
    <t>8CG1079SP6</t>
  </si>
  <si>
    <t>S08165.US-2016</t>
  </si>
  <si>
    <t>GENSUS080392</t>
  </si>
  <si>
    <t>7.179.108.75</t>
  </si>
  <si>
    <t>842AFD080392</t>
  </si>
  <si>
    <t>S04828</t>
  </si>
  <si>
    <t>8CG1079SV4</t>
  </si>
  <si>
    <t>S04828.US-2016</t>
  </si>
  <si>
    <t>GENSUS0803B6</t>
  </si>
  <si>
    <t>7.28.212.63</t>
  </si>
  <si>
    <t>842AFD0803B6</t>
  </si>
  <si>
    <t>S06666</t>
  </si>
  <si>
    <t>8CG1079SQP</t>
  </si>
  <si>
    <t>S06666.US-2016</t>
  </si>
  <si>
    <t>GENSUS080451</t>
  </si>
  <si>
    <t>7.150.44.208</t>
  </si>
  <si>
    <t>842AFD080451</t>
  </si>
  <si>
    <t>S04948</t>
  </si>
  <si>
    <t>8CG10617ZZ</t>
  </si>
  <si>
    <t>S04948.US-2016</t>
  </si>
  <si>
    <t>GENSUS080474</t>
  </si>
  <si>
    <t>7.146.92.45</t>
  </si>
  <si>
    <t>842AFD080474</t>
  </si>
  <si>
    <t>8CG1079SW3</t>
  </si>
  <si>
    <t>GENSUS080475</t>
  </si>
  <si>
    <t>7.52.12.221</t>
  </si>
  <si>
    <t>842AFD080475</t>
  </si>
  <si>
    <t>S06307</t>
  </si>
  <si>
    <t>8CG1079SW4</t>
  </si>
  <si>
    <t>S06307.US-2016</t>
  </si>
  <si>
    <t>GENSUS080495</t>
  </si>
  <si>
    <t>7.28.20.74</t>
  </si>
  <si>
    <t>842AFD080495</t>
  </si>
  <si>
    <t>S08257</t>
  </si>
  <si>
    <t>8CG1079SVB</t>
  </si>
  <si>
    <t>S08257.US-2016</t>
  </si>
  <si>
    <t>GENSUS0804B5</t>
  </si>
  <si>
    <t>7.113.140.146</t>
  </si>
  <si>
    <t>842AFD0804B5</t>
  </si>
  <si>
    <t>S06643</t>
  </si>
  <si>
    <t>8CG112CWSR</t>
  </si>
  <si>
    <t>S06643.US-2016</t>
  </si>
  <si>
    <t>GENSUS0804B7</t>
  </si>
  <si>
    <t>7.10.164.181</t>
  </si>
  <si>
    <t>842AFD0804B7</t>
  </si>
  <si>
    <t>8CG1079SQ8</t>
  </si>
  <si>
    <t>GENSUS080525</t>
  </si>
  <si>
    <t>7.66.20.223</t>
  </si>
  <si>
    <t>842AFD080525</t>
  </si>
  <si>
    <t>S06360</t>
  </si>
  <si>
    <t>8CG1079STR</t>
  </si>
  <si>
    <t>S06360.US-2016</t>
  </si>
  <si>
    <t>GENSUS080575</t>
  </si>
  <si>
    <t>7.78.236.68</t>
  </si>
  <si>
    <t>842AFD080575</t>
  </si>
  <si>
    <t>S08106</t>
  </si>
  <si>
    <t>8CG1079SVS</t>
  </si>
  <si>
    <t>S08106.US-2016</t>
  </si>
  <si>
    <t>GENSUS080576</t>
  </si>
  <si>
    <t>7.1.196.78</t>
  </si>
  <si>
    <t>842AFD080576</t>
  </si>
  <si>
    <t>S07189</t>
  </si>
  <si>
    <t>8CG1079SVQ</t>
  </si>
  <si>
    <t>S07189.US-2016</t>
  </si>
  <si>
    <t>GENSUS08057B</t>
  </si>
  <si>
    <t>7.28.20.73</t>
  </si>
  <si>
    <t>842AFD08057B</t>
  </si>
  <si>
    <t>8CG1079SQ9</t>
  </si>
  <si>
    <t>GENSUS08057E</t>
  </si>
  <si>
    <t>7.123.164.31</t>
  </si>
  <si>
    <t>842AFD08057E</t>
  </si>
  <si>
    <t>S04729</t>
  </si>
  <si>
    <t>8CG112CWSY</t>
  </si>
  <si>
    <t>S04729.US-2016</t>
  </si>
  <si>
    <t>GENSUS080587</t>
  </si>
  <si>
    <t>7.73.148.112</t>
  </si>
  <si>
    <t>842AFD080587</t>
  </si>
  <si>
    <t>S06673</t>
  </si>
  <si>
    <t>8CG1079SWN</t>
  </si>
  <si>
    <t>S06673.US-2016</t>
  </si>
  <si>
    <t>GENSUS08059C</t>
  </si>
  <si>
    <t>7.28.36.113</t>
  </si>
  <si>
    <t>842AFD08059C</t>
  </si>
  <si>
    <t>S06867</t>
  </si>
  <si>
    <t>8CG1079SS9</t>
  </si>
  <si>
    <t>S06867.US-2016</t>
  </si>
  <si>
    <t>GENSUS0805B2</t>
  </si>
  <si>
    <t>7.57.60.175</t>
  </si>
  <si>
    <t>842AFD0805B2</t>
  </si>
  <si>
    <t>S06663</t>
  </si>
  <si>
    <t>8CG107B4S3</t>
  </si>
  <si>
    <t>S06663.US-2016</t>
  </si>
  <si>
    <t>GENSUS0805B4</t>
  </si>
  <si>
    <t>7.159.60.169</t>
  </si>
  <si>
    <t>842AFD0805B4</t>
  </si>
  <si>
    <t>S06565</t>
  </si>
  <si>
    <t>8CG1079XW4</t>
  </si>
  <si>
    <t>S06565.US-2016</t>
  </si>
  <si>
    <t>GENSUS0805BF</t>
  </si>
  <si>
    <t>7.168.60.171</t>
  </si>
  <si>
    <t>842AFD0805BF</t>
  </si>
  <si>
    <t>S04771</t>
  </si>
  <si>
    <t>8CG112CWSS</t>
  </si>
  <si>
    <t>S04771.US-2016</t>
  </si>
  <si>
    <t>GENSUS0805C6</t>
  </si>
  <si>
    <t>7.15.60.35</t>
  </si>
  <si>
    <t>842AFD0805C6</t>
  </si>
  <si>
    <t>S04925</t>
  </si>
  <si>
    <t>8CG1079STL</t>
  </si>
  <si>
    <t>S04925.US-2016</t>
  </si>
  <si>
    <t>GENSUS0805D1</t>
  </si>
  <si>
    <t>7.14.236.26</t>
  </si>
  <si>
    <t>842AFD0805D1</t>
  </si>
  <si>
    <t>8CG1079SSB</t>
  </si>
  <si>
    <t>GENSUS0805D4</t>
  </si>
  <si>
    <t>7.35.140.167</t>
  </si>
  <si>
    <t>842AFD0805D4</t>
  </si>
  <si>
    <t>8CG1079SR4</t>
  </si>
  <si>
    <t>GENSUS0805DD</t>
  </si>
  <si>
    <t>7.179.212.56</t>
  </si>
  <si>
    <t>842AFD0805DD</t>
  </si>
  <si>
    <t>S06505</t>
  </si>
  <si>
    <t>8CG1079XW2</t>
  </si>
  <si>
    <t>S06505.US-2016</t>
  </si>
  <si>
    <t>GENSUS0805FB</t>
  </si>
  <si>
    <t>7.74.44.43</t>
  </si>
  <si>
    <t>842AFD0805FB</t>
  </si>
  <si>
    <t>8CG1079XN2</t>
  </si>
  <si>
    <t>GENSUS080602</t>
  </si>
  <si>
    <t>7.78.236.53</t>
  </si>
  <si>
    <t>842AFD080602</t>
  </si>
  <si>
    <t>8CG1079STQ</t>
  </si>
  <si>
    <t>GENSUS080612</t>
  </si>
  <si>
    <t>7.72.28.170</t>
  </si>
  <si>
    <t>842AFD080612</t>
  </si>
  <si>
    <t>S06617</t>
  </si>
  <si>
    <t>8CG1079SVJ</t>
  </si>
  <si>
    <t>S06617.US-2016</t>
  </si>
  <si>
    <t>GENSUS080613</t>
  </si>
  <si>
    <t>7.159.4.32</t>
  </si>
  <si>
    <t>842AFD080613</t>
  </si>
  <si>
    <t>8CG1079SVG</t>
  </si>
  <si>
    <t>GENSUS080623</t>
  </si>
  <si>
    <t>7.81.116.27</t>
  </si>
  <si>
    <t>842AFD080623</t>
  </si>
  <si>
    <t>S06540</t>
  </si>
  <si>
    <t>8CG10619D0</t>
  </si>
  <si>
    <t>S06540.US-2016</t>
  </si>
  <si>
    <t>GENSUS080631</t>
  </si>
  <si>
    <t>7.90.100.48</t>
  </si>
  <si>
    <t>842AFD080631</t>
  </si>
  <si>
    <t>8CG1079XRC</t>
  </si>
  <si>
    <t>GENSUS08064A</t>
  </si>
  <si>
    <t>7.113.28.15</t>
  </si>
  <si>
    <t>842AFD08064A</t>
  </si>
  <si>
    <t>S08283</t>
  </si>
  <si>
    <t>8CG1079ST2</t>
  </si>
  <si>
    <t>S08283.US-2016</t>
  </si>
  <si>
    <t>GENSUS08064B</t>
  </si>
  <si>
    <t>7.3.212.181</t>
  </si>
  <si>
    <t>842AFD08064B</t>
  </si>
  <si>
    <t>8CG1079ST6</t>
  </si>
  <si>
    <t>GENSUS08065D</t>
  </si>
  <si>
    <t>7.144.84.160</t>
  </si>
  <si>
    <t>842AFD08065D</t>
  </si>
  <si>
    <t>S06327</t>
  </si>
  <si>
    <t>8CG1079SVT</t>
  </si>
  <si>
    <t>S06327.US-2016</t>
  </si>
  <si>
    <t>GENSUS080664</t>
  </si>
  <si>
    <t>55.69.23.160</t>
  </si>
  <si>
    <t>842AFD080664</t>
  </si>
  <si>
    <t>8CG107B4SR</t>
  </si>
  <si>
    <t>GENSUS080666</t>
  </si>
  <si>
    <t>7.57.60.54</t>
  </si>
  <si>
    <t>842AFD080666</t>
  </si>
  <si>
    <t>8CG107B4SS</t>
  </si>
  <si>
    <t>GENSUS080667</t>
  </si>
  <si>
    <t>7.175.60.197</t>
  </si>
  <si>
    <t>842AFD080667</t>
  </si>
  <si>
    <t>S04801</t>
  </si>
  <si>
    <t>8CG107B4SP</t>
  </si>
  <si>
    <t>S04801.US-2016</t>
  </si>
  <si>
    <t>GENSUS080670</t>
  </si>
  <si>
    <t>7.8.188.173</t>
  </si>
  <si>
    <t>842AFD080670</t>
  </si>
  <si>
    <t>8CG1079ST7</t>
  </si>
  <si>
    <t>GENSUS080671</t>
  </si>
  <si>
    <t>55.30.71.197</t>
  </si>
  <si>
    <t>842AFD080671</t>
  </si>
  <si>
    <t>S08282</t>
  </si>
  <si>
    <t>8CG1079SRJ</t>
  </si>
  <si>
    <t>S08282.US-2016</t>
  </si>
  <si>
    <t>GENSUS080673</t>
  </si>
  <si>
    <t>7.47.244.63</t>
  </si>
  <si>
    <t>842AFD080673</t>
  </si>
  <si>
    <t>S06616</t>
  </si>
  <si>
    <t>8CG1079STC</t>
  </si>
  <si>
    <t>S06616.US-2016</t>
  </si>
  <si>
    <t>GENSUS080675</t>
  </si>
  <si>
    <t>7.32.60.185</t>
  </si>
  <si>
    <t>842AFD080675</t>
  </si>
  <si>
    <t>S08126</t>
  </si>
  <si>
    <t>8CG1079STX</t>
  </si>
  <si>
    <t>S08126.US-2016</t>
  </si>
  <si>
    <t>GENSUS080676</t>
  </si>
  <si>
    <t>7.66.68.182</t>
  </si>
  <si>
    <t>842AFD080676</t>
  </si>
  <si>
    <t>S06364</t>
  </si>
  <si>
    <t>8CG1079XN3</t>
  </si>
  <si>
    <t>S06364.US-2016</t>
  </si>
  <si>
    <t>GENSUS08068A</t>
  </si>
  <si>
    <t>7.88.84.179</t>
  </si>
  <si>
    <t>842AFD08068A</t>
  </si>
  <si>
    <t>S08278</t>
  </si>
  <si>
    <t>8CG1079SQ4</t>
  </si>
  <si>
    <t>S08278.US-2016</t>
  </si>
  <si>
    <t>GENSUS08068B</t>
  </si>
  <si>
    <t>7.187.100.67</t>
  </si>
  <si>
    <t>842AFD08068B</t>
  </si>
  <si>
    <t>S08248</t>
  </si>
  <si>
    <t>8CG1079SQ5</t>
  </si>
  <si>
    <t>S08248.US-2016</t>
  </si>
  <si>
    <t>GENSUS080698</t>
  </si>
  <si>
    <t>7.190.68.170</t>
  </si>
  <si>
    <t>842AFD080698</t>
  </si>
  <si>
    <t>8CG10619DC</t>
  </si>
  <si>
    <t>GENSUS0806A2</t>
  </si>
  <si>
    <t>7.74.156.19</t>
  </si>
  <si>
    <t>842AFD0806A2</t>
  </si>
  <si>
    <t>S06692</t>
  </si>
  <si>
    <t>8CG1079ST0</t>
  </si>
  <si>
    <t>S06692.US-2016</t>
  </si>
  <si>
    <t>GENSUS0806A3</t>
  </si>
  <si>
    <t>55.78.183.151</t>
  </si>
  <si>
    <t>842AFD0806A3</t>
  </si>
  <si>
    <t>S06539</t>
  </si>
  <si>
    <t>8CG1079SSY</t>
  </si>
  <si>
    <t>S06539.US-2016</t>
  </si>
  <si>
    <t>GENSUS0806AA</t>
  </si>
  <si>
    <t>55.23.103.184</t>
  </si>
  <si>
    <t>842AFD0806AA</t>
  </si>
  <si>
    <t>S04936</t>
  </si>
  <si>
    <t>8CG107B4SK</t>
  </si>
  <si>
    <t>S04936.US-2016</t>
  </si>
  <si>
    <t>GENSUS0806B0</t>
  </si>
  <si>
    <t>7.78.220.43</t>
  </si>
  <si>
    <t>842AFD0806B0</t>
  </si>
  <si>
    <t>S06604</t>
  </si>
  <si>
    <t>8CG1079ST8</t>
  </si>
  <si>
    <t>S06604.US-2016</t>
  </si>
  <si>
    <t>GENSUS0806B1</t>
  </si>
  <si>
    <t>7.140.52.63</t>
  </si>
  <si>
    <t>842AFD0806B1</t>
  </si>
  <si>
    <t>8CG1079SRK</t>
  </si>
  <si>
    <t>GENSUS0806B4</t>
  </si>
  <si>
    <t>55.164.63.155</t>
  </si>
  <si>
    <t>842AFD0806B4</t>
  </si>
  <si>
    <t>S08213</t>
  </si>
  <si>
    <t>8CG1079ST4</t>
  </si>
  <si>
    <t>S08213.US-2016</t>
  </si>
  <si>
    <t>GENSUS0806B5</t>
  </si>
  <si>
    <t>7.53.68.37</t>
  </si>
  <si>
    <t>842AFD0806B5</t>
  </si>
  <si>
    <t>S08177</t>
  </si>
  <si>
    <t>8CG1079ST3</t>
  </si>
  <si>
    <t>S08177.US-2016</t>
  </si>
  <si>
    <t>GENSUS0806B6</t>
  </si>
  <si>
    <t>7.5.164.178</t>
  </si>
  <si>
    <t>842AFD0806B6</t>
  </si>
  <si>
    <t>S08221</t>
  </si>
  <si>
    <t>8CG1079XR2</t>
  </si>
  <si>
    <t>S08221.US-2016</t>
  </si>
  <si>
    <t>GENSUS0806B7</t>
  </si>
  <si>
    <t>7.123.132.202</t>
  </si>
  <si>
    <t>842AFD0806B7</t>
  </si>
  <si>
    <t>S04731</t>
  </si>
  <si>
    <t>8CG1079XR1</t>
  </si>
  <si>
    <t>S04731.US-2016</t>
  </si>
  <si>
    <t>S06569</t>
  </si>
  <si>
    <t>S06569.US-2016</t>
  </si>
  <si>
    <t>GENSUS0806CA</t>
  </si>
  <si>
    <t>7.21.124.160</t>
  </si>
  <si>
    <t>842AFD0806CA</t>
  </si>
  <si>
    <t>8CG1079SV9</t>
  </si>
  <si>
    <t>GENSUS0806CB</t>
  </si>
  <si>
    <t>55.12.15.154</t>
  </si>
  <si>
    <t>842AFD0806CB</t>
  </si>
  <si>
    <t>S08220</t>
  </si>
  <si>
    <t>8CG1079SV8</t>
  </si>
  <si>
    <t>S08220.US-2016</t>
  </si>
  <si>
    <t>GENSUS0806D5</t>
  </si>
  <si>
    <t>7.20.156.89</t>
  </si>
  <si>
    <t>842AFD0806D5</t>
  </si>
  <si>
    <t>8CG10802TQ</t>
  </si>
  <si>
    <t>GENSUS0806DB</t>
  </si>
  <si>
    <t>7.63.76.162</t>
  </si>
  <si>
    <t>842AFD0806DB</t>
  </si>
  <si>
    <t>S06676</t>
  </si>
  <si>
    <t>8CG10802RB</t>
  </si>
  <si>
    <t>S06676.US-2016</t>
  </si>
  <si>
    <t>GENSUS0806E7</t>
  </si>
  <si>
    <t>7.122.172.80</t>
  </si>
  <si>
    <t>842AFD0806E7</t>
  </si>
  <si>
    <t>S04743</t>
  </si>
  <si>
    <t>8CG10802SW</t>
  </si>
  <si>
    <t>S04743.US-2016</t>
  </si>
  <si>
    <t>GENSUS0806F2</t>
  </si>
  <si>
    <t>7.78.220.100</t>
  </si>
  <si>
    <t>842AFD0806F2</t>
  </si>
  <si>
    <t>8CG107B4RG</t>
  </si>
  <si>
    <t>GENSUS0806F7</t>
  </si>
  <si>
    <t>7.76.60.35</t>
  </si>
  <si>
    <t>842AFD0806F7</t>
  </si>
  <si>
    <t>S06378</t>
  </si>
  <si>
    <t>8CG107B4VL</t>
  </si>
  <si>
    <t>S06378.US-2016</t>
  </si>
  <si>
    <t>GENSUS0806F9</t>
  </si>
  <si>
    <t>7.179.108.234</t>
  </si>
  <si>
    <t>842AFD0806F9</t>
  </si>
  <si>
    <t>8CG1132DCY</t>
  </si>
  <si>
    <t>GENSUS0806FD</t>
  </si>
  <si>
    <t>7.52.20.106</t>
  </si>
  <si>
    <t>842AFD0806FD</t>
  </si>
  <si>
    <t>S06310</t>
  </si>
  <si>
    <t>8CG10802QF</t>
  </si>
  <si>
    <t>S06310.US-2016</t>
  </si>
  <si>
    <t>GENSUS080709</t>
  </si>
  <si>
    <t>7.5.140.182</t>
  </si>
  <si>
    <t>842AFD080709</t>
  </si>
  <si>
    <t>8CG107B4YY</t>
  </si>
  <si>
    <t>S06549</t>
  </si>
  <si>
    <t>S06549.US-2016</t>
  </si>
  <si>
    <t>S06626</t>
  </si>
  <si>
    <t>S06626.US-2016</t>
  </si>
  <si>
    <t>GENSUS080DA5</t>
  </si>
  <si>
    <t>7.3.172.14</t>
  </si>
  <si>
    <t>842AFD080DA5</t>
  </si>
  <si>
    <t>S04872</t>
  </si>
  <si>
    <t>8CG1079XG4</t>
  </si>
  <si>
    <t>S04872.US-2016</t>
  </si>
  <si>
    <t>GENSUS080DAA</t>
  </si>
  <si>
    <t>7.75.188.13</t>
  </si>
  <si>
    <t>842AFD080DAA</t>
  </si>
  <si>
    <t>S06660</t>
  </si>
  <si>
    <t>8CG1079XWQ</t>
  </si>
  <si>
    <t>GENSUS080DAE</t>
  </si>
  <si>
    <t>7.20.204.71</t>
  </si>
  <si>
    <t>842AFD080DAE</t>
  </si>
  <si>
    <t>S06462</t>
  </si>
  <si>
    <t>8CG1079XLN</t>
  </si>
  <si>
    <t>GENSUS080DBD</t>
  </si>
  <si>
    <t>7.72.108.22</t>
  </si>
  <si>
    <t>842AFD080DBD</t>
  </si>
  <si>
    <t>8CG107B4YK</t>
  </si>
  <si>
    <t>GENSUS080DC2</t>
  </si>
  <si>
    <t>55.37.175.166</t>
  </si>
  <si>
    <t>842AFD080DC2</t>
  </si>
  <si>
    <t>S06610</t>
  </si>
  <si>
    <t>8CG1079XVD</t>
  </si>
  <si>
    <t>S06610.US-2016</t>
  </si>
  <si>
    <t>GENSUS080DC5</t>
  </si>
  <si>
    <t>7.7.68.13</t>
  </si>
  <si>
    <t>842AFD080DC5</t>
  </si>
  <si>
    <t>8CG1079XSB</t>
  </si>
  <si>
    <t>GENSUS080DCC</t>
  </si>
  <si>
    <t>7.53.164.131</t>
  </si>
  <si>
    <t>842AFD080DCC</t>
  </si>
  <si>
    <t>S06302</t>
  </si>
  <si>
    <t>8CG1079XJP</t>
  </si>
  <si>
    <t>S06302.US-2016</t>
  </si>
  <si>
    <t>GENSUS080DD5</t>
  </si>
  <si>
    <t>7.77.28.118</t>
  </si>
  <si>
    <t>842AFD080DD5</t>
  </si>
  <si>
    <t>S06219</t>
  </si>
  <si>
    <t>8CG107B4RL</t>
  </si>
  <si>
    <t>S06219.US-2016</t>
  </si>
  <si>
    <t>GENSUS080DD8</t>
  </si>
  <si>
    <t>7.78.220.139</t>
  </si>
  <si>
    <t>842AFD080DD8</t>
  </si>
  <si>
    <t>8CG1079XWN</t>
  </si>
  <si>
    <t>GENSUS080DD9</t>
  </si>
  <si>
    <t>7.149.156.112</t>
  </si>
  <si>
    <t>842AFD080DD9</t>
  </si>
  <si>
    <t>S06609</t>
  </si>
  <si>
    <t>8CG1079XWM</t>
  </si>
  <si>
    <t>S06609.US-2016</t>
  </si>
  <si>
    <t>GENSUS080DEE</t>
  </si>
  <si>
    <t>7.13.244.20</t>
  </si>
  <si>
    <t>842AFD080DEE</t>
  </si>
  <si>
    <t>8CG107B4XK</t>
  </si>
  <si>
    <t>GENSUS080DF1</t>
  </si>
  <si>
    <t>7.34.220.44</t>
  </si>
  <si>
    <t>842AFD080DF1</t>
  </si>
  <si>
    <t>8CG1079XQ8</t>
  </si>
  <si>
    <t>GENSUS080DF5</t>
  </si>
  <si>
    <t>7.77.140.138</t>
  </si>
  <si>
    <t>842AFD080DF5</t>
  </si>
  <si>
    <t>S06502</t>
  </si>
  <si>
    <t>8CG107B4ZR</t>
  </si>
  <si>
    <t>S06502.US-2016</t>
  </si>
  <si>
    <t>GENSUS080DF8</t>
  </si>
  <si>
    <t>7.53.164.165</t>
  </si>
  <si>
    <t>842AFD080DF8</t>
  </si>
  <si>
    <t>8CG1079XM0</t>
  </si>
  <si>
    <t>GENSUS080E07</t>
  </si>
  <si>
    <t>7.144.172.221</t>
  </si>
  <si>
    <t>842AFD080E07</t>
  </si>
  <si>
    <t>8CG1079XV9</t>
  </si>
  <si>
    <t>GENSUS080E0D</t>
  </si>
  <si>
    <t>7.117.52.173</t>
  </si>
  <si>
    <t>842AFD080E0D</t>
  </si>
  <si>
    <t>8CG1079XK6</t>
  </si>
  <si>
    <t>GENSUS080E15</t>
  </si>
  <si>
    <t>7.91.108.45</t>
  </si>
  <si>
    <t>842AFD080E15</t>
  </si>
  <si>
    <t>S08134</t>
  </si>
  <si>
    <t>8CG1079XJL</t>
  </si>
  <si>
    <t>S08134.US-2016</t>
  </si>
  <si>
    <t>GENSUS080E18</t>
  </si>
  <si>
    <t>7.144.188.227</t>
  </si>
  <si>
    <t>842AFD080E18</t>
  </si>
  <si>
    <t>S04774</t>
  </si>
  <si>
    <t>8CG1079XQR</t>
  </si>
  <si>
    <t>S04774.US-2016</t>
  </si>
  <si>
    <t>GENSUS080E1E</t>
  </si>
  <si>
    <t>7.3.172.139</t>
  </si>
  <si>
    <t>842AFD080E1E</t>
  </si>
  <si>
    <t>8CG1079XL1</t>
  </si>
  <si>
    <t>GENSUS080E24</t>
  </si>
  <si>
    <t>7.149.156.105</t>
  </si>
  <si>
    <t>842AFD080E24</t>
  </si>
  <si>
    <t>8CG1079XLJ</t>
  </si>
  <si>
    <t>GENSUS080E2B</t>
  </si>
  <si>
    <t>7.188.164.178</t>
  </si>
  <si>
    <t>842AFD080E2B</t>
  </si>
  <si>
    <t>S06636</t>
  </si>
  <si>
    <t>8CG1079XTT</t>
  </si>
  <si>
    <t>S06636.US-2016</t>
  </si>
  <si>
    <t>GENSUS080E2D</t>
  </si>
  <si>
    <t>7.149.156.178</t>
  </si>
  <si>
    <t>842AFD080E2D</t>
  </si>
  <si>
    <t>8CG1079XWS</t>
  </si>
  <si>
    <t>GENSUS080E2E</t>
  </si>
  <si>
    <t>7.146.92.54</t>
  </si>
  <si>
    <t>842AFD080E2E</t>
  </si>
  <si>
    <t>8CG1079XWT</t>
  </si>
  <si>
    <t>GENSUS080E32</t>
  </si>
  <si>
    <t>7.13.244.231</t>
  </si>
  <si>
    <t>842AFD080E32</t>
  </si>
  <si>
    <t>8CG107B4ZF</t>
  </si>
  <si>
    <t>GENSUS080E3A</t>
  </si>
  <si>
    <t>7.138.100.209</t>
  </si>
  <si>
    <t>842AFD080E3A</t>
  </si>
  <si>
    <t>S06242</t>
  </si>
  <si>
    <t>8CG107B4Z9</t>
  </si>
  <si>
    <t>S06242.US-2016</t>
  </si>
  <si>
    <t>GENSUS080E4B</t>
  </si>
  <si>
    <t>7.122.196.70</t>
  </si>
  <si>
    <t>842AFD080E4B</t>
  </si>
  <si>
    <t>S06315</t>
  </si>
  <si>
    <t>8CG1079XQF</t>
  </si>
  <si>
    <t>S06315.US-2016</t>
  </si>
  <si>
    <t>GENSUS080E56</t>
  </si>
  <si>
    <t>7.48.196.12</t>
  </si>
  <si>
    <t>842AFD080E56</t>
  </si>
  <si>
    <t>S04710</t>
  </si>
  <si>
    <t>8CG1079XXG</t>
  </si>
  <si>
    <t>S04710.US-2016</t>
  </si>
  <si>
    <t>GENSUS080E5F</t>
  </si>
  <si>
    <t>7.87.92.38</t>
  </si>
  <si>
    <t>842AFD080E5F</t>
  </si>
  <si>
    <t>S04930</t>
  </si>
  <si>
    <t>8CG1079XG0</t>
  </si>
  <si>
    <t>S04930.US-2016</t>
  </si>
  <si>
    <t>GENSUS080E61</t>
  </si>
  <si>
    <t>7.189.252.176</t>
  </si>
  <si>
    <t>842AFD080E61</t>
  </si>
  <si>
    <t>S08275</t>
  </si>
  <si>
    <t>8CG107B4ZT</t>
  </si>
  <si>
    <t>S08275.US-2016</t>
  </si>
  <si>
    <t>GENSUS080E6A</t>
  </si>
  <si>
    <t>7.53.60.113</t>
  </si>
  <si>
    <t>842AFD080E6A</t>
  </si>
  <si>
    <t>S08152</t>
  </si>
  <si>
    <t>8CG107B4S4</t>
  </si>
  <si>
    <t>S08152.US-2016</t>
  </si>
  <si>
    <t>GENSUS080E70</t>
  </si>
  <si>
    <t>7.31.92.212</t>
  </si>
  <si>
    <t>842AFD080E70</t>
  </si>
  <si>
    <t>S08123</t>
  </si>
  <si>
    <t>8CG107B4ZQ</t>
  </si>
  <si>
    <t>S08123.US-2016</t>
  </si>
  <si>
    <t>GENSUS080E76</t>
  </si>
  <si>
    <t>7.20.148.13</t>
  </si>
  <si>
    <t>842AFD080E76</t>
  </si>
  <si>
    <t>S06437</t>
  </si>
  <si>
    <t>8CG107B4RS</t>
  </si>
  <si>
    <t>S06437.US-2016</t>
  </si>
  <si>
    <t>GENSUS080E87</t>
  </si>
  <si>
    <t>7.13.60.48</t>
  </si>
  <si>
    <t>842AFD080E87</t>
  </si>
  <si>
    <t>S06305</t>
  </si>
  <si>
    <t>8CG1079XPW</t>
  </si>
  <si>
    <t>S06305.US-2016</t>
  </si>
  <si>
    <t>GENSUS080E8B</t>
  </si>
  <si>
    <t>7.20.100.63</t>
  </si>
  <si>
    <t>842AFD080E8B</t>
  </si>
  <si>
    <t>S04805</t>
  </si>
  <si>
    <t>8CG1079XTD</t>
  </si>
  <si>
    <t>S04805.US-2016</t>
  </si>
  <si>
    <t>GENSUS080E91</t>
  </si>
  <si>
    <t>7.186.244.34</t>
  </si>
  <si>
    <t>842AFD080E91</t>
  </si>
  <si>
    <t>S04873</t>
  </si>
  <si>
    <t>8CG1079XQJ</t>
  </si>
  <si>
    <t>S04873.US-2016</t>
  </si>
  <si>
    <t>GENSUS080E9C</t>
  </si>
  <si>
    <t>55.69.23.182</t>
  </si>
  <si>
    <t>842AFD080E9C</t>
  </si>
  <si>
    <t>8CG1079XQW</t>
  </si>
  <si>
    <t>GENSUS080EA2</t>
  </si>
  <si>
    <t>7.73.44.14</t>
  </si>
  <si>
    <t>842AFD080EA2</t>
  </si>
  <si>
    <t>S06632</t>
  </si>
  <si>
    <t>8CG107B4ZD</t>
  </si>
  <si>
    <t>S06632.US-2016</t>
  </si>
  <si>
    <t>GENSUS080EAD</t>
  </si>
  <si>
    <t>55.140.31.175</t>
  </si>
  <si>
    <t>842AFD080EAD</t>
  </si>
  <si>
    <t>S08268</t>
  </si>
  <si>
    <t>8CG10802W3</t>
  </si>
  <si>
    <t>S08268.US-2016</t>
  </si>
  <si>
    <t>GENSUS080EAF</t>
  </si>
  <si>
    <t>7.61.252.135</t>
  </si>
  <si>
    <t>842AFD080EAF</t>
  </si>
  <si>
    <t>S04732</t>
  </si>
  <si>
    <t>8CG107B4RN</t>
  </si>
  <si>
    <t>S04732.US-2016</t>
  </si>
  <si>
    <t>GENSUS080EB4</t>
  </si>
  <si>
    <t>7.66.20.191</t>
  </si>
  <si>
    <t>842AFD080EB4</t>
  </si>
  <si>
    <t>8CG1079XT4</t>
  </si>
  <si>
    <t>GENSUS080EDC</t>
  </si>
  <si>
    <t>55.75.247.182</t>
  </si>
  <si>
    <t>842AFD080EDC</t>
  </si>
  <si>
    <t>S06366</t>
  </si>
  <si>
    <t>8CG107B4VJ</t>
  </si>
  <si>
    <t>S06366.US-2016</t>
  </si>
  <si>
    <t>GENSUS080EEC</t>
  </si>
  <si>
    <t>7.138.100.146</t>
  </si>
  <si>
    <t>842AFD080EEC</t>
  </si>
  <si>
    <t>8CG107B4TK</t>
  </si>
  <si>
    <t>GENSUS080EEF</t>
  </si>
  <si>
    <t>7.87.28.55</t>
  </si>
  <si>
    <t>842AFD080EEF</t>
  </si>
  <si>
    <t>8CG107B4XR</t>
  </si>
  <si>
    <t>GENSUS080EF1</t>
  </si>
  <si>
    <t>7.161.68.211</t>
  </si>
  <si>
    <t>842AFD080EF1</t>
  </si>
  <si>
    <t>S06657</t>
  </si>
  <si>
    <t>8CG107B4XS</t>
  </si>
  <si>
    <t>S06657.US-2016</t>
  </si>
  <si>
    <t>GENSUS080EF2</t>
  </si>
  <si>
    <t>7.53.148.55</t>
  </si>
  <si>
    <t>842AFD080EF2</t>
  </si>
  <si>
    <t>8CG1079XPT</t>
  </si>
  <si>
    <t>GENSUS080EFC</t>
  </si>
  <si>
    <t>7.1.196.171</t>
  </si>
  <si>
    <t>842AFD080EFC</t>
  </si>
  <si>
    <t>8CG107B4Z7</t>
  </si>
  <si>
    <t>GENSUS080EFE</t>
  </si>
  <si>
    <t>7.191.92.133</t>
  </si>
  <si>
    <t>842AFD080EFE</t>
  </si>
  <si>
    <t>S04776</t>
  </si>
  <si>
    <t>8CG1079XKZ</t>
  </si>
  <si>
    <t>S04776.US-2016</t>
  </si>
  <si>
    <t>GENSUS080F15</t>
  </si>
  <si>
    <t>7.75.244.41</t>
  </si>
  <si>
    <t>842AFD080F15</t>
  </si>
  <si>
    <t>8CG107B4V7</t>
  </si>
  <si>
    <t>GENSUS080F1B</t>
  </si>
  <si>
    <t>7.77.108.99</t>
  </si>
  <si>
    <t>842AFD080F1B</t>
  </si>
  <si>
    <t>S06471</t>
  </si>
  <si>
    <t>8CG1079XNZ</t>
  </si>
  <si>
    <t>S06471.US-2016</t>
  </si>
  <si>
    <t>GENSUS080F25</t>
  </si>
  <si>
    <t>7.148.100.238</t>
  </si>
  <si>
    <t>842AFD080F25</t>
  </si>
  <si>
    <t>S06512</t>
  </si>
  <si>
    <t>8CG107B4T3</t>
  </si>
  <si>
    <t>S06512.US-2016</t>
  </si>
  <si>
    <t>GENSUS080F32</t>
  </si>
  <si>
    <t>55.35.119.185</t>
  </si>
  <si>
    <t>842AFD080F32</t>
  </si>
  <si>
    <t>S08136</t>
  </si>
  <si>
    <t>8CG107B4YB</t>
  </si>
  <si>
    <t>S08136.US-2016</t>
  </si>
  <si>
    <t>GENSUS080F36</t>
  </si>
  <si>
    <t>7.12.44.29</t>
  </si>
  <si>
    <t>842AFD080F36</t>
  </si>
  <si>
    <t>8CG107B4YM</t>
  </si>
  <si>
    <t>GENSUS080F3E</t>
  </si>
  <si>
    <t>7.53.220.163</t>
  </si>
  <si>
    <t>842AFD080F3E</t>
  </si>
  <si>
    <t>S06309</t>
  </si>
  <si>
    <t>8CG10802S7</t>
  </si>
  <si>
    <t>S06309.US-2016</t>
  </si>
  <si>
    <t>GENSUS080F47</t>
  </si>
  <si>
    <t>7.64.228.30</t>
  </si>
  <si>
    <t>842AFD080F47</t>
  </si>
  <si>
    <t>S06341</t>
  </si>
  <si>
    <t>8CG10802QT</t>
  </si>
  <si>
    <t>S06341.US-2016</t>
  </si>
  <si>
    <t>GENSUS080F51</t>
  </si>
  <si>
    <t>7.87.156.90</t>
  </si>
  <si>
    <t>842AFD080F51</t>
  </si>
  <si>
    <t>S04870</t>
  </si>
  <si>
    <t>8CG10802TK</t>
  </si>
  <si>
    <t>S04870.US-2016</t>
  </si>
  <si>
    <t>GENSUS080F58</t>
  </si>
  <si>
    <t>7.76.68.135</t>
  </si>
  <si>
    <t>842AFD080F58</t>
  </si>
  <si>
    <t>S06379</t>
  </si>
  <si>
    <t>8CG1080GYR</t>
  </si>
  <si>
    <t>S06379.US-2016</t>
  </si>
  <si>
    <t>GENSUS080F64</t>
  </si>
  <si>
    <t>7.189.124.21</t>
  </si>
  <si>
    <t>842AFD080F64</t>
  </si>
  <si>
    <t>S04745</t>
  </si>
  <si>
    <t>8CG1079XS7</t>
  </si>
  <si>
    <t>S04745.US-2016</t>
  </si>
  <si>
    <t>GENSUS080F68</t>
  </si>
  <si>
    <t>7.67.148.90</t>
  </si>
  <si>
    <t>842AFD080F68</t>
  </si>
  <si>
    <t>S06380</t>
  </si>
  <si>
    <t>8CG1079XT6</t>
  </si>
  <si>
    <t>S06380.US-2016</t>
  </si>
  <si>
    <t>GENSUS080F6A</t>
  </si>
  <si>
    <t>7.3.172.195</t>
  </si>
  <si>
    <t>842AFD080F6A</t>
  </si>
  <si>
    <t>8CG1079XHD</t>
  </si>
  <si>
    <t>GENSUS080F6C</t>
  </si>
  <si>
    <t>7.125.124.106</t>
  </si>
  <si>
    <t>842AFD080F6C</t>
  </si>
  <si>
    <t>S04713</t>
  </si>
  <si>
    <t>8CG1079XHY</t>
  </si>
  <si>
    <t>S04713.US-2016</t>
  </si>
  <si>
    <t>GENSUS080F70</t>
  </si>
  <si>
    <t>7.28.36.240</t>
  </si>
  <si>
    <t>842AFD080F70</t>
  </si>
  <si>
    <t>8CG1079XJ4</t>
  </si>
  <si>
    <t>GENSUS080F72</t>
  </si>
  <si>
    <t>7.70.236.77</t>
  </si>
  <si>
    <t>842AFD080F72</t>
  </si>
  <si>
    <t>S06457</t>
  </si>
  <si>
    <t>8CG1079XH6</t>
  </si>
  <si>
    <t>S06457.US-2016</t>
  </si>
  <si>
    <t>GENSUS080F81</t>
  </si>
  <si>
    <t>7.92.108.10</t>
  </si>
  <si>
    <t>842AFD080F81</t>
  </si>
  <si>
    <t>S04711</t>
  </si>
  <si>
    <t>8CG10802PZ</t>
  </si>
  <si>
    <t>S04711.US-2016</t>
  </si>
  <si>
    <t>GENSUS080FA0</t>
  </si>
  <si>
    <t>7.144.172.238</t>
  </si>
  <si>
    <t>842AFD080FA0</t>
  </si>
  <si>
    <t>8CG107B4SD</t>
  </si>
  <si>
    <t>GENSUS080FB2</t>
  </si>
  <si>
    <t>7.3.92.19</t>
  </si>
  <si>
    <t>842AFD080FB2</t>
  </si>
  <si>
    <t>S06324</t>
  </si>
  <si>
    <t>8CG1079XSG</t>
  </si>
  <si>
    <t>S06324.US-2016</t>
  </si>
  <si>
    <t>GENSUS080FBB</t>
  </si>
  <si>
    <t>7.3.212.41</t>
  </si>
  <si>
    <t>842AFD080FBB</t>
  </si>
  <si>
    <t>8CG107B4TZ</t>
  </si>
  <si>
    <t>GENSUS080FBD</t>
  </si>
  <si>
    <t>7.135.124.73</t>
  </si>
  <si>
    <t>842AFD080FBD</t>
  </si>
  <si>
    <t>S04831</t>
  </si>
  <si>
    <t>8CG107B4XG</t>
  </si>
  <si>
    <t>S04831.US-2016</t>
  </si>
  <si>
    <t>GENSUS080FBF</t>
  </si>
  <si>
    <t>7.48.196.16</t>
  </si>
  <si>
    <t>842AFD080FBF</t>
  </si>
  <si>
    <t>8CG1079XM4</t>
  </si>
  <si>
    <t>GENSUS080FCC</t>
  </si>
  <si>
    <t>7.77.244.84</t>
  </si>
  <si>
    <t>842AFD080FCC</t>
  </si>
  <si>
    <t>8CG1079XSK</t>
  </si>
  <si>
    <t>GENSUS080FCE</t>
  </si>
  <si>
    <t>7.42.164.103</t>
  </si>
  <si>
    <t>842AFD080FCE</t>
  </si>
  <si>
    <t>S06314</t>
  </si>
  <si>
    <t>8CG107B4WN</t>
  </si>
  <si>
    <t>S06314.US-2016</t>
  </si>
  <si>
    <t>GENSUS080FCF</t>
  </si>
  <si>
    <t>55.161.71.151</t>
  </si>
  <si>
    <t>842AFD080FCF</t>
  </si>
  <si>
    <t>8CG107B4WP</t>
  </si>
  <si>
    <t>GENSUS080FD7</t>
  </si>
  <si>
    <t>7.66.68.14</t>
  </si>
  <si>
    <t>842AFD080FD7</t>
  </si>
  <si>
    <t>8CG1079XNS</t>
  </si>
  <si>
    <t>GENSUS080FE9</t>
  </si>
  <si>
    <t>7.137.180.70</t>
  </si>
  <si>
    <t>842AFD080FE9</t>
  </si>
  <si>
    <t>S06244</t>
  </si>
  <si>
    <t>8CG107B4YF</t>
  </si>
  <si>
    <t>S06244.US-2016</t>
  </si>
  <si>
    <t>GENSUS080FEC</t>
  </si>
  <si>
    <t>7.190.68.211</t>
  </si>
  <si>
    <t>842AFD080FEC</t>
  </si>
  <si>
    <t>8CG1079XSZ</t>
  </si>
  <si>
    <t>GENSUS080FF1</t>
  </si>
  <si>
    <t>7.78.44.238</t>
  </si>
  <si>
    <t>842AFD080FF1</t>
  </si>
  <si>
    <t>S06605</t>
  </si>
  <si>
    <t>8CG107B4VH</t>
  </si>
  <si>
    <t>S06605.US-2016</t>
  </si>
  <si>
    <t>GENSUS080FF3</t>
  </si>
  <si>
    <t>7.1.196.10</t>
  </si>
  <si>
    <t>842AFD080FF3</t>
  </si>
  <si>
    <t>8CG1079XSW</t>
  </si>
  <si>
    <t>GENSUS080FF9</t>
  </si>
  <si>
    <t>7.66.188.15</t>
  </si>
  <si>
    <t>842AFD080FF9</t>
  </si>
  <si>
    <t>S06381</t>
  </si>
  <si>
    <t>8CG10802PK</t>
  </si>
  <si>
    <t>S06381.US-2016</t>
  </si>
  <si>
    <t>GENSUS081002</t>
  </si>
  <si>
    <t>7.59.252.218</t>
  </si>
  <si>
    <t>842AFD081002</t>
  </si>
  <si>
    <t>S04915</t>
  </si>
  <si>
    <t>8CG107B4T5</t>
  </si>
  <si>
    <t>S04915.US-2016</t>
  </si>
  <si>
    <t>GENSUS081017</t>
  </si>
  <si>
    <t>7.52.12.189</t>
  </si>
  <si>
    <t>842AFD081017</t>
  </si>
  <si>
    <t>8CG1079XK4</t>
  </si>
  <si>
    <t>GENSUS081018</t>
  </si>
  <si>
    <t>7.68.156.20</t>
  </si>
  <si>
    <t>842AFD081018</t>
  </si>
  <si>
    <t>S06417</t>
  </si>
  <si>
    <t>8CG107B4TC</t>
  </si>
  <si>
    <t>S06417.US-2016</t>
  </si>
  <si>
    <t>GENSUS081022</t>
  </si>
  <si>
    <t>7.157.252.239</t>
  </si>
  <si>
    <t>842AFD081022</t>
  </si>
  <si>
    <t>S06536</t>
  </si>
  <si>
    <t>8CG107B4VD</t>
  </si>
  <si>
    <t>S06536.US-2016</t>
  </si>
  <si>
    <t>GENSUS081025</t>
  </si>
  <si>
    <t>7.57.132.20</t>
  </si>
  <si>
    <t>842AFD081025</t>
  </si>
  <si>
    <t>S06321</t>
  </si>
  <si>
    <t>8CG107B4VF</t>
  </si>
  <si>
    <t>S06321.US-2016</t>
  </si>
  <si>
    <t>GENSUS08102A</t>
  </si>
  <si>
    <t>7.57.60.170</t>
  </si>
  <si>
    <t>842AFD08102A</t>
  </si>
  <si>
    <t>8CG1079XGM</t>
  </si>
  <si>
    <t>GENSUS08102D</t>
  </si>
  <si>
    <t>7.76.60.57</t>
  </si>
  <si>
    <t>842AFD08102D</t>
  </si>
  <si>
    <t>8CG107B4TP</t>
  </si>
  <si>
    <t>GENSUS081030</t>
  </si>
  <si>
    <t>7.59.244.54</t>
  </si>
  <si>
    <t>842AFD081030</t>
  </si>
  <si>
    <t>S04824</t>
  </si>
  <si>
    <t>8CG10802TH</t>
  </si>
  <si>
    <t>S04824.US-2016</t>
  </si>
  <si>
    <t>GENSUS081035</t>
  </si>
  <si>
    <t>7.53.124.45</t>
  </si>
  <si>
    <t>842AFD081035</t>
  </si>
  <si>
    <t>S08175</t>
  </si>
  <si>
    <t>8CG10802MX</t>
  </si>
  <si>
    <t>S08175.US-2016</t>
  </si>
  <si>
    <t>GENSUS08103E</t>
  </si>
  <si>
    <t>7.66.196.162</t>
  </si>
  <si>
    <t>842AFD08103E</t>
  </si>
  <si>
    <t>8CG10802MW</t>
  </si>
  <si>
    <t>GENSUS081053</t>
  </si>
  <si>
    <t>7.20.236.124</t>
  </si>
  <si>
    <t>842AFD081053</t>
  </si>
  <si>
    <t>S08128</t>
  </si>
  <si>
    <t>8CG107B4XZ</t>
  </si>
  <si>
    <t>S08128.US-2016</t>
  </si>
  <si>
    <t>GENSUS08105C</t>
  </si>
  <si>
    <t>7.76.28.25</t>
  </si>
  <si>
    <t>842AFD08105C</t>
  </si>
  <si>
    <t>S06371</t>
  </si>
  <si>
    <t>8CG107B4VZ</t>
  </si>
  <si>
    <t>S06371.US-2016</t>
  </si>
  <si>
    <t>GENSUS08105F</t>
  </si>
  <si>
    <t>7.68.132.60</t>
  </si>
  <si>
    <t>842AFD08105F</t>
  </si>
  <si>
    <t>8CG10802QS</t>
  </si>
  <si>
    <t>GENSUS081069</t>
  </si>
  <si>
    <t>7.52.20.218</t>
  </si>
  <si>
    <t>842AFD081069</t>
  </si>
  <si>
    <t>8CG10802PB</t>
  </si>
  <si>
    <t>GENSUS081070</t>
  </si>
  <si>
    <t>7.146.108.122</t>
  </si>
  <si>
    <t>842AFD081070</t>
  </si>
  <si>
    <t>8CG10802VH</t>
  </si>
  <si>
    <t>GENSUS081071</t>
  </si>
  <si>
    <t>55.77.143.199</t>
  </si>
  <si>
    <t>842AFD081071</t>
  </si>
  <si>
    <t>8CG107B4VT</t>
  </si>
  <si>
    <t>GENSUS081073</t>
  </si>
  <si>
    <t>7.150.44.25</t>
  </si>
  <si>
    <t>842AFD081073</t>
  </si>
  <si>
    <t>8CG10802VG</t>
  </si>
  <si>
    <t>GENSUS081076</t>
  </si>
  <si>
    <t>7.20.156.233</t>
  </si>
  <si>
    <t>842AFD081076</t>
  </si>
  <si>
    <t>8CG107B4XM</t>
  </si>
  <si>
    <t>GENSUS081077</t>
  </si>
  <si>
    <t>7.82.180.65</t>
  </si>
  <si>
    <t>842AFD081077</t>
  </si>
  <si>
    <t>8CG1079SVP</t>
  </si>
  <si>
    <t>GENSUS081082</t>
  </si>
  <si>
    <t>7.135.132.77</t>
  </si>
  <si>
    <t>842AFD081082</t>
  </si>
  <si>
    <t>S04851</t>
  </si>
  <si>
    <t>8CG107B4W6</t>
  </si>
  <si>
    <t>S04851.US-2016</t>
  </si>
  <si>
    <t>GENSUS081084</t>
  </si>
  <si>
    <t>55.161.71.197</t>
  </si>
  <si>
    <t>842AFD081084</t>
  </si>
  <si>
    <t>8CG1080QGF</t>
  </si>
  <si>
    <t>GENSUS08108E</t>
  </si>
  <si>
    <t>7.117.52.18</t>
  </si>
  <si>
    <t>842AFD08108E</t>
  </si>
  <si>
    <t>8CG10802S8</t>
  </si>
  <si>
    <t>GENSUS081095</t>
  </si>
  <si>
    <t>7.87.156.85</t>
  </si>
  <si>
    <t>842AFD081095</t>
  </si>
  <si>
    <t>8CG10802SJ</t>
  </si>
  <si>
    <t>GENSUS0810AB</t>
  </si>
  <si>
    <t>7.36.44.170</t>
  </si>
  <si>
    <t>842AFD0810AB</t>
  </si>
  <si>
    <t>S08129</t>
  </si>
  <si>
    <t>8CG1079XSD</t>
  </si>
  <si>
    <t>S08129.US-2016</t>
  </si>
  <si>
    <t>GENSUS0810B6</t>
  </si>
  <si>
    <t>7.21.204.226</t>
  </si>
  <si>
    <t>842AFD0810B6</t>
  </si>
  <si>
    <t>S08138</t>
  </si>
  <si>
    <t>8CG107B4XX</t>
  </si>
  <si>
    <t>S08138.US-2016</t>
  </si>
  <si>
    <t>GENSUS0810BE</t>
  </si>
  <si>
    <t>7.49.196.216</t>
  </si>
  <si>
    <t>842AFD0810BE</t>
  </si>
  <si>
    <t>S08286</t>
  </si>
  <si>
    <t>8CG1079XVQ</t>
  </si>
  <si>
    <t>S08286.US-2016</t>
  </si>
  <si>
    <t>GENSUS0810C1</t>
  </si>
  <si>
    <t>7.188.244.48</t>
  </si>
  <si>
    <t>842AFD0810C1</t>
  </si>
  <si>
    <t>S08297</t>
  </si>
  <si>
    <t>8CG1079XVP</t>
  </si>
  <si>
    <t>S08297.US-2016</t>
  </si>
  <si>
    <t>GENSUS0810C8</t>
  </si>
  <si>
    <t>55.56.199.179</t>
  </si>
  <si>
    <t>842AFD0810C8</t>
  </si>
  <si>
    <t>S06312</t>
  </si>
  <si>
    <t>8CG107B4SV</t>
  </si>
  <si>
    <t>S06312.US-2016</t>
  </si>
  <si>
    <t>GENSUS0810CB</t>
  </si>
  <si>
    <t>7.57.132.30</t>
  </si>
  <si>
    <t>842AFD0810CB</t>
  </si>
  <si>
    <t>8CG107B4SW</t>
  </si>
  <si>
    <t>GENSUS0810D2</t>
  </si>
  <si>
    <t>7.156.164.184</t>
  </si>
  <si>
    <t>842AFD0810D2</t>
  </si>
  <si>
    <t>S04991</t>
  </si>
  <si>
    <t>8CG1079XS5</t>
  </si>
  <si>
    <t>S04991.US-2016</t>
  </si>
  <si>
    <t>GENSUS0810DF</t>
  </si>
  <si>
    <t>7.66.188.42</t>
  </si>
  <si>
    <t>842AFD0810DF</t>
  </si>
  <si>
    <t>8CG10802VD</t>
  </si>
  <si>
    <t>GENSUS0810E0</t>
  </si>
  <si>
    <t>55.30.71.179</t>
  </si>
  <si>
    <t>842AFD0810E0</t>
  </si>
  <si>
    <t>8CG107B4Z2</t>
  </si>
  <si>
    <t>GENSUS0810E5</t>
  </si>
  <si>
    <t>7.191.28.59</t>
  </si>
  <si>
    <t>842AFD0810E5</t>
  </si>
  <si>
    <t>S08147</t>
  </si>
  <si>
    <t>8CG107B4WQ</t>
  </si>
  <si>
    <t>S08147.US-2016</t>
  </si>
  <si>
    <t>GENSUS0810EE</t>
  </si>
  <si>
    <t>7.188.140.227</t>
  </si>
  <si>
    <t>842AFD0810EE</t>
  </si>
  <si>
    <t>S04955</t>
  </si>
  <si>
    <t>8CG1079XP5</t>
  </si>
  <si>
    <t>S04955.US-2016</t>
  </si>
  <si>
    <t>GENSUS0810F2</t>
  </si>
  <si>
    <t>7.67.4.10</t>
  </si>
  <si>
    <t>842AFD0810F2</t>
  </si>
  <si>
    <t>S06386</t>
  </si>
  <si>
    <t>8CG1079XNJ</t>
  </si>
  <si>
    <t>S06386.US-2016</t>
  </si>
  <si>
    <t>GENSUS08110D</t>
  </si>
  <si>
    <t>7.35.140.40</t>
  </si>
  <si>
    <t>842AFD08110D</t>
  </si>
  <si>
    <t>8CG107B4RP</t>
  </si>
  <si>
    <t>GENSUS081112</t>
  </si>
  <si>
    <t>7.87.60.146</t>
  </si>
  <si>
    <t>842AFD081112</t>
  </si>
  <si>
    <t>S08218</t>
  </si>
  <si>
    <t>8CG107B4RQ</t>
  </si>
  <si>
    <t>S08218.US-2016</t>
  </si>
  <si>
    <t>GENSUS081117</t>
  </si>
  <si>
    <t>7.131.4.45</t>
  </si>
  <si>
    <t>842AFD081117</t>
  </si>
  <si>
    <t>S06322</t>
  </si>
  <si>
    <t>8CG1079XSJ</t>
  </si>
  <si>
    <t>S06322.US-2016</t>
  </si>
  <si>
    <t>GENSUS081119</t>
  </si>
  <si>
    <t>7.135.124.103</t>
  </si>
  <si>
    <t>842AFD081119</t>
  </si>
  <si>
    <t>8CG107B4WY</t>
  </si>
  <si>
    <t>GENSUS081130</t>
  </si>
  <si>
    <t>7.186.100.97</t>
  </si>
  <si>
    <t>842AFD081130</t>
  </si>
  <si>
    <t>S06622</t>
  </si>
  <si>
    <t>8CG1079XW1</t>
  </si>
  <si>
    <t>S06622.US-2016</t>
  </si>
  <si>
    <t>GENSUS08114E</t>
  </si>
  <si>
    <t>7.179.108.59</t>
  </si>
  <si>
    <t>842AFD08114E</t>
  </si>
  <si>
    <t>8CG1079XW9</t>
  </si>
  <si>
    <t>GENSUS081151</t>
  </si>
  <si>
    <t>7.172.52.54</t>
  </si>
  <si>
    <t>842AFD081151</t>
  </si>
  <si>
    <t>8CG1079XRN</t>
  </si>
  <si>
    <t>GENSUS081159</t>
  </si>
  <si>
    <t>7.57.132.235</t>
  </si>
  <si>
    <t>842AFD081159</t>
  </si>
  <si>
    <t>8CG107B4T2</t>
  </si>
  <si>
    <t>GENSUS08115A</t>
  </si>
  <si>
    <t>7.69.84.52</t>
  </si>
  <si>
    <t>842AFD08115A</t>
  </si>
  <si>
    <t>S06427</t>
  </si>
  <si>
    <t>8CG107B4T1</t>
  </si>
  <si>
    <t>S06427.US-2016</t>
  </si>
  <si>
    <t>GENSUS08116A</t>
  </si>
  <si>
    <t>7.77.196.178</t>
  </si>
  <si>
    <t>842AFD08116A</t>
  </si>
  <si>
    <t>S06535</t>
  </si>
  <si>
    <t>8CG107B4VR</t>
  </si>
  <si>
    <t>S06535.US-2016</t>
  </si>
  <si>
    <t>GENSUS08117C</t>
  </si>
  <si>
    <t>7.78.220.111</t>
  </si>
  <si>
    <t>842AFD08117C</t>
  </si>
  <si>
    <t>8CG107B4X6</t>
  </si>
  <si>
    <t>GENSUS081181</t>
  </si>
  <si>
    <t>7.30.68.56</t>
  </si>
  <si>
    <t>842AFD081181</t>
  </si>
  <si>
    <t>8CG107B4XV</t>
  </si>
  <si>
    <t>GENSUS081182</t>
  </si>
  <si>
    <t>7.52.172.64</t>
  </si>
  <si>
    <t>842AFD081182</t>
  </si>
  <si>
    <t>S06332</t>
  </si>
  <si>
    <t>8CG107B4XT</t>
  </si>
  <si>
    <t>S06332.US-2016</t>
  </si>
  <si>
    <t>GENSUS081195</t>
  </si>
  <si>
    <t>7.56.196.52</t>
  </si>
  <si>
    <t>842AFD081195</t>
  </si>
  <si>
    <t>8CG107B4WB</t>
  </si>
  <si>
    <t>GENSUS081197</t>
  </si>
  <si>
    <t>7.188.140.155</t>
  </si>
  <si>
    <t>842AFD081197</t>
  </si>
  <si>
    <t>8CG1079XP3</t>
  </si>
  <si>
    <t>GENSUS08119A</t>
  </si>
  <si>
    <t>7.73.44.39</t>
  </si>
  <si>
    <t>842AFD08119A</t>
  </si>
  <si>
    <t>8CG107B4WD</t>
  </si>
  <si>
    <t>GENSUS0811A4</t>
  </si>
  <si>
    <t>7.135.124.104</t>
  </si>
  <si>
    <t>842AFD0811A4</t>
  </si>
  <si>
    <t>8CG107B4XF</t>
  </si>
  <si>
    <t>S08194</t>
  </si>
  <si>
    <t>S08194.US-2016</t>
  </si>
  <si>
    <t>GENSUS081491</t>
  </si>
  <si>
    <t>7.159.60.65</t>
  </si>
  <si>
    <t>842AFD081491</t>
  </si>
  <si>
    <t>8CG112CYGH</t>
  </si>
  <si>
    <t>GENSUS081498</t>
  </si>
  <si>
    <t>7.34.148.55</t>
  </si>
  <si>
    <t>842AFD081498</t>
  </si>
  <si>
    <t>S08115</t>
  </si>
  <si>
    <t>8CG112D6TL</t>
  </si>
  <si>
    <t>S08115.US-2016</t>
  </si>
  <si>
    <t>GENSUS081499</t>
  </si>
  <si>
    <t>7.43.172.28</t>
  </si>
  <si>
    <t>842AFD081499</t>
  </si>
  <si>
    <t>S08132</t>
  </si>
  <si>
    <t>8CG112D6TM</t>
  </si>
  <si>
    <t>S08132.US-2016</t>
  </si>
  <si>
    <t>GENSUS0814A2</t>
  </si>
  <si>
    <t>7.88.12.80</t>
  </si>
  <si>
    <t>842AFD0814A2</t>
  </si>
  <si>
    <t>S04741</t>
  </si>
  <si>
    <t>8CG112D73D</t>
  </si>
  <si>
    <t>S04741.US-2016</t>
  </si>
  <si>
    <t>GENSUS0814E0</t>
  </si>
  <si>
    <t>7.63.68.110</t>
  </si>
  <si>
    <t>842AFD0814E0</t>
  </si>
  <si>
    <t>8CG112CZBT</t>
  </si>
  <si>
    <t>GENSUS0814E7</t>
  </si>
  <si>
    <t>55.92.111.158</t>
  </si>
  <si>
    <t>842AFD0814E7</t>
  </si>
  <si>
    <t>8CG112CZBL</t>
  </si>
  <si>
    <t>GENSUS0814EF</t>
  </si>
  <si>
    <t>7.167.148.157</t>
  </si>
  <si>
    <t>842AFD0814EF</t>
  </si>
  <si>
    <t>8CG11300KR</t>
  </si>
  <si>
    <t>GENSUS081505</t>
  </si>
  <si>
    <t>7.77.172.17</t>
  </si>
  <si>
    <t>842AFD081505</t>
  </si>
  <si>
    <t>S06510</t>
  </si>
  <si>
    <t>8CG112CZ91</t>
  </si>
  <si>
    <t>S06510.US-2016</t>
  </si>
  <si>
    <t>GENSUS08151D</t>
  </si>
  <si>
    <t>55.77.135.151</t>
  </si>
  <si>
    <t>842AFD08151D</t>
  </si>
  <si>
    <t>8CG112DCYL</t>
  </si>
  <si>
    <t>GENSUS081526</t>
  </si>
  <si>
    <t>55.123.167.153</t>
  </si>
  <si>
    <t>842AFD081526</t>
  </si>
  <si>
    <t>8CG112DCXJ</t>
  </si>
  <si>
    <t>GENSUS081528</t>
  </si>
  <si>
    <t>7.122.172.22</t>
  </si>
  <si>
    <t>842AFD081528</t>
  </si>
  <si>
    <t>8CG112D74F</t>
  </si>
  <si>
    <t>GENSUS08152A</t>
  </si>
  <si>
    <t>7.84.180.64</t>
  </si>
  <si>
    <t>842AFD08152A</t>
  </si>
  <si>
    <t>S06410</t>
  </si>
  <si>
    <t>8CG112DCXF</t>
  </si>
  <si>
    <t>S06410.US-2016</t>
  </si>
  <si>
    <t>GENSUS081530</t>
  </si>
  <si>
    <t>7.32.36.180</t>
  </si>
  <si>
    <t>842AFD081530</t>
  </si>
  <si>
    <t>S08114</t>
  </si>
  <si>
    <t>8CG112DCXN</t>
  </si>
  <si>
    <t>S08114.US-2016</t>
  </si>
  <si>
    <t>GENSUS081533</t>
  </si>
  <si>
    <t>7.64.36.234</t>
  </si>
  <si>
    <t>842AFD081533</t>
  </si>
  <si>
    <t>S06401</t>
  </si>
  <si>
    <t>8CG112DCXP</t>
  </si>
  <si>
    <t>S06401.US-2016</t>
  </si>
  <si>
    <t>GENSUS081536</t>
  </si>
  <si>
    <t>7.178.204.37</t>
  </si>
  <si>
    <t>842AFD081536</t>
  </si>
  <si>
    <t>S06779</t>
  </si>
  <si>
    <t>8CG112D6TK</t>
  </si>
  <si>
    <t>S06779.US-2016</t>
  </si>
  <si>
    <t>GENSUS081537</t>
  </si>
  <si>
    <t>7.150.188.228</t>
  </si>
  <si>
    <t>842AFD081537</t>
  </si>
  <si>
    <t>S06521</t>
  </si>
  <si>
    <t>8CG112D6V7</t>
  </si>
  <si>
    <t>S06521.US-2016</t>
  </si>
  <si>
    <t>GENSUS081539</t>
  </si>
  <si>
    <t>7.91.204.159</t>
  </si>
  <si>
    <t>842AFD081539</t>
  </si>
  <si>
    <t>S08289</t>
  </si>
  <si>
    <t>8CG112D6VB</t>
  </si>
  <si>
    <t>S08289.US-2016</t>
  </si>
  <si>
    <t>GENSUS081541</t>
  </si>
  <si>
    <t>7.5.164.185</t>
  </si>
  <si>
    <t>842AFD081541</t>
  </si>
  <si>
    <t>8CG112D6VC</t>
  </si>
  <si>
    <t>GENSUS08154B</t>
  </si>
  <si>
    <t>7.161.68.200</t>
  </si>
  <si>
    <t>842AFD08154B</t>
  </si>
  <si>
    <t>8CG112DCY1</t>
  </si>
  <si>
    <t>GENSUS081554</t>
  </si>
  <si>
    <t>7.18.12.149</t>
  </si>
  <si>
    <t>842AFD081554</t>
  </si>
  <si>
    <t>S04802</t>
  </si>
  <si>
    <t>8CG112D72Q</t>
  </si>
  <si>
    <t>S04802.US-2016</t>
  </si>
  <si>
    <t>GENSUS081555</t>
  </si>
  <si>
    <t>7.74.188.173</t>
  </si>
  <si>
    <t>842AFD081555</t>
  </si>
  <si>
    <t>S06631</t>
  </si>
  <si>
    <t>8CG112D733</t>
  </si>
  <si>
    <t>S06631.US-2016</t>
  </si>
  <si>
    <t>GENSUS081556</t>
  </si>
  <si>
    <t>7.153.44.53</t>
  </si>
  <si>
    <t>842AFD081556</t>
  </si>
  <si>
    <t>S04794</t>
  </si>
  <si>
    <t>8CG112D735</t>
  </si>
  <si>
    <t>S04794.US-2016</t>
  </si>
  <si>
    <t>GENSUS081561</t>
  </si>
  <si>
    <t>7.74.212.45</t>
  </si>
  <si>
    <t>842AFD081561</t>
  </si>
  <si>
    <t>S04798</t>
  </si>
  <si>
    <t>8CG112CYGK</t>
  </si>
  <si>
    <t>S04798.US-2016</t>
  </si>
  <si>
    <t>GENSUS08156F</t>
  </si>
  <si>
    <t>7.65.60.129</t>
  </si>
  <si>
    <t>842AFD08156F</t>
  </si>
  <si>
    <t>S06353</t>
  </si>
  <si>
    <t>8CG112DCXT</t>
  </si>
  <si>
    <t>S06353.US-2016</t>
  </si>
  <si>
    <t>GENSUS081580</t>
  </si>
  <si>
    <t>7.191.92.32</t>
  </si>
  <si>
    <t>842AFD081580</t>
  </si>
  <si>
    <t>8CG112CZ8Y</t>
  </si>
  <si>
    <t>GENSUS081583</t>
  </si>
  <si>
    <t>7.11.164.118</t>
  </si>
  <si>
    <t>842AFD081583</t>
  </si>
  <si>
    <t>8CG112CZ8Z</t>
  </si>
  <si>
    <t>GENSUS08159B</t>
  </si>
  <si>
    <t>7.68.68.35</t>
  </si>
  <si>
    <t>842AFD08159B</t>
  </si>
  <si>
    <t>S06404</t>
  </si>
  <si>
    <t>8CG112D72V</t>
  </si>
  <si>
    <t>S06404.US-2016</t>
  </si>
  <si>
    <t>GENSUS08159F</t>
  </si>
  <si>
    <t>7.124.84.104</t>
  </si>
  <si>
    <t>842AFD08159F</t>
  </si>
  <si>
    <t>S06651</t>
  </si>
  <si>
    <t>8CG112D6T7</t>
  </si>
  <si>
    <t>S06651.US-2016</t>
  </si>
  <si>
    <t>GENSUS0815A2</t>
  </si>
  <si>
    <t>7.73.52.152</t>
  </si>
  <si>
    <t>842AFD0815A2</t>
  </si>
  <si>
    <t>S06633</t>
  </si>
  <si>
    <t>8CG112D6BF</t>
  </si>
  <si>
    <t>S06633.US-2016</t>
  </si>
  <si>
    <t>GENSUS0815B4</t>
  </si>
  <si>
    <t>7.76.28.170</t>
  </si>
  <si>
    <t>842AFD0815B4</t>
  </si>
  <si>
    <t>8CG112D6TF</t>
  </si>
  <si>
    <t>GENSUS0815B5</t>
  </si>
  <si>
    <t>7.34.148.236</t>
  </si>
  <si>
    <t>842AFD0815B5</t>
  </si>
  <si>
    <t>8CG112D71P</t>
  </si>
  <si>
    <t>GENSUS0815B6</t>
  </si>
  <si>
    <t>7.112.116.184</t>
  </si>
  <si>
    <t>842AFD0815B6</t>
  </si>
  <si>
    <t>S06570</t>
  </si>
  <si>
    <t>8CG112D6BB</t>
  </si>
  <si>
    <t>S06570.US-2016</t>
  </si>
  <si>
    <t>GENSUS0815B7</t>
  </si>
  <si>
    <t>7.213.124.87</t>
  </si>
  <si>
    <t>842AFD0815B7</t>
  </si>
  <si>
    <t>S04917</t>
  </si>
  <si>
    <t>8CG112D6V0</t>
  </si>
  <si>
    <t>S04917.US-2016</t>
  </si>
  <si>
    <t>GENSUS0815C1</t>
  </si>
  <si>
    <t>7.57.164.13</t>
  </si>
  <si>
    <t>842AFD0815C1</t>
  </si>
  <si>
    <t>S06684</t>
  </si>
  <si>
    <t>8CG112D71G</t>
  </si>
  <si>
    <t>S06684.US-2016</t>
  </si>
  <si>
    <t>GENSUS0815C2</t>
  </si>
  <si>
    <t>7.174.100.123</t>
  </si>
  <si>
    <t>842AFD0815C2</t>
  </si>
  <si>
    <t>S06369</t>
  </si>
  <si>
    <t>8CG112D6VH</t>
  </si>
  <si>
    <t>S06369.US-2016</t>
  </si>
  <si>
    <t>GENSUS0815D0</t>
  </si>
  <si>
    <t>7.77.188.158</t>
  </si>
  <si>
    <t>842AFD0815D0</t>
  </si>
  <si>
    <t>8CG112D6VJ</t>
  </si>
  <si>
    <t>GENSUS0815DA</t>
  </si>
  <si>
    <t>7.4.100.51</t>
  </si>
  <si>
    <t>842AFD0815DA</t>
  </si>
  <si>
    <t>S08215</t>
  </si>
  <si>
    <t>8CG112CZC7</t>
  </si>
  <si>
    <t>S08215.US-2016</t>
  </si>
  <si>
    <t>GENSUS0815E6</t>
  </si>
  <si>
    <t>7.63.68.32</t>
  </si>
  <si>
    <t>842AFD0815E6</t>
  </si>
  <si>
    <t>8CG112CWSG</t>
  </si>
  <si>
    <t>GENSUS0815EA</t>
  </si>
  <si>
    <t>7.23.100.98</t>
  </si>
  <si>
    <t>842AFD0815EA</t>
  </si>
  <si>
    <t>8CG112CZ6X</t>
  </si>
  <si>
    <t>GENSUS0815EE</t>
  </si>
  <si>
    <t>55.53.23.198</t>
  </si>
  <si>
    <t>842AFD0815EE</t>
  </si>
  <si>
    <t>S06343</t>
  </si>
  <si>
    <t>8CG112CZ6Y</t>
  </si>
  <si>
    <t>S06343.US-2016</t>
  </si>
  <si>
    <t>GENSUS0815F0</t>
  </si>
  <si>
    <t>7.52.236.85</t>
  </si>
  <si>
    <t>842AFD0815F0</t>
  </si>
  <si>
    <t>8CG11300JT</t>
  </si>
  <si>
    <t>GENSUS0815F4</t>
  </si>
  <si>
    <t>7.168.60.60</t>
  </si>
  <si>
    <t>842AFD0815F4</t>
  </si>
  <si>
    <t>8CG112CZ5W</t>
  </si>
  <si>
    <t>GENSUS0815F6</t>
  </si>
  <si>
    <t>7.52.164.182</t>
  </si>
  <si>
    <t>842AFD0815F6</t>
  </si>
  <si>
    <t>S08173</t>
  </si>
  <si>
    <t>8CG11300LS</t>
  </si>
  <si>
    <t>S08173.US-2016</t>
  </si>
  <si>
    <t>GENSUS0815FA</t>
  </si>
  <si>
    <t>7.13.236.176</t>
  </si>
  <si>
    <t>842AFD0815FA</t>
  </si>
  <si>
    <t>S06448</t>
  </si>
  <si>
    <t>8CG112CZ5X</t>
  </si>
  <si>
    <t>S06448.US-2016</t>
  </si>
  <si>
    <t>GENSUS0815FC</t>
  </si>
  <si>
    <t>7.157.196.46</t>
  </si>
  <si>
    <t>842AFD0815FC</t>
  </si>
  <si>
    <t>S04942</t>
  </si>
  <si>
    <t>8CG112CYP2</t>
  </si>
  <si>
    <t>S04942.US-2016</t>
  </si>
  <si>
    <t>GENSUS081603</t>
  </si>
  <si>
    <t>7.72.180.50</t>
  </si>
  <si>
    <t>842AFD081603</t>
  </si>
  <si>
    <t>S06664</t>
  </si>
  <si>
    <t>8CG112DCZ7</t>
  </si>
  <si>
    <t>S06664.US-2016</t>
  </si>
  <si>
    <t>GENSUS081607</t>
  </si>
  <si>
    <t>7.157.196.239</t>
  </si>
  <si>
    <t>842AFD081607</t>
  </si>
  <si>
    <t>8CG112CYJB</t>
  </si>
  <si>
    <t>GENSUS08160A</t>
  </si>
  <si>
    <t>7.183.188.14</t>
  </si>
  <si>
    <t>842AFD08160A</t>
  </si>
  <si>
    <t>S04855</t>
  </si>
  <si>
    <t>8CG112CYL7</t>
  </si>
  <si>
    <t>S04855.US-2016</t>
  </si>
  <si>
    <t>GENSUS08160F</t>
  </si>
  <si>
    <t>7.158.148.132</t>
  </si>
  <si>
    <t>842AFD08160F</t>
  </si>
  <si>
    <t>S04905</t>
  </si>
  <si>
    <t>8CG112CYL4</t>
  </si>
  <si>
    <t>S04905.US-2016</t>
  </si>
  <si>
    <t>GENSUS081614</t>
  </si>
  <si>
    <t>7.4.124.47</t>
  </si>
  <si>
    <t>842AFD081614</t>
  </si>
  <si>
    <t>S08163</t>
  </si>
  <si>
    <t>8CG112D6TX</t>
  </si>
  <si>
    <t>S08163.US-2016</t>
  </si>
  <si>
    <t>GENSUS081617</t>
  </si>
  <si>
    <t>7.87.52.197</t>
  </si>
  <si>
    <t>842AFD081617</t>
  </si>
  <si>
    <t>S08189</t>
  </si>
  <si>
    <t>8CG112CZ5J</t>
  </si>
  <si>
    <t>S08189.US-2016</t>
  </si>
  <si>
    <t>GENSUS08161C</t>
  </si>
  <si>
    <t>55.66.239.185</t>
  </si>
  <si>
    <t>842AFD08161C</t>
  </si>
  <si>
    <t>S06385</t>
  </si>
  <si>
    <t>8CG112DCZ8</t>
  </si>
  <si>
    <t>S06385.US-2016</t>
  </si>
  <si>
    <t>GENSUS08161F</t>
  </si>
  <si>
    <t>55.187.135.175</t>
  </si>
  <si>
    <t>842AFD08161F</t>
  </si>
  <si>
    <t>8CG112D726</t>
  </si>
  <si>
    <t>GENSUS081621</t>
  </si>
  <si>
    <t>7.52.212.178</t>
  </si>
  <si>
    <t>842AFD081621</t>
  </si>
  <si>
    <t>S06338</t>
  </si>
  <si>
    <t>8CG112DCZ9</t>
  </si>
  <si>
    <t>S06338.US-2016</t>
  </si>
  <si>
    <t>GENSUS081625</t>
  </si>
  <si>
    <t>7.189.100.184</t>
  </si>
  <si>
    <t>842AFD081625</t>
  </si>
  <si>
    <t>S04763</t>
  </si>
  <si>
    <t>8CG112CZ5T</t>
  </si>
  <si>
    <t>S04763.US-2016</t>
  </si>
  <si>
    <t>GENSUS08162B</t>
  </si>
  <si>
    <t>7.66.236.15</t>
  </si>
  <si>
    <t>842AFD08162B</t>
  </si>
  <si>
    <t>8CG112CZC2</t>
  </si>
  <si>
    <t>GENSUS08162D</t>
  </si>
  <si>
    <t>7.18.12.184</t>
  </si>
  <si>
    <t>842AFD08162D</t>
  </si>
  <si>
    <t>8CG11300WD</t>
  </si>
  <si>
    <t>GENSUS081636</t>
  </si>
  <si>
    <t>7.144.188.43</t>
  </si>
  <si>
    <t>842AFD081636</t>
  </si>
  <si>
    <t>8CG112CZ7M</t>
  </si>
  <si>
    <t>GENSUS081644</t>
  </si>
  <si>
    <t>7.17.220.167</t>
  </si>
  <si>
    <t>842AFD081644</t>
  </si>
  <si>
    <t>S04786</t>
  </si>
  <si>
    <t>8CG112CYJS</t>
  </si>
  <si>
    <t>S04786.US-2016</t>
  </si>
  <si>
    <t>GENSUS081645</t>
  </si>
  <si>
    <t>7.52.84.193</t>
  </si>
  <si>
    <t>842AFD081645</t>
  </si>
  <si>
    <t>S06372</t>
  </si>
  <si>
    <t>8CG112CYNZ</t>
  </si>
  <si>
    <t>S06372.US-2016</t>
  </si>
  <si>
    <t>GENSUS081652</t>
  </si>
  <si>
    <t>7.17.108.79</t>
  </si>
  <si>
    <t>842AFD081652</t>
  </si>
  <si>
    <t>S08223</t>
  </si>
  <si>
    <t>8CG112CZ6D</t>
  </si>
  <si>
    <t>S08223.US-2016</t>
  </si>
  <si>
    <t>GENSUS081677</t>
  </si>
  <si>
    <t>7.13.44.189</t>
  </si>
  <si>
    <t>842AFD081677</t>
  </si>
  <si>
    <t>S06304</t>
  </si>
  <si>
    <t>8CG112CZ7L</t>
  </si>
  <si>
    <t>S06304.US-2016</t>
  </si>
  <si>
    <t>GENSUS081684</t>
  </si>
  <si>
    <t>7.81.12.16</t>
  </si>
  <si>
    <t>842AFD081684</t>
  </si>
  <si>
    <t>8CG112CZ7D</t>
  </si>
  <si>
    <t>GENSUS08168A</t>
  </si>
  <si>
    <t>7.124.68.31</t>
  </si>
  <si>
    <t>842AFD08168A</t>
  </si>
  <si>
    <t>S08117</t>
  </si>
  <si>
    <t>8CG112CZ5Y</t>
  </si>
  <si>
    <t>S08117.US-2016</t>
  </si>
  <si>
    <t>GENSUS08168E</t>
  </si>
  <si>
    <t>7.13.212.59</t>
  </si>
  <si>
    <t>842AFD08168E</t>
  </si>
  <si>
    <t>S06431</t>
  </si>
  <si>
    <t>8CG112CZ9X</t>
  </si>
  <si>
    <t>S06431.US-2016</t>
  </si>
  <si>
    <t>GENSUS081695</t>
  </si>
  <si>
    <t>7.156.172.188</t>
  </si>
  <si>
    <t>842AFD081695</t>
  </si>
  <si>
    <t>S04985</t>
  </si>
  <si>
    <t>8CG112CZC0</t>
  </si>
  <si>
    <t>S04985.US-2016</t>
  </si>
  <si>
    <t>GENSUS081696</t>
  </si>
  <si>
    <t>7.63.68.37</t>
  </si>
  <si>
    <t>842AFD081696</t>
  </si>
  <si>
    <t>8CG112CZ6N</t>
  </si>
  <si>
    <t>GENSUS08169E</t>
  </si>
  <si>
    <t>7.84.196.73</t>
  </si>
  <si>
    <t>842AFD08169E</t>
  </si>
  <si>
    <t>8CG112CZ7R</t>
  </si>
  <si>
    <t>GENSUS08169F</t>
  </si>
  <si>
    <t>7.65.36.119</t>
  </si>
  <si>
    <t>842AFD08169F</t>
  </si>
  <si>
    <t>S06349</t>
  </si>
  <si>
    <t>8CG112CZ7S</t>
  </si>
  <si>
    <t>S06349.US-2016</t>
  </si>
  <si>
    <t>GENSUS0816B0</t>
  </si>
  <si>
    <t>7.150.196.68</t>
  </si>
  <si>
    <t>842AFD0816B0</t>
  </si>
  <si>
    <t>8CG112D725</t>
  </si>
  <si>
    <t>GENSUS0816B6</t>
  </si>
  <si>
    <t>7.93.100.23</t>
  </si>
  <si>
    <t>842AFD0816B6</t>
  </si>
  <si>
    <t>S06556</t>
  </si>
  <si>
    <t>8CG112D71C</t>
  </si>
  <si>
    <t>S06556.US-2016</t>
  </si>
  <si>
    <t>GENSUS0816B8</t>
  </si>
  <si>
    <t>7.53.164.171</t>
  </si>
  <si>
    <t>842AFD0816B8</t>
  </si>
  <si>
    <t>8CG112CZ5P</t>
  </si>
  <si>
    <t>GENSUS0816BB</t>
  </si>
  <si>
    <t>7.20.228.22</t>
  </si>
  <si>
    <t>842AFD0816BB</t>
  </si>
  <si>
    <t>S08125</t>
  </si>
  <si>
    <t>8CG112CZ5Q</t>
  </si>
  <si>
    <t>S08125.US-2016</t>
  </si>
  <si>
    <t>GENSUS0816C3</t>
  </si>
  <si>
    <t>7.25.140.39</t>
  </si>
  <si>
    <t>842AFD0816C3</t>
  </si>
  <si>
    <t>S06218</t>
  </si>
  <si>
    <t>8CG112DCYF</t>
  </si>
  <si>
    <t>S06218.US-2016</t>
  </si>
  <si>
    <t>GENSUS0816C5</t>
  </si>
  <si>
    <t>7.7.68.55</t>
  </si>
  <si>
    <t>842AFD0816C5</t>
  </si>
  <si>
    <t>8CG11300JH</t>
  </si>
  <si>
    <t>GENSUS0816DB</t>
  </si>
  <si>
    <t>7.65.36.231</t>
  </si>
  <si>
    <t>842AFD0816DB</t>
  </si>
  <si>
    <t>8CG112CZB0</t>
  </si>
  <si>
    <t>GENSUS0816DC</t>
  </si>
  <si>
    <t>7.71.60.13</t>
  </si>
  <si>
    <t>842AFD0816DC</t>
  </si>
  <si>
    <t>S06430</t>
  </si>
  <si>
    <t>8CG11300JV</t>
  </si>
  <si>
    <t>S06430.US-2016</t>
  </si>
  <si>
    <t>GENSUS0816DD</t>
  </si>
  <si>
    <t>7.64.36.180</t>
  </si>
  <si>
    <t>842AFD0816DD</t>
  </si>
  <si>
    <t>8CG112DCYP</t>
  </si>
  <si>
    <t>GENSUS0816E1</t>
  </si>
  <si>
    <t>7.69.108.50</t>
  </si>
  <si>
    <t>842AFD0816E1</t>
  </si>
  <si>
    <t>8CG11300JW</t>
  </si>
  <si>
    <t>GENSUS0816E3</t>
  </si>
  <si>
    <t>7.131.12.200</t>
  </si>
  <si>
    <t>842AFD0816E3</t>
  </si>
  <si>
    <t>S06620</t>
  </si>
  <si>
    <t>8CG112DCZP</t>
  </si>
  <si>
    <t>S06620.US-2016</t>
  </si>
  <si>
    <t>GENSUS0816EA</t>
  </si>
  <si>
    <t>55.91.199.171</t>
  </si>
  <si>
    <t>842AFD0816EA</t>
  </si>
  <si>
    <t>S08281</t>
  </si>
  <si>
    <t>8CG112DCZC</t>
  </si>
  <si>
    <t>S08281.US-2016</t>
  </si>
  <si>
    <t>GENSUS0816EC</t>
  </si>
  <si>
    <t>7.73.52.142</t>
  </si>
  <si>
    <t>842AFD0816EC</t>
  </si>
  <si>
    <t>8CG112DCYJ</t>
  </si>
  <si>
    <t>GENSUS0816EE</t>
  </si>
  <si>
    <t>7.21.20.10</t>
  </si>
  <si>
    <t>842AFD0816EE</t>
  </si>
  <si>
    <t>S08160</t>
  </si>
  <si>
    <t>8CG11300KX</t>
  </si>
  <si>
    <t>S08160.US-2016</t>
  </si>
  <si>
    <t>GENSUS0816F6</t>
  </si>
  <si>
    <t>7.144.84.158</t>
  </si>
  <si>
    <t>842AFD0816F6</t>
  </si>
  <si>
    <t>8CG112CYPJ</t>
  </si>
  <si>
    <t>GENSUS0816FB</t>
  </si>
  <si>
    <t>7.24.36.78</t>
  </si>
  <si>
    <t>842AFD0816FB</t>
  </si>
  <si>
    <t>S04739</t>
  </si>
  <si>
    <t>8CG11300L9</t>
  </si>
  <si>
    <t>S04739.US-2016</t>
  </si>
  <si>
    <t>GENSUS0816FE</t>
  </si>
  <si>
    <t>7.113.28.18</t>
  </si>
  <si>
    <t>842AFD0816FE</t>
  </si>
  <si>
    <t>8CG112CYPH</t>
  </si>
  <si>
    <t>GENSUS081700</t>
  </si>
  <si>
    <t>55.216.158.189</t>
  </si>
  <si>
    <t>842AFD081700</t>
  </si>
  <si>
    <t>S06406</t>
  </si>
  <si>
    <t>8CG11300L8</t>
  </si>
  <si>
    <t>S06406.US-2016</t>
  </si>
  <si>
    <t>GENSUS081703</t>
  </si>
  <si>
    <t>7.8.124.14</t>
  </si>
  <si>
    <t>842AFD081703</t>
  </si>
  <si>
    <t>S06461</t>
  </si>
  <si>
    <t>8CG112CZC4</t>
  </si>
  <si>
    <t>S06461.US-2016</t>
  </si>
  <si>
    <t>GENSUS081717</t>
  </si>
  <si>
    <t>7.82.180.196</t>
  </si>
  <si>
    <t>842AFD081717</t>
  </si>
  <si>
    <t>8CG11300S9</t>
  </si>
  <si>
    <t>GENSUS08171E</t>
  </si>
  <si>
    <t>7.69.140.211</t>
  </si>
  <si>
    <t>842AFD08171E</t>
  </si>
  <si>
    <t>S06441</t>
  </si>
  <si>
    <t>8CG112DD0G</t>
  </si>
  <si>
    <t>S06441.US-2016</t>
  </si>
  <si>
    <t>GENSUS081720</t>
  </si>
  <si>
    <t>7.124.68.166</t>
  </si>
  <si>
    <t>842AFD081720</t>
  </si>
  <si>
    <t>8CG112CZBW</t>
  </si>
  <si>
    <t>GENSUS081723</t>
  </si>
  <si>
    <t>7.89.108.72</t>
  </si>
  <si>
    <t>842AFD081723</t>
  </si>
  <si>
    <t>S04861</t>
  </si>
  <si>
    <t>8CG11300K1</t>
  </si>
  <si>
    <t>S04861.US-2016</t>
  </si>
  <si>
    <t>GENSUS081744</t>
  </si>
  <si>
    <t>7.11.180.115</t>
  </si>
  <si>
    <t>842AFD081744</t>
  </si>
  <si>
    <t>S08219</t>
  </si>
  <si>
    <t>8CG11300SZ</t>
  </si>
  <si>
    <t>S08219.US-2016</t>
  </si>
  <si>
    <t>GENSUS081747</t>
  </si>
  <si>
    <t>7.74.212.39</t>
  </si>
  <si>
    <t>842AFD081747</t>
  </si>
  <si>
    <t>8CG11300SD</t>
  </si>
  <si>
    <t>GENSUS081753</t>
  </si>
  <si>
    <t>7.191.28.180</t>
  </si>
  <si>
    <t>842AFD081753</t>
  </si>
  <si>
    <t>8CG112CYMW</t>
  </si>
  <si>
    <t>GENSUS081759</t>
  </si>
  <si>
    <t>55.68.71.158</t>
  </si>
  <si>
    <t>842AFD081759</t>
  </si>
  <si>
    <t>8CG112D71V</t>
  </si>
  <si>
    <t>GENSUS08175B</t>
  </si>
  <si>
    <t>7.7.76.11</t>
  </si>
  <si>
    <t>842AFD08175B</t>
  </si>
  <si>
    <t>S04804</t>
  </si>
  <si>
    <t>8CG112D6BL</t>
  </si>
  <si>
    <t>S04804.US-2016</t>
  </si>
  <si>
    <t>GENSUS081768</t>
  </si>
  <si>
    <t>7.4.68.22</t>
  </si>
  <si>
    <t>842AFD081768</t>
  </si>
  <si>
    <t>S08205</t>
  </si>
  <si>
    <t>8CG11300V4</t>
  </si>
  <si>
    <t>S08205.US-2016</t>
  </si>
  <si>
    <t>GENSUS08177C</t>
  </si>
  <si>
    <t>7.67.172.139</t>
  </si>
  <si>
    <t>842AFD08177C</t>
  </si>
  <si>
    <t>S06387</t>
  </si>
  <si>
    <t>8CG112DCZH</t>
  </si>
  <si>
    <t>S06387.US-2016</t>
  </si>
  <si>
    <t>GENSUS08177E</t>
  </si>
  <si>
    <t>7.146.124.24</t>
  </si>
  <si>
    <t>842AFD08177E</t>
  </si>
  <si>
    <t>S08252</t>
  </si>
  <si>
    <t>8CG112CYG5</t>
  </si>
  <si>
    <t>S08252.US-2016</t>
  </si>
  <si>
    <t>GENSUS081781</t>
  </si>
  <si>
    <t>55.112.119.191</t>
  </si>
  <si>
    <t>842AFD081781</t>
  </si>
  <si>
    <t>8CG11300L4</t>
  </si>
  <si>
    <t>GENSUS081783</t>
  </si>
  <si>
    <t>7.64.36.157</t>
  </si>
  <si>
    <t>842AFD081783</t>
  </si>
  <si>
    <t>8CG112D6CL</t>
  </si>
  <si>
    <t>GENSUS081785</t>
  </si>
  <si>
    <t>7.69.60.164</t>
  </si>
  <si>
    <t>842AFD081785</t>
  </si>
  <si>
    <t>S06423</t>
  </si>
  <si>
    <t>8CG11300L5</t>
  </si>
  <si>
    <t>S06423.US-2016</t>
  </si>
  <si>
    <t>GENSUS0817B4</t>
  </si>
  <si>
    <t>7.178.212.64</t>
  </si>
  <si>
    <t>842AFD0817B4</t>
  </si>
  <si>
    <t>S06979</t>
  </si>
  <si>
    <t>8CG112CYG0</t>
  </si>
  <si>
    <t>S06979.US-2016</t>
  </si>
  <si>
    <t>GENSUS0817C4</t>
  </si>
  <si>
    <t>7.213.4.197</t>
  </si>
  <si>
    <t>842AFD0817C4</t>
  </si>
  <si>
    <t>S08243</t>
  </si>
  <si>
    <t>8CG112D71T</t>
  </si>
  <si>
    <t>S08243.US-2016</t>
  </si>
  <si>
    <t>GENSUS0817CA</t>
  </si>
  <si>
    <t>55.51.79.177</t>
  </si>
  <si>
    <t>842AFD0817CA</t>
  </si>
  <si>
    <t>8CG112D719</t>
  </si>
  <si>
    <t>GENSUS0817CF</t>
  </si>
  <si>
    <t>7.189.68.98</t>
  </si>
  <si>
    <t>842AFD0817CF</t>
  </si>
  <si>
    <t>S08284</t>
  </si>
  <si>
    <t>8CG112D72X</t>
  </si>
  <si>
    <t>S08284.US-2016</t>
  </si>
  <si>
    <t>GENSUS0817D2</t>
  </si>
  <si>
    <t>7.14.172.17</t>
  </si>
  <si>
    <t>842AFD0817D2</t>
  </si>
  <si>
    <t>S06472</t>
  </si>
  <si>
    <t>8CG11300LF</t>
  </si>
  <si>
    <t>S06472.US-2016</t>
  </si>
  <si>
    <t>GENSUS0817DA</t>
  </si>
  <si>
    <t>7.13.44.79</t>
  </si>
  <si>
    <t>842AFD0817DA</t>
  </si>
  <si>
    <t>8CG11300SV</t>
  </si>
  <si>
    <t>GENSUS0817DB</t>
  </si>
  <si>
    <t>7.211.228.177</t>
  </si>
  <si>
    <t>842AFD0817DB</t>
  </si>
  <si>
    <t>8CG11300SS</t>
  </si>
  <si>
    <t>GENSUS0817DD</t>
  </si>
  <si>
    <t>7.32.76.209</t>
  </si>
  <si>
    <t>842AFD0817DD</t>
  </si>
  <si>
    <t>S08168</t>
  </si>
  <si>
    <t>8CG11300VB</t>
  </si>
  <si>
    <t>S08168.US-2016</t>
  </si>
  <si>
    <t>GENSUS0817E3</t>
  </si>
  <si>
    <t>7.52.196.19</t>
  </si>
  <si>
    <t>842AFD0817E3</t>
  </si>
  <si>
    <t>S06335</t>
  </si>
  <si>
    <t>8CG11300TX</t>
  </si>
  <si>
    <t>S06335.US-2016</t>
  </si>
  <si>
    <t>GENSUS0817E5</t>
  </si>
  <si>
    <t>7.84.180.185</t>
  </si>
  <si>
    <t>842AFD0817E5</t>
  </si>
  <si>
    <t>8CG11300JN</t>
  </si>
  <si>
    <t>GENSUS0817ED</t>
  </si>
  <si>
    <t>7.123.164.37</t>
  </si>
  <si>
    <t>842AFD0817ED</t>
  </si>
  <si>
    <t>8CG112CWTV</t>
  </si>
  <si>
    <t>GENSUS0817EF</t>
  </si>
  <si>
    <t>7.7.172.35</t>
  </si>
  <si>
    <t>842AFD0817EF</t>
  </si>
  <si>
    <t>S04994</t>
  </si>
  <si>
    <t>8CG112CWTW</t>
  </si>
  <si>
    <t>S04994.US-2016</t>
  </si>
  <si>
    <t>GENSUS0817F5</t>
  </si>
  <si>
    <t>7.183.188.19</t>
  </si>
  <si>
    <t>842AFD0817F5</t>
  </si>
  <si>
    <t>8CG112CYJN</t>
  </si>
  <si>
    <t>GENSUS0817F9</t>
  </si>
  <si>
    <t>7.178.212.100</t>
  </si>
  <si>
    <t>842AFD0817F9</t>
  </si>
  <si>
    <t>8CG112CYJF</t>
  </si>
  <si>
    <t>GENSUS0817FB</t>
  </si>
  <si>
    <t>7.191.76.35</t>
  </si>
  <si>
    <t>842AFD0817FB</t>
  </si>
  <si>
    <t>S04797</t>
  </si>
  <si>
    <t>8CG112CYJH</t>
  </si>
  <si>
    <t>S04797.US-2016</t>
  </si>
  <si>
    <t>GENSUS0817FF</t>
  </si>
  <si>
    <t>7.4.132.19</t>
  </si>
  <si>
    <t>842AFD0817FF</t>
  </si>
  <si>
    <t>S08162</t>
  </si>
  <si>
    <t>8CG112CYK0</t>
  </si>
  <si>
    <t>S08162.US-2016</t>
  </si>
  <si>
    <t>GENSUS081805</t>
  </si>
  <si>
    <t>7.148.100.87</t>
  </si>
  <si>
    <t>842AFD081805</t>
  </si>
  <si>
    <t>8CG112CYJM</t>
  </si>
  <si>
    <t>GENSUS08180E</t>
  </si>
  <si>
    <t>7.25.124.68</t>
  </si>
  <si>
    <t>842AFD08180E</t>
  </si>
  <si>
    <t>S06212</t>
  </si>
  <si>
    <t>8CG112D6C7</t>
  </si>
  <si>
    <t>S06212.US-2016</t>
  </si>
  <si>
    <t>GENSUS081815</t>
  </si>
  <si>
    <t>7.36.44.168</t>
  </si>
  <si>
    <t>842AFD081815</t>
  </si>
  <si>
    <t>8CG112D6C5</t>
  </si>
  <si>
    <t>GENSUS081818</t>
  </si>
  <si>
    <t>7.53.116.166</t>
  </si>
  <si>
    <t>842AFD081818</t>
  </si>
  <si>
    <t>S06320</t>
  </si>
  <si>
    <t>8CG1132DCZ</t>
  </si>
  <si>
    <t>S06320.US-2016</t>
  </si>
  <si>
    <t>GENSUS08181A</t>
  </si>
  <si>
    <t>7.8.220.171</t>
  </si>
  <si>
    <t>842AFD08181A</t>
  </si>
  <si>
    <t>S06482</t>
  </si>
  <si>
    <t>8CG112D69R</t>
  </si>
  <si>
    <t>S06482.US-2016</t>
  </si>
  <si>
    <t>GENSUS08181E</t>
  </si>
  <si>
    <t>7.69.188.177</t>
  </si>
  <si>
    <t>842AFD08181E</t>
  </si>
  <si>
    <t>S06356</t>
  </si>
  <si>
    <t>8CG112D6BT</t>
  </si>
  <si>
    <t>S06356.US-2016</t>
  </si>
  <si>
    <t>GENSUS081823</t>
  </si>
  <si>
    <t>7.74.44.99</t>
  </si>
  <si>
    <t>842AFD081823</t>
  </si>
  <si>
    <t>8CG112D6BN</t>
  </si>
  <si>
    <t>GENSUS081827</t>
  </si>
  <si>
    <t>7.151.108.218</t>
  </si>
  <si>
    <t>842AFD081827</t>
  </si>
  <si>
    <t>S04906</t>
  </si>
  <si>
    <t>8CG112D6CH</t>
  </si>
  <si>
    <t>S04906.US-2016</t>
  </si>
  <si>
    <t>GENSUS081829</t>
  </si>
  <si>
    <t>55.52.183.197</t>
  </si>
  <si>
    <t>842AFD081829</t>
  </si>
  <si>
    <t>S06333</t>
  </si>
  <si>
    <t>8CG112DCXV</t>
  </si>
  <si>
    <t>S06333.US-2016</t>
  </si>
  <si>
    <t>GENSUS08182D</t>
  </si>
  <si>
    <t>7.7.164.172</t>
  </si>
  <si>
    <t>842AFD08182D</t>
  </si>
  <si>
    <t>8CG112D6C9</t>
  </si>
  <si>
    <t>GENSUS081834</t>
  </si>
  <si>
    <t>7.36.44.88</t>
  </si>
  <si>
    <t>842AFD081834</t>
  </si>
  <si>
    <t>8CG112D6CG</t>
  </si>
  <si>
    <t>GENSUS081844</t>
  </si>
  <si>
    <t>7.35.140.22</t>
  </si>
  <si>
    <t>842AFD081844</t>
  </si>
  <si>
    <t>8CG11300SF</t>
  </si>
  <si>
    <t>GENSUS081846</t>
  </si>
  <si>
    <t>7.11.180.80</t>
  </si>
  <si>
    <t>842AFD081846</t>
  </si>
  <si>
    <t>8CG11300SY</t>
  </si>
  <si>
    <t>GENSUS081847</t>
  </si>
  <si>
    <t>7.76.36.109</t>
  </si>
  <si>
    <t>842AFD081847</t>
  </si>
  <si>
    <t>S06373</t>
  </si>
  <si>
    <t>8CG11300HT</t>
  </si>
  <si>
    <t>S06373.US-2016</t>
  </si>
  <si>
    <t>GENSUS081854</t>
  </si>
  <si>
    <t>7.164.244.62</t>
  </si>
  <si>
    <t>842AFD081854</t>
  </si>
  <si>
    <t>S04982</t>
  </si>
  <si>
    <t>8CG112CYJX</t>
  </si>
  <si>
    <t>S04982.US-2016</t>
  </si>
  <si>
    <t>GENSUS081881</t>
  </si>
  <si>
    <t>7.68.108.25</t>
  </si>
  <si>
    <t>842AFD081881</t>
  </si>
  <si>
    <t>8CG11300TL</t>
  </si>
  <si>
    <t>GENSUS081882</t>
  </si>
  <si>
    <t>7.181.44.194</t>
  </si>
  <si>
    <t>842AFD081882</t>
  </si>
  <si>
    <t>S06189</t>
  </si>
  <si>
    <t>8CG11300LR</t>
  </si>
  <si>
    <t>S06189.US-2016</t>
  </si>
  <si>
    <t>GENSUS081885</t>
  </si>
  <si>
    <t>7.173.172.174</t>
  </si>
  <si>
    <t>842AFD081885</t>
  </si>
  <si>
    <t>S04790</t>
  </si>
  <si>
    <t>8CG11300J3</t>
  </si>
  <si>
    <t>GENSUS081887</t>
  </si>
  <si>
    <t>7.8.156.15</t>
  </si>
  <si>
    <t>842AFD081887</t>
  </si>
  <si>
    <t>S06419</t>
  </si>
  <si>
    <t>8CG11300J7</t>
  </si>
  <si>
    <t>S06419.US-2016</t>
  </si>
  <si>
    <t>GENSUS08188C</t>
  </si>
  <si>
    <t>7.91.172.65</t>
  </si>
  <si>
    <t>842AFD08188C</t>
  </si>
  <si>
    <t>S08180</t>
  </si>
  <si>
    <t>8CG11300T8</t>
  </si>
  <si>
    <t>S08180.US-2016</t>
  </si>
  <si>
    <t>GENSUS08188D</t>
  </si>
  <si>
    <t>7.49.196.54</t>
  </si>
  <si>
    <t>842AFD08188D</t>
  </si>
  <si>
    <t>8CG112CYJ9</t>
  </si>
  <si>
    <t>GENSUS08188E</t>
  </si>
  <si>
    <t>7.12.28.55</t>
  </si>
  <si>
    <t>842AFD08188E</t>
  </si>
  <si>
    <t>S08242</t>
  </si>
  <si>
    <t>8CG11300W8</t>
  </si>
  <si>
    <t>S08242.US-2016</t>
  </si>
  <si>
    <t>GENSUS08188F</t>
  </si>
  <si>
    <t>7.65.44.154</t>
  </si>
  <si>
    <t>842AFD08188F</t>
  </si>
  <si>
    <t>S06350</t>
  </si>
  <si>
    <t>8CG11300JC</t>
  </si>
  <si>
    <t>S06350.US-2016</t>
  </si>
  <si>
    <t>GENSUS081890</t>
  </si>
  <si>
    <t>7.74.44.25</t>
  </si>
  <si>
    <t>842AFD081890</t>
  </si>
  <si>
    <t>8CG11300LH</t>
  </si>
  <si>
    <t>GENSUS081896</t>
  </si>
  <si>
    <t>7.65.60.92</t>
  </si>
  <si>
    <t>842AFD081896</t>
  </si>
  <si>
    <t>8CG112DD0D</t>
  </si>
  <si>
    <t>GENSUS081899</t>
  </si>
  <si>
    <t>7.56.204.109</t>
  </si>
  <si>
    <t>842AFD081899</t>
  </si>
  <si>
    <t>8CG11300LC</t>
  </si>
  <si>
    <t>GENSUS0818A1</t>
  </si>
  <si>
    <t>7.148.92.51</t>
  </si>
  <si>
    <t>842AFD0818A1</t>
  </si>
  <si>
    <t>S04761</t>
  </si>
  <si>
    <t>8CG11300TG</t>
  </si>
  <si>
    <t>S04761.US-2016</t>
  </si>
  <si>
    <t>GENSUS0818A4</t>
  </si>
  <si>
    <t>7.52.196.46</t>
  </si>
  <si>
    <t>842AFD0818A4</t>
  </si>
  <si>
    <t>8CG11300V1</t>
  </si>
  <si>
    <t>GENSUS0818B9</t>
  </si>
  <si>
    <t>7.175.60.109</t>
  </si>
  <si>
    <t>842AFD0818B9</t>
  </si>
  <si>
    <t>8CG11300J4</t>
  </si>
  <si>
    <t>GENSUS0818BC</t>
  </si>
  <si>
    <t>7.82.180.176</t>
  </si>
  <si>
    <t>842AFD0818BC</t>
  </si>
  <si>
    <t>8CG112CWSD</t>
  </si>
  <si>
    <t>GENSUS0818BF</t>
  </si>
  <si>
    <t>7.69.84.167</t>
  </si>
  <si>
    <t>842AFD0818BF</t>
  </si>
  <si>
    <t>8CG11300W5</t>
  </si>
  <si>
    <t>GENSUS0818C1</t>
  </si>
  <si>
    <t>7.79.20.51</t>
  </si>
  <si>
    <t>842AFD0818C1</t>
  </si>
  <si>
    <t>S06464</t>
  </si>
  <si>
    <t>8CG112DCZK</t>
  </si>
  <si>
    <t>S06464.US-2016</t>
  </si>
  <si>
    <t>GENSUS0818C3</t>
  </si>
  <si>
    <t>7.70.212.27</t>
  </si>
  <si>
    <t>842AFD0818C3</t>
  </si>
  <si>
    <t>S06428</t>
  </si>
  <si>
    <t>8CG11300KS</t>
  </si>
  <si>
    <t>S06428.US-2016</t>
  </si>
  <si>
    <t>GENSUS0818C8</t>
  </si>
  <si>
    <t>7.68.108.20</t>
  </si>
  <si>
    <t>842AFD0818C8</t>
  </si>
  <si>
    <t>8CG112CYL9</t>
  </si>
  <si>
    <t>GENSUS0818CD</t>
  </si>
  <si>
    <t>7.56.204.112</t>
  </si>
  <si>
    <t>842AFD0818CD</t>
  </si>
  <si>
    <t>8CG11300HW</t>
  </si>
  <si>
    <t>GENSUS0818CE</t>
  </si>
  <si>
    <t>7.32.36.39</t>
  </si>
  <si>
    <t>842AFD0818CE</t>
  </si>
  <si>
    <t>8CG112DD06</t>
  </si>
  <si>
    <t>GENSUS0818D1</t>
  </si>
  <si>
    <t>7.189.100.135</t>
  </si>
  <si>
    <t>842AFD0818D1</t>
  </si>
  <si>
    <t>8CG112DD07</t>
  </si>
  <si>
    <t>GENSUS0818D3</t>
  </si>
  <si>
    <t>7.52.92.22</t>
  </si>
  <si>
    <t>842AFD0818D3</t>
  </si>
  <si>
    <t>S06319</t>
  </si>
  <si>
    <t>8CG112DCYT</t>
  </si>
  <si>
    <t>S06319.US-2016</t>
  </si>
  <si>
    <t>GENSUS0818DA</t>
  </si>
  <si>
    <t>7.144.212.173</t>
  </si>
  <si>
    <t>842AFD0818DA</t>
  </si>
  <si>
    <t>S04859</t>
  </si>
  <si>
    <t>8CG112CYJ7</t>
  </si>
  <si>
    <t>S04859.US-2016</t>
  </si>
  <si>
    <t>GENSUS0818E1</t>
  </si>
  <si>
    <t>7.24.4.170</t>
  </si>
  <si>
    <t>842AFD0818E1</t>
  </si>
  <si>
    <t>S04707</t>
  </si>
  <si>
    <t>8CG112CYK6</t>
  </si>
  <si>
    <t>S04707.US-2016</t>
  </si>
  <si>
    <t>GENSUS0818EC</t>
  </si>
  <si>
    <t>7.139.76.234</t>
  </si>
  <si>
    <t>842AFD0818EC</t>
  </si>
  <si>
    <t>S06311</t>
  </si>
  <si>
    <t>8CG112CYNR</t>
  </si>
  <si>
    <t>S06311.US-2016</t>
  </si>
  <si>
    <t>GENSUS0818ED</t>
  </si>
  <si>
    <t>55.122.199.171</t>
  </si>
  <si>
    <t>842AFD0818ED</t>
  </si>
  <si>
    <t>8CG112CYNS</t>
  </si>
  <si>
    <t>GENSUS0818EE</t>
  </si>
  <si>
    <t>55.53.47.173</t>
  </si>
  <si>
    <t>842AFD0818EE</t>
  </si>
  <si>
    <t>S08176</t>
  </si>
  <si>
    <t>8CG112CYMN</t>
  </si>
  <si>
    <t>S08176.US-2016</t>
  </si>
  <si>
    <t>GENSUS0818F4</t>
  </si>
  <si>
    <t>7.156.164.78</t>
  </si>
  <si>
    <t>842AFD0818F4</t>
  </si>
  <si>
    <t>8CG112CWTG</t>
  </si>
  <si>
    <t>GENSUS0818FA</t>
  </si>
  <si>
    <t>7.215.236.25</t>
  </si>
  <si>
    <t>842AFD0818FA</t>
  </si>
  <si>
    <t>S08210</t>
  </si>
  <si>
    <t>8CG11300JL</t>
  </si>
  <si>
    <t>S08210.US-2016</t>
  </si>
  <si>
    <t>GENSUS0818FD</t>
  </si>
  <si>
    <t>7.35.116.63</t>
  </si>
  <si>
    <t>842AFD0818FD</t>
  </si>
  <si>
    <t>8CG112CWTR</t>
  </si>
  <si>
    <t>GENSUS0818FE</t>
  </si>
  <si>
    <t>7.165.244.131</t>
  </si>
  <si>
    <t>842AFD0818FE</t>
  </si>
  <si>
    <t>8CG112CWTN</t>
  </si>
  <si>
    <t>GENSUS081904</t>
  </si>
  <si>
    <t>55.67.151.155</t>
  </si>
  <si>
    <t>842AFD081904</t>
  </si>
  <si>
    <t>8CG112CYN0</t>
  </si>
  <si>
    <t>GENSUS081906</t>
  </si>
  <si>
    <t>7.7.68.228</t>
  </si>
  <si>
    <t>842AFD081906</t>
  </si>
  <si>
    <t>8CG11300KD</t>
  </si>
  <si>
    <t>GENSUS08190C</t>
  </si>
  <si>
    <t>7.87.28.120</t>
  </si>
  <si>
    <t>842AFD08190C</t>
  </si>
  <si>
    <t>8CG112CYMY</t>
  </si>
  <si>
    <t>GENSUS08191E</t>
  </si>
  <si>
    <t>7.64.36.178</t>
  </si>
  <si>
    <t>842AFD08191E</t>
  </si>
  <si>
    <t>8CG112D6DS</t>
  </si>
  <si>
    <t>GENSUS081921</t>
  </si>
  <si>
    <t>7.73.172.110</t>
  </si>
  <si>
    <t>842AFD081921</t>
  </si>
  <si>
    <t>S06675</t>
  </si>
  <si>
    <t>8CG112CZ94</t>
  </si>
  <si>
    <t>S06675.US-2016</t>
  </si>
  <si>
    <t>GENSUS081941</t>
  </si>
  <si>
    <t>55.56.183.179</t>
  </si>
  <si>
    <t>842AFD081941</t>
  </si>
  <si>
    <t>S08107</t>
  </si>
  <si>
    <t>8CG112CZB9</t>
  </si>
  <si>
    <t>S08107.US-2016</t>
  </si>
  <si>
    <t>GENSUS081943</t>
  </si>
  <si>
    <t>7.52.180.200</t>
  </si>
  <si>
    <t>842AFD081943</t>
  </si>
  <si>
    <t>8CG112CZBC</t>
  </si>
  <si>
    <t>GENSUS081959</t>
  </si>
  <si>
    <t>7.187.100.78</t>
  </si>
  <si>
    <t>842AFD081959</t>
  </si>
  <si>
    <t>8CG112CYH1</t>
  </si>
  <si>
    <t>GENSUS081960</t>
  </si>
  <si>
    <t>7.144.188.161</t>
  </si>
  <si>
    <t>842AFD081960</t>
  </si>
  <si>
    <t>8CG112CYGT</t>
  </si>
  <si>
    <t>GENSUS081961</t>
  </si>
  <si>
    <t>55.144.207.157</t>
  </si>
  <si>
    <t>842AFD081961</t>
  </si>
  <si>
    <t>S04846</t>
  </si>
  <si>
    <t>8CG112CYGV</t>
  </si>
  <si>
    <t>S04846.US-2016</t>
  </si>
  <si>
    <t>GENSUS081991</t>
  </si>
  <si>
    <t>7.21.68.154</t>
  </si>
  <si>
    <t>842AFD081991</t>
  </si>
  <si>
    <t>S08169</t>
  </si>
  <si>
    <t>8CG112D6DH</t>
  </si>
  <si>
    <t>S08169.US-2016</t>
  </si>
  <si>
    <t>GENSUS081995</t>
  </si>
  <si>
    <t>7.66.12.203</t>
  </si>
  <si>
    <t>842AFD081995</t>
  </si>
  <si>
    <t>S06359</t>
  </si>
  <si>
    <t>8CG112D6C2</t>
  </si>
  <si>
    <t>S06359.US-2016</t>
  </si>
  <si>
    <t>GENSUS081998</t>
  </si>
  <si>
    <t>7.69.188.38</t>
  </si>
  <si>
    <t>842AFD081998</t>
  </si>
  <si>
    <t>8CG112D6DD</t>
  </si>
  <si>
    <t>GENSUS081999</t>
  </si>
  <si>
    <t>7.212.220.17</t>
  </si>
  <si>
    <t>842AFD081999</t>
  </si>
  <si>
    <t>S06267</t>
  </si>
  <si>
    <t>8CG112D6DF</t>
  </si>
  <si>
    <t>S06267.US-2016</t>
  </si>
  <si>
    <t>GENSUS08199A</t>
  </si>
  <si>
    <t>55.156.183.178</t>
  </si>
  <si>
    <t>842AFD08199A</t>
  </si>
  <si>
    <t>S06331</t>
  </si>
  <si>
    <t>8CG112D6DB</t>
  </si>
  <si>
    <t>S06331.US-2016</t>
  </si>
  <si>
    <t>GENSUS0819A2</t>
  </si>
  <si>
    <t>7.51.76.11</t>
  </si>
  <si>
    <t>842AFD0819A2</t>
  </si>
  <si>
    <t>8CG112D6WR</t>
  </si>
  <si>
    <t>GENSUS0819B4</t>
  </si>
  <si>
    <t>7.151.108.62</t>
  </si>
  <si>
    <t>842AFD0819B4</t>
  </si>
  <si>
    <t>8CG112D6CT</t>
  </si>
  <si>
    <t>GENSUS0819B8</t>
  </si>
  <si>
    <t>7.186.244.45</t>
  </si>
  <si>
    <t>842AFD0819B8</t>
  </si>
  <si>
    <t>8CG112D6CQ</t>
  </si>
  <si>
    <t>GENSUS0819BA</t>
  </si>
  <si>
    <t>7.24.36.77</t>
  </si>
  <si>
    <t>842AFD0819BA</t>
  </si>
  <si>
    <t>8CG112D6B9</t>
  </si>
  <si>
    <t>GENSUS0819BE</t>
  </si>
  <si>
    <t>7.82.180.60</t>
  </si>
  <si>
    <t>842AFD0819BE</t>
  </si>
  <si>
    <t>8CG112D6CY</t>
  </si>
  <si>
    <t>GENSUS0819C4</t>
  </si>
  <si>
    <t>55.3.7.178</t>
  </si>
  <si>
    <t>842AFD0819C4</t>
  </si>
  <si>
    <t>8CG112D6TH</t>
  </si>
  <si>
    <t>GENSUS0819D2</t>
  </si>
  <si>
    <t>7.77.140.147</t>
  </si>
  <si>
    <t>842AFD0819D2</t>
  </si>
  <si>
    <t>8CG112D6W2</t>
  </si>
  <si>
    <t>GENSUS0819D8</t>
  </si>
  <si>
    <t>7.51.76.20</t>
  </si>
  <si>
    <t>842AFD0819D8</t>
  </si>
  <si>
    <t>8CG112D6WH</t>
  </si>
  <si>
    <t>GENSUS0819DB</t>
  </si>
  <si>
    <t>7.52.180.15</t>
  </si>
  <si>
    <t>842AFD0819DB</t>
  </si>
  <si>
    <t>8CG112DCY4</t>
  </si>
  <si>
    <t>GENSUS0819DE</t>
  </si>
  <si>
    <t>7.3.92.121</t>
  </si>
  <si>
    <t>842AFD0819DE</t>
  </si>
  <si>
    <t>8CG112D6C0</t>
  </si>
  <si>
    <t>GENSUS0819E3</t>
  </si>
  <si>
    <t>7.10.164.175</t>
  </si>
  <si>
    <t>842AFD0819E3</t>
  </si>
  <si>
    <t>8CG112DCY9</t>
  </si>
  <si>
    <t>GENSUS0819E6</t>
  </si>
  <si>
    <t>7.74.212.48</t>
  </si>
  <si>
    <t>842AFD0819E6</t>
  </si>
  <si>
    <t>8CG112D73T</t>
  </si>
  <si>
    <t>GENSUS0819FD</t>
  </si>
  <si>
    <t>7.68.148.184</t>
  </si>
  <si>
    <t>842AFD0819FD</t>
  </si>
  <si>
    <t>S06414</t>
  </si>
  <si>
    <t>8CG112DCYM</t>
  </si>
  <si>
    <t>S06414.US-2016</t>
  </si>
  <si>
    <t>GENSUS081A0B</t>
  </si>
  <si>
    <t>7.12.108.98</t>
  </si>
  <si>
    <t>842AFD081A0B</t>
  </si>
  <si>
    <t>S08292</t>
  </si>
  <si>
    <t>8CG112CYL8</t>
  </si>
  <si>
    <t>S08292.US-2016</t>
  </si>
  <si>
    <t>GENSUS081A0C</t>
  </si>
  <si>
    <t>55.216.159.153</t>
  </si>
  <si>
    <t>842AFD081A0C</t>
  </si>
  <si>
    <t>8CG11300K6</t>
  </si>
  <si>
    <t>GENSUS081A0E</t>
  </si>
  <si>
    <t>7.128.212.56</t>
  </si>
  <si>
    <t>842AFD081A0E</t>
  </si>
  <si>
    <t>S06621</t>
  </si>
  <si>
    <t>8CG112CYLD</t>
  </si>
  <si>
    <t>S06621.US-2016</t>
  </si>
  <si>
    <t>GENSUS081A22</t>
  </si>
  <si>
    <t>7.160.52.82</t>
  </si>
  <si>
    <t>842AFD081A22</t>
  </si>
  <si>
    <t>S06678</t>
  </si>
  <si>
    <t>8CG112CZ68</t>
  </si>
  <si>
    <t>S06678.US-2016</t>
  </si>
  <si>
    <t>GENSUS081A35</t>
  </si>
  <si>
    <t>7.21.164.11</t>
  </si>
  <si>
    <t>842AFD081A35</t>
  </si>
  <si>
    <t>S08241</t>
  </si>
  <si>
    <t>8CG112D6VN</t>
  </si>
  <si>
    <t>S08241.US-2016</t>
  </si>
  <si>
    <t>GENSUS081A50</t>
  </si>
  <si>
    <t>7.69.188.158</t>
  </si>
  <si>
    <t>842AFD081A50</t>
  </si>
  <si>
    <t>8CG112D69W</t>
  </si>
  <si>
    <t>GENSUS081A5C</t>
  </si>
  <si>
    <t>7.78.196.24</t>
  </si>
  <si>
    <t>842AFD081A5C</t>
  </si>
  <si>
    <t>S06562</t>
  </si>
  <si>
    <t>8CG112CZ3T</t>
  </si>
  <si>
    <t>S06562.US-2016</t>
  </si>
  <si>
    <t>GENSUS081A5F</t>
  </si>
  <si>
    <t>7.91.108.62</t>
  </si>
  <si>
    <t>842AFD081A5F</t>
  </si>
  <si>
    <t>8CG112CYPQ</t>
  </si>
  <si>
    <t>GENSUS081A61</t>
  </si>
  <si>
    <t>7.3.92.142</t>
  </si>
  <si>
    <t>842AFD081A61</t>
  </si>
  <si>
    <t>8CG112CYPR</t>
  </si>
  <si>
    <t>GENSUS081A6C</t>
  </si>
  <si>
    <t>7.91.108.50</t>
  </si>
  <si>
    <t>842AFD081A6C</t>
  </si>
  <si>
    <t>8CG112CYMQ</t>
  </si>
  <si>
    <t>GENSUS081A70</t>
  </si>
  <si>
    <t>7.159.44.21</t>
  </si>
  <si>
    <t>842AFD081A70</t>
  </si>
  <si>
    <t>S04837</t>
  </si>
  <si>
    <t>8CG112D6D3</t>
  </si>
  <si>
    <t>S04837.US-2016</t>
  </si>
  <si>
    <t>GENSUS081A74</t>
  </si>
  <si>
    <t>7.140.52.176</t>
  </si>
  <si>
    <t>842AFD081A74</t>
  </si>
  <si>
    <t>8CG112CYPY</t>
  </si>
  <si>
    <t>GENSUS081A78</t>
  </si>
  <si>
    <t>7.21.172.196</t>
  </si>
  <si>
    <t>842AFD081A78</t>
  </si>
  <si>
    <t>S08245</t>
  </si>
  <si>
    <t>8CG112CZ64</t>
  </si>
  <si>
    <t>S08245.US-2016</t>
  </si>
  <si>
    <t>GENSUS081A82</t>
  </si>
  <si>
    <t>7.65.44.212</t>
  </si>
  <si>
    <t>842AFD081A82</t>
  </si>
  <si>
    <t>8CG112D746</t>
  </si>
  <si>
    <t>GENSUS081A85</t>
  </si>
  <si>
    <t>7.53.180.70</t>
  </si>
  <si>
    <t>842AFD081A85</t>
  </si>
  <si>
    <t>S08193</t>
  </si>
  <si>
    <t>8CG112DCXX</t>
  </si>
  <si>
    <t>S08193.US-2016</t>
  </si>
  <si>
    <t>GENSUS081A8C</t>
  </si>
  <si>
    <t>7.122.204.171</t>
  </si>
  <si>
    <t>842AFD081A8C</t>
  </si>
  <si>
    <t>S06646</t>
  </si>
  <si>
    <t>8CG112CYMK</t>
  </si>
  <si>
    <t>S06646.US-2016</t>
  </si>
  <si>
    <t>GENSUS081A8D</t>
  </si>
  <si>
    <t>7.53.60.175</t>
  </si>
  <si>
    <t>842AFD081A8D</t>
  </si>
  <si>
    <t>8CG112CZ6L</t>
  </si>
  <si>
    <t>GENSUS081A96</t>
  </si>
  <si>
    <t>7.171.68.17</t>
  </si>
  <si>
    <t>842AFD081A96</t>
  </si>
  <si>
    <t>S04996</t>
  </si>
  <si>
    <t>8CG112D73V</t>
  </si>
  <si>
    <t>S04996.US-2016</t>
  </si>
  <si>
    <t>GENSUS081AAB</t>
  </si>
  <si>
    <t>7.191.92.49</t>
  </si>
  <si>
    <t>842AFD081AAB</t>
  </si>
  <si>
    <t>8CG112CYM6</t>
  </si>
  <si>
    <t>GENSUS081AC3</t>
  </si>
  <si>
    <t>55.73.47.186</t>
  </si>
  <si>
    <t>842AFD081AC3</t>
  </si>
  <si>
    <t>8CG112CZ9J</t>
  </si>
  <si>
    <t>GENSUS081AC8</t>
  </si>
  <si>
    <t>7.150.188.55</t>
  </si>
  <si>
    <t>842AFD081AC8</t>
  </si>
  <si>
    <t>8CG11300VT</t>
  </si>
  <si>
    <t>GENSUS081AC9</t>
  </si>
  <si>
    <t>7.65.60.85</t>
  </si>
  <si>
    <t>842AFD081AC9</t>
  </si>
  <si>
    <t>8CG112D6C3</t>
  </si>
  <si>
    <t>GENSUS081ACA</t>
  </si>
  <si>
    <t>7.65.12.48</t>
  </si>
  <si>
    <t>842AFD081ACA</t>
  </si>
  <si>
    <t>S06347</t>
  </si>
  <si>
    <t>8CG112D748</t>
  </si>
  <si>
    <t>S06347.US-2016</t>
  </si>
  <si>
    <t>GENSUS081ACC</t>
  </si>
  <si>
    <t>7.189.12.69</t>
  </si>
  <si>
    <t>842AFD081ACC</t>
  </si>
  <si>
    <t>S08287</t>
  </si>
  <si>
    <t>8CG112D743</t>
  </si>
  <si>
    <t>S08287.US-2016</t>
  </si>
  <si>
    <t>GENSUS081ACE</t>
  </si>
  <si>
    <t>7.18.12.205</t>
  </si>
  <si>
    <t>842AFD081ACE</t>
  </si>
  <si>
    <t>8CG112D74C</t>
  </si>
  <si>
    <t>GENSUS081ACF</t>
  </si>
  <si>
    <t>7.215.12.31</t>
  </si>
  <si>
    <t>842AFD081ACF</t>
  </si>
  <si>
    <t>S06388</t>
  </si>
  <si>
    <t>8CG112D742</t>
  </si>
  <si>
    <t>S06388.US-2016</t>
  </si>
  <si>
    <t>GENSUS081AEB</t>
  </si>
  <si>
    <t>7.173.172.166</t>
  </si>
  <si>
    <t>842AFD081AEB</t>
  </si>
  <si>
    <t>8CG11300J5</t>
  </si>
  <si>
    <t>GENSUS081AEF</t>
  </si>
  <si>
    <t>7.89.172.120</t>
  </si>
  <si>
    <t>842AFD081AEF</t>
  </si>
  <si>
    <t>8CG112DD03</t>
  </si>
  <si>
    <t>GENSUS081AF1</t>
  </si>
  <si>
    <t>7.24.76.216</t>
  </si>
  <si>
    <t>842AFD081AF1</t>
  </si>
  <si>
    <t>S06188</t>
  </si>
  <si>
    <t>8CG112CYNQ</t>
  </si>
  <si>
    <t>S06188.US-2016</t>
  </si>
  <si>
    <t>GENSUS081AF5</t>
  </si>
  <si>
    <t>7.64.228.99</t>
  </si>
  <si>
    <t>842AFD081AF5</t>
  </si>
  <si>
    <t>8CG112CZ4D</t>
  </si>
  <si>
    <t>GENSUS081AF6</t>
  </si>
  <si>
    <t>7.87.52.95</t>
  </si>
  <si>
    <t>842AFD081AF6</t>
  </si>
  <si>
    <t>8CG112CZ4B</t>
  </si>
  <si>
    <t>GENSUS081B06</t>
  </si>
  <si>
    <t>7.174.108.53</t>
  </si>
  <si>
    <t>842AFD081B06</t>
  </si>
  <si>
    <t>8CG112CWTP</t>
  </si>
  <si>
    <t>GENSUS081B09</t>
  </si>
  <si>
    <t>7.7.172.36</t>
  </si>
  <si>
    <t>842AFD081B09</t>
  </si>
  <si>
    <t>8CG112CWTQ</t>
  </si>
  <si>
    <t>GENSUS081B0C</t>
  </si>
  <si>
    <t>7.142.132.101</t>
  </si>
  <si>
    <t>842AFD081B0C</t>
  </si>
  <si>
    <t>S06256</t>
  </si>
  <si>
    <t>8CG11300HZ</t>
  </si>
  <si>
    <t>S06256.US-2016</t>
  </si>
  <si>
    <t>GENSUS081B0E</t>
  </si>
  <si>
    <t>7.52.228.11</t>
  </si>
  <si>
    <t>842AFD081B0E</t>
  </si>
  <si>
    <t>S06351</t>
  </si>
  <si>
    <t>8CG11300VR</t>
  </si>
  <si>
    <t>S06351.US-2016</t>
  </si>
  <si>
    <t>GENSUS081B0F</t>
  </si>
  <si>
    <t>7.25.140.140</t>
  </si>
  <si>
    <t>842AFD081B0F</t>
  </si>
  <si>
    <t>8CG11300HX</t>
  </si>
  <si>
    <t>GENSUS081B11</t>
  </si>
  <si>
    <t>7.49.204.122</t>
  </si>
  <si>
    <t>842AFD081B11</t>
  </si>
  <si>
    <t>S08288</t>
  </si>
  <si>
    <t>8CG112CYJG</t>
  </si>
  <si>
    <t>S08288.US-2016</t>
  </si>
  <si>
    <t>GENSUS081B12</t>
  </si>
  <si>
    <t>7.66.60.70</t>
  </si>
  <si>
    <t>842AFD081B12</t>
  </si>
  <si>
    <t>S06363</t>
  </si>
  <si>
    <t>8CG11300K4</t>
  </si>
  <si>
    <t>S06363.US-2016</t>
  </si>
  <si>
    <t>GENSUS081B14</t>
  </si>
  <si>
    <t>7.34.220.169</t>
  </si>
  <si>
    <t>842AFD081B14</t>
  </si>
  <si>
    <t>8CG11300K2</t>
  </si>
  <si>
    <t>GENSUS081B17</t>
  </si>
  <si>
    <t>7.64.188.206</t>
  </si>
  <si>
    <t>842AFD081B17</t>
  </si>
  <si>
    <t>S06201</t>
  </si>
  <si>
    <t>8CG112CZ9S</t>
  </si>
  <si>
    <t>S06201.US-2016</t>
  </si>
  <si>
    <t>GENSUS081B18</t>
  </si>
  <si>
    <t>7.77.172.155</t>
  </si>
  <si>
    <t>842AFD081B18</t>
  </si>
  <si>
    <t>8CG112CZ9V</t>
  </si>
  <si>
    <t>GENSUS081B1B</t>
  </si>
  <si>
    <t>7.59.244.171</t>
  </si>
  <si>
    <t>842AFD081B1B</t>
  </si>
  <si>
    <t>8CG112CZ9Q</t>
  </si>
  <si>
    <t>GENSUS081B28</t>
  </si>
  <si>
    <t>7.148.92.162</t>
  </si>
  <si>
    <t>842AFD081B28</t>
  </si>
  <si>
    <t>8CG11300TP</t>
  </si>
  <si>
    <t>GENSUS081B31</t>
  </si>
  <si>
    <t>7.26.108.64</t>
  </si>
  <si>
    <t>842AFD081B31</t>
  </si>
  <si>
    <t>S04767</t>
  </si>
  <si>
    <t>8CG11300LQ</t>
  </si>
  <si>
    <t>S04767.US-2016</t>
  </si>
  <si>
    <t>GENSUS081B35</t>
  </si>
  <si>
    <t>7.12.28.169</t>
  </si>
  <si>
    <t>842AFD081B35</t>
  </si>
  <si>
    <t>8CG11300LM</t>
  </si>
  <si>
    <t>GENSUS081B3D</t>
  </si>
  <si>
    <t>7.53.140.181</t>
  </si>
  <si>
    <t>842AFD081B3D</t>
  </si>
  <si>
    <t>S08185</t>
  </si>
  <si>
    <t>8CG112CYMD</t>
  </si>
  <si>
    <t>S08185.US-2016</t>
  </si>
  <si>
    <t>GENSUS081B46</t>
  </si>
  <si>
    <t>7.78.196.27</t>
  </si>
  <si>
    <t>842AFD081B46</t>
  </si>
  <si>
    <t>8CG112CZ4K</t>
  </si>
  <si>
    <t>GENSUS081B49</t>
  </si>
  <si>
    <t>7.124.28.99</t>
  </si>
  <si>
    <t>842AFD081B49</t>
  </si>
  <si>
    <t>S06265</t>
  </si>
  <si>
    <t>8CG112CZ4H</t>
  </si>
  <si>
    <t>S06265.US-2016</t>
  </si>
  <si>
    <t>GENSUS081B56</t>
  </si>
  <si>
    <t>55.25.127.173</t>
  </si>
  <si>
    <t>842AFD081B56</t>
  </si>
  <si>
    <t>8CG112CYLT</t>
  </si>
  <si>
    <t>GENSUS081B57</t>
  </si>
  <si>
    <t>7.52.148.60</t>
  </si>
  <si>
    <t>842AFD081B57</t>
  </si>
  <si>
    <t>S06330</t>
  </si>
  <si>
    <t>8CG112CYLM</t>
  </si>
  <si>
    <t>S06330.US-2016</t>
  </si>
  <si>
    <t>GENSUS081B65</t>
  </si>
  <si>
    <t>55.120.175.185</t>
  </si>
  <si>
    <t>842AFD081B65</t>
  </si>
  <si>
    <t>S06213</t>
  </si>
  <si>
    <t>8CG112CYM8</t>
  </si>
  <si>
    <t>S06213.US-2016</t>
  </si>
  <si>
    <t>GENSUS081B67</t>
  </si>
  <si>
    <t>7.64.188.207</t>
  </si>
  <si>
    <t>842AFD081B67</t>
  </si>
  <si>
    <t>8CG112CZ4C</t>
  </si>
  <si>
    <t>GENSUS081B86</t>
  </si>
  <si>
    <t>7.70.52.176</t>
  </si>
  <si>
    <t>842AFD081B86</t>
  </si>
  <si>
    <t>S06236</t>
  </si>
  <si>
    <t>8CG112DCYC</t>
  </si>
  <si>
    <t>S06236.US-2016</t>
  </si>
  <si>
    <t>GENSUS081B89</t>
  </si>
  <si>
    <t>7.84.28.19</t>
  </si>
  <si>
    <t>842AFD081B89</t>
  </si>
  <si>
    <t>S06571</t>
  </si>
  <si>
    <t>8CG112DCYG</t>
  </si>
  <si>
    <t>S06571.US-2016</t>
  </si>
  <si>
    <t>GENSUS081B95</t>
  </si>
  <si>
    <t>7.64.228.138</t>
  </si>
  <si>
    <t>842AFD081B95</t>
  </si>
  <si>
    <t>8CG112CYLG</t>
  </si>
  <si>
    <t>GENSUS081B96</t>
  </si>
  <si>
    <t>7.140.20.88</t>
  </si>
  <si>
    <t>842AFD081B96</t>
  </si>
  <si>
    <t>S06251</t>
  </si>
  <si>
    <t>8CG112CYLF</t>
  </si>
  <si>
    <t>S06251.US-2016</t>
  </si>
  <si>
    <t>GENSUS081B97</t>
  </si>
  <si>
    <t>7.136.108.81</t>
  </si>
  <si>
    <t>842AFD081B97</t>
  </si>
  <si>
    <t>S06252</t>
  </si>
  <si>
    <t>8CG112CYKB</t>
  </si>
  <si>
    <t>S06252.US-2016</t>
  </si>
  <si>
    <t>GENSUS081B99</t>
  </si>
  <si>
    <t>7.146.124.26</t>
  </si>
  <si>
    <t>842AFD081B99</t>
  </si>
  <si>
    <t>8CG112CYL3</t>
  </si>
  <si>
    <t>GENSUS081B9F</t>
  </si>
  <si>
    <t>7.92.92.228</t>
  </si>
  <si>
    <t>842AFD081B9F</t>
  </si>
  <si>
    <t>S04704</t>
  </si>
  <si>
    <t>8CG112CYKN</t>
  </si>
  <si>
    <t>S04704.US-2016</t>
  </si>
  <si>
    <t>GENSUS081BA4</t>
  </si>
  <si>
    <t>7.67.124.30</t>
  </si>
  <si>
    <t>842AFD081BA4</t>
  </si>
  <si>
    <t>S06662</t>
  </si>
  <si>
    <t>8CG112CYKG</t>
  </si>
  <si>
    <t>S06662.US-2016</t>
  </si>
  <si>
    <t>GENSUS081BB2</t>
  </si>
  <si>
    <t>7.78.196.109</t>
  </si>
  <si>
    <t>842AFD081BB2</t>
  </si>
  <si>
    <t>8CG112CZ39</t>
  </si>
  <si>
    <t>GENSUS081BB3</t>
  </si>
  <si>
    <t>7.52.76.235</t>
  </si>
  <si>
    <t>842AFD081BB3</t>
  </si>
  <si>
    <t>S08157</t>
  </si>
  <si>
    <t>8CG112CZ3B</t>
  </si>
  <si>
    <t>S08157.US-2016</t>
  </si>
  <si>
    <t>GENSUS081BB6</t>
  </si>
  <si>
    <t>7.0.52.157</t>
  </si>
  <si>
    <t>842AFD081BB6</t>
  </si>
  <si>
    <t>S07676</t>
  </si>
  <si>
    <t>8CG112D6VT</t>
  </si>
  <si>
    <t>S07676.US-2016</t>
  </si>
  <si>
    <t>GENSUS081BDB</t>
  </si>
  <si>
    <t>7.91.196.206</t>
  </si>
  <si>
    <t>842AFD081BDB</t>
  </si>
  <si>
    <t>8CG112DCZ0</t>
  </si>
  <si>
    <t>GENSUS081BE9</t>
  </si>
  <si>
    <t>7.63.68.198</t>
  </si>
  <si>
    <t>842AFD081BE9</t>
  </si>
  <si>
    <t>8CG112CZ7F</t>
  </si>
  <si>
    <t>GENSUS081BF0</t>
  </si>
  <si>
    <t>7.87.92.77</t>
  </si>
  <si>
    <t>842AFD081BF0</t>
  </si>
  <si>
    <t>8CG112CZ5N</t>
  </si>
  <si>
    <t>GENSUS081BF1</t>
  </si>
  <si>
    <t>7.153.52.90</t>
  </si>
  <si>
    <t>842AFD081BF1</t>
  </si>
  <si>
    <t>S08222</t>
  </si>
  <si>
    <t>8CG112CZ5D</t>
  </si>
  <si>
    <t>S08222.US-2016</t>
  </si>
  <si>
    <t>GENSUS081BF2</t>
  </si>
  <si>
    <t>7.76.44.72</t>
  </si>
  <si>
    <t>842AFD081BF2</t>
  </si>
  <si>
    <t>S06375</t>
  </si>
  <si>
    <t>8CG112CZ7Q</t>
  </si>
  <si>
    <t>S06375.US-2016</t>
  </si>
  <si>
    <t>GENSUS081C17</t>
  </si>
  <si>
    <t>7.42.164.90</t>
  </si>
  <si>
    <t>842AFD081C17</t>
  </si>
  <si>
    <t>8CG112CZ73</t>
  </si>
  <si>
    <t>GENSUS081C19</t>
  </si>
  <si>
    <t>7.28.164.187</t>
  </si>
  <si>
    <t>842AFD081C19</t>
  </si>
  <si>
    <t>S08269</t>
  </si>
  <si>
    <t>8CG1132DD5</t>
  </si>
  <si>
    <t>S08269.US-2016</t>
  </si>
  <si>
    <t>GENSUS081C20</t>
  </si>
  <si>
    <t>7.51.76.14</t>
  </si>
  <si>
    <t>842AFD081C20</t>
  </si>
  <si>
    <t>8CG112CYPN</t>
  </si>
  <si>
    <t>GENSUS081C23</t>
  </si>
  <si>
    <t>7.76.4.125</t>
  </si>
  <si>
    <t>842AFD081C23</t>
  </si>
  <si>
    <t>8CG112CYMG</t>
  </si>
  <si>
    <t>GENSUS081C2F</t>
  </si>
  <si>
    <t>7.151.108.222</t>
  </si>
  <si>
    <t>842AFD081C2F</t>
  </si>
  <si>
    <t>8CG112D6D7</t>
  </si>
  <si>
    <t>GENSUS081C41</t>
  </si>
  <si>
    <t>7.11.156.21</t>
  </si>
  <si>
    <t>842AFD081C41</t>
  </si>
  <si>
    <t>S08254</t>
  </si>
  <si>
    <t>8CG112CYPF</t>
  </si>
  <si>
    <t>S08254.US-2016</t>
  </si>
  <si>
    <t>GENSUS081C42</t>
  </si>
  <si>
    <t>7.21.204.179</t>
  </si>
  <si>
    <t>842AFD081C42</t>
  </si>
  <si>
    <t>8CG1132DCW</t>
  </si>
  <si>
    <t>GENSUS081C44</t>
  </si>
  <si>
    <t>7.67.124.32</t>
  </si>
  <si>
    <t>842AFD081C44</t>
  </si>
  <si>
    <t>8CG112CYPD</t>
  </si>
  <si>
    <t>GENSUS081C48</t>
  </si>
  <si>
    <t>7.23.124.172</t>
  </si>
  <si>
    <t>842AFD081C48</t>
  </si>
  <si>
    <t>S06615</t>
  </si>
  <si>
    <t>8CG1165J4J</t>
  </si>
  <si>
    <t>S06615.US-2016</t>
  </si>
  <si>
    <t>GENSUS081C58</t>
  </si>
  <si>
    <t>55.67.175.163</t>
  </si>
  <si>
    <t>842AFD081C58</t>
  </si>
  <si>
    <t>8CG112DCZM</t>
  </si>
  <si>
    <t>GENSUS081C5D</t>
  </si>
  <si>
    <t>7.76.36.73</t>
  </si>
  <si>
    <t>842AFD081C5D</t>
  </si>
  <si>
    <t>8CG112DCZL</t>
  </si>
  <si>
    <t>GENSUS081C60</t>
  </si>
  <si>
    <t>7.0.52.205</t>
  </si>
  <si>
    <t>842AFD081C60</t>
  </si>
  <si>
    <t>8CG112D6VS</t>
  </si>
  <si>
    <t>GENSUS081C6B</t>
  </si>
  <si>
    <t>7.23.124.49</t>
  </si>
  <si>
    <t>842AFD081C6B</t>
  </si>
  <si>
    <t>8CG112CYN8</t>
  </si>
  <si>
    <t>GENSUS081C6D</t>
  </si>
  <si>
    <t>7.91.196.125</t>
  </si>
  <si>
    <t>842AFD081C6D</t>
  </si>
  <si>
    <t>8CG112DCZZ</t>
  </si>
  <si>
    <t>GENSUS081C79</t>
  </si>
  <si>
    <t>7.50.52.115</t>
  </si>
  <si>
    <t>842AFD081C79</t>
  </si>
  <si>
    <t>8CG112CYNH</t>
  </si>
  <si>
    <t>GENSUS081C7C</t>
  </si>
  <si>
    <t>7.52.148.91</t>
  </si>
  <si>
    <t>842AFD081C7C</t>
  </si>
  <si>
    <t>8CG112CYNJ</t>
  </si>
  <si>
    <t>GENSUS081C81</t>
  </si>
  <si>
    <t>7.57.84.120</t>
  </si>
  <si>
    <t>842AFD081C81</t>
  </si>
  <si>
    <t>S04839</t>
  </si>
  <si>
    <t>8CG112CYKZ</t>
  </si>
  <si>
    <t>S04839.US-2016</t>
  </si>
  <si>
    <t>GENSUS081C85</t>
  </si>
  <si>
    <t>7.163.52.61</t>
  </si>
  <si>
    <t>842AFD081C85</t>
  </si>
  <si>
    <t>8CG112CYNK</t>
  </si>
  <si>
    <t>GENSUS081C86</t>
  </si>
  <si>
    <t>7.73.204.95</t>
  </si>
  <si>
    <t>842AFD081C86</t>
  </si>
  <si>
    <t>8CG112CYNL</t>
  </si>
  <si>
    <t>GENSUS081C87</t>
  </si>
  <si>
    <t>7.69.140.144</t>
  </si>
  <si>
    <t>842AFD081C87</t>
  </si>
  <si>
    <t>8CG11300JD</t>
  </si>
  <si>
    <t>GENSUS081C8E</t>
  </si>
  <si>
    <t>55.75.247.165</t>
  </si>
  <si>
    <t>842AFD081C8E</t>
  </si>
  <si>
    <t>8CG112CYKQ</t>
  </si>
  <si>
    <t>GENSUS081C92</t>
  </si>
  <si>
    <t>7.64.212.222</t>
  </si>
  <si>
    <t>842AFD081C92</t>
  </si>
  <si>
    <t>S06339</t>
  </si>
  <si>
    <t>8CG112CYKL</t>
  </si>
  <si>
    <t>S06339.US-2016</t>
  </si>
  <si>
    <t>GENSUS081C93</t>
  </si>
  <si>
    <t>7.4.132.13</t>
  </si>
  <si>
    <t>842AFD081C93</t>
  </si>
  <si>
    <t>8CG112CYKJ</t>
  </si>
  <si>
    <t>GENSUS081C96</t>
  </si>
  <si>
    <t>7.144.188.83</t>
  </si>
  <si>
    <t>842AFD081C96</t>
  </si>
  <si>
    <t>8CG112CYKM</t>
  </si>
  <si>
    <t>GENSUS081CA3</t>
  </si>
  <si>
    <t>7.89.220.30</t>
  </si>
  <si>
    <t>842AFD081CA3</t>
  </si>
  <si>
    <t>S06568</t>
  </si>
  <si>
    <t>8CG11300JF</t>
  </si>
  <si>
    <t>S06568.US-2016</t>
  </si>
  <si>
    <t>GENSUS081CAD</t>
  </si>
  <si>
    <t>7.215.12.133</t>
  </si>
  <si>
    <t>842AFD081CAD</t>
  </si>
  <si>
    <t>8CG112D728</t>
  </si>
  <si>
    <t>GENSUS081CAE</t>
  </si>
  <si>
    <t>7.57.164.227</t>
  </si>
  <si>
    <t>842AFD081CAE</t>
  </si>
  <si>
    <t>8CG112D727</t>
  </si>
  <si>
    <t>GENSUS081CB7</t>
  </si>
  <si>
    <t>7.161.252.64</t>
  </si>
  <si>
    <t>842AFD081CB7</t>
  </si>
  <si>
    <t>S08202</t>
  </si>
  <si>
    <t>8CG11300VP</t>
  </si>
  <si>
    <t>S08202.US-2016</t>
  </si>
  <si>
    <t>GENSUS081CBC</t>
  </si>
  <si>
    <t>7.130.236.186</t>
  </si>
  <si>
    <t>842AFD081CBC</t>
  </si>
  <si>
    <t>S06377</t>
  </si>
  <si>
    <t>8CG112CZ88</t>
  </si>
  <si>
    <t>S06377.US-2016</t>
  </si>
  <si>
    <t>GENSUS081CCD</t>
  </si>
  <si>
    <t>7.21.36.57</t>
  </si>
  <si>
    <t>842AFD081CCD</t>
  </si>
  <si>
    <t>8CG112CYHL</t>
  </si>
  <si>
    <t>GENSUS081CCF</t>
  </si>
  <si>
    <t>7.139.76.232</t>
  </si>
  <si>
    <t>842AFD081CCF</t>
  </si>
  <si>
    <t>8CG112CYHM</t>
  </si>
  <si>
    <t>GENSUS081CD6</t>
  </si>
  <si>
    <t>7.150.180.20</t>
  </si>
  <si>
    <t>842AFD081CD6</t>
  </si>
  <si>
    <t>S04847</t>
  </si>
  <si>
    <t>8CG112CYJ4</t>
  </si>
  <si>
    <t>S04847.US-2016</t>
  </si>
  <si>
    <t>GENSUS081CDA</t>
  </si>
  <si>
    <t>7.64.212.32</t>
  </si>
  <si>
    <t>842AFD081CDA</t>
  </si>
  <si>
    <t>8CG112CYHR</t>
  </si>
  <si>
    <t>GENSUS081CDB</t>
  </si>
  <si>
    <t>7.67.28.127</t>
  </si>
  <si>
    <t>842AFD081CDB</t>
  </si>
  <si>
    <t>8CG112CYHQ</t>
  </si>
  <si>
    <t>GENSUS081CDF</t>
  </si>
  <si>
    <t>7.12.12.173</t>
  </si>
  <si>
    <t>842AFD081CDF</t>
  </si>
  <si>
    <t>8CG112CZ5F</t>
  </si>
  <si>
    <t>GENSUS081CE4</t>
  </si>
  <si>
    <t>7.67.124.89</t>
  </si>
  <si>
    <t>842AFD081CE4</t>
  </si>
  <si>
    <t>8CG112CYH6</t>
  </si>
  <si>
    <t>GENSUS081CE5</t>
  </si>
  <si>
    <t>7.52.220.37</t>
  </si>
  <si>
    <t>842AFD081CE5</t>
  </si>
  <si>
    <t>S06344</t>
  </si>
  <si>
    <t>8CG112CYHH</t>
  </si>
  <si>
    <t>S06344.US-2016</t>
  </si>
  <si>
    <t>GENSUS081CE9</t>
  </si>
  <si>
    <t>7.14.204.177</t>
  </si>
  <si>
    <t>842AFD081CE9</t>
  </si>
  <si>
    <t>S06487</t>
  </si>
  <si>
    <t>8CG112CYHF</t>
  </si>
  <si>
    <t>S06487.US-2016</t>
  </si>
  <si>
    <t>GENSUS081CF1</t>
  </si>
  <si>
    <t>55.19.39.165</t>
  </si>
  <si>
    <t>842AFD081CF1</t>
  </si>
  <si>
    <t>8CG112CZ3X</t>
  </si>
  <si>
    <t>GENSUS081D10</t>
  </si>
  <si>
    <t>7.128.212.66</t>
  </si>
  <si>
    <t>842AFD081D10</t>
  </si>
  <si>
    <t>8CG112CYLL</t>
  </si>
  <si>
    <t>GENSUS081D12</t>
  </si>
  <si>
    <t>7.180.108.45</t>
  </si>
  <si>
    <t>842AFD081D12</t>
  </si>
  <si>
    <t>8CG112CYHZ</t>
  </si>
  <si>
    <t>GENSUS081D13</t>
  </si>
  <si>
    <t>7.69.188.42</t>
  </si>
  <si>
    <t>842AFD081D13</t>
  </si>
  <si>
    <t>8CG112CYHX</t>
  </si>
  <si>
    <t>GENSUS081D20</t>
  </si>
  <si>
    <t>55.17.159.194</t>
  </si>
  <si>
    <t>842AFD081D20</t>
  </si>
  <si>
    <t>S04768</t>
  </si>
  <si>
    <t>8CG112CYLY</t>
  </si>
  <si>
    <t>S04768.US-2016</t>
  </si>
  <si>
    <t>GENSUS081D24</t>
  </si>
  <si>
    <t>55.24.7.195</t>
  </si>
  <si>
    <t>842AFD081D24</t>
  </si>
  <si>
    <t>8CG112CYM0</t>
  </si>
  <si>
    <t>GENSUS081D2A</t>
  </si>
  <si>
    <t>7.68.68.73</t>
  </si>
  <si>
    <t>842AFD081D2A</t>
  </si>
  <si>
    <t>8CG112CZ4N</t>
  </si>
  <si>
    <t>GENSUS081D36</t>
  </si>
  <si>
    <t>7.8.212.162</t>
  </si>
  <si>
    <t>842AFD081D36</t>
  </si>
  <si>
    <t>S06458</t>
  </si>
  <si>
    <t>8CG112CZ4M</t>
  </si>
  <si>
    <t>S06458.US-2016</t>
  </si>
  <si>
    <t>GENSUS081D74</t>
  </si>
  <si>
    <t>7.4.124.40</t>
  </si>
  <si>
    <t>842AFD081D74</t>
  </si>
  <si>
    <t>8CG112CZ59</t>
  </si>
  <si>
    <t>GENSUS081D75</t>
  </si>
  <si>
    <t>7.66.20.222</t>
  </si>
  <si>
    <t>842AFD081D75</t>
  </si>
  <si>
    <t>8CG112CZ5B</t>
  </si>
  <si>
    <t>GENSUS081D78</t>
  </si>
  <si>
    <t>7.120.172.180</t>
  </si>
  <si>
    <t>842AFD081D78</t>
  </si>
  <si>
    <t>8CG112CZ4Z</t>
  </si>
  <si>
    <t>GENSUS081D9D</t>
  </si>
  <si>
    <t>7.76.36.19</t>
  </si>
  <si>
    <t>842AFD081D9D</t>
  </si>
  <si>
    <t>8CG11300KM</t>
  </si>
  <si>
    <t>GENSUS081DC0</t>
  </si>
  <si>
    <t>7.59.252.199</t>
  </si>
  <si>
    <t>842AFD081DC0</t>
  </si>
  <si>
    <t>8CG112CZ82</t>
  </si>
  <si>
    <t>GENSUS081DC1</t>
  </si>
  <si>
    <t>7.52.196.94</t>
  </si>
  <si>
    <t>842AFD081DC1</t>
  </si>
  <si>
    <t>8CG112CZ83</t>
  </si>
  <si>
    <t>GENSUS081DC8</t>
  </si>
  <si>
    <t>7.136.196.71</t>
  </si>
  <si>
    <t>842AFD081DC8</t>
  </si>
  <si>
    <t>8CG112CZ85</t>
  </si>
  <si>
    <t>GENSUS081DCA</t>
  </si>
  <si>
    <t>7.52.148.32</t>
  </si>
  <si>
    <t>842AFD081DCA</t>
  </si>
  <si>
    <t>8CG112CZ8G</t>
  </si>
  <si>
    <t>GENSUS081DCB</t>
  </si>
  <si>
    <t>7.150.188.139</t>
  </si>
  <si>
    <t>842AFD081DCB</t>
  </si>
  <si>
    <t>8CG112CZ8H</t>
  </si>
  <si>
    <t>GENSUS081DCE</t>
  </si>
  <si>
    <t>7.67.164.171</t>
  </si>
  <si>
    <t>842AFD081DCE</t>
  </si>
  <si>
    <t>8CG112CZ8L</t>
  </si>
  <si>
    <t>GENSUS081DCF</t>
  </si>
  <si>
    <t>7.55.204.10</t>
  </si>
  <si>
    <t>842AFD081DCF</t>
  </si>
  <si>
    <t>S04857</t>
  </si>
  <si>
    <t>8CG112CZ8M</t>
  </si>
  <si>
    <t>S04857.US-2016</t>
  </si>
  <si>
    <t>GENSUS081F42</t>
  </si>
  <si>
    <t>7.188.84.36</t>
  </si>
  <si>
    <t>842AFD081F42</t>
  </si>
  <si>
    <t>S04799</t>
  </si>
  <si>
    <t>8CG1132D64</t>
  </si>
  <si>
    <t>S04799.US-2016</t>
  </si>
  <si>
    <t>GENSUS081F4C</t>
  </si>
  <si>
    <t>7.66.68.16</t>
  </si>
  <si>
    <t>842AFD081F4C</t>
  </si>
  <si>
    <t>8CG1132D93</t>
  </si>
  <si>
    <t>GENSUS081F4F</t>
  </si>
  <si>
    <t>7.77.156.53</t>
  </si>
  <si>
    <t>842AFD081F4F</t>
  </si>
  <si>
    <t>S06506</t>
  </si>
  <si>
    <t>8CG1132D8Z</t>
  </si>
  <si>
    <t>S06506.US-2016</t>
  </si>
  <si>
    <t>GENSUS081F56</t>
  </si>
  <si>
    <t>7.64.236.78</t>
  </si>
  <si>
    <t>842AFD081F56</t>
  </si>
  <si>
    <t>8CG1132D6D</t>
  </si>
  <si>
    <t>GENSUS081F5B</t>
  </si>
  <si>
    <t>7.135.76.194</t>
  </si>
  <si>
    <t>842AFD081F5B</t>
  </si>
  <si>
    <t>8CG1132D67</t>
  </si>
  <si>
    <t>GENSUS081F63</t>
  </si>
  <si>
    <t>7.77.156.55</t>
  </si>
  <si>
    <t>842AFD081F63</t>
  </si>
  <si>
    <t>8CG1132D8T</t>
  </si>
  <si>
    <t>GENSUS081F77</t>
  </si>
  <si>
    <t>7.73.252.164</t>
  </si>
  <si>
    <t>842AFD081F77</t>
  </si>
  <si>
    <t>S06682</t>
  </si>
  <si>
    <t>8CG1132D8R</t>
  </si>
  <si>
    <t>S06682.US-2016</t>
  </si>
  <si>
    <t>GENSUS081F81</t>
  </si>
  <si>
    <t>7.131.4.185</t>
  </si>
  <si>
    <t>842AFD081F81</t>
  </si>
  <si>
    <t>8CG11329FQ</t>
  </si>
  <si>
    <t>GENSUS081F87</t>
  </si>
  <si>
    <t>7.188.140.81</t>
  </si>
  <si>
    <t>842AFD081F87</t>
  </si>
  <si>
    <t>8CG1132D6P</t>
  </si>
  <si>
    <t>GENSUS081F88</t>
  </si>
  <si>
    <t>7.2.148.82</t>
  </si>
  <si>
    <t>842AFD081F88</t>
  </si>
  <si>
    <t>S08155</t>
  </si>
  <si>
    <t>8CG1132D7M</t>
  </si>
  <si>
    <t>S08155.US-2016</t>
  </si>
  <si>
    <t>GENSUS081F92</t>
  </si>
  <si>
    <t>7.73.148.79</t>
  </si>
  <si>
    <t>842AFD081F92</t>
  </si>
  <si>
    <t>8CG1132D2X</t>
  </si>
  <si>
    <t>GENSUS081FA1</t>
  </si>
  <si>
    <t>7.12.108.200</t>
  </si>
  <si>
    <t>842AFD081FA1</t>
  </si>
  <si>
    <t>8CG11329BY</t>
  </si>
  <si>
    <t>GENSUS081FAB</t>
  </si>
  <si>
    <t>7.146.124.118</t>
  </si>
  <si>
    <t>842AFD081FAB</t>
  </si>
  <si>
    <t>8CG1132D6Y</t>
  </si>
  <si>
    <t>GENSUS081FB3</t>
  </si>
  <si>
    <t>55.150.191.157</t>
  </si>
  <si>
    <t>842AFD081FB3</t>
  </si>
  <si>
    <t>8CG1132DBH</t>
  </si>
  <si>
    <t>GENSUS081FB4</t>
  </si>
  <si>
    <t>7.74.212.164</t>
  </si>
  <si>
    <t>842AFD081FB4</t>
  </si>
  <si>
    <t>8CG1132D85</t>
  </si>
  <si>
    <t>GENSUS081FCF</t>
  </si>
  <si>
    <t>7.21.124.200</t>
  </si>
  <si>
    <t>842AFD081FCF</t>
  </si>
  <si>
    <t>8CG1132D71</t>
  </si>
  <si>
    <t>GENSUS081FD5</t>
  </si>
  <si>
    <t>7.21.84.51</t>
  </si>
  <si>
    <t>842AFD081FD5</t>
  </si>
  <si>
    <t>S08174</t>
  </si>
  <si>
    <t>8CG11329C0</t>
  </si>
  <si>
    <t>S08174.US-2016</t>
  </si>
  <si>
    <t>GENSUS08202B</t>
  </si>
  <si>
    <t>7.17.212.170</t>
  </si>
  <si>
    <t>842AFD08202B</t>
  </si>
  <si>
    <t>8CG1132D78</t>
  </si>
  <si>
    <t>GENSUS082034</t>
  </si>
  <si>
    <t>7.67.28.47</t>
  </si>
  <si>
    <t>842AFD082034</t>
  </si>
  <si>
    <t>8CG1132DBK</t>
  </si>
  <si>
    <t>GENSUS08205A</t>
  </si>
  <si>
    <t>7.66.212.19</t>
  </si>
  <si>
    <t>842AFD08205A</t>
  </si>
  <si>
    <t>S06383</t>
  </si>
  <si>
    <t>8CG11329FF</t>
  </si>
  <si>
    <t>S06383.US-2016</t>
  </si>
  <si>
    <t>GENSUS08205D</t>
  </si>
  <si>
    <t>55.52.127.160</t>
  </si>
  <si>
    <t>842AFD08205D</t>
  </si>
  <si>
    <t>S06325</t>
  </si>
  <si>
    <t>8CG11329FB</t>
  </si>
  <si>
    <t>S06325.US-2016</t>
  </si>
  <si>
    <t>GENSUS08205E</t>
  </si>
  <si>
    <t>7.70.236.125</t>
  </si>
  <si>
    <t>842AFD08205E</t>
  </si>
  <si>
    <t>8CG11329FJ</t>
  </si>
  <si>
    <t>GENSUS082067</t>
  </si>
  <si>
    <t>55.21.183.171</t>
  </si>
  <si>
    <t>842AFD082067</t>
  </si>
  <si>
    <t>S08247</t>
  </si>
  <si>
    <t>8CG1132D9S</t>
  </si>
  <si>
    <t>S08247.US-2016</t>
  </si>
  <si>
    <t>GENSUS082068</t>
  </si>
  <si>
    <t>7.190.116.182</t>
  </si>
  <si>
    <t>842AFD082068</t>
  </si>
  <si>
    <t>S08250</t>
  </si>
  <si>
    <t>8CG11329DX</t>
  </si>
  <si>
    <t>S08250.US-2016</t>
  </si>
  <si>
    <t>GENSUS082071</t>
  </si>
  <si>
    <t>7.70.236.203</t>
  </si>
  <si>
    <t>842AFD082071</t>
  </si>
  <si>
    <t>8CG11329FN</t>
  </si>
  <si>
    <t>GENSUS082085</t>
  </si>
  <si>
    <t>7.5.116.214</t>
  </si>
  <si>
    <t>842AFD082085</t>
  </si>
  <si>
    <t>S08141</t>
  </si>
  <si>
    <t>8CG11329CT</t>
  </si>
  <si>
    <t>S08141.US-2016</t>
  </si>
  <si>
    <t>GENSUS08208B</t>
  </si>
  <si>
    <t>7.144.220.152</t>
  </si>
  <si>
    <t>842AFD08208B</t>
  </si>
  <si>
    <t>S04860</t>
  </si>
  <si>
    <t>8CG11329CR</t>
  </si>
  <si>
    <t>S04860.US-2016</t>
  </si>
  <si>
    <t>GENSUS08208D</t>
  </si>
  <si>
    <t>7.1.196.190</t>
  </si>
  <si>
    <t>842AFD08208D</t>
  </si>
  <si>
    <t>8CG11329CQ</t>
  </si>
  <si>
    <t>GENSUS082093</t>
  </si>
  <si>
    <t>7.52.76.171</t>
  </si>
  <si>
    <t>842AFD082093</t>
  </si>
  <si>
    <t>8CG11329DP</t>
  </si>
  <si>
    <t>GENSUS082094</t>
  </si>
  <si>
    <t>7.140.28.178</t>
  </si>
  <si>
    <t>842AFD082094</t>
  </si>
  <si>
    <t>8CG11329F0</t>
  </si>
  <si>
    <t>GENSUS082095</t>
  </si>
  <si>
    <t>7.88.12.173</t>
  </si>
  <si>
    <t>842AFD082095</t>
  </si>
  <si>
    <t>8CG11329DN</t>
  </si>
  <si>
    <t>GENSUS08209B</t>
  </si>
  <si>
    <t>7.231.20.93</t>
  </si>
  <si>
    <t>842AFD08209B</t>
  </si>
  <si>
    <t>8CG11329F7</t>
  </si>
  <si>
    <t>GENSUS08209D</t>
  </si>
  <si>
    <t>7.150.180.24</t>
  </si>
  <si>
    <t>842AFD08209D</t>
  </si>
  <si>
    <t>8CG11329F8</t>
  </si>
  <si>
    <t>GENSUS08209F</t>
  </si>
  <si>
    <t>55.35.23.180</t>
  </si>
  <si>
    <t>842AFD08209F</t>
  </si>
  <si>
    <t>S04730</t>
  </si>
  <si>
    <t>8CG11329F3</t>
  </si>
  <si>
    <t>S04730.US-2016</t>
  </si>
  <si>
    <t>GENSUS0820A2</t>
  </si>
  <si>
    <t>7.34.148.59</t>
  </si>
  <si>
    <t>842AFD0820A2</t>
  </si>
  <si>
    <t>8CG11329D8</t>
  </si>
  <si>
    <t>GENSUS0820A9</t>
  </si>
  <si>
    <t>7.13.204.71</t>
  </si>
  <si>
    <t>842AFD0820A9</t>
  </si>
  <si>
    <t>S06443</t>
  </si>
  <si>
    <t>8CG11329DR</t>
  </si>
  <si>
    <t>S06443.US-2016</t>
  </si>
  <si>
    <t>GENSUS0820AE</t>
  </si>
  <si>
    <t>7.53.20.33</t>
  </si>
  <si>
    <t>842AFD0820AE</t>
  </si>
  <si>
    <t>8CG1132D4W</t>
  </si>
  <si>
    <t>GENSUS0820B6</t>
  </si>
  <si>
    <t>7.7.164.179</t>
  </si>
  <si>
    <t>842AFD0820B6</t>
  </si>
  <si>
    <t>8CG1132DBL</t>
  </si>
  <si>
    <t>GENSUS0820C0</t>
  </si>
  <si>
    <t>55.157.255.181</t>
  </si>
  <si>
    <t>842AFD0820C0</t>
  </si>
  <si>
    <t>8CG1132DCP</t>
  </si>
  <si>
    <t>GENSUS0820C7</t>
  </si>
  <si>
    <t>7.53.116.107</t>
  </si>
  <si>
    <t>842AFD0820C7</t>
  </si>
  <si>
    <t>8CG1132D3C</t>
  </si>
  <si>
    <t>GENSUS0820C9</t>
  </si>
  <si>
    <t>7.55.204.141</t>
  </si>
  <si>
    <t>842AFD0820C9</t>
  </si>
  <si>
    <t>8CG1132D3F</t>
  </si>
  <si>
    <t>GENSUS0820CF</t>
  </si>
  <si>
    <t>7.52.124.65</t>
  </si>
  <si>
    <t>842AFD0820CF</t>
  </si>
  <si>
    <t>8CG11329FT</t>
  </si>
  <si>
    <t>GENSUS0820F1</t>
  </si>
  <si>
    <t>7.53.92.200</t>
  </si>
  <si>
    <t>842AFD0820F1</t>
  </si>
  <si>
    <t>S08192</t>
  </si>
  <si>
    <t>8CG1132D44</t>
  </si>
  <si>
    <t>S08192.US-2016</t>
  </si>
  <si>
    <t>GENSUS0820F5</t>
  </si>
  <si>
    <t>7.77.188.148</t>
  </si>
  <si>
    <t>842AFD0820F5</t>
  </si>
  <si>
    <t>8CG11329CH</t>
  </si>
  <si>
    <t>GENSUS0820FD</t>
  </si>
  <si>
    <t>7.28.212.53</t>
  </si>
  <si>
    <t>842AFD0820FD</t>
  </si>
  <si>
    <t>8CG1132D7D</t>
  </si>
  <si>
    <t>GENSUS082101</t>
  </si>
  <si>
    <t>7.162.36.88</t>
  </si>
  <si>
    <t>842AFD082101</t>
  </si>
  <si>
    <t>S04962</t>
  </si>
  <si>
    <t>8CG1132D7J</t>
  </si>
  <si>
    <t>S04962.US-2016</t>
  </si>
  <si>
    <t>GENSUS08219A</t>
  </si>
  <si>
    <t>7.122.196.73</t>
  </si>
  <si>
    <t>842AFD08219A</t>
  </si>
  <si>
    <t>8CG1132D75</t>
  </si>
  <si>
    <t>GENSUS08219E</t>
  </si>
  <si>
    <t>7.65.236.49</t>
  </si>
  <si>
    <t>842AFD08219E</t>
  </si>
  <si>
    <t>S06357</t>
  </si>
  <si>
    <t>8CG11329BP</t>
  </si>
  <si>
    <t>S06357.US-2016</t>
  </si>
  <si>
    <t>GENSUS0821BA</t>
  </si>
  <si>
    <t>55.122.175.159</t>
  </si>
  <si>
    <t>842AFD0821BA</t>
  </si>
  <si>
    <t>8CG11329CZ</t>
  </si>
  <si>
    <t>GENSUS0821BF</t>
  </si>
  <si>
    <t>7.74.60.10</t>
  </si>
  <si>
    <t>842AFD0821BF</t>
  </si>
  <si>
    <t>S06655</t>
  </si>
  <si>
    <t>8CG1132DC0</t>
  </si>
  <si>
    <t>S06655.US-2016</t>
  </si>
  <si>
    <t>GENSUS0821C0</t>
  </si>
  <si>
    <t>7.52.140.144</t>
  </si>
  <si>
    <t>842AFD0821C0</t>
  </si>
  <si>
    <t>S04920</t>
  </si>
  <si>
    <t>8CG1132DC7</t>
  </si>
  <si>
    <t>S04920.US-2016</t>
  </si>
  <si>
    <t>GENSUS0821C1</t>
  </si>
  <si>
    <t>7.34.156.185</t>
  </si>
  <si>
    <t>842AFD0821C1</t>
  </si>
  <si>
    <t>S08116</t>
  </si>
  <si>
    <t>8CG11329C6</t>
  </si>
  <si>
    <t>S08116.US-2016</t>
  </si>
  <si>
    <t>GENSUS0821CC</t>
  </si>
  <si>
    <t>7.140.140.157</t>
  </si>
  <si>
    <t>842AFD0821CC</t>
  </si>
  <si>
    <t>S06255</t>
  </si>
  <si>
    <t>8CG1132D8N</t>
  </si>
  <si>
    <t>S06255.US-2016</t>
  </si>
  <si>
    <t>GENSUS0821D3</t>
  </si>
  <si>
    <t>7.87.60.127</t>
  </si>
  <si>
    <t>842AFD0821D3</t>
  </si>
  <si>
    <t>8CG1132D6K</t>
  </si>
  <si>
    <t>GENSUS0821EA</t>
  </si>
  <si>
    <t>7.26.108.175</t>
  </si>
  <si>
    <t>842AFD0821EA</t>
  </si>
  <si>
    <t>8CG1132D83</t>
  </si>
  <si>
    <t>GENSUS0821EB</t>
  </si>
  <si>
    <t>7.77.252.110</t>
  </si>
  <si>
    <t>842AFD0821EB</t>
  </si>
  <si>
    <t>S06517</t>
  </si>
  <si>
    <t>8CG1132D89</t>
  </si>
  <si>
    <t>S06517.US-2016</t>
  </si>
  <si>
    <t>GENSUS0821F1</t>
  </si>
  <si>
    <t>7.20.228.170</t>
  </si>
  <si>
    <t>842AFD0821F1</t>
  </si>
  <si>
    <t>8CG1132D84</t>
  </si>
  <si>
    <t>GENSUS0821F8</t>
  </si>
  <si>
    <t>7.11.132.134</t>
  </si>
  <si>
    <t>842AFD0821F8</t>
  </si>
  <si>
    <t>S08239</t>
  </si>
  <si>
    <t>8CG1132D3H</t>
  </si>
  <si>
    <t>S08239.US-2016</t>
  </si>
  <si>
    <t>GENSUS082200</t>
  </si>
  <si>
    <t>7.3.212.100</t>
  </si>
  <si>
    <t>842AFD082200</t>
  </si>
  <si>
    <t>8CG11329BT</t>
  </si>
  <si>
    <t>GENSUS082203</t>
  </si>
  <si>
    <t>7.84.180.189</t>
  </si>
  <si>
    <t>842AFD082203</t>
  </si>
  <si>
    <t>8CG11329BN</t>
  </si>
  <si>
    <t>GENSUS082211</t>
  </si>
  <si>
    <t>7.28.164.70</t>
  </si>
  <si>
    <t>842AFD082211</t>
  </si>
  <si>
    <t>8CG1132DC6</t>
  </si>
  <si>
    <t>GENSUS082216</t>
  </si>
  <si>
    <t>7.188.84.34</t>
  </si>
  <si>
    <t>842AFD082216</t>
  </si>
  <si>
    <t>8CG1132D7H</t>
  </si>
  <si>
    <t>GENSUS082299</t>
  </si>
  <si>
    <t>7.189.12.173</t>
  </si>
  <si>
    <t>842AFD082299</t>
  </si>
  <si>
    <t>8CG11329C5</t>
  </si>
  <si>
    <t>GENSUS0822E6</t>
  </si>
  <si>
    <t>7.74.212.165</t>
  </si>
  <si>
    <t>842AFD0822E6</t>
  </si>
  <si>
    <t>8CG11329D1</t>
  </si>
  <si>
    <t>GENSUS0822EE</t>
  </si>
  <si>
    <t>7.28.164.74</t>
  </si>
  <si>
    <t>842AFD0822EE</t>
  </si>
  <si>
    <t>8CG1132DCH</t>
  </si>
  <si>
    <t>GENSUS0822FC</t>
  </si>
  <si>
    <t>7.13.204.174</t>
  </si>
  <si>
    <t>842AFD0822FC</t>
  </si>
  <si>
    <t>8CG11329CV</t>
  </si>
  <si>
    <t>GENSUS082320</t>
  </si>
  <si>
    <t>7.146.92.16</t>
  </si>
  <si>
    <t>842AFD082320</t>
  </si>
  <si>
    <t>8CG1165J47</t>
  </si>
  <si>
    <t>GENSUS082326</t>
  </si>
  <si>
    <t>7.213.12.59</t>
  </si>
  <si>
    <t>842AFD082326</t>
  </si>
  <si>
    <t>S08267</t>
  </si>
  <si>
    <t>8CG1132DBQ</t>
  </si>
  <si>
    <t>S08267.US-2016</t>
  </si>
  <si>
    <t>GENSUS082335</t>
  </si>
  <si>
    <t>7.77.196.179</t>
  </si>
  <si>
    <t>842AFD082335</t>
  </si>
  <si>
    <t>8CG1132D29</t>
  </si>
  <si>
    <t>GENSUS08235A</t>
  </si>
  <si>
    <t>7.67.36.207</t>
  </si>
  <si>
    <t>842AFD08235A</t>
  </si>
  <si>
    <t>8CG11329D5</t>
  </si>
  <si>
    <t>GENSUS08235B</t>
  </si>
  <si>
    <t>7.7.164.208</t>
  </si>
  <si>
    <t>842AFD08235B</t>
  </si>
  <si>
    <t>8CG11329D6</t>
  </si>
  <si>
    <t>GENSUS082380</t>
  </si>
  <si>
    <t>7.5.180.132</t>
  </si>
  <si>
    <t>842AFD082380</t>
  </si>
  <si>
    <t>S08153</t>
  </si>
  <si>
    <t>8CG11329CL</t>
  </si>
  <si>
    <t>S08153.US-2016</t>
  </si>
  <si>
    <t>GENSUS082384</t>
  </si>
  <si>
    <t>7.53.124.70</t>
  </si>
  <si>
    <t>842AFD082384</t>
  </si>
  <si>
    <t>8CG11329D9</t>
  </si>
  <si>
    <t>GENSUS08238C</t>
  </si>
  <si>
    <t>7.4.76.24</t>
  </si>
  <si>
    <t>842AFD08238C</t>
  </si>
  <si>
    <t>S08291</t>
  </si>
  <si>
    <t>8CG1132D4P</t>
  </si>
  <si>
    <t>S08291.US-2016</t>
  </si>
  <si>
    <t>GENSUS0823AC</t>
  </si>
  <si>
    <t>55.172.223.182</t>
  </si>
  <si>
    <t>842AFD0823AC</t>
  </si>
  <si>
    <t>S06614</t>
  </si>
  <si>
    <t>8CG1132DCN</t>
  </si>
  <si>
    <t>S06614.US-2016</t>
  </si>
  <si>
    <t>GENSUS0823E6</t>
  </si>
  <si>
    <t>7.165.244.144</t>
  </si>
  <si>
    <t>842AFD0823E6</t>
  </si>
  <si>
    <t>8CG1132D5N</t>
  </si>
  <si>
    <t>GENSUS0823FA</t>
  </si>
  <si>
    <t>7.65.236.201</t>
  </si>
  <si>
    <t>842AFD0823FA</t>
  </si>
  <si>
    <t>8CG11329DF</t>
  </si>
  <si>
    <t>GENSUS0823FD</t>
  </si>
  <si>
    <t>7.120.44.185</t>
  </si>
  <si>
    <t>842AFD0823FD</t>
  </si>
  <si>
    <t>S04709</t>
  </si>
  <si>
    <t>8CG11329DV</t>
  </si>
  <si>
    <t>S04709.US-2016</t>
  </si>
  <si>
    <t>GENSUS082423</t>
  </si>
  <si>
    <t>7.164.244.67</t>
  </si>
  <si>
    <t>842AFD082423</t>
  </si>
  <si>
    <t>8CG1220CC6</t>
  </si>
  <si>
    <t>GENSUS08245C</t>
  </si>
  <si>
    <t>7.21.204.65</t>
  </si>
  <si>
    <t>842AFD08245C</t>
  </si>
  <si>
    <t>8CG121134C</t>
  </si>
  <si>
    <t>GENSUS082474</t>
  </si>
  <si>
    <t>7.212.220.29</t>
  </si>
  <si>
    <t>842AFD082474</t>
  </si>
  <si>
    <t>8CG1140MHM</t>
  </si>
  <si>
    <t>GENSUS082596</t>
  </si>
  <si>
    <t>7.10.164.126</t>
  </si>
  <si>
    <t>842AFD082596</t>
  </si>
  <si>
    <t>8CG1220H0R</t>
  </si>
  <si>
    <t>GENSUS082608</t>
  </si>
  <si>
    <t>7.113.140.145</t>
  </si>
  <si>
    <t>842AFD082608</t>
  </si>
  <si>
    <t>8CG1140MH8</t>
  </si>
  <si>
    <t>GENSUS082612</t>
  </si>
  <si>
    <t>7.17.108.173</t>
  </si>
  <si>
    <t>842AFD082612</t>
  </si>
  <si>
    <t>8CG1140MH7</t>
  </si>
  <si>
    <t>GENSUS082676</t>
  </si>
  <si>
    <t>7.189.100.90</t>
  </si>
  <si>
    <t>842AFD082676</t>
  </si>
  <si>
    <t>8CG1220CCX</t>
  </si>
  <si>
    <t>GENSUS082738</t>
  </si>
  <si>
    <t>7.49.140.60</t>
  </si>
  <si>
    <t>842AFD082738</t>
  </si>
  <si>
    <t>S04777</t>
  </si>
  <si>
    <t>8CG1220CCV</t>
  </si>
  <si>
    <t>S04777.US-2016</t>
  </si>
  <si>
    <t>GENSUS082745</t>
  </si>
  <si>
    <t>7.23.140.144</t>
  </si>
  <si>
    <t>842AFD082745</t>
  </si>
  <si>
    <t>S06522</t>
  </si>
  <si>
    <t>8CG1140MBQ</t>
  </si>
  <si>
    <t>S06522.US</t>
  </si>
  <si>
    <t>GENSUS082846</t>
  </si>
  <si>
    <t>7.5.164.193</t>
  </si>
  <si>
    <t>842AFD082846</t>
  </si>
  <si>
    <t>8CG1165J46</t>
  </si>
  <si>
    <t>GENSUS0828D9</t>
  </si>
  <si>
    <t>7.144.204.37</t>
  </si>
  <si>
    <t>842AFD0828D9</t>
  </si>
  <si>
    <t>8CG1140MHD</t>
  </si>
  <si>
    <t>GENSUS0829C8</t>
  </si>
  <si>
    <t>7.8.212.166</t>
  </si>
  <si>
    <t>842AFD0829C8</t>
  </si>
  <si>
    <t>8CG12274B0</t>
  </si>
  <si>
    <t>GENSUS0829DB</t>
  </si>
  <si>
    <t>7.84.28.97</t>
  </si>
  <si>
    <t>842AFD0829DB</t>
  </si>
  <si>
    <t>8CG12274B4</t>
  </si>
  <si>
    <t>GENSUS082A76</t>
  </si>
  <si>
    <t>7.11.60.59</t>
  </si>
  <si>
    <t>842AFD082A76</t>
  </si>
  <si>
    <t>S08276</t>
  </si>
  <si>
    <t>8CG12274NF</t>
  </si>
  <si>
    <t>S08276.US-2016</t>
  </si>
  <si>
    <t>GENSUS082AAA</t>
  </si>
  <si>
    <t>7.135.68.170</t>
  </si>
  <si>
    <t>842AFD082AAA</t>
  </si>
  <si>
    <t>S06667</t>
  </si>
  <si>
    <t>8CG12274LK</t>
  </si>
  <si>
    <t>S06667.US-2016</t>
  </si>
  <si>
    <t>GENSUS082ADC</t>
  </si>
  <si>
    <t>7.151.100.225</t>
  </si>
  <si>
    <t>842AFD082ADC</t>
  </si>
  <si>
    <t>S04901</t>
  </si>
  <si>
    <t>8CG122733T</t>
  </si>
  <si>
    <t>S04901.US-2016</t>
  </si>
  <si>
    <t>GENSUS082AEA</t>
  </si>
  <si>
    <t>7.191.4.47</t>
  </si>
  <si>
    <t>842AFD082AEA</t>
  </si>
  <si>
    <t>8CG12272Z6</t>
  </si>
  <si>
    <t>GENSUS082AEE</t>
  </si>
  <si>
    <t>7.11.180.192</t>
  </si>
  <si>
    <t>842AFD082AEE</t>
  </si>
  <si>
    <t>8CG122732M</t>
  </si>
  <si>
    <t>GENSUS082B04</t>
  </si>
  <si>
    <t>7.11.132.163</t>
  </si>
  <si>
    <t>842AFD082B04</t>
  </si>
  <si>
    <t>8CG12274ND</t>
  </si>
  <si>
    <t>GENSUS082B0B</t>
  </si>
  <si>
    <t>7.13.244.32</t>
  </si>
  <si>
    <t>842AFD082B0B</t>
  </si>
  <si>
    <t>8CG12272Q1</t>
  </si>
  <si>
    <t>GENSUS082B14</t>
  </si>
  <si>
    <t>7.174.100.109</t>
  </si>
  <si>
    <t>842AFD082B14</t>
  </si>
  <si>
    <t>8CG12274NM</t>
  </si>
  <si>
    <t>GENSUS082B22</t>
  </si>
  <si>
    <t>7.67.180.201</t>
  </si>
  <si>
    <t>842AFD082B22</t>
  </si>
  <si>
    <t>S06409</t>
  </si>
  <si>
    <t>8CG1227566</t>
  </si>
  <si>
    <t>S06409.US-2016</t>
  </si>
  <si>
    <t>GENSUS082B43</t>
  </si>
  <si>
    <t>55.20.191.171</t>
  </si>
  <si>
    <t>842AFD082B43</t>
  </si>
  <si>
    <t>S06455</t>
  </si>
  <si>
    <t>8CG12274S9</t>
  </si>
  <si>
    <t>S06455.US-2016</t>
  </si>
  <si>
    <t>GENSUS082B58</t>
  </si>
  <si>
    <t>7.52.252.84</t>
  </si>
  <si>
    <t>842AFD082B58</t>
  </si>
  <si>
    <t>S08191</t>
  </si>
  <si>
    <t>8CG12274RQ</t>
  </si>
  <si>
    <t>S08191.US-2016</t>
  </si>
  <si>
    <t>GENSUS082B61</t>
  </si>
  <si>
    <t>7.161.68.11</t>
  </si>
  <si>
    <t>842AFD082B61</t>
  </si>
  <si>
    <t>8CG12274L8</t>
  </si>
  <si>
    <t>GENSUS082B9C</t>
  </si>
  <si>
    <t>7.78.196.115</t>
  </si>
  <si>
    <t>842AFD082B9C</t>
  </si>
  <si>
    <t>8CG12272BM</t>
  </si>
  <si>
    <t>GENSUS082BD6</t>
  </si>
  <si>
    <t>7.73.164.200</t>
  </si>
  <si>
    <t>842AFD082BD6</t>
  </si>
  <si>
    <t>S06674</t>
  </si>
  <si>
    <t>8CG12272DN</t>
  </si>
  <si>
    <t>S06674.US-2016</t>
  </si>
  <si>
    <t>GENSUS082C0D</t>
  </si>
  <si>
    <t>7.57.164.15</t>
  </si>
  <si>
    <t>842AFD082C0D</t>
  </si>
  <si>
    <t>8CG1227345</t>
  </si>
  <si>
    <t>GENSUS082C0E</t>
  </si>
  <si>
    <t>7.163.148.32</t>
  </si>
  <si>
    <t>842AFD082C0E</t>
  </si>
  <si>
    <t>8CG12272BS</t>
  </si>
  <si>
    <t>GENSUS082D07</t>
  </si>
  <si>
    <t>7.150.36.77</t>
  </si>
  <si>
    <t>842AFD082D07</t>
  </si>
  <si>
    <t>S04944</t>
  </si>
  <si>
    <t>8CG12274LD</t>
  </si>
  <si>
    <t>S04944.US-2016</t>
  </si>
  <si>
    <t>GENSUS082D17</t>
  </si>
  <si>
    <t>7.77.252.17</t>
  </si>
  <si>
    <t>842AFD082D17</t>
  </si>
  <si>
    <t>8CG12274S7</t>
  </si>
  <si>
    <t>GENSUS082D19</t>
  </si>
  <si>
    <t>55.68.127.180</t>
  </si>
  <si>
    <t>842AFD082D19</t>
  </si>
  <si>
    <t>S06408</t>
  </si>
  <si>
    <t>8CG12274DJ</t>
  </si>
  <si>
    <t>S06408.US-2016</t>
  </si>
  <si>
    <t>GENSUS082D3C</t>
  </si>
  <si>
    <t>7.123.44.69</t>
  </si>
  <si>
    <t>842AFD082D3C</t>
  </si>
  <si>
    <t>S08293</t>
  </si>
  <si>
    <t>8CG1227547</t>
  </si>
  <si>
    <t>S08293.US-2016</t>
  </si>
  <si>
    <t>GENSUS082D3D</t>
  </si>
  <si>
    <t>55.188.7.153</t>
  </si>
  <si>
    <t>842AFD082D3D</t>
  </si>
  <si>
    <t>S06781</t>
  </si>
  <si>
    <t>8CG122754G</t>
  </si>
  <si>
    <t>S06781.US-2016</t>
  </si>
  <si>
    <t>GENSUS082D4D</t>
  </si>
  <si>
    <t>7.189.4.11</t>
  </si>
  <si>
    <t>842AFD082D4D</t>
  </si>
  <si>
    <t>S08296</t>
  </si>
  <si>
    <t>8CG12274D0</t>
  </si>
  <si>
    <t>S08296.US-2016</t>
  </si>
  <si>
    <t>GENSUS082D5C</t>
  </si>
  <si>
    <t>7.120.60.19</t>
  </si>
  <si>
    <t>842AFD082D5C</t>
  </si>
  <si>
    <t>S04724</t>
  </si>
  <si>
    <t>8CG12272G2</t>
  </si>
  <si>
    <t>S04724.US-2016</t>
  </si>
  <si>
    <t>GENSUS082D5E</t>
  </si>
  <si>
    <t>7.73.252.233</t>
  </si>
  <si>
    <t>842AFD082D5E</t>
  </si>
  <si>
    <t>8CG12274P0</t>
  </si>
  <si>
    <t>GENSUS082D68</t>
  </si>
  <si>
    <t>7.128.212.150</t>
  </si>
  <si>
    <t>842AFD082D68</t>
  </si>
  <si>
    <t>8CG12272HM</t>
  </si>
  <si>
    <t>GENSUS082D7F</t>
  </si>
  <si>
    <t>7.75.188.46</t>
  </si>
  <si>
    <t>842AFD082D7F</t>
  </si>
  <si>
    <t>8CG12272H5</t>
  </si>
  <si>
    <t>GENSUS082D84</t>
  </si>
  <si>
    <t>7.35.164.41</t>
  </si>
  <si>
    <t>842AFD082D84</t>
  </si>
  <si>
    <t>S08151</t>
  </si>
  <si>
    <t>8CG12274CX</t>
  </si>
  <si>
    <t>S08151.US-2016</t>
  </si>
  <si>
    <t>GENSUS082DC7</t>
  </si>
  <si>
    <t>7.215.236.75</t>
  </si>
  <si>
    <t>842AFD082DC7</t>
  </si>
  <si>
    <t>8CG1227328</t>
  </si>
  <si>
    <t>GENSUS082DCB</t>
  </si>
  <si>
    <t>7.150.52.22</t>
  </si>
  <si>
    <t>842AFD082DCB</t>
  </si>
  <si>
    <t>S04952</t>
  </si>
  <si>
    <t>8CG12274CG</t>
  </si>
  <si>
    <t>S04952.US-2016</t>
  </si>
  <si>
    <t>GENSUS082DCF</t>
  </si>
  <si>
    <t>7.19.36.27</t>
  </si>
  <si>
    <t>842AFD082DCF</t>
  </si>
  <si>
    <t>8CG1227561</t>
  </si>
  <si>
    <t>GENSUS082DD7</t>
  </si>
  <si>
    <t>7.70.180.42</t>
  </si>
  <si>
    <t>842AFD082DD7</t>
  </si>
  <si>
    <t>S06245</t>
  </si>
  <si>
    <t>8CG122756Q</t>
  </si>
  <si>
    <t>S06245.US-2016</t>
  </si>
  <si>
    <t>GENSUS082DE0</t>
  </si>
  <si>
    <t>7.135.84.165</t>
  </si>
  <si>
    <t>842AFD082DE0</t>
  </si>
  <si>
    <t>8CG1227294</t>
  </si>
  <si>
    <t>GENSUS082DF8</t>
  </si>
  <si>
    <t>7.53.108.13</t>
  </si>
  <si>
    <t>842AFD082DF8</t>
  </si>
  <si>
    <t>S08182</t>
  </si>
  <si>
    <t>8CG12274QH</t>
  </si>
  <si>
    <t>S08182.US-2016</t>
  </si>
  <si>
    <t>GENSUS082DFD</t>
  </si>
  <si>
    <t>7.53.148.113</t>
  </si>
  <si>
    <t>842AFD082DFD</t>
  </si>
  <si>
    <t>8CG122730G</t>
  </si>
  <si>
    <t>GENSUS082E1B</t>
  </si>
  <si>
    <t>7.137.140.161</t>
  </si>
  <si>
    <t>842AFD082E1B</t>
  </si>
  <si>
    <t>S06260</t>
  </si>
  <si>
    <t>8CG12274P7</t>
  </si>
  <si>
    <t>S06260.US-2016</t>
  </si>
  <si>
    <t>GENSUS082E27</t>
  </si>
  <si>
    <t>7.93.100.38</t>
  </si>
  <si>
    <t>842AFD082E27</t>
  </si>
  <si>
    <t>8CG122734M</t>
  </si>
  <si>
    <t>GENSUS082E34</t>
  </si>
  <si>
    <t>7.164.244.170</t>
  </si>
  <si>
    <t>842AFD082E34</t>
  </si>
  <si>
    <t>8CG122756Y</t>
  </si>
  <si>
    <t>GENSUS082E36</t>
  </si>
  <si>
    <t>7.74.188.51</t>
  </si>
  <si>
    <t>842AFD082E36</t>
  </si>
  <si>
    <t>8CG12272ZQ</t>
  </si>
  <si>
    <t>GENSUS082E63</t>
  </si>
  <si>
    <t>7.78.252.109</t>
  </si>
  <si>
    <t>842AFD082E63</t>
  </si>
  <si>
    <t>S08145</t>
  </si>
  <si>
    <t>8CG12272XY</t>
  </si>
  <si>
    <t>S08145.US-2016</t>
  </si>
  <si>
    <t>GENSUS082E79</t>
  </si>
  <si>
    <t>7.212.252.154</t>
  </si>
  <si>
    <t>842AFD082E79</t>
  </si>
  <si>
    <t>S06238</t>
  </si>
  <si>
    <t>8CG12274D3</t>
  </si>
  <si>
    <t>S06238.US-2016</t>
  </si>
  <si>
    <t>GENSUS082E9A</t>
  </si>
  <si>
    <t>7.81.108.120</t>
  </si>
  <si>
    <t>842AFD082E9A</t>
  </si>
  <si>
    <t>S06533</t>
  </si>
  <si>
    <t>8CG122734K</t>
  </si>
  <si>
    <t>S06533.US-2016</t>
  </si>
  <si>
    <t>GENSUS082EA5</t>
  </si>
  <si>
    <t>7.123.44.181</t>
  </si>
  <si>
    <t>842AFD082EA5</t>
  </si>
  <si>
    <t>8CG12272DW</t>
  </si>
  <si>
    <t>GENSUS082EB9</t>
  </si>
  <si>
    <t>7.213.4.75</t>
  </si>
  <si>
    <t>842AFD082EB9</t>
  </si>
  <si>
    <t>8CG122733C</t>
  </si>
  <si>
    <t>GENSUS082ECA</t>
  </si>
  <si>
    <t>7.69.60.193</t>
  </si>
  <si>
    <t>842AFD082ECA</t>
  </si>
  <si>
    <t>8CG12274CH</t>
  </si>
  <si>
    <t>GENSUS082ED3</t>
  </si>
  <si>
    <t>55.162.47.169</t>
  </si>
  <si>
    <t>842AFD082ED3</t>
  </si>
  <si>
    <t>S04963</t>
  </si>
  <si>
    <t>8CG12274C0</t>
  </si>
  <si>
    <t>S04963.US-2016</t>
  </si>
  <si>
    <t>GENSUS082EE5</t>
  </si>
  <si>
    <t>7.191.4.76</t>
  </si>
  <si>
    <t>842AFD082EE5</t>
  </si>
  <si>
    <t>8CG1227563</t>
  </si>
  <si>
    <t>GENSUS082EED</t>
  </si>
  <si>
    <t>7.73.164.81</t>
  </si>
  <si>
    <t>842AFD082EED</t>
  </si>
  <si>
    <t>8CG12272BB</t>
  </si>
  <si>
    <t>GENSUS082EF7</t>
  </si>
  <si>
    <t>7.121.204.229</t>
  </si>
  <si>
    <t>842AFD082EF7</t>
  </si>
  <si>
    <t>8CG12274Q4</t>
  </si>
  <si>
    <t>GENSUS082EFD</t>
  </si>
  <si>
    <t>7.114.188.168</t>
  </si>
  <si>
    <t>842AFD082EFD</t>
  </si>
  <si>
    <t>8CG12272CW</t>
  </si>
  <si>
    <t>GENSUS082F01</t>
  </si>
  <si>
    <t>7.28.20.28</t>
  </si>
  <si>
    <t>842AFD082F01</t>
  </si>
  <si>
    <t>8CG1227306</t>
  </si>
  <si>
    <t>GENSUS082F0F</t>
  </si>
  <si>
    <t>7.53.12.32</t>
  </si>
  <si>
    <t>842AFD082F0F</t>
  </si>
  <si>
    <t>8CG122734P</t>
  </si>
  <si>
    <t>GENSUS082F10</t>
  </si>
  <si>
    <t>7.21.172.69</t>
  </si>
  <si>
    <t>842AFD082F10</t>
  </si>
  <si>
    <t>8CG12272YK</t>
  </si>
  <si>
    <t>GENSUS082F15</t>
  </si>
  <si>
    <t>7.122.204.40</t>
  </si>
  <si>
    <t>842AFD082F15</t>
  </si>
  <si>
    <t>8CG12272YL</t>
  </si>
  <si>
    <t>GENSUS082F3D</t>
  </si>
  <si>
    <t>7.183.52.106</t>
  </si>
  <si>
    <t>842AFD082F3D</t>
  </si>
  <si>
    <t>S07658</t>
  </si>
  <si>
    <t>8CG12272FQ</t>
  </si>
  <si>
    <t>S07658.US-2016</t>
  </si>
  <si>
    <t>GENSUS082F43</t>
  </si>
  <si>
    <t>7.89.228.54</t>
  </si>
  <si>
    <t>842AFD082F43</t>
  </si>
  <si>
    <t>S08144</t>
  </si>
  <si>
    <t>8CG122731H</t>
  </si>
  <si>
    <t>S08144.US-2016</t>
  </si>
  <si>
    <t>GENSUS082F82</t>
  </si>
  <si>
    <t>7.188.164.188</t>
  </si>
  <si>
    <t>842AFD082F82</t>
  </si>
  <si>
    <t>8CG12272CT</t>
  </si>
  <si>
    <t>GENSUS082FA1</t>
  </si>
  <si>
    <t>7.4.68.24</t>
  </si>
  <si>
    <t>842AFD082FA1</t>
  </si>
  <si>
    <t>8CG1227304</t>
  </si>
  <si>
    <t>GENSUS082FA2</t>
  </si>
  <si>
    <t>7.65.36.167</t>
  </si>
  <si>
    <t>842AFD082FA2</t>
  </si>
  <si>
    <t>8CG12272CM</t>
  </si>
  <si>
    <t>GENSUS082FB3</t>
  </si>
  <si>
    <t>7.42.164.37</t>
  </si>
  <si>
    <t>842AFD082FB3</t>
  </si>
  <si>
    <t>8CG1227312</t>
  </si>
  <si>
    <t>GENSUS0830BD</t>
  </si>
  <si>
    <t>7.66.228.132</t>
  </si>
  <si>
    <t>842AFD0830BD</t>
  </si>
  <si>
    <t>S06384</t>
  </si>
  <si>
    <t>8CG1233JGK</t>
  </si>
  <si>
    <t>S06384.US-2016</t>
  </si>
  <si>
    <t>GENSUS08316D</t>
  </si>
  <si>
    <t>7.135.76.73</t>
  </si>
  <si>
    <t>842AFD08316D</t>
  </si>
  <si>
    <t>8CG12272Z4</t>
  </si>
  <si>
    <t>GENSUS08318A</t>
  </si>
  <si>
    <t>7.215.12.187</t>
  </si>
  <si>
    <t>842AFD08318A</t>
  </si>
  <si>
    <t>8CG12272ZN</t>
  </si>
  <si>
    <t>GENSUS08319A</t>
  </si>
  <si>
    <t>7.66.236.184</t>
  </si>
  <si>
    <t>842AFD08319A</t>
  </si>
  <si>
    <t>8CG1233JG2</t>
  </si>
  <si>
    <t>GENSUS083226</t>
  </si>
  <si>
    <t>7.73.36.118</t>
  </si>
  <si>
    <t>842AFD083226</t>
  </si>
  <si>
    <t>S06630</t>
  </si>
  <si>
    <t>8CG12272CL</t>
  </si>
  <si>
    <t>S06630.US-2016</t>
  </si>
  <si>
    <t>GENSUS0832DD</t>
  </si>
  <si>
    <t>7.82.172.184</t>
  </si>
  <si>
    <t>842AFD0832DD</t>
  </si>
  <si>
    <t>S08253</t>
  </si>
  <si>
    <t>8CG1233JG9</t>
  </si>
  <si>
    <t>S08253.US-2016</t>
  </si>
  <si>
    <t>GENSUS0834B3</t>
  </si>
  <si>
    <t>7.21.196.170</t>
  </si>
  <si>
    <t>842AFD0834B3</t>
  </si>
  <si>
    <t>S08263</t>
  </si>
  <si>
    <t>8CG12272X6</t>
  </si>
  <si>
    <t>S08263.US-2016</t>
  </si>
  <si>
    <t>GENSUS083512</t>
  </si>
  <si>
    <t>7.14.172.103</t>
  </si>
  <si>
    <t>842AFD083512</t>
  </si>
  <si>
    <t>8CG1273Q9Q</t>
  </si>
  <si>
    <t>GENSUS083517</t>
  </si>
  <si>
    <t>7.5.124.178</t>
  </si>
  <si>
    <t>842AFD083517</t>
  </si>
  <si>
    <t>S04735</t>
  </si>
  <si>
    <t>8CG1273Q9P</t>
  </si>
  <si>
    <t>S04735.US-2016</t>
  </si>
  <si>
    <t>GENSUS08351A</t>
  </si>
  <si>
    <t>7.16.60.27</t>
  </si>
  <si>
    <t>842AFD08351A</t>
  </si>
  <si>
    <t>S08236</t>
  </si>
  <si>
    <t>8CG1273Q98</t>
  </si>
  <si>
    <t>S08236.US-2016</t>
  </si>
  <si>
    <t>GENSUS083546</t>
  </si>
  <si>
    <t>7.81.12.148</t>
  </si>
  <si>
    <t>842AFD083546</t>
  </si>
  <si>
    <t>8CG128410N</t>
  </si>
  <si>
    <t>GENSUS083560</t>
  </si>
  <si>
    <t>7.73.44.240</t>
  </si>
  <si>
    <t>842AFD083560</t>
  </si>
  <si>
    <t>8CG12274L4</t>
  </si>
  <si>
    <t>GENSUS083566</t>
  </si>
  <si>
    <t>7.74.36.39</t>
  </si>
  <si>
    <t>842AFD083566</t>
  </si>
  <si>
    <t>S06652</t>
  </si>
  <si>
    <t>8CG12272X3</t>
  </si>
  <si>
    <t>S06652.US-2016</t>
  </si>
  <si>
    <t>GENSUS083568</t>
  </si>
  <si>
    <t>7.76.68.76</t>
  </si>
  <si>
    <t>842AFD083568</t>
  </si>
  <si>
    <t>8CG12272YX</t>
  </si>
  <si>
    <t>GENSUS0835C9</t>
  </si>
  <si>
    <t>7.21.156.188</t>
  </si>
  <si>
    <t>842AFD0835C9</t>
  </si>
  <si>
    <t>S08238</t>
  </si>
  <si>
    <t>8CG1233JH8</t>
  </si>
  <si>
    <t>S08238.US-2016</t>
  </si>
  <si>
    <t>GENSUS0835CB</t>
  </si>
  <si>
    <t>7.35.156.33</t>
  </si>
  <si>
    <t>842AFD0835CB</t>
  </si>
  <si>
    <t>8CG12274QZ</t>
  </si>
  <si>
    <t>GENSUS0836B0</t>
  </si>
  <si>
    <t>7.190.12.176</t>
  </si>
  <si>
    <t>842AFD0836B0</t>
  </si>
  <si>
    <t>S08274</t>
  </si>
  <si>
    <t>8CG12272XJ</t>
  </si>
  <si>
    <t>S08274.US-2016</t>
  </si>
  <si>
    <t>GENSUS083707</t>
  </si>
  <si>
    <t>7.87.68.195</t>
  </si>
  <si>
    <t>842AFD083707</t>
  </si>
  <si>
    <t>8CG12274LZ</t>
  </si>
  <si>
    <t>GENSUS083716</t>
  </si>
  <si>
    <t>7.53.180.62</t>
  </si>
  <si>
    <t>842AFD083716</t>
  </si>
  <si>
    <t>8CG12274MM</t>
  </si>
  <si>
    <t>GENSUS083718</t>
  </si>
  <si>
    <t>7.189.60.75</t>
  </si>
  <si>
    <t>842AFD083718</t>
  </si>
  <si>
    <t>S08280</t>
  </si>
  <si>
    <t>8CG12274MN</t>
  </si>
  <si>
    <t>S08280.US-2016</t>
  </si>
  <si>
    <t>GENSUS08374E</t>
  </si>
  <si>
    <t>7.8.156.27</t>
  </si>
  <si>
    <t>842AFD08374E</t>
  </si>
  <si>
    <t>8CG1227578</t>
  </si>
  <si>
    <t>GENSUS0837FE</t>
  </si>
  <si>
    <t>7.189.60.120</t>
  </si>
  <si>
    <t>842AFD0837FE</t>
  </si>
  <si>
    <t>8CG12274LX</t>
  </si>
  <si>
    <t>GENSUS0837FF</t>
  </si>
  <si>
    <t>7.133.220.38</t>
  </si>
  <si>
    <t>842AFD0837FF</t>
  </si>
  <si>
    <t>S04817</t>
  </si>
  <si>
    <t>8CG12272XD</t>
  </si>
  <si>
    <t>S04817.US-2016</t>
  </si>
  <si>
    <t>GENSUS08380A</t>
  </si>
  <si>
    <t>7.21.132.199</t>
  </si>
  <si>
    <t>842AFD08380A</t>
  </si>
  <si>
    <t>S08224</t>
  </si>
  <si>
    <t>8CG12274KF</t>
  </si>
  <si>
    <t>S08224.US-2016</t>
  </si>
  <si>
    <t>GENSUS083820</t>
  </si>
  <si>
    <t>7.87.68.156</t>
  </si>
  <si>
    <t>842AFD083820</t>
  </si>
  <si>
    <t>8CG12274SD</t>
  </si>
  <si>
    <t>GENSUS083880</t>
  </si>
  <si>
    <t>7.47.244.112</t>
  </si>
  <si>
    <t>842AFD083880</t>
  </si>
  <si>
    <t>8CG1233JGZ</t>
  </si>
  <si>
    <t>GENSUS083896</t>
  </si>
  <si>
    <t>7.138.36.73</t>
  </si>
  <si>
    <t>842AFD083896</t>
  </si>
  <si>
    <t>S06239</t>
  </si>
  <si>
    <t>8CG12274MD</t>
  </si>
  <si>
    <t>S06239.US-2016</t>
  </si>
  <si>
    <t>GENSUS0838DE</t>
  </si>
  <si>
    <t>7.135.84.224</t>
  </si>
  <si>
    <t>842AFD0838DE</t>
  </si>
  <si>
    <t>8CG12272XG</t>
  </si>
  <si>
    <t>GENSUS0838F1</t>
  </si>
  <si>
    <t>55.1.63.153</t>
  </si>
  <si>
    <t>842AFD0838F1</t>
  </si>
  <si>
    <t>8CG12274Q9</t>
  </si>
  <si>
    <t>GENSUS0838F3</t>
  </si>
  <si>
    <t>7.34.156.189</t>
  </si>
  <si>
    <t>842AFD0838F3</t>
  </si>
  <si>
    <t>8CG12274Q8</t>
  </si>
  <si>
    <t>GENSUS0838FB</t>
  </si>
  <si>
    <t>7.34.156.70</t>
  </si>
  <si>
    <t>842AFD0838FB</t>
  </si>
  <si>
    <t>8CG12274LQ</t>
  </si>
  <si>
    <t>GENSUS0838FD</t>
  </si>
  <si>
    <t>7.190.116.199</t>
  </si>
  <si>
    <t>842AFD0838FD</t>
  </si>
  <si>
    <t>8CG12274QM</t>
  </si>
  <si>
    <t>GENSUS083917</t>
  </si>
  <si>
    <t>55.13.47.157</t>
  </si>
  <si>
    <t>842AFD083917</t>
  </si>
  <si>
    <t>8CG12274MQ</t>
  </si>
  <si>
    <t>GENSUS08391C</t>
  </si>
  <si>
    <t>7.182.116.86</t>
  </si>
  <si>
    <t>842AFD08391C</t>
  </si>
  <si>
    <t>8CG12274QL</t>
  </si>
  <si>
    <t>GENSUS08391D</t>
  </si>
  <si>
    <t>7.122.172.207</t>
  </si>
  <si>
    <t>842AFD08391D</t>
  </si>
  <si>
    <t>8CG12274QK</t>
  </si>
  <si>
    <t>GENSUS083925</t>
  </si>
  <si>
    <t>7.74.36.31</t>
  </si>
  <si>
    <t>842AFD083925</t>
  </si>
  <si>
    <t>8CG12274JW</t>
  </si>
  <si>
    <t>GENSUS083927</t>
  </si>
  <si>
    <t>7.4.76.25</t>
  </si>
  <si>
    <t>842AFD083927</t>
  </si>
  <si>
    <t>8CG12274M7</t>
  </si>
  <si>
    <t>GENSUS08392B</t>
  </si>
  <si>
    <t>7.82.180.197</t>
  </si>
  <si>
    <t>842AFD08392B</t>
  </si>
  <si>
    <t>8CG12274JS</t>
  </si>
  <si>
    <t>GENSUS08392D</t>
  </si>
  <si>
    <t>7.5.116.142</t>
  </si>
  <si>
    <t>842AFD08392D</t>
  </si>
  <si>
    <t>8CG12274LW</t>
  </si>
  <si>
    <t>GENSUS083936</t>
  </si>
  <si>
    <t>7.131.36.59</t>
  </si>
  <si>
    <t>842AFD083936</t>
  </si>
  <si>
    <t>8CG12274QQ</t>
  </si>
  <si>
    <t>GENSUS083937</t>
  </si>
  <si>
    <t>7.121.204.198</t>
  </si>
  <si>
    <t>842AFD083937</t>
  </si>
  <si>
    <t>8CG12274QP</t>
  </si>
  <si>
    <t>GENSUS08394E</t>
  </si>
  <si>
    <t>7.135.84.229</t>
  </si>
  <si>
    <t>842AFD08394E</t>
  </si>
  <si>
    <t>8CG12274JV</t>
  </si>
  <si>
    <t>GENSUS08394F</t>
  </si>
  <si>
    <t>7.11.180.82</t>
  </si>
  <si>
    <t>842AFD08394F</t>
  </si>
  <si>
    <t>8CG12274JR</t>
  </si>
  <si>
    <t>GENSUS083950</t>
  </si>
  <si>
    <t>7.138.36.179</t>
  </si>
  <si>
    <t>842AFD083950</t>
  </si>
  <si>
    <t>8CG12274M1</t>
  </si>
  <si>
    <t>GENSUS083952</t>
  </si>
  <si>
    <t>7.189.60.74</t>
  </si>
  <si>
    <t>842AFD083952</t>
  </si>
  <si>
    <t>8CG12274JZ</t>
  </si>
  <si>
    <t>GENSUS083961</t>
  </si>
  <si>
    <t>7.89.188.88</t>
  </si>
  <si>
    <t>842AFD083961</t>
  </si>
  <si>
    <t>S06573</t>
  </si>
  <si>
    <t>8CG12272X4</t>
  </si>
  <si>
    <t>S06573.US-2016</t>
  </si>
  <si>
    <t>GENSUS0839B9</t>
  </si>
  <si>
    <t>7.135.132.208</t>
  </si>
  <si>
    <t>842AFD0839B9</t>
  </si>
  <si>
    <t>8CG12272YD</t>
  </si>
  <si>
    <t>GENSUS0839F6</t>
  </si>
  <si>
    <t>7.65.36.232</t>
  </si>
  <si>
    <t>842AFD0839F6</t>
  </si>
  <si>
    <t>8CG12272YH</t>
  </si>
  <si>
    <t>GENSUS0843FA</t>
  </si>
  <si>
    <t>7.4.132.196</t>
  </si>
  <si>
    <t>842AFD0843FA</t>
  </si>
  <si>
    <t>8CG13319R0</t>
  </si>
  <si>
    <t>GENSUS084961</t>
  </si>
  <si>
    <t>7.63.68.232</t>
  </si>
  <si>
    <t>842AFD084961</t>
  </si>
  <si>
    <t>8CG128407H</t>
  </si>
  <si>
    <t>GENSUS084EC8</t>
  </si>
  <si>
    <t>7.216.4.237</t>
  </si>
  <si>
    <t>842AFD084EC8</t>
  </si>
  <si>
    <t>S04109</t>
  </si>
  <si>
    <t>8CG1326T0R</t>
  </si>
  <si>
    <t>S04109.US-2016</t>
  </si>
  <si>
    <t>GENSUS08515B</t>
  </si>
  <si>
    <t>7.88.4.52</t>
  </si>
  <si>
    <t>842AFD08515B</t>
  </si>
  <si>
    <t>8CG13300J2</t>
  </si>
  <si>
    <t>GENSUS085190</t>
  </si>
  <si>
    <t>7.78.196.159</t>
  </si>
  <si>
    <t>842AFD085190</t>
  </si>
  <si>
    <t>8CG1331917</t>
  </si>
  <si>
    <t>S06456</t>
  </si>
  <si>
    <t>S06608</t>
  </si>
  <si>
    <t>S06608.US-2016</t>
  </si>
  <si>
    <t>GENSUS14643C</t>
  </si>
  <si>
    <t>7.14.204.110</t>
  </si>
  <si>
    <t>040E3C14643C</t>
  </si>
  <si>
    <t>8CG9414BYV</t>
  </si>
  <si>
    <t>GENSUS164EF8</t>
  </si>
  <si>
    <t>7.144.180.209</t>
  </si>
  <si>
    <t>040E3C164EF8</t>
  </si>
  <si>
    <t>S04822</t>
  </si>
  <si>
    <t>8CG942F86P</t>
  </si>
  <si>
    <t>S04822.US-2016</t>
  </si>
  <si>
    <t>GENSUS164EFA</t>
  </si>
  <si>
    <t>7.17.204.33</t>
  </si>
  <si>
    <t>040E3C164EFA</t>
  </si>
  <si>
    <t>S04778</t>
  </si>
  <si>
    <t>8CG942F86Z</t>
  </si>
  <si>
    <t>S04778.US-2016</t>
  </si>
  <si>
    <t>GENSUS164FBA</t>
  </si>
  <si>
    <t>7.12.12.138</t>
  </si>
  <si>
    <t>040E3C164FBA</t>
  </si>
  <si>
    <t>8CG942BFHK</t>
  </si>
  <si>
    <t>GENSUS164FF7</t>
  </si>
  <si>
    <t>7.150.4.196</t>
  </si>
  <si>
    <t>040E3C164FF7</t>
  </si>
  <si>
    <t>S04876</t>
  </si>
  <si>
    <t>8CG942BFH0</t>
  </si>
  <si>
    <t>S04876.US-2016</t>
  </si>
  <si>
    <t>GENSUS164FFC</t>
  </si>
  <si>
    <t>7.34.180.213</t>
  </si>
  <si>
    <t>040E3C164FFC</t>
  </si>
  <si>
    <t>S08119</t>
  </si>
  <si>
    <t>8CG942BFGV</t>
  </si>
  <si>
    <t>S08119.US-2016</t>
  </si>
  <si>
    <t>GENSUS165008</t>
  </si>
  <si>
    <t>7.12.12.27</t>
  </si>
  <si>
    <t>040E3C165008</t>
  </si>
  <si>
    <t>8CG942BFH4</t>
  </si>
  <si>
    <t>GENSUS16500C</t>
  </si>
  <si>
    <t>7.130.220.153</t>
  </si>
  <si>
    <t>040E3C16500C</t>
  </si>
  <si>
    <t>8CG942BFF3</t>
  </si>
  <si>
    <t>GENSUS16500F</t>
  </si>
  <si>
    <t>7.130.220.154</t>
  </si>
  <si>
    <t>040E3C16500F</t>
  </si>
  <si>
    <t>8CG942BFK7</t>
  </si>
  <si>
    <t>GENSUS165015</t>
  </si>
  <si>
    <t>7.35.124.155</t>
  </si>
  <si>
    <t>040E3C165015</t>
  </si>
  <si>
    <t>S08294</t>
  </si>
  <si>
    <t>8CG942BFK1</t>
  </si>
  <si>
    <t>S08294.US-2016</t>
  </si>
  <si>
    <t>GENSUS165024</t>
  </si>
  <si>
    <t>55.24.79.195</t>
  </si>
  <si>
    <t>040E3C165024</t>
  </si>
  <si>
    <t>8CG942BFGQ</t>
  </si>
  <si>
    <t>GENSUS165035</t>
  </si>
  <si>
    <t>7.130.220.162</t>
  </si>
  <si>
    <t>040E3C165035</t>
  </si>
  <si>
    <t>8CG942BFJK</t>
  </si>
  <si>
    <t>GENSUS165039</t>
  </si>
  <si>
    <t>7.53.100.170</t>
  </si>
  <si>
    <t>040E3C165039</t>
  </si>
  <si>
    <t>S08197</t>
  </si>
  <si>
    <t>8CG942BFFM</t>
  </si>
  <si>
    <t>S08197.US-2016</t>
  </si>
  <si>
    <t>GENSUS16503C</t>
  </si>
  <si>
    <t>7.30.228.89</t>
  </si>
  <si>
    <t>040E3C16503C</t>
  </si>
  <si>
    <t>8CG942F86J</t>
  </si>
  <si>
    <t>GENSUS165052</t>
  </si>
  <si>
    <t>7.53.100.76</t>
  </si>
  <si>
    <t>040E3C165052</t>
  </si>
  <si>
    <t>8CG942BFH5</t>
  </si>
  <si>
    <t>GENSUS165056</t>
  </si>
  <si>
    <t>7.114.188.213</t>
  </si>
  <si>
    <t>040E3C165056</t>
  </si>
  <si>
    <t>8CG942BFG1</t>
  </si>
  <si>
    <t>GENSUS165061</t>
  </si>
  <si>
    <t>7.76.28.162</t>
  </si>
  <si>
    <t>040E3C165061</t>
  </si>
  <si>
    <t>8CG942BFL0</t>
  </si>
  <si>
    <t>GENSUS1650AB</t>
  </si>
  <si>
    <t>7.34.180.165</t>
  </si>
  <si>
    <t>040E3C1650AB</t>
  </si>
  <si>
    <t>8CG942BFHT</t>
  </si>
  <si>
    <t>GENSUS16511B</t>
  </si>
  <si>
    <t>7.181.60.230</t>
  </si>
  <si>
    <t>040E3C16511B</t>
  </si>
  <si>
    <t>S08158</t>
  </si>
  <si>
    <t>8CG942F5DG</t>
  </si>
  <si>
    <t>S08158.US-2016</t>
  </si>
  <si>
    <t>GENSUS1651BD</t>
  </si>
  <si>
    <t>7.21.172.160</t>
  </si>
  <si>
    <t>040E3C1651BD</t>
  </si>
  <si>
    <t>8CG942BFG2</t>
  </si>
  <si>
    <t>GENSUS167AC2</t>
  </si>
  <si>
    <t>7.153.44.179</t>
  </si>
  <si>
    <t>040E3C167AC2</t>
  </si>
  <si>
    <t>8CG942F3F1</t>
  </si>
  <si>
    <t>GENSUS167AC3</t>
  </si>
  <si>
    <t>7.181.60.65</t>
  </si>
  <si>
    <t>040E3C167AC3</t>
  </si>
  <si>
    <t>8CG942F590</t>
  </si>
  <si>
    <t>GENSUS167AC5</t>
  </si>
  <si>
    <t>7.181.60.232</t>
  </si>
  <si>
    <t>040E3C167AC5</t>
  </si>
  <si>
    <t>8CG942F5DD</t>
  </si>
  <si>
    <t>GENSUS167AE6</t>
  </si>
  <si>
    <t>7.124.28.64</t>
  </si>
  <si>
    <t>040E3C167AE6</t>
  </si>
  <si>
    <t>8CG942F423</t>
  </si>
  <si>
    <t>GENSUS167AEB</t>
  </si>
  <si>
    <t>7.19.36.56</t>
  </si>
  <si>
    <t>040E3C167AEB</t>
  </si>
  <si>
    <t>8CG942F425</t>
  </si>
  <si>
    <t>GENSUS167AEC</t>
  </si>
  <si>
    <t>7.67.172.46</t>
  </si>
  <si>
    <t>040E3C167AEC</t>
  </si>
  <si>
    <t>8CG942F426</t>
  </si>
  <si>
    <t>GENSUS167AFF</t>
  </si>
  <si>
    <t>7.73.36.159</t>
  </si>
  <si>
    <t>040E3C167AFF</t>
  </si>
  <si>
    <t>8CG942F9FL</t>
  </si>
  <si>
    <t>GENSUS167B48</t>
  </si>
  <si>
    <t>7.168.148.160</t>
  </si>
  <si>
    <t>040E3C167B48</t>
  </si>
  <si>
    <t>S04718</t>
  </si>
  <si>
    <t>8CG942F45F</t>
  </si>
  <si>
    <t>S04718.US-2016</t>
  </si>
  <si>
    <t>GENSUS167B49</t>
  </si>
  <si>
    <t>7.52.228.139</t>
  </si>
  <si>
    <t>040E3C167B49</t>
  </si>
  <si>
    <t>8CG942F4F1</t>
  </si>
  <si>
    <t>GENSUS167B54</t>
  </si>
  <si>
    <t>7.213.180.112</t>
  </si>
  <si>
    <t>040E3C167B54</t>
  </si>
  <si>
    <t>S04939</t>
  </si>
  <si>
    <t>8CG942F441</t>
  </si>
  <si>
    <t>S04939.US-2016</t>
  </si>
  <si>
    <t>GENSUS167B55</t>
  </si>
  <si>
    <t>7.74.4.20</t>
  </si>
  <si>
    <t>040E3C167B55</t>
  </si>
  <si>
    <t>S06683</t>
  </si>
  <si>
    <t>8CG942F430</t>
  </si>
  <si>
    <t>S06683.US-2016</t>
  </si>
  <si>
    <t>GENSUS167B56</t>
  </si>
  <si>
    <t>7.51.76.22</t>
  </si>
  <si>
    <t>040E3C167B56</t>
  </si>
  <si>
    <t>8CG942F431</t>
  </si>
  <si>
    <t>GENSUS167B57</t>
  </si>
  <si>
    <t>7.32.60.44</t>
  </si>
  <si>
    <t>040E3C167B57</t>
  </si>
  <si>
    <t>8CG942F43N</t>
  </si>
  <si>
    <t>GENSUS167B58</t>
  </si>
  <si>
    <t>7.168.148.63</t>
  </si>
  <si>
    <t>040E3C167B58</t>
  </si>
  <si>
    <t>8CG942F43P</t>
  </si>
  <si>
    <t>GENSUS167B59</t>
  </si>
  <si>
    <t>7.32.60.135</t>
  </si>
  <si>
    <t>040E3C167B59</t>
  </si>
  <si>
    <t>8CG942F45H</t>
  </si>
  <si>
    <t>GENSUS167B5B</t>
  </si>
  <si>
    <t>7.135.132.59</t>
  </si>
  <si>
    <t>040E3C167B5B</t>
  </si>
  <si>
    <t>8CG942F43Q</t>
  </si>
  <si>
    <t>GENSUS167B5F</t>
  </si>
  <si>
    <t>7.11.164.17</t>
  </si>
  <si>
    <t>040E3C167B5F</t>
  </si>
  <si>
    <t>8CG942F43L</t>
  </si>
  <si>
    <t>GENSUS167B66</t>
  </si>
  <si>
    <t>7.19.36.30</t>
  </si>
  <si>
    <t>040E3C167B66</t>
  </si>
  <si>
    <t>8CG942F43K</t>
  </si>
  <si>
    <t>GENSUS167B6D</t>
  </si>
  <si>
    <t>7.26.244.106</t>
  </si>
  <si>
    <t>040E3C167B6D</t>
  </si>
  <si>
    <t>S04815</t>
  </si>
  <si>
    <t>8CG942F447</t>
  </si>
  <si>
    <t>S04815.US-2016</t>
  </si>
  <si>
    <t>GENSUS167B6E</t>
  </si>
  <si>
    <t>7.67.36.103</t>
  </si>
  <si>
    <t>040E3C167B6E</t>
  </si>
  <si>
    <t>8CG942F448</t>
  </si>
  <si>
    <t>GENSUS167B7A</t>
  </si>
  <si>
    <t>7.55.204.156</t>
  </si>
  <si>
    <t>040E3C167B7A</t>
  </si>
  <si>
    <t>8CG942F43T</t>
  </si>
  <si>
    <t>GENSUS167B7F</t>
  </si>
  <si>
    <t>7.67.164.178</t>
  </si>
  <si>
    <t>040E3C167B7F</t>
  </si>
  <si>
    <t>8CG942F42F</t>
  </si>
  <si>
    <t>GENSUS167B83</t>
  </si>
  <si>
    <t>7.19.36.20</t>
  </si>
  <si>
    <t>040E3C167B83</t>
  </si>
  <si>
    <t>8CG942F43B</t>
  </si>
  <si>
    <t>GENSUS167B84</t>
  </si>
  <si>
    <t>7.156.164.103</t>
  </si>
  <si>
    <t>040E3C167B84</t>
  </si>
  <si>
    <t>8CG942F43C</t>
  </si>
  <si>
    <t>GENSUS167B89</t>
  </si>
  <si>
    <t>7.135.132.119</t>
  </si>
  <si>
    <t>040E3C167B89</t>
  </si>
  <si>
    <t>8CG942F436</t>
  </si>
  <si>
    <t>GENSUS167B8F</t>
  </si>
  <si>
    <t>7.74.4.138</t>
  </si>
  <si>
    <t>040E3C167B8F</t>
  </si>
  <si>
    <t>8CG942F42X</t>
  </si>
  <si>
    <t>GENSUS167B92</t>
  </si>
  <si>
    <t>7.51.76.19</t>
  </si>
  <si>
    <t>040E3C167B92</t>
  </si>
  <si>
    <t>8CG942F42Z</t>
  </si>
  <si>
    <t>GENSUS167B95</t>
  </si>
  <si>
    <t>7.67.36.101</t>
  </si>
  <si>
    <t>040E3C167B95</t>
  </si>
  <si>
    <t>8CG942F44K</t>
  </si>
  <si>
    <t>GENSUS167B9A</t>
  </si>
  <si>
    <t>7.11.164.12</t>
  </si>
  <si>
    <t>040E3C167B9A</t>
  </si>
  <si>
    <t>8CG942F43F</t>
  </si>
  <si>
    <t>GENSUS167BA0</t>
  </si>
  <si>
    <t>7.20.244.199</t>
  </si>
  <si>
    <t>040E3C167BA0</t>
  </si>
  <si>
    <t>S08130</t>
  </si>
  <si>
    <t>8CG942F43H</t>
  </si>
  <si>
    <t>S08130.US-2016</t>
  </si>
  <si>
    <t>GENSUS167BA2</t>
  </si>
  <si>
    <t>7.20.244.162</t>
  </si>
  <si>
    <t>040E3C167BA2</t>
  </si>
  <si>
    <t>8CG942F42R</t>
  </si>
  <si>
    <t>GENSUS167BA3</t>
  </si>
  <si>
    <t>7.51.76.17</t>
  </si>
  <si>
    <t>040E3C167BA3</t>
  </si>
  <si>
    <t>8CG942F42Q</t>
  </si>
  <si>
    <t>GENSUS167BA5</t>
  </si>
  <si>
    <t>7.74.4.77</t>
  </si>
  <si>
    <t>040E3C167BA5</t>
  </si>
  <si>
    <t>8CG942F439</t>
  </si>
  <si>
    <t>GENSUS167BA6</t>
  </si>
  <si>
    <t>7.11.164.47</t>
  </si>
  <si>
    <t>040E3C167BA6</t>
  </si>
  <si>
    <t>8CG942F438</t>
  </si>
  <si>
    <t>GENSUS167BA9</t>
  </si>
  <si>
    <t>7.74.4.69</t>
  </si>
  <si>
    <t>040E3C167BA9</t>
  </si>
  <si>
    <t>8CG942F42N</t>
  </si>
  <si>
    <t>GENSUS167BB4</t>
  </si>
  <si>
    <t>7.26.244.104</t>
  </si>
  <si>
    <t>040E3C167BB4</t>
  </si>
  <si>
    <t>8CG942F42C</t>
  </si>
  <si>
    <t>GENSUS167BC9</t>
  </si>
  <si>
    <t>7.17.212.143</t>
  </si>
  <si>
    <t>040E3C167BC9</t>
  </si>
  <si>
    <t>8CG942F4FN</t>
  </si>
  <si>
    <t>GENSUS167BE4</t>
  </si>
  <si>
    <t>7.5.116.85</t>
  </si>
  <si>
    <t>040E3C167BE4</t>
  </si>
  <si>
    <t>8CG942F47H</t>
  </si>
  <si>
    <t>GENSUS167C13</t>
  </si>
  <si>
    <t>55.28.215.185</t>
  </si>
  <si>
    <t>040E3C167C13</t>
  </si>
  <si>
    <t>8CG942F47X</t>
  </si>
  <si>
    <t>GENSUS167C27</t>
  </si>
  <si>
    <t>7.47.244.146</t>
  </si>
  <si>
    <t>040E3C167C27</t>
  </si>
  <si>
    <t>8CG942F41Z</t>
  </si>
  <si>
    <t>GENSUS167C28</t>
  </si>
  <si>
    <t>7.67.164.120</t>
  </si>
  <si>
    <t>040E3C167C28</t>
  </si>
  <si>
    <t>8CG942F420</t>
  </si>
  <si>
    <t>GENSUS167C3D</t>
  </si>
  <si>
    <t>7.21.100.25</t>
  </si>
  <si>
    <t>040E3C167C3D</t>
  </si>
  <si>
    <t>S08207</t>
  </si>
  <si>
    <t>8CG942F7VV</t>
  </si>
  <si>
    <t>S08207.US-2016</t>
  </si>
  <si>
    <t>GENSUS167C75</t>
  </si>
  <si>
    <t>55.19.39.177</t>
  </si>
  <si>
    <t>040E3C167C75</t>
  </si>
  <si>
    <t>8CG942F42L</t>
  </si>
  <si>
    <t>GENSUS167C96</t>
  </si>
  <si>
    <t>7.20.228.55</t>
  </si>
  <si>
    <t>040E3C167C96</t>
  </si>
  <si>
    <t>8CG942F4D4</t>
  </si>
  <si>
    <t>GENSUS167C99</t>
  </si>
  <si>
    <t>7.4.100.30</t>
  </si>
  <si>
    <t>040E3C167C99</t>
  </si>
  <si>
    <t>8CG942F4CW</t>
  </si>
  <si>
    <t>S06336</t>
  </si>
  <si>
    <t>S06336.US-2016</t>
  </si>
  <si>
    <t>GENSUS167CB9</t>
  </si>
  <si>
    <t>7.53.100.43</t>
  </si>
  <si>
    <t>040E3C167CB9</t>
  </si>
  <si>
    <t>8CG942F7SD</t>
  </si>
  <si>
    <t>GENSUS167CF7</t>
  </si>
  <si>
    <t>7.26.244.60</t>
  </si>
  <si>
    <t>040E3C167CF7</t>
  </si>
  <si>
    <t>8CG942F44N</t>
  </si>
  <si>
    <t>GENSUS167D01</t>
  </si>
  <si>
    <t>7.49.212.150</t>
  </si>
  <si>
    <t>040E3C167D01</t>
  </si>
  <si>
    <t>8CG942F4YQ</t>
  </si>
  <si>
    <t>GENSUS167D02</t>
  </si>
  <si>
    <t>7.23.100.216</t>
  </si>
  <si>
    <t>040E3C167D02</t>
  </si>
  <si>
    <t>8CG942F4YV</t>
  </si>
  <si>
    <t>GENSUS167D0C</t>
  </si>
  <si>
    <t>7.76.68.40</t>
  </si>
  <si>
    <t>040E3C167D0C</t>
  </si>
  <si>
    <t>8CG942F4YY</t>
  </si>
  <si>
    <t>GENSUS167D14</t>
  </si>
  <si>
    <t>7.53.148.170</t>
  </si>
  <si>
    <t>040E3C167D14</t>
  </si>
  <si>
    <t>8CG942F7TF</t>
  </si>
  <si>
    <t>GENSUS167D19</t>
  </si>
  <si>
    <t>7.50.52.198</t>
  </si>
  <si>
    <t>040E3C167D19</t>
  </si>
  <si>
    <t>8CG942F51C</t>
  </si>
  <si>
    <t>GENSUS167D2D</t>
  </si>
  <si>
    <t>7.53.100.148</t>
  </si>
  <si>
    <t>040E3C167D2D</t>
  </si>
  <si>
    <t>8CG942F7VF</t>
  </si>
  <si>
    <t>GENSUS167D31</t>
  </si>
  <si>
    <t>7.52.196.45</t>
  </si>
  <si>
    <t>040E3C167D31</t>
  </si>
  <si>
    <t>8CG942F57T</t>
  </si>
  <si>
    <t>GENSUS167D37</t>
  </si>
  <si>
    <t>7.13.44.23</t>
  </si>
  <si>
    <t>040E3C167D37</t>
  </si>
  <si>
    <t>8CG942F4Z4</t>
  </si>
  <si>
    <t>GENSUS167D38</t>
  </si>
  <si>
    <t>7.78.52.35</t>
  </si>
  <si>
    <t>040E3C167D38</t>
  </si>
  <si>
    <t>S06606</t>
  </si>
  <si>
    <t>8CG942F4Z3</t>
  </si>
  <si>
    <t>S06606.US-2016</t>
  </si>
  <si>
    <t>GENSUS167D3D</t>
  </si>
  <si>
    <t>7.52.188.27</t>
  </si>
  <si>
    <t>040E3C167D3D</t>
  </si>
  <si>
    <t>S06334</t>
  </si>
  <si>
    <t>8CG942F4WK</t>
  </si>
  <si>
    <t>S06334.US-2016</t>
  </si>
  <si>
    <t>GENSUS167D46</t>
  </si>
  <si>
    <t>7.76.68.38</t>
  </si>
  <si>
    <t>040E3C167D46</t>
  </si>
  <si>
    <t>8CG942F4ZH</t>
  </si>
  <si>
    <t>GENSUS167D53</t>
  </si>
  <si>
    <t>7.21.204.71</t>
  </si>
  <si>
    <t>040E3C167D53</t>
  </si>
  <si>
    <t>8CG942F4Z9</t>
  </si>
  <si>
    <t>GENSUS167D54</t>
  </si>
  <si>
    <t>7.21.164.53</t>
  </si>
  <si>
    <t>040E3C167D54</t>
  </si>
  <si>
    <t>8CG942F4ZB</t>
  </si>
  <si>
    <t>GENSUS167D59</t>
  </si>
  <si>
    <t>7.189.60.45</t>
  </si>
  <si>
    <t>040E3C167D59</t>
  </si>
  <si>
    <t>8CG942F4Z2</t>
  </si>
  <si>
    <t>GENSUS167D5B</t>
  </si>
  <si>
    <t>55.181.255.158</t>
  </si>
  <si>
    <t>040E3C167D5B</t>
  </si>
  <si>
    <t>8CG942F57M</t>
  </si>
  <si>
    <t>GENSUS167D5F</t>
  </si>
  <si>
    <t>7.21.164.105</t>
  </si>
  <si>
    <t>040E3C167D5F</t>
  </si>
  <si>
    <t>8CG942F4ZK</t>
  </si>
  <si>
    <t>GENSUS167D63</t>
  </si>
  <si>
    <t>7.8.12.92</t>
  </si>
  <si>
    <t>040E3C167D63</t>
  </si>
  <si>
    <t>S06453</t>
  </si>
  <si>
    <t>8CG942F4ZF</t>
  </si>
  <si>
    <t>S06453.US-2016</t>
  </si>
  <si>
    <t>GENSUS167D69</t>
  </si>
  <si>
    <t>7.52.76.133</t>
  </si>
  <si>
    <t>040E3C167D69</t>
  </si>
  <si>
    <t>8CG942F4ZS</t>
  </si>
  <si>
    <t>GENSUS167D6A</t>
  </si>
  <si>
    <t>7.178.204.120</t>
  </si>
  <si>
    <t>040E3C167D6A</t>
  </si>
  <si>
    <t>8CG942F4ZR</t>
  </si>
  <si>
    <t>GENSUS167D8A</t>
  </si>
  <si>
    <t>7.74.196.160</t>
  </si>
  <si>
    <t>040E3C167D8A</t>
  </si>
  <si>
    <t>S04782</t>
  </si>
  <si>
    <t>8CG942F3F7</t>
  </si>
  <si>
    <t>S04782.US-2016</t>
  </si>
  <si>
    <t>GENSUS167D9D</t>
  </si>
  <si>
    <t>7.164.156.78</t>
  </si>
  <si>
    <t>040E3C167D9D</t>
  </si>
  <si>
    <t>8CG942F4T2</t>
  </si>
  <si>
    <t>GENSUS167DA8</t>
  </si>
  <si>
    <t>55.77.111.162</t>
  </si>
  <si>
    <t>040E3C167DA8</t>
  </si>
  <si>
    <t>8CG942F4T7</t>
  </si>
  <si>
    <t>GENSUS167DAD</t>
  </si>
  <si>
    <t>7.140.52.108</t>
  </si>
  <si>
    <t>040E3C167DAD</t>
  </si>
  <si>
    <t>8CG942F578</t>
  </si>
  <si>
    <t>GENSUS167DB2</t>
  </si>
  <si>
    <t>7.78.52.146</t>
  </si>
  <si>
    <t>040E3C167DB2</t>
  </si>
  <si>
    <t>8CG942F4YW</t>
  </si>
  <si>
    <t>GENSUS167DBE</t>
  </si>
  <si>
    <t>7.79.4.28</t>
  </si>
  <si>
    <t>040E3C167DBE</t>
  </si>
  <si>
    <t>S06634</t>
  </si>
  <si>
    <t>8CG942F3F2</t>
  </si>
  <si>
    <t>S06634.US-2016</t>
  </si>
  <si>
    <t>GENSUS167DC2</t>
  </si>
  <si>
    <t>7.77.108.17</t>
  </si>
  <si>
    <t>040E3C167DC2</t>
  </si>
  <si>
    <t>8CG942F4VY</t>
  </si>
  <si>
    <t>GENSUS167DC8</t>
  </si>
  <si>
    <t>7.189.60.185</t>
  </si>
  <si>
    <t>040E3C167DC8</t>
  </si>
  <si>
    <t>8CG942F505</t>
  </si>
  <si>
    <t>GENSUS167DC9</t>
  </si>
  <si>
    <t>7.79.4.23</t>
  </si>
  <si>
    <t>040E3C167DC9</t>
  </si>
  <si>
    <t>8CG942F39H</t>
  </si>
  <si>
    <t>GENSUS167DD2</t>
  </si>
  <si>
    <t>7.34.180.29</t>
  </si>
  <si>
    <t>040E3C167DD2</t>
  </si>
  <si>
    <t>8CG942F4TG</t>
  </si>
  <si>
    <t>GENSUS167DD3</t>
  </si>
  <si>
    <t>7.73.60.71</t>
  </si>
  <si>
    <t>040E3C167DD3</t>
  </si>
  <si>
    <t>S06635</t>
  </si>
  <si>
    <t>8CG942F503</t>
  </si>
  <si>
    <t>S06635.US-2016</t>
  </si>
  <si>
    <t>GENSUS167DDA</t>
  </si>
  <si>
    <t>7.163.52.39</t>
  </si>
  <si>
    <t>040E3C167DDA</t>
  </si>
  <si>
    <t>8CG942F3DZ</t>
  </si>
  <si>
    <t>GENSUS167DEE</t>
  </si>
  <si>
    <t>7.2.148.96</t>
  </si>
  <si>
    <t>040E3C167DEE</t>
  </si>
  <si>
    <t>8CG942F56H</t>
  </si>
  <si>
    <t>GENSUS167DFC</t>
  </si>
  <si>
    <t>7.112.116.86</t>
  </si>
  <si>
    <t>040E3C167DFC</t>
  </si>
  <si>
    <t>8CG942F56Q</t>
  </si>
  <si>
    <t>GENSUS167E0A</t>
  </si>
  <si>
    <t>7.66.68.69</t>
  </si>
  <si>
    <t>040E3C167E0A</t>
  </si>
  <si>
    <t>8CG942F568</t>
  </si>
  <si>
    <t>GENSUS167E0B</t>
  </si>
  <si>
    <t>7.3.172.123</t>
  </si>
  <si>
    <t>040E3C167E0B</t>
  </si>
  <si>
    <t>8CG942F56F</t>
  </si>
  <si>
    <t>GENSUS167E0F</t>
  </si>
  <si>
    <t>7.189.60.44</t>
  </si>
  <si>
    <t>040E3C167E0F</t>
  </si>
  <si>
    <t>8CG942F4ZZ</t>
  </si>
  <si>
    <t>GENSUS167E10</t>
  </si>
  <si>
    <t>7.189.60.160</t>
  </si>
  <si>
    <t>040E3C167E10</t>
  </si>
  <si>
    <t>8CG942F4ZY</t>
  </si>
  <si>
    <t>GENSUS167E12</t>
  </si>
  <si>
    <t>7.17.108.27</t>
  </si>
  <si>
    <t>040E3C167E12</t>
  </si>
  <si>
    <t>8CG942F3B5</t>
  </si>
  <si>
    <t>GENSUS167E15</t>
  </si>
  <si>
    <t>7.153.44.176</t>
  </si>
  <si>
    <t>040E3C167E15</t>
  </si>
  <si>
    <t>8CG942F3DW</t>
  </si>
  <si>
    <t>GENSUS167E16</t>
  </si>
  <si>
    <t>7.52.124.200</t>
  </si>
  <si>
    <t>040E3C167E16</t>
  </si>
  <si>
    <t>8CG942F3DV</t>
  </si>
  <si>
    <t>GENSUS167E18</t>
  </si>
  <si>
    <t>7.52.76.127</t>
  </si>
  <si>
    <t>040E3C167E18</t>
  </si>
  <si>
    <t>8CG942F502</t>
  </si>
  <si>
    <t>GENSUS167E21</t>
  </si>
  <si>
    <t>7.79.4.128</t>
  </si>
  <si>
    <t>040E3C167E21</t>
  </si>
  <si>
    <t>8CG942F3GS</t>
  </si>
  <si>
    <t>GENSUS167E24</t>
  </si>
  <si>
    <t>7.153.44.139</t>
  </si>
  <si>
    <t>040E3C167E24</t>
  </si>
  <si>
    <t>8CG942F3G3</t>
  </si>
  <si>
    <t>GENSUS167E2F</t>
  </si>
  <si>
    <t>7.91.108.167</t>
  </si>
  <si>
    <t>040E3C167E2F</t>
  </si>
  <si>
    <t>8CG942F3GK</t>
  </si>
  <si>
    <t>GENSUS167E33</t>
  </si>
  <si>
    <t>55.163.55.158</t>
  </si>
  <si>
    <t>040E3C167E33</t>
  </si>
  <si>
    <t>8CG942F3FY</t>
  </si>
  <si>
    <t>GENSUS167E37</t>
  </si>
  <si>
    <t>7.3.172.208</t>
  </si>
  <si>
    <t>040E3C167E37</t>
  </si>
  <si>
    <t>8CG942F3FC</t>
  </si>
  <si>
    <t>GENSUS167E3B</t>
  </si>
  <si>
    <t>7.163.52.154</t>
  </si>
  <si>
    <t>040E3C167E3B</t>
  </si>
  <si>
    <t>8CG942F3GL</t>
  </si>
  <si>
    <t>GENSUS167E42</t>
  </si>
  <si>
    <t>7.171.60.166</t>
  </si>
  <si>
    <t>040E3C167E42</t>
  </si>
  <si>
    <t>S04983</t>
  </si>
  <si>
    <t>8CG942F5BY</t>
  </si>
  <si>
    <t>S04983.US-2016</t>
  </si>
  <si>
    <t>GENSUS167E58</t>
  </si>
  <si>
    <t>7.12.12.105</t>
  </si>
  <si>
    <t>040E3C167E58</t>
  </si>
  <si>
    <t>8CG942F3HX</t>
  </si>
  <si>
    <t>GENSUS167E5A</t>
  </si>
  <si>
    <t>7.82.164.68</t>
  </si>
  <si>
    <t>040E3C167E5A</t>
  </si>
  <si>
    <t>S06328</t>
  </si>
  <si>
    <t>8CG942F5BS</t>
  </si>
  <si>
    <t>S06328.US-2016</t>
  </si>
  <si>
    <t>GENSUS167E5B</t>
  </si>
  <si>
    <t>7.8.212.59</t>
  </si>
  <si>
    <t>040E3C167E5B</t>
  </si>
  <si>
    <t>8CG942F3GF</t>
  </si>
  <si>
    <t>GENSUS167E5C</t>
  </si>
  <si>
    <t>7.163.52.40</t>
  </si>
  <si>
    <t>040E3C167E5C</t>
  </si>
  <si>
    <t>8CG942F3GD</t>
  </si>
  <si>
    <t>GENSUS167E60</t>
  </si>
  <si>
    <t>55.82.167.175</t>
  </si>
  <si>
    <t>040E3C167E60</t>
  </si>
  <si>
    <t>8CG942F5BX</t>
  </si>
  <si>
    <t>GENSUS167E63</t>
  </si>
  <si>
    <t>7.17.212.60</t>
  </si>
  <si>
    <t>040E3C167E63</t>
  </si>
  <si>
    <t>8CG942F56X</t>
  </si>
  <si>
    <t>GENSUS167E64</t>
  </si>
  <si>
    <t>7.3.172.209</t>
  </si>
  <si>
    <t>040E3C167E64</t>
  </si>
  <si>
    <t>8CG942F569</t>
  </si>
  <si>
    <t>GENSUS167E66</t>
  </si>
  <si>
    <t>7.91.180.63</t>
  </si>
  <si>
    <t>040E3C167E66</t>
  </si>
  <si>
    <t>S08244</t>
  </si>
  <si>
    <t>8CG942F559</t>
  </si>
  <si>
    <t>S08244.US-2016</t>
  </si>
  <si>
    <t>GENSUS167E67</t>
  </si>
  <si>
    <t>7.73.76.33</t>
  </si>
  <si>
    <t>040E3C167E67</t>
  </si>
  <si>
    <t>S06637</t>
  </si>
  <si>
    <t>8CG942F5BV</t>
  </si>
  <si>
    <t>S06637.US-2016</t>
  </si>
  <si>
    <t>GENSUS167E6A</t>
  </si>
  <si>
    <t>7.82.164.53</t>
  </si>
  <si>
    <t>040E3C167E6A</t>
  </si>
  <si>
    <t>8CG942F5C1</t>
  </si>
  <si>
    <t>GENSUS167E7A</t>
  </si>
  <si>
    <t>7.126.52.123</t>
  </si>
  <si>
    <t>040E3C167E7A</t>
  </si>
  <si>
    <t>S04712</t>
  </si>
  <si>
    <t>8CG942F3HQ</t>
  </si>
  <si>
    <t>S04712.US-2016</t>
  </si>
  <si>
    <t>GENSUS167E86</t>
  </si>
  <si>
    <t>7.140.52.18</t>
  </si>
  <si>
    <t>040E3C167E86</t>
  </si>
  <si>
    <t>8CG942F55Z</t>
  </si>
  <si>
    <t>GENSUS167E97</t>
  </si>
  <si>
    <t>7.12.12.146</t>
  </si>
  <si>
    <t>040E3C167E97</t>
  </si>
  <si>
    <t>8CG942F3JF</t>
  </si>
  <si>
    <t>GENSUS167E9C</t>
  </si>
  <si>
    <t>7.52.196.92</t>
  </si>
  <si>
    <t>040E3C167E9C</t>
  </si>
  <si>
    <t>8CG942F59Y</t>
  </si>
  <si>
    <t>GENSUS167EA2</t>
  </si>
  <si>
    <t>7.30.68.104</t>
  </si>
  <si>
    <t>040E3C167EA2</t>
  </si>
  <si>
    <t>8CG942F5CY</t>
  </si>
  <si>
    <t>GENSUS167EAF</t>
  </si>
  <si>
    <t>7.79.4.37</t>
  </si>
  <si>
    <t>040E3C167EAF</t>
  </si>
  <si>
    <t>8CG942F3JC</t>
  </si>
  <si>
    <t>GENSUS167EC7</t>
  </si>
  <si>
    <t>7.181.60.231</t>
  </si>
  <si>
    <t>040E3C167EC7</t>
  </si>
  <si>
    <t>8CG942F55C</t>
  </si>
  <si>
    <t>GENSUS167ECA</t>
  </si>
  <si>
    <t>7.142.204.56</t>
  </si>
  <si>
    <t>040E3C167ECA</t>
  </si>
  <si>
    <t>8CG942F59H</t>
  </si>
  <si>
    <t>GENSUS167ED0</t>
  </si>
  <si>
    <t>7.73.76.160</t>
  </si>
  <si>
    <t>040E3C167ED0</t>
  </si>
  <si>
    <t>8CG942F5D6</t>
  </si>
  <si>
    <t>GENSUS167ED1</t>
  </si>
  <si>
    <t>7.179.196.62</t>
  </si>
  <si>
    <t>040E3C167ED1</t>
  </si>
  <si>
    <t>S06376</t>
  </si>
  <si>
    <t>8CG942F5D3</t>
  </si>
  <si>
    <t>S06376.US-2016</t>
  </si>
  <si>
    <t>GENSUS167ED3</t>
  </si>
  <si>
    <t>7.2.148.217</t>
  </si>
  <si>
    <t>040E3C167ED3</t>
  </si>
  <si>
    <t>8CG942F5B2</t>
  </si>
  <si>
    <t>GENSUS167ED4</t>
  </si>
  <si>
    <t>7.142.204.18</t>
  </si>
  <si>
    <t>040E3C167ED4</t>
  </si>
  <si>
    <t>8CG942F5B3</t>
  </si>
  <si>
    <t>GENSUS167ED7</t>
  </si>
  <si>
    <t>7.63.68.112</t>
  </si>
  <si>
    <t>040E3C167ED7</t>
  </si>
  <si>
    <t>8CG942F5D8</t>
  </si>
  <si>
    <t>GENSUS167EDA</t>
  </si>
  <si>
    <t>7.171.60.158</t>
  </si>
  <si>
    <t>040E3C167EDA</t>
  </si>
  <si>
    <t>8CG942F5B1</t>
  </si>
  <si>
    <t>GENSUS167EDD</t>
  </si>
  <si>
    <t>7.2.148.41</t>
  </si>
  <si>
    <t>040E3C167EDD</t>
  </si>
  <si>
    <t>8CG942F5BD</t>
  </si>
  <si>
    <t>GENSUS167EE3</t>
  </si>
  <si>
    <t>7.26.108.78</t>
  </si>
  <si>
    <t>040E3C167EE3</t>
  </si>
  <si>
    <t>8CG942F5D1</t>
  </si>
  <si>
    <t>GENSUS167EE8</t>
  </si>
  <si>
    <t>7.26.108.48</t>
  </si>
  <si>
    <t>040E3C167EE8</t>
  </si>
  <si>
    <t>8CG942F59W</t>
  </si>
  <si>
    <t>GENSUS167EEA</t>
  </si>
  <si>
    <t>7.171.60.42</t>
  </si>
  <si>
    <t>040E3C167EEA</t>
  </si>
  <si>
    <t>8CG942F59P</t>
  </si>
  <si>
    <t>GENSUS167EEE</t>
  </si>
  <si>
    <t>7.69.12.154</t>
  </si>
  <si>
    <t>040E3C167EEE</t>
  </si>
  <si>
    <t>8CG942F59R</t>
  </si>
  <si>
    <t>GENSUS167EF3</t>
  </si>
  <si>
    <t>7.82.164.69</t>
  </si>
  <si>
    <t>040E3C167EF3</t>
  </si>
  <si>
    <t>8CG942F59J</t>
  </si>
  <si>
    <t>GENSUS167EF4</t>
  </si>
  <si>
    <t>7.140.52.189</t>
  </si>
  <si>
    <t>040E3C167EF4</t>
  </si>
  <si>
    <t>8CG942F59K</t>
  </si>
  <si>
    <t>GENSUS167EFC</t>
  </si>
  <si>
    <t>7.120.172.15</t>
  </si>
  <si>
    <t>040E3C167EFC</t>
  </si>
  <si>
    <t>8CG942F5CP</t>
  </si>
  <si>
    <t>GENSUS167EFF</t>
  </si>
  <si>
    <t>7.66.4.112</t>
  </si>
  <si>
    <t>040E3C167EFF</t>
  </si>
  <si>
    <t>8CG942F58V</t>
  </si>
  <si>
    <t>GENSUS167F00</t>
  </si>
  <si>
    <t>7.142.204.16</t>
  </si>
  <si>
    <t>040E3C167F00</t>
  </si>
  <si>
    <t>8CG942F58W</t>
  </si>
  <si>
    <t>GENSUS167F01</t>
  </si>
  <si>
    <t>7.73.60.73</t>
  </si>
  <si>
    <t>040E3C167F01</t>
  </si>
  <si>
    <t>8CG942F4WR</t>
  </si>
  <si>
    <t>GENSUS167F0F</t>
  </si>
  <si>
    <t>7.63.68.206</t>
  </si>
  <si>
    <t>040E3C167F0F</t>
  </si>
  <si>
    <t>8CG942F5C7</t>
  </si>
  <si>
    <t>GENSUS167F1B</t>
  </si>
  <si>
    <t>55.52.191.189</t>
  </si>
  <si>
    <t>040E3C167F1B</t>
  </si>
  <si>
    <t>8CG942F4WY</t>
  </si>
  <si>
    <t>GENSUS167F20</t>
  </si>
  <si>
    <t>7.66.4.12</t>
  </si>
  <si>
    <t>040E3C167F20</t>
  </si>
  <si>
    <t>8CG942F5BM</t>
  </si>
  <si>
    <t>GENSUS167F22</t>
  </si>
  <si>
    <t>7.49.212.136</t>
  </si>
  <si>
    <t>040E3C167F22</t>
  </si>
  <si>
    <t>8CG942F4X6</t>
  </si>
  <si>
    <t>GENSUS167F30</t>
  </si>
  <si>
    <t>7.26.108.178</t>
  </si>
  <si>
    <t>040E3C167F30</t>
  </si>
  <si>
    <t>8CG942F5CD</t>
  </si>
  <si>
    <t>GENSUS167F31</t>
  </si>
  <si>
    <t>7.179.196.220</t>
  </si>
  <si>
    <t>040E3C167F31</t>
  </si>
  <si>
    <t>8CG942F5CH</t>
  </si>
  <si>
    <t>GENSUS167F32</t>
  </si>
  <si>
    <t>7.179.196.53</t>
  </si>
  <si>
    <t>040E3C167F32</t>
  </si>
  <si>
    <t>8CG942F5CG</t>
  </si>
  <si>
    <t>GENSUS167F34</t>
  </si>
  <si>
    <t>7.120.172.143</t>
  </si>
  <si>
    <t>040E3C167F34</t>
  </si>
  <si>
    <t>8CG942F5CL</t>
  </si>
  <si>
    <t>GENSUS167F40</t>
  </si>
  <si>
    <t>7.20.180.46</t>
  </si>
  <si>
    <t>040E3C167F40</t>
  </si>
  <si>
    <t>S06454</t>
  </si>
  <si>
    <t>8CG942F508</t>
  </si>
  <si>
    <t>S06454.US-2016</t>
  </si>
  <si>
    <t>GENSUS167F47</t>
  </si>
  <si>
    <t>7.178.204.125</t>
  </si>
  <si>
    <t>040E3C167F47</t>
  </si>
  <si>
    <t>8CG942F516</t>
  </si>
  <si>
    <t>GENSUS167F4A</t>
  </si>
  <si>
    <t>7.34.180.196</t>
  </si>
  <si>
    <t>040E3C167F4A</t>
  </si>
  <si>
    <t>8CG942F4XD</t>
  </si>
  <si>
    <t>GENSUS167F4B</t>
  </si>
  <si>
    <t>7.179.196.227</t>
  </si>
  <si>
    <t>040E3C167F4B</t>
  </si>
  <si>
    <t>8CG942F5CJ</t>
  </si>
  <si>
    <t>GENSUS167F4C</t>
  </si>
  <si>
    <t>7.120.172.127</t>
  </si>
  <si>
    <t>040E3C167F4C</t>
  </si>
  <si>
    <t>8CG942F5CK</t>
  </si>
  <si>
    <t>GENSUS167F4E</t>
  </si>
  <si>
    <t>7.69.12.82</t>
  </si>
  <si>
    <t>040E3C167F4E</t>
  </si>
  <si>
    <t>8CG942F59T</t>
  </si>
  <si>
    <t>GENSUS167F4F</t>
  </si>
  <si>
    <t>7.13.44.226</t>
  </si>
  <si>
    <t>040E3C167F4F</t>
  </si>
  <si>
    <t>8CG942F4Y2</t>
  </si>
  <si>
    <t>GENSUS167F52</t>
  </si>
  <si>
    <t>7.13.44.106</t>
  </si>
  <si>
    <t>040E3C167F52</t>
  </si>
  <si>
    <t>8CG942F514</t>
  </si>
  <si>
    <t>GENSUS167F56</t>
  </si>
  <si>
    <t>7.52.188.72</t>
  </si>
  <si>
    <t>040E3C167F56</t>
  </si>
  <si>
    <t>8CG942F4Y1</t>
  </si>
  <si>
    <t>GENSUS167F58</t>
  </si>
  <si>
    <t>7.178.204.213</t>
  </si>
  <si>
    <t>040E3C167F58</t>
  </si>
  <si>
    <t>8CG942F4XF</t>
  </si>
  <si>
    <t>GENSUS167F59</t>
  </si>
  <si>
    <t>7.77.108.72</t>
  </si>
  <si>
    <t>040E3C167F59</t>
  </si>
  <si>
    <t>8CG942F519</t>
  </si>
  <si>
    <t>GENSUS167F5A</t>
  </si>
  <si>
    <t>7.13.44.16</t>
  </si>
  <si>
    <t>040E3C167F5A</t>
  </si>
  <si>
    <t>8CG942F50L</t>
  </si>
  <si>
    <t>GENSUS167F5D</t>
  </si>
  <si>
    <t>7.50.52.129</t>
  </si>
  <si>
    <t>040E3C167F5D</t>
  </si>
  <si>
    <t>8CG942F4XY</t>
  </si>
  <si>
    <t>GENSUS167F60</t>
  </si>
  <si>
    <t>7.213.12.51</t>
  </si>
  <si>
    <t>040E3C167F60</t>
  </si>
  <si>
    <t>8CG942F50N</t>
  </si>
  <si>
    <t>GENSUS167F62</t>
  </si>
  <si>
    <t>7.5.124.43</t>
  </si>
  <si>
    <t>040E3C167F62</t>
  </si>
  <si>
    <t>8CG942F50S</t>
  </si>
  <si>
    <t>GENSUS167F63</t>
  </si>
  <si>
    <t>7.213.12.49</t>
  </si>
  <si>
    <t>040E3C167F63</t>
  </si>
  <si>
    <t>8CG942F50F</t>
  </si>
  <si>
    <t>GENSUS167F66</t>
  </si>
  <si>
    <t>7.73.60.63</t>
  </si>
  <si>
    <t>040E3C167F66</t>
  </si>
  <si>
    <t>8CG942F50G</t>
  </si>
  <si>
    <t>GENSUS167F6D</t>
  </si>
  <si>
    <t>7.213.12.57</t>
  </si>
  <si>
    <t>040E3C167F6D</t>
  </si>
  <si>
    <t>8CG942F4TK</t>
  </si>
  <si>
    <t>GENSUS167F71</t>
  </si>
  <si>
    <t>7.213.12.90</t>
  </si>
  <si>
    <t>040E3C167F71</t>
  </si>
  <si>
    <t>8CG942F517</t>
  </si>
  <si>
    <t>GENSUS167F72</t>
  </si>
  <si>
    <t>7.21.164.191</t>
  </si>
  <si>
    <t>040E3C167F72</t>
  </si>
  <si>
    <t>8CG942F518</t>
  </si>
  <si>
    <t>GENSUS167F74</t>
  </si>
  <si>
    <t>7.181.60.233</t>
  </si>
  <si>
    <t>040E3C167F74</t>
  </si>
  <si>
    <t>8CG942F5CQ</t>
  </si>
  <si>
    <t>GENSUS167F75</t>
  </si>
  <si>
    <t>7.73.60.30</t>
  </si>
  <si>
    <t>040E3C167F75</t>
  </si>
  <si>
    <t>8CG942F50W</t>
  </si>
  <si>
    <t>GENSUS167F7F</t>
  </si>
  <si>
    <t>7.20.180.155</t>
  </si>
  <si>
    <t>040E3C167F7F</t>
  </si>
  <si>
    <t>8CG942F4WL</t>
  </si>
  <si>
    <t>GENSUS167F89</t>
  </si>
  <si>
    <t>7.50.52.24</t>
  </si>
  <si>
    <t>040E3C167F89</t>
  </si>
  <si>
    <t>8CG942F4Z7</t>
  </si>
  <si>
    <t>GENSUS167F8A</t>
  </si>
  <si>
    <t>7.212.236.142</t>
  </si>
  <si>
    <t>040E3C167F8A</t>
  </si>
  <si>
    <t>S04911</t>
  </si>
  <si>
    <t>8CG942F4YF</t>
  </si>
  <si>
    <t>S04911.US-2016</t>
  </si>
  <si>
    <t>GENSUS167F90</t>
  </si>
  <si>
    <t>7.164.156.192</t>
  </si>
  <si>
    <t>040E3C167F90</t>
  </si>
  <si>
    <t>8CG942F4Y4</t>
  </si>
  <si>
    <t>GENSUS167F92</t>
  </si>
  <si>
    <t>7.78.52.158</t>
  </si>
  <si>
    <t>040E3C167F92</t>
  </si>
  <si>
    <t>8CG942F4XK</t>
  </si>
  <si>
    <t>GENSUS167FAB</t>
  </si>
  <si>
    <t>7.164.156.95</t>
  </si>
  <si>
    <t>040E3C167FAB</t>
  </si>
  <si>
    <t>8CG942F4XT</t>
  </si>
  <si>
    <t>GENSUS167FD2</t>
  </si>
  <si>
    <t>7.52.76.118</t>
  </si>
  <si>
    <t>040E3C167FD2</t>
  </si>
  <si>
    <t>8CG942F4ZT</t>
  </si>
  <si>
    <t>GENSUS167FD7</t>
  </si>
  <si>
    <t>7.21.204.167</t>
  </si>
  <si>
    <t>040E3C167FD7</t>
  </si>
  <si>
    <t>8CG942F4ZX</t>
  </si>
  <si>
    <t>GENSUS167FDD</t>
  </si>
  <si>
    <t>7.78.52.138</t>
  </si>
  <si>
    <t>040E3C167FDD</t>
  </si>
  <si>
    <t>8CG942F50T</t>
  </si>
  <si>
    <t>GENSUS167FDE</t>
  </si>
  <si>
    <t>7.49.212.71</t>
  </si>
  <si>
    <t>040E3C167FDE</t>
  </si>
  <si>
    <t>8CG942F4ZV</t>
  </si>
  <si>
    <t>GENSUS167FEB</t>
  </si>
  <si>
    <t>7.17.212.31</t>
  </si>
  <si>
    <t>040E3C167FEB</t>
  </si>
  <si>
    <t>8CG942F391</t>
  </si>
  <si>
    <t>GENSUS167FEC</t>
  </si>
  <si>
    <t>7.53.156.43</t>
  </si>
  <si>
    <t>040E3C167FEC</t>
  </si>
  <si>
    <t>S08188</t>
  </si>
  <si>
    <t>8CG942F392</t>
  </si>
  <si>
    <t>S08188.US-2016</t>
  </si>
  <si>
    <t>GENSUS167FF1</t>
  </si>
  <si>
    <t>7.214.108.173</t>
  </si>
  <si>
    <t>040E3C167FF1</t>
  </si>
  <si>
    <t>S04914</t>
  </si>
  <si>
    <t>8CG942F396</t>
  </si>
  <si>
    <t>S04914.US-2016</t>
  </si>
  <si>
    <t>GENSUS167FF8</t>
  </si>
  <si>
    <t>7.153.44.103</t>
  </si>
  <si>
    <t>040E3C167FF8</t>
  </si>
  <si>
    <t>8CG942F3D3</t>
  </si>
  <si>
    <t>GENSUS167FFD</t>
  </si>
  <si>
    <t>55.52.231.193</t>
  </si>
  <si>
    <t>040E3C167FFD</t>
  </si>
  <si>
    <t>8CG942BFR0</t>
  </si>
  <si>
    <t>GENSUS167FFE</t>
  </si>
  <si>
    <t>7.53.12.125</t>
  </si>
  <si>
    <t>040E3C167FFE</t>
  </si>
  <si>
    <t>8CG942BFQZ</t>
  </si>
  <si>
    <t>GENSUS168004</t>
  </si>
  <si>
    <t>7.79.4.29</t>
  </si>
  <si>
    <t>040E3C168004</t>
  </si>
  <si>
    <t>8CG942F38T</t>
  </si>
  <si>
    <t>GENSUS168027</t>
  </si>
  <si>
    <t>7.120.172.35</t>
  </si>
  <si>
    <t>040E3C168027</t>
  </si>
  <si>
    <t>8CG942F5BP</t>
  </si>
  <si>
    <t>GENSUS16802D</t>
  </si>
  <si>
    <t>7.213.12.129</t>
  </si>
  <si>
    <t>040E3C16802D</t>
  </si>
  <si>
    <t>8CG942F4YG</t>
  </si>
  <si>
    <t>GENSUS16802E</t>
  </si>
  <si>
    <t>7.76.68.35</t>
  </si>
  <si>
    <t>040E3C16802E</t>
  </si>
  <si>
    <t>8CG942F4YH</t>
  </si>
  <si>
    <t>GENSUS16805B</t>
  </si>
  <si>
    <t>7.153.44.113</t>
  </si>
  <si>
    <t>040E3C16805B</t>
  </si>
  <si>
    <t>8CG942F3FG</t>
  </si>
  <si>
    <t>GENSUS168062</t>
  </si>
  <si>
    <t>55.158.151.181</t>
  </si>
  <si>
    <t>040E3C168062</t>
  </si>
  <si>
    <t>8CG942F38L</t>
  </si>
  <si>
    <t>GENSUS168064</t>
  </si>
  <si>
    <t>7.52.124.225</t>
  </si>
  <si>
    <t>040E3C168064</t>
  </si>
  <si>
    <t>8CG942F38J</t>
  </si>
  <si>
    <t>GENSUS16806F</t>
  </si>
  <si>
    <t>7.164.148.161</t>
  </si>
  <si>
    <t>040E3C16806F</t>
  </si>
  <si>
    <t>8CG942F3DD</t>
  </si>
  <si>
    <t>GENSUS168075</t>
  </si>
  <si>
    <t>7.52.228.99</t>
  </si>
  <si>
    <t>040E3C168075</t>
  </si>
  <si>
    <t>8CG942F3DP</t>
  </si>
  <si>
    <t>GENSUS16807C</t>
  </si>
  <si>
    <t>7.151.124.167</t>
  </si>
  <si>
    <t>040E3C16807C</t>
  </si>
  <si>
    <t>S04973</t>
  </si>
  <si>
    <t>8CG942BFQP</t>
  </si>
  <si>
    <t>S04973.US-2016</t>
  </si>
  <si>
    <t>GENSUS168092</t>
  </si>
  <si>
    <t>7.124.12.20</t>
  </si>
  <si>
    <t>040E3C168092</t>
  </si>
  <si>
    <t>S06262</t>
  </si>
  <si>
    <t>8CG942F3BK</t>
  </si>
  <si>
    <t>S06262.US-2016</t>
  </si>
  <si>
    <t>GENSUS168093</t>
  </si>
  <si>
    <t>7.35.36.30</t>
  </si>
  <si>
    <t>040E3C168093</t>
  </si>
  <si>
    <t>S04772</t>
  </si>
  <si>
    <t>8CG942F3BV</t>
  </si>
  <si>
    <t>S04772.US-2016</t>
  </si>
  <si>
    <t>GENSUS168098</t>
  </si>
  <si>
    <t>7.79.4.26</t>
  </si>
  <si>
    <t>040E3C168098</t>
  </si>
  <si>
    <t>8CG942F38H</t>
  </si>
  <si>
    <t>GENSUS168099</t>
  </si>
  <si>
    <t>7.73.76.220</t>
  </si>
  <si>
    <t>040E3C168099</t>
  </si>
  <si>
    <t>8CG942F5CW</t>
  </si>
  <si>
    <t>GENSUS16809A</t>
  </si>
  <si>
    <t>7.52.196.58</t>
  </si>
  <si>
    <t>040E3C16809A</t>
  </si>
  <si>
    <t>8CG942F5CV</t>
  </si>
  <si>
    <t>GENSUS1680D8</t>
  </si>
  <si>
    <t>7.52.124.64</t>
  </si>
  <si>
    <t>040E3C1680D8</t>
  </si>
  <si>
    <t>8CG942F3C5</t>
  </si>
  <si>
    <t>GENSUS1680EA</t>
  </si>
  <si>
    <t>7.52.228.128</t>
  </si>
  <si>
    <t>040E3C1680EA</t>
  </si>
  <si>
    <t>8CG942F3C7</t>
  </si>
  <si>
    <t>GENSUS1680F5</t>
  </si>
  <si>
    <t>7.164.148.155</t>
  </si>
  <si>
    <t>040E3C1680F5</t>
  </si>
  <si>
    <t>8CG942F3C6</t>
  </si>
  <si>
    <t>GENSUS168104</t>
  </si>
  <si>
    <t>7.164.148.205</t>
  </si>
  <si>
    <t>040E3C168104</t>
  </si>
  <si>
    <t>8CG942F3C4</t>
  </si>
  <si>
    <t>GENSUS168128</t>
  </si>
  <si>
    <t>7.21.52.45</t>
  </si>
  <si>
    <t>040E3C168128</t>
  </si>
  <si>
    <t>S08167</t>
  </si>
  <si>
    <t>8CG942BFS6</t>
  </si>
  <si>
    <t>S08167.US-2016</t>
  </si>
  <si>
    <t>GENSUS168131</t>
  </si>
  <si>
    <t>7.23.100.168</t>
  </si>
  <si>
    <t>040E3C168131</t>
  </si>
  <si>
    <t>8CG942BQFZ</t>
  </si>
  <si>
    <t>GENSUS168147</t>
  </si>
  <si>
    <t>7.32.36.32</t>
  </si>
  <si>
    <t>040E3C168147</t>
  </si>
  <si>
    <t>8CG942BFNN</t>
  </si>
  <si>
    <t>GENSUS168183</t>
  </si>
  <si>
    <t>7.146.100.166</t>
  </si>
  <si>
    <t>040E3C168183</t>
  </si>
  <si>
    <t>S08120</t>
  </si>
  <si>
    <t>8CG942F32J</t>
  </si>
  <si>
    <t>S08120.US-2016</t>
  </si>
  <si>
    <t>GENSUS168186</t>
  </si>
  <si>
    <t>7.73.252.159</t>
  </si>
  <si>
    <t>040E3C168186</t>
  </si>
  <si>
    <t>8CG942F33M</t>
  </si>
  <si>
    <t>GENSUS168187</t>
  </si>
  <si>
    <t>7.52.164.155</t>
  </si>
  <si>
    <t>040E3C168187</t>
  </si>
  <si>
    <t>8CG942F33L</t>
  </si>
  <si>
    <t>GENSUS168188</t>
  </si>
  <si>
    <t>55.212.255.182</t>
  </si>
  <si>
    <t>040E3C168188</t>
  </si>
  <si>
    <t>8CG942F35J</t>
  </si>
  <si>
    <t>GENSUS16818C</t>
  </si>
  <si>
    <t>7.172.84.167</t>
  </si>
  <si>
    <t>040E3C16818C</t>
  </si>
  <si>
    <t>S06489</t>
  </si>
  <si>
    <t>8CG942F34M</t>
  </si>
  <si>
    <t>S06489.US-2016</t>
  </si>
  <si>
    <t>GENSUS16818D</t>
  </si>
  <si>
    <t>7.172.84.116</t>
  </si>
  <si>
    <t>040E3C16818D</t>
  </si>
  <si>
    <t>8CG942F34N</t>
  </si>
  <si>
    <t>GENSUS16818E</t>
  </si>
  <si>
    <t>7.4.140.81</t>
  </si>
  <si>
    <t>040E3C16818E</t>
  </si>
  <si>
    <t>S08299</t>
  </si>
  <si>
    <t>8CG942F30D</t>
  </si>
  <si>
    <t>S08299.US-2016</t>
  </si>
  <si>
    <t>GENSUS168194</t>
  </si>
  <si>
    <t>7.52.164.212</t>
  </si>
  <si>
    <t>040E3C168194</t>
  </si>
  <si>
    <t>8CG942F320</t>
  </si>
  <si>
    <t>GENSUS168196</t>
  </si>
  <si>
    <t>7.4.140.205</t>
  </si>
  <si>
    <t>040E3C168196</t>
  </si>
  <si>
    <t>8CG942F31F</t>
  </si>
  <si>
    <t>GENSUS168199</t>
  </si>
  <si>
    <t>7.72.180.32</t>
  </si>
  <si>
    <t>040E3C168199</t>
  </si>
  <si>
    <t>8CG942F339</t>
  </si>
  <si>
    <t>GENSUS16819A</t>
  </si>
  <si>
    <t>7.146.100.46</t>
  </si>
  <si>
    <t>040E3C16819A</t>
  </si>
  <si>
    <t>8CG942F31V</t>
  </si>
  <si>
    <t>GENSUS16819F</t>
  </si>
  <si>
    <t>7.65.36.32</t>
  </si>
  <si>
    <t>040E3C16819F</t>
  </si>
  <si>
    <t>8CG942F31N</t>
  </si>
  <si>
    <t>GENSUS1681A4</t>
  </si>
  <si>
    <t>7.172.84.111</t>
  </si>
  <si>
    <t>040E3C1681A4</t>
  </si>
  <si>
    <t>8CG942F355</t>
  </si>
  <si>
    <t>GENSUS1681A5</t>
  </si>
  <si>
    <t>7.13.236.31</t>
  </si>
  <si>
    <t>040E3C1681A5</t>
  </si>
  <si>
    <t>8CG942F378</t>
  </si>
  <si>
    <t>GENSUS1681A6</t>
  </si>
  <si>
    <t>7.65.36.220</t>
  </si>
  <si>
    <t>040E3C1681A6</t>
  </si>
  <si>
    <t>8CG942F379</t>
  </si>
  <si>
    <t>GENSUS1681AA</t>
  </si>
  <si>
    <t>55.65.39.183</t>
  </si>
  <si>
    <t>040E3C1681AA</t>
  </si>
  <si>
    <t>8CG942F33N</t>
  </si>
  <si>
    <t>GENSUS1681AC</t>
  </si>
  <si>
    <t>7.11.84.162</t>
  </si>
  <si>
    <t>040E3C1681AC</t>
  </si>
  <si>
    <t>8CG942F350</t>
  </si>
  <si>
    <t>GENSUS1681AE</t>
  </si>
  <si>
    <t>7.172.84.130</t>
  </si>
  <si>
    <t>040E3C1681AE</t>
  </si>
  <si>
    <t>8CG942F372</t>
  </si>
  <si>
    <t>GENSUS1681AF</t>
  </si>
  <si>
    <t>7.188.84.230</t>
  </si>
  <si>
    <t>040E3C1681AF</t>
  </si>
  <si>
    <t>8CG942F373</t>
  </si>
  <si>
    <t>GENSUS1681B3</t>
  </si>
  <si>
    <t>7.89.188.162</t>
  </si>
  <si>
    <t>040E3C1681B3</t>
  </si>
  <si>
    <t>8CG942F329</t>
  </si>
  <si>
    <t>GENSUS1681B4</t>
  </si>
  <si>
    <t>7.188.84.125</t>
  </si>
  <si>
    <t>040E3C1681B4</t>
  </si>
  <si>
    <t>8CG942F35D</t>
  </si>
  <si>
    <t>GENSUS1681B6</t>
  </si>
  <si>
    <t>7.21.84.173</t>
  </si>
  <si>
    <t>040E3C1681B6</t>
  </si>
  <si>
    <t>8CG942F32G</t>
  </si>
  <si>
    <t>GENSUS1681B7</t>
  </si>
  <si>
    <t>7.1.196.88</t>
  </si>
  <si>
    <t>040E3C1681B7</t>
  </si>
  <si>
    <t>8CG942F32F</t>
  </si>
  <si>
    <t>GENSUS1681B9</t>
  </si>
  <si>
    <t>7.35.20.206</t>
  </si>
  <si>
    <t>040E3C1681B9</t>
  </si>
  <si>
    <t>8CG942F359</t>
  </si>
  <si>
    <t>GENSUS1681BA</t>
  </si>
  <si>
    <t>7.3.172.206</t>
  </si>
  <si>
    <t>040E3C1681BA</t>
  </si>
  <si>
    <t>8CG942F35L</t>
  </si>
  <si>
    <t>GENSUS1681BF</t>
  </si>
  <si>
    <t>7.122.196.149</t>
  </si>
  <si>
    <t>040E3C1681BF</t>
  </si>
  <si>
    <t>8CG942F35W</t>
  </si>
  <si>
    <t>GENSUS1681C5</t>
  </si>
  <si>
    <t>7.57.60.188</t>
  </si>
  <si>
    <t>040E3C1681C5</t>
  </si>
  <si>
    <t>8CG942F35N</t>
  </si>
  <si>
    <t>GENSUS1681C9</t>
  </si>
  <si>
    <t>7.212.252.216</t>
  </si>
  <si>
    <t>040E3C1681C9</t>
  </si>
  <si>
    <t>8CG942F30F</t>
  </si>
  <si>
    <t>GENSUS1681CB</t>
  </si>
  <si>
    <t>7.122.196.19</t>
  </si>
  <si>
    <t>040E3C1681CB</t>
  </si>
  <si>
    <t>8CG942F35H</t>
  </si>
  <si>
    <t>GENSUS1681D9</t>
  </si>
  <si>
    <t>7.181.60.235</t>
  </si>
  <si>
    <t>040E3C1681D9</t>
  </si>
  <si>
    <t>8CG942F5BK</t>
  </si>
  <si>
    <t>GENSUS168247</t>
  </si>
  <si>
    <t>7.150.4.28</t>
  </si>
  <si>
    <t>040E3C168247</t>
  </si>
  <si>
    <t>8CG942BFX9</t>
  </si>
  <si>
    <t>GENSUS16824B</t>
  </si>
  <si>
    <t>7.150.20.106</t>
  </si>
  <si>
    <t>040E3C16824B</t>
  </si>
  <si>
    <t>S04926</t>
  </si>
  <si>
    <t>8CG942F36L</t>
  </si>
  <si>
    <t>S04926.US-2016</t>
  </si>
  <si>
    <t>GENSUS16824E</t>
  </si>
  <si>
    <t>7.77.164.134</t>
  </si>
  <si>
    <t>040E3C16824E</t>
  </si>
  <si>
    <t>S06509</t>
  </si>
  <si>
    <t>8CG942F34P</t>
  </si>
  <si>
    <t>S06509.US-2016</t>
  </si>
  <si>
    <t>GENSUS168250</t>
  </si>
  <si>
    <t>55.72.183.165</t>
  </si>
  <si>
    <t>040E3C168250</t>
  </si>
  <si>
    <t>8CG942F31S</t>
  </si>
  <si>
    <t>GENSUS168253</t>
  </si>
  <si>
    <t>7.74.188.133</t>
  </si>
  <si>
    <t>040E3C168253</t>
  </si>
  <si>
    <t>8CG942F33B</t>
  </si>
  <si>
    <t>GENSUS168258</t>
  </si>
  <si>
    <t>7.52.124.114</t>
  </si>
  <si>
    <t>040E3C168258</t>
  </si>
  <si>
    <t>8CG942F3BM</t>
  </si>
  <si>
    <t>GENSUS16825A</t>
  </si>
  <si>
    <t>7.13.236.225</t>
  </si>
  <si>
    <t>040E3C16825A</t>
  </si>
  <si>
    <t>8CG942F376</t>
  </si>
  <si>
    <t>GENSUS168269</t>
  </si>
  <si>
    <t>7.49.132.26</t>
  </si>
  <si>
    <t>040E3C168269</t>
  </si>
  <si>
    <t>8CG942BFV3</t>
  </si>
  <si>
    <t>GENSUS16826F</t>
  </si>
  <si>
    <t>7.212.252.10</t>
  </si>
  <si>
    <t>040E3C16826F</t>
  </si>
  <si>
    <t>8CG942F369</t>
  </si>
  <si>
    <t>GENSUS168279</t>
  </si>
  <si>
    <t>7.20.100.66</t>
  </si>
  <si>
    <t>040E3C168279</t>
  </si>
  <si>
    <t>8CG942F36B</t>
  </si>
  <si>
    <t>GENSUS16827C</t>
  </si>
  <si>
    <t>7.69.140.170</t>
  </si>
  <si>
    <t>040E3C16827C</t>
  </si>
  <si>
    <t>8CG942F368</t>
  </si>
  <si>
    <t>GENSUS16827D</t>
  </si>
  <si>
    <t>7.188.84.225</t>
  </si>
  <si>
    <t>040E3C16827D</t>
  </si>
  <si>
    <t>8CG942F367</t>
  </si>
  <si>
    <t>GENSUS16827F</t>
  </si>
  <si>
    <t>7.89.212.13</t>
  </si>
  <si>
    <t>040E3C16827F</t>
  </si>
  <si>
    <t>8CG942BFSF</t>
  </si>
  <si>
    <t>GENSUS168284</t>
  </si>
  <si>
    <t>7.52.164.167</t>
  </si>
  <si>
    <t>040E3C168284</t>
  </si>
  <si>
    <t>8CG942F331</t>
  </si>
  <si>
    <t>GENSUS168285</t>
  </si>
  <si>
    <t>7.4.140.208</t>
  </si>
  <si>
    <t>040E3C168285</t>
  </si>
  <si>
    <t>8CG942F330</t>
  </si>
  <si>
    <t>GENSUS168286</t>
  </si>
  <si>
    <t>7.76.4.147</t>
  </si>
  <si>
    <t>040E3C168286</t>
  </si>
  <si>
    <t>8CG942F34J</t>
  </si>
  <si>
    <t>GENSUS168287</t>
  </si>
  <si>
    <t>7.122.180.186</t>
  </si>
  <si>
    <t>040E3C168287</t>
  </si>
  <si>
    <t>S08246</t>
  </si>
  <si>
    <t>8CG942F34K</t>
  </si>
  <si>
    <t>S08246.US-2016</t>
  </si>
  <si>
    <t>GENSUS168288</t>
  </si>
  <si>
    <t>7.34.220.35</t>
  </si>
  <si>
    <t>040E3C168288</t>
  </si>
  <si>
    <t>8CG942F348</t>
  </si>
  <si>
    <t>GENSUS168289</t>
  </si>
  <si>
    <t>7.11.84.163</t>
  </si>
  <si>
    <t>040E3C168289</t>
  </si>
  <si>
    <t>8CG942F347</t>
  </si>
  <si>
    <t>GENSUS16828A</t>
  </si>
  <si>
    <t>55.180.55.178</t>
  </si>
  <si>
    <t>040E3C16828A</t>
  </si>
  <si>
    <t>S04987</t>
  </si>
  <si>
    <t>8CG942F35Y</t>
  </si>
  <si>
    <t>S04987.US-2016</t>
  </si>
  <si>
    <t>GENSUS16828D</t>
  </si>
  <si>
    <t>7.4.140.211</t>
  </si>
  <si>
    <t>040E3C16828D</t>
  </si>
  <si>
    <t>8CG942F332</t>
  </si>
  <si>
    <t>GENSUS16828E</t>
  </si>
  <si>
    <t>7.140.52.166</t>
  </si>
  <si>
    <t>040E3C16828E</t>
  </si>
  <si>
    <t>8CG942F5BQ</t>
  </si>
  <si>
    <t>GENSUS16828F</t>
  </si>
  <si>
    <t>7.4.140.63</t>
  </si>
  <si>
    <t>040E3C16828F</t>
  </si>
  <si>
    <t>8CG942F323</t>
  </si>
  <si>
    <t>GENSUS168295</t>
  </si>
  <si>
    <t>7.125.132.41</t>
  </si>
  <si>
    <t>040E3C168295</t>
  </si>
  <si>
    <t>S08111</t>
  </si>
  <si>
    <t>8CG942BFTF</t>
  </si>
  <si>
    <t>S08111.US-2016</t>
  </si>
  <si>
    <t>GENSUS168296</t>
  </si>
  <si>
    <t>7.150.20.75</t>
  </si>
  <si>
    <t>040E3C168296</t>
  </si>
  <si>
    <t>8CG942F32Z</t>
  </si>
  <si>
    <t>GENSUS168297</t>
  </si>
  <si>
    <t>55.14.199.196</t>
  </si>
  <si>
    <t>040E3C168297</t>
  </si>
  <si>
    <t>S06485</t>
  </si>
  <si>
    <t>8CG942F32Y</t>
  </si>
  <si>
    <t>S06485.US-2016</t>
  </si>
  <si>
    <t>GENSUS16829A</t>
  </si>
  <si>
    <t>7.179.196.233</t>
  </si>
  <si>
    <t>040E3C16829A</t>
  </si>
  <si>
    <t>8CG942F5BH</t>
  </si>
  <si>
    <t>GENSUS16829C</t>
  </si>
  <si>
    <t>7.67.124.127</t>
  </si>
  <si>
    <t>040E3C16829C</t>
  </si>
  <si>
    <t>8CG942F335</t>
  </si>
  <si>
    <t>GENSUS16829F</t>
  </si>
  <si>
    <t>7.21.84.201</t>
  </si>
  <si>
    <t>040E3C16829F</t>
  </si>
  <si>
    <t>8CG942F33D</t>
  </si>
  <si>
    <t>GENSUS1682A4</t>
  </si>
  <si>
    <t>7.188.140.203</t>
  </si>
  <si>
    <t>040E3C1682A4</t>
  </si>
  <si>
    <t>8CG942F34D</t>
  </si>
  <si>
    <t>GENSUS1682A6</t>
  </si>
  <si>
    <t>7.34.220.106</t>
  </si>
  <si>
    <t>040E3C1682A6</t>
  </si>
  <si>
    <t>8CG942F362</t>
  </si>
  <si>
    <t>GENSUS1682A9</t>
  </si>
  <si>
    <t>7.167.140.191</t>
  </si>
  <si>
    <t>040E3C1682A9</t>
  </si>
  <si>
    <t>S04974</t>
  </si>
  <si>
    <t>8CG942F363</t>
  </si>
  <si>
    <t>S04974.US-2016</t>
  </si>
  <si>
    <t>GENSUS1682AB</t>
  </si>
  <si>
    <t>7.21.84.174</t>
  </si>
  <si>
    <t>040E3C1682AB</t>
  </si>
  <si>
    <t>8CG942F32Q</t>
  </si>
  <si>
    <t>GENSUS1682AE</t>
  </si>
  <si>
    <t>7.21.84.137</t>
  </si>
  <si>
    <t>040E3C1682AE</t>
  </si>
  <si>
    <t>8CG942F31X</t>
  </si>
  <si>
    <t>GENSUS1682B0</t>
  </si>
  <si>
    <t>7.172.84.11</t>
  </si>
  <si>
    <t>040E3C1682B0</t>
  </si>
  <si>
    <t>8CG942F370</t>
  </si>
  <si>
    <t>GENSUS1682B3</t>
  </si>
  <si>
    <t>7.21.84.73</t>
  </si>
  <si>
    <t>040E3C1682B3</t>
  </si>
  <si>
    <t>8CG942F336</t>
  </si>
  <si>
    <t>GENSUS1682BB</t>
  </si>
  <si>
    <t>7.122.180.187</t>
  </si>
  <si>
    <t>040E3C1682BB</t>
  </si>
  <si>
    <t>8CG942F32T</t>
  </si>
  <si>
    <t>GENSUS1682BE</t>
  </si>
  <si>
    <t>7.76.4.144</t>
  </si>
  <si>
    <t>040E3C1682BE</t>
  </si>
  <si>
    <t>8CG942F346</t>
  </si>
  <si>
    <t>GENSUS1682C0</t>
  </si>
  <si>
    <t>7.73.252.86</t>
  </si>
  <si>
    <t>040E3C1682C0</t>
  </si>
  <si>
    <t>8CG942F34Z</t>
  </si>
  <si>
    <t>GENSUS1682C3</t>
  </si>
  <si>
    <t>7.172.84.23</t>
  </si>
  <si>
    <t>040E3C1682C3</t>
  </si>
  <si>
    <t>8CG942F36P</t>
  </si>
  <si>
    <t>GENSUS1682C5</t>
  </si>
  <si>
    <t>7.77.164.19</t>
  </si>
  <si>
    <t>040E3C1682C5</t>
  </si>
  <si>
    <t>8CG942F32S</t>
  </si>
  <si>
    <t>GENSUS1682C8</t>
  </si>
  <si>
    <t>7.122.180.184</t>
  </si>
  <si>
    <t>040E3C1682C8</t>
  </si>
  <si>
    <t>8CG942F34S</t>
  </si>
  <si>
    <t>GENSUS1682CA</t>
  </si>
  <si>
    <t>55.52.167.183</t>
  </si>
  <si>
    <t>040E3C1682CA</t>
  </si>
  <si>
    <t>8CG942F32N</t>
  </si>
  <si>
    <t>GENSUS1682CB</t>
  </si>
  <si>
    <t>7.146.100.106</t>
  </si>
  <si>
    <t>040E3C1682CB</t>
  </si>
  <si>
    <t>8CG942F32M</t>
  </si>
  <si>
    <t>GENSUS1682CC</t>
  </si>
  <si>
    <t>7.76.4.140</t>
  </si>
  <si>
    <t>040E3C1682CC</t>
  </si>
  <si>
    <t>8CG942F344</t>
  </si>
  <si>
    <t>GENSUS1682CD</t>
  </si>
  <si>
    <t>7.76.4.131</t>
  </si>
  <si>
    <t>040E3C1682CD</t>
  </si>
  <si>
    <t>8CG942F343</t>
  </si>
  <si>
    <t>GENSUS1682D0</t>
  </si>
  <si>
    <t>7.8.212.18</t>
  </si>
  <si>
    <t>040E3C1682D0</t>
  </si>
  <si>
    <t>8CG942F34H</t>
  </si>
  <si>
    <t>GENSUS1682D6</t>
  </si>
  <si>
    <t>7.76.4.53</t>
  </si>
  <si>
    <t>040E3C1682D6</t>
  </si>
  <si>
    <t>8CG942F321</t>
  </si>
  <si>
    <t>GENSUS1682D9</t>
  </si>
  <si>
    <t>7.34.220.103</t>
  </si>
  <si>
    <t>040E3C1682D9</t>
  </si>
  <si>
    <t>8CG942F327</t>
  </si>
  <si>
    <t>GENSUS1682E3</t>
  </si>
  <si>
    <t>7.8.212.196</t>
  </si>
  <si>
    <t>040E3C1682E3</t>
  </si>
  <si>
    <t>8CG942F31L</t>
  </si>
  <si>
    <t>GENSUS1682ED</t>
  </si>
  <si>
    <t>7.167.140.192</t>
  </si>
  <si>
    <t>040E3C1682ED</t>
  </si>
  <si>
    <t>8CG942F36N</t>
  </si>
  <si>
    <t>GENSUS1682F3</t>
  </si>
  <si>
    <t>7.73.252.235</t>
  </si>
  <si>
    <t>040E3C1682F3</t>
  </si>
  <si>
    <t>8CG942F342</t>
  </si>
  <si>
    <t>GENSUS1682F5</t>
  </si>
  <si>
    <t>7.66.4.114</t>
  </si>
  <si>
    <t>040E3C1682F5</t>
  </si>
  <si>
    <t>8CG942F30B</t>
  </si>
  <si>
    <t>GENSUS1682F8</t>
  </si>
  <si>
    <t>7.4.140.177</t>
  </si>
  <si>
    <t>040E3C1682F8</t>
  </si>
  <si>
    <t>8CG942F32X</t>
  </si>
  <si>
    <t>GENSUS168305</t>
  </si>
  <si>
    <t>7.61.252.26</t>
  </si>
  <si>
    <t>040E3C168305</t>
  </si>
  <si>
    <t>8CG942F832</t>
  </si>
  <si>
    <t>GENSUS168309</t>
  </si>
  <si>
    <t>7.73.60.77</t>
  </si>
  <si>
    <t>040E3C168309</t>
  </si>
  <si>
    <t>8CG942F4W4</t>
  </si>
  <si>
    <t>GENSUS16831D</t>
  </si>
  <si>
    <t>7.146.100.211</t>
  </si>
  <si>
    <t>040E3C16831D</t>
  </si>
  <si>
    <t>8CG942F30S</t>
  </si>
  <si>
    <t>GENSUS16831E</t>
  </si>
  <si>
    <t>7.72.180.86</t>
  </si>
  <si>
    <t>040E3C16831E</t>
  </si>
  <si>
    <t>8CG942F30P</t>
  </si>
  <si>
    <t>GENSUS16831F</t>
  </si>
  <si>
    <t>7.14.196.173</t>
  </si>
  <si>
    <t>040E3C16831F</t>
  </si>
  <si>
    <t>8CG942F30Q</t>
  </si>
  <si>
    <t>GENSUS168326</t>
  </si>
  <si>
    <t>7.146.100.91</t>
  </si>
  <si>
    <t>040E3C168326</t>
  </si>
  <si>
    <t>8CG942F33J</t>
  </si>
  <si>
    <t>GENSUS16832A</t>
  </si>
  <si>
    <t>55.164.151.169</t>
  </si>
  <si>
    <t>040E3C16832A</t>
  </si>
  <si>
    <t>8CG942F3BZ</t>
  </si>
  <si>
    <t>GENSUS16832E</t>
  </si>
  <si>
    <t>7.52.164.153</t>
  </si>
  <si>
    <t>040E3C16832E</t>
  </si>
  <si>
    <t>8CG942F324</t>
  </si>
  <si>
    <t>GENSUS168338</t>
  </si>
  <si>
    <t>7.72.180.83</t>
  </si>
  <si>
    <t>040E3C168338</t>
  </si>
  <si>
    <t>8CG942F30X</t>
  </si>
  <si>
    <t>GENSUS168340</t>
  </si>
  <si>
    <t>7.11.84.44</t>
  </si>
  <si>
    <t>040E3C168340</t>
  </si>
  <si>
    <t>8CG942F30R</t>
  </si>
  <si>
    <t>GENSUS168341</t>
  </si>
  <si>
    <t>7.76.4.116</t>
  </si>
  <si>
    <t>040E3C168341</t>
  </si>
  <si>
    <t>8CG942F37T</t>
  </si>
  <si>
    <t>GENSUS168349</t>
  </si>
  <si>
    <t>7.67.124.100</t>
  </si>
  <si>
    <t>040E3C168349</t>
  </si>
  <si>
    <t>8CG942F30N</t>
  </si>
  <si>
    <t>GENSUS16834C</t>
  </si>
  <si>
    <t>7.73.252.130</t>
  </si>
  <si>
    <t>040E3C16834C</t>
  </si>
  <si>
    <t>8CG942F33S</t>
  </si>
  <si>
    <t>GENSUS16834D</t>
  </si>
  <si>
    <t>7.148.92.93</t>
  </si>
  <si>
    <t>040E3C16834D</t>
  </si>
  <si>
    <t>8CG942F3Z9</t>
  </si>
  <si>
    <t>GENSUS168358</t>
  </si>
  <si>
    <t>7.89.188.34</t>
  </si>
  <si>
    <t>040E3C168358</t>
  </si>
  <si>
    <t>8CG942F33Y</t>
  </si>
  <si>
    <t>GENSUS168359</t>
  </si>
  <si>
    <t>7.122.180.64</t>
  </si>
  <si>
    <t>040E3C168359</t>
  </si>
  <si>
    <t>8CG942F33X</t>
  </si>
  <si>
    <t>GENSUS168360</t>
  </si>
  <si>
    <t>7.188.84.113</t>
  </si>
  <si>
    <t>040E3C168360</t>
  </si>
  <si>
    <t>8CG942F34X</t>
  </si>
  <si>
    <t>GENSUS168363</t>
  </si>
  <si>
    <t>7.35.20.227</t>
  </si>
  <si>
    <t>040E3C168363</t>
  </si>
  <si>
    <t>8CG942F34V</t>
  </si>
  <si>
    <t>GENSUS16836A</t>
  </si>
  <si>
    <t>7.65.36.169</t>
  </si>
  <si>
    <t>040E3C16836A</t>
  </si>
  <si>
    <t>8CG942F340</t>
  </si>
  <si>
    <t>GENSUS168373</t>
  </si>
  <si>
    <t>7.20.100.65</t>
  </si>
  <si>
    <t>040E3C168373</t>
  </si>
  <si>
    <t>8CG942F36X</t>
  </si>
  <si>
    <t>GENSUS168380</t>
  </si>
  <si>
    <t>7.34.220.136</t>
  </si>
  <si>
    <t>040E3C168380</t>
  </si>
  <si>
    <t>8CG942F366</t>
  </si>
  <si>
    <t>GENSUS16838E</t>
  </si>
  <si>
    <t>7.150.20.240</t>
  </si>
  <si>
    <t>040E3C16838E</t>
  </si>
  <si>
    <t>8CG942F35X</t>
  </si>
  <si>
    <t>GENSUS16838F</t>
  </si>
  <si>
    <t>7.3.20.78</t>
  </si>
  <si>
    <t>040E3C16838F</t>
  </si>
  <si>
    <t>8CG942F360</t>
  </si>
  <si>
    <t>GENSUS168398</t>
  </si>
  <si>
    <t>7.171.60.155</t>
  </si>
  <si>
    <t>040E3C168398</t>
  </si>
  <si>
    <t>8CG942F5BL</t>
  </si>
  <si>
    <t>GENSUS16839A</t>
  </si>
  <si>
    <t>7.172.84.62</t>
  </si>
  <si>
    <t>040E3C16839A</t>
  </si>
  <si>
    <t>8CG942F36H</t>
  </si>
  <si>
    <t>GENSUS16839B</t>
  </si>
  <si>
    <t>7.52.244.145</t>
  </si>
  <si>
    <t>040E3C16839B</t>
  </si>
  <si>
    <t>8CG942F8YZ</t>
  </si>
  <si>
    <t>GENSUS16839D</t>
  </si>
  <si>
    <t>7.151.36.177</t>
  </si>
  <si>
    <t>040E3C16839D</t>
  </si>
  <si>
    <t>S08277</t>
  </si>
  <si>
    <t>8CG942BFSP</t>
  </si>
  <si>
    <t>S08277.US-2016</t>
  </si>
  <si>
    <t>GENSUS16839E</t>
  </si>
  <si>
    <t>7.57.60.182</t>
  </si>
  <si>
    <t>040E3C16839E</t>
  </si>
  <si>
    <t>8CG942F386</t>
  </si>
  <si>
    <t>GENSUS1683A6</t>
  </si>
  <si>
    <t>7.3.20.72</t>
  </si>
  <si>
    <t>040E3C1683A6</t>
  </si>
  <si>
    <t>8CG942F387</t>
  </si>
  <si>
    <t>GENSUS1683AC</t>
  </si>
  <si>
    <t>7.20.148.74</t>
  </si>
  <si>
    <t>040E3C1683AC</t>
  </si>
  <si>
    <t>8CG942F83Y</t>
  </si>
  <si>
    <t>GENSUS1683AD</t>
  </si>
  <si>
    <t>7.8.220.147</t>
  </si>
  <si>
    <t>040E3C1683AD</t>
  </si>
  <si>
    <t>8CG942F83P</t>
  </si>
  <si>
    <t>GENSUS1683AE</t>
  </si>
  <si>
    <t>7.61.252.164</t>
  </si>
  <si>
    <t>040E3C1683AE</t>
  </si>
  <si>
    <t>8CG942F83Q</t>
  </si>
  <si>
    <t>GENSUS1683AF</t>
  </si>
  <si>
    <t>7.66.228.88</t>
  </si>
  <si>
    <t>040E3C1683AF</t>
  </si>
  <si>
    <t>8CG942F840</t>
  </si>
  <si>
    <t>GENSUS1683B0</t>
  </si>
  <si>
    <t>7.20.148.77</t>
  </si>
  <si>
    <t>040E3C1683B0</t>
  </si>
  <si>
    <t>8CG942F841</t>
  </si>
  <si>
    <t>GENSUS1683B2</t>
  </si>
  <si>
    <t>7.57.164.58</t>
  </si>
  <si>
    <t>040E3C1683B2</t>
  </si>
  <si>
    <t>8CG942F846</t>
  </si>
  <si>
    <t>GENSUS1683B3</t>
  </si>
  <si>
    <t>7.61.252.109</t>
  </si>
  <si>
    <t>040E3C1683B3</t>
  </si>
  <si>
    <t>8CG942F844</t>
  </si>
  <si>
    <t>GENSUS1683B4</t>
  </si>
  <si>
    <t>7.92.92.92</t>
  </si>
  <si>
    <t>040E3C1683B4</t>
  </si>
  <si>
    <t>8CG942F845</t>
  </si>
  <si>
    <t>GENSUS1683BB</t>
  </si>
  <si>
    <t>7.53.212.103</t>
  </si>
  <si>
    <t>040E3C1683BB</t>
  </si>
  <si>
    <t>S06433</t>
  </si>
  <si>
    <t>8CG942F833</t>
  </si>
  <si>
    <t>S06433.US-2016</t>
  </si>
  <si>
    <t>GENSUS1683BC</t>
  </si>
  <si>
    <t>7.8.212.42</t>
  </si>
  <si>
    <t>040E3C1683BC</t>
  </si>
  <si>
    <t>8CG942F311</t>
  </si>
  <si>
    <t>GENSUS1683BD</t>
  </si>
  <si>
    <t>7.121.204.47</t>
  </si>
  <si>
    <t>040E3C1683BD</t>
  </si>
  <si>
    <t>8CG942F836</t>
  </si>
  <si>
    <t>GENSUS1683BF</t>
  </si>
  <si>
    <t>7.8.220.51</t>
  </si>
  <si>
    <t>040E3C1683BF</t>
  </si>
  <si>
    <t>8CG942F84C</t>
  </si>
  <si>
    <t>GENSUS1683D1</t>
  </si>
  <si>
    <t>7.144.180.127</t>
  </si>
  <si>
    <t>040E3C1683D1</t>
  </si>
  <si>
    <t>8CG942F839</t>
  </si>
  <si>
    <t>GENSUS1683D3</t>
  </si>
  <si>
    <t>7.20.100.67</t>
  </si>
  <si>
    <t>040E3C1683D3</t>
  </si>
  <si>
    <t>8CG942F384</t>
  </si>
  <si>
    <t>GENSUS1683D5</t>
  </si>
  <si>
    <t>7.74.60.161</t>
  </si>
  <si>
    <t>040E3C1683D5</t>
  </si>
  <si>
    <t>8CG942F91K</t>
  </si>
  <si>
    <t>GENSUS1683DA</t>
  </si>
  <si>
    <t>7.121.204.90</t>
  </si>
  <si>
    <t>040E3C1683DA</t>
  </si>
  <si>
    <t>8CG942F83F</t>
  </si>
  <si>
    <t>GENSUS1683DD</t>
  </si>
  <si>
    <t>7.52.164.138</t>
  </si>
  <si>
    <t>040E3C1683DD</t>
  </si>
  <si>
    <t>8CG942F33Z</t>
  </si>
  <si>
    <t>GENSUS1683E3</t>
  </si>
  <si>
    <t>7.64.228.60</t>
  </si>
  <si>
    <t>040E3C1683E3</t>
  </si>
  <si>
    <t>8CG942F84J</t>
  </si>
  <si>
    <t>GENSUS1683E6</t>
  </si>
  <si>
    <t>7.72.180.181</t>
  </si>
  <si>
    <t>040E3C1683E6</t>
  </si>
  <si>
    <t>8CG942F316</t>
  </si>
  <si>
    <t>GENSUS1683EB</t>
  </si>
  <si>
    <t>7.167.140.157</t>
  </si>
  <si>
    <t>040E3C1683EB</t>
  </si>
  <si>
    <t>8CG942F35R</t>
  </si>
  <si>
    <t>GENSUS1683EC</t>
  </si>
  <si>
    <t>7.3.20.74</t>
  </si>
  <si>
    <t>040E3C1683EC</t>
  </si>
  <si>
    <t>8CG942F35Q</t>
  </si>
  <si>
    <t>GENSUS1683ED</t>
  </si>
  <si>
    <t>7.112.100.213</t>
  </si>
  <si>
    <t>040E3C1683ED</t>
  </si>
  <si>
    <t>8CG942F829</t>
  </si>
  <si>
    <t>GENSUS1683EF</t>
  </si>
  <si>
    <t>7.61.252.136</t>
  </si>
  <si>
    <t>040E3C1683EF</t>
  </si>
  <si>
    <t>8CG942F82P</t>
  </si>
  <si>
    <t>GENSUS1683F0</t>
  </si>
  <si>
    <t>7.7.212.196</t>
  </si>
  <si>
    <t>040E3C1683F0</t>
  </si>
  <si>
    <t>8CG942F82N</t>
  </si>
  <si>
    <t>GENSUS1683F2</t>
  </si>
  <si>
    <t>7.112.100.192</t>
  </si>
  <si>
    <t>040E3C1683F2</t>
  </si>
  <si>
    <t>8CG942F82V</t>
  </si>
  <si>
    <t>GENSUS1683F4</t>
  </si>
  <si>
    <t>7.17.220.48</t>
  </si>
  <si>
    <t>040E3C1683F4</t>
  </si>
  <si>
    <t>8CG942F82J</t>
  </si>
  <si>
    <t>GENSUS1683F5</t>
  </si>
  <si>
    <t>7.64.228.136</t>
  </si>
  <si>
    <t>040E3C1683F5</t>
  </si>
  <si>
    <t>8CG942F82T</t>
  </si>
  <si>
    <t>GENSUS1683F6</t>
  </si>
  <si>
    <t>7.64.36.120</t>
  </si>
  <si>
    <t>040E3C1683F6</t>
  </si>
  <si>
    <t>8CG942F82S</t>
  </si>
  <si>
    <t>GENSUS1683F8</t>
  </si>
  <si>
    <t>7.64.228.65</t>
  </si>
  <si>
    <t>040E3C1683F8</t>
  </si>
  <si>
    <t>8CG942F82C</t>
  </si>
  <si>
    <t>GENSUS1683FB</t>
  </si>
  <si>
    <t>7.92.92.67</t>
  </si>
  <si>
    <t>040E3C1683FB</t>
  </si>
  <si>
    <t>8CG942F82H</t>
  </si>
  <si>
    <t>GENSUS168400</t>
  </si>
  <si>
    <t>7.24.76.206</t>
  </si>
  <si>
    <t>040E3C168400</t>
  </si>
  <si>
    <t>8CG942BFN7</t>
  </si>
  <si>
    <t>GENSUS168401</t>
  </si>
  <si>
    <t>7.179.212.100</t>
  </si>
  <si>
    <t>040E3C168401</t>
  </si>
  <si>
    <t>8CG942F8XM</t>
  </si>
  <si>
    <t>GENSUS168404</t>
  </si>
  <si>
    <t>7.69.140.168</t>
  </si>
  <si>
    <t>040E3C168404</t>
  </si>
  <si>
    <t>8CG942F30K</t>
  </si>
  <si>
    <t>GENSUS16840A</t>
  </si>
  <si>
    <t>7.188.84.223</t>
  </si>
  <si>
    <t>040E3C16840A</t>
  </si>
  <si>
    <t>8CG942F310</t>
  </si>
  <si>
    <t>GENSUS16840C</t>
  </si>
  <si>
    <t>7.8.220.127</t>
  </si>
  <si>
    <t>040E3C16840C</t>
  </si>
  <si>
    <t>8CG942F82Z</t>
  </si>
  <si>
    <t>GENSUS16841B</t>
  </si>
  <si>
    <t>7.74.188.92</t>
  </si>
  <si>
    <t>040E3C16841B</t>
  </si>
  <si>
    <t>8CG942F349</t>
  </si>
  <si>
    <t>GENSUS16841D</t>
  </si>
  <si>
    <t>7.52.164.49</t>
  </si>
  <si>
    <t>040E3C16841D</t>
  </si>
  <si>
    <t>8CG942F30Z</t>
  </si>
  <si>
    <t>GENSUS168445</t>
  </si>
  <si>
    <t>7.142.132.108</t>
  </si>
  <si>
    <t>040E3C168445</t>
  </si>
  <si>
    <t>8CG942F94K</t>
  </si>
  <si>
    <t>GENSUS16844D</t>
  </si>
  <si>
    <t>7.32.76.142</t>
  </si>
  <si>
    <t>040E3C16844D</t>
  </si>
  <si>
    <t>8CG942F91Q</t>
  </si>
  <si>
    <t>GENSUS16844E</t>
  </si>
  <si>
    <t>7.231.20.174</t>
  </si>
  <si>
    <t>040E3C16844E</t>
  </si>
  <si>
    <t>8CG942F91P</t>
  </si>
  <si>
    <t>GENSUS168456</t>
  </si>
  <si>
    <t>7.79.172.186</t>
  </si>
  <si>
    <t>040E3C168456</t>
  </si>
  <si>
    <t>S06246</t>
  </si>
  <si>
    <t>8CG942F94D</t>
  </si>
  <si>
    <t>S06246.US-2016</t>
  </si>
  <si>
    <t>GENSUS168458</t>
  </si>
  <si>
    <t>7.69.140.48</t>
  </si>
  <si>
    <t>040E3C168458</t>
  </si>
  <si>
    <t>8CG942F37H</t>
  </si>
  <si>
    <t>GENSUS16845A</t>
  </si>
  <si>
    <t>7.20.100.75</t>
  </si>
  <si>
    <t>040E3C16845A</t>
  </si>
  <si>
    <t>8CG942F38B</t>
  </si>
  <si>
    <t>GENSUS16845D</t>
  </si>
  <si>
    <t>7.79.172.193</t>
  </si>
  <si>
    <t>040E3C16845D</t>
  </si>
  <si>
    <t>8CG942F949</t>
  </si>
  <si>
    <t>GENSUS16845F</t>
  </si>
  <si>
    <t>7.189.100.145</t>
  </si>
  <si>
    <t>040E3C16845F</t>
  </si>
  <si>
    <t>8CG942F93W</t>
  </si>
  <si>
    <t>GENSUS168462</t>
  </si>
  <si>
    <t>7.14.196.13</t>
  </si>
  <si>
    <t>040E3C168462</t>
  </si>
  <si>
    <t>8CG942F37K</t>
  </si>
  <si>
    <t>GENSUS168463</t>
  </si>
  <si>
    <t>7.57.60.131</t>
  </si>
  <si>
    <t>040E3C168463</t>
  </si>
  <si>
    <t>8CG942F37J</t>
  </si>
  <si>
    <t>GENSUS168464</t>
  </si>
  <si>
    <t>7.35.20.189</t>
  </si>
  <si>
    <t>040E3C168464</t>
  </si>
  <si>
    <t>8CG942F37C</t>
  </si>
  <si>
    <t>GENSUS168465</t>
  </si>
  <si>
    <t>7.57.60.239</t>
  </si>
  <si>
    <t>040E3C168465</t>
  </si>
  <si>
    <t>8CG942F37B</t>
  </si>
  <si>
    <t>GENSUS168468</t>
  </si>
  <si>
    <t>7.66.28.105</t>
  </si>
  <si>
    <t>040E3C168468</t>
  </si>
  <si>
    <t>S06361</t>
  </si>
  <si>
    <t>8CG942BFXG</t>
  </si>
  <si>
    <t>S06361.US-2016</t>
  </si>
  <si>
    <t>GENSUS16847B</t>
  </si>
  <si>
    <t>7.167.140.161</t>
  </si>
  <si>
    <t>040E3C16847B</t>
  </si>
  <si>
    <t>8CG942F381</t>
  </si>
  <si>
    <t>GENSUS16847E</t>
  </si>
  <si>
    <t>7.34.220.107</t>
  </si>
  <si>
    <t>040E3C16847E</t>
  </si>
  <si>
    <t>8CG942F37R</t>
  </si>
  <si>
    <t>GENSUS168481</t>
  </si>
  <si>
    <t>7.13.204.134</t>
  </si>
  <si>
    <t>040E3C168481</t>
  </si>
  <si>
    <t>8CG942F8Z2</t>
  </si>
  <si>
    <t>GENSUS168482</t>
  </si>
  <si>
    <t>7.53.132.221</t>
  </si>
  <si>
    <t>040E3C168482</t>
  </si>
  <si>
    <t>S08184</t>
  </si>
  <si>
    <t>8CG942F8ZF</t>
  </si>
  <si>
    <t>S08184.US-2016</t>
  </si>
  <si>
    <t>GENSUS16848B</t>
  </si>
  <si>
    <t>7.188.84.228</t>
  </si>
  <si>
    <t>040E3C16848B</t>
  </si>
  <si>
    <t>8CG942F37N</t>
  </si>
  <si>
    <t>GENSUS168495</t>
  </si>
  <si>
    <t>7.31.188.156</t>
  </si>
  <si>
    <t>040E3C168495</t>
  </si>
  <si>
    <t>S04702</t>
  </si>
  <si>
    <t>8CG942F83S</t>
  </si>
  <si>
    <t>S04702.US-2016</t>
  </si>
  <si>
    <t>GENSUS16849C</t>
  </si>
  <si>
    <t>7.167.132.146</t>
  </si>
  <si>
    <t>040E3C16849C</t>
  </si>
  <si>
    <t>S04972</t>
  </si>
  <si>
    <t>8CG942F83N</t>
  </si>
  <si>
    <t>S04972.US-2016</t>
  </si>
  <si>
    <t>GENSUS1684A7</t>
  </si>
  <si>
    <t>7.188.84.45</t>
  </si>
  <si>
    <t>040E3C1684A7</t>
  </si>
  <si>
    <t>8CG942F37D</t>
  </si>
  <si>
    <t>GENSUS1684A8</t>
  </si>
  <si>
    <t>7.66.228.124</t>
  </si>
  <si>
    <t>040E3C1684A8</t>
  </si>
  <si>
    <t>8CG942F82D</t>
  </si>
  <si>
    <t>GENSUS1684AC</t>
  </si>
  <si>
    <t>7.67.124.105</t>
  </si>
  <si>
    <t>040E3C1684AC</t>
  </si>
  <si>
    <t>8CG942F312</t>
  </si>
  <si>
    <t>GENSUS1684AD</t>
  </si>
  <si>
    <t>7.66.4.236</t>
  </si>
  <si>
    <t>040E3C1684AD</t>
  </si>
  <si>
    <t>8CG942F313</t>
  </si>
  <si>
    <t>GENSUS1684BF</t>
  </si>
  <si>
    <t>7.67.196.174</t>
  </si>
  <si>
    <t>040E3C1684BF</t>
  </si>
  <si>
    <t>S06354</t>
  </si>
  <si>
    <t>8CG942F90R</t>
  </si>
  <si>
    <t>S06354.US-2016</t>
  </si>
  <si>
    <t>GENSUS1684C0</t>
  </si>
  <si>
    <t>55.231.23.184</t>
  </si>
  <si>
    <t>040E3C1684C0</t>
  </si>
  <si>
    <t>8CG942F8Y8</t>
  </si>
  <si>
    <t>GENSUS1684C4</t>
  </si>
  <si>
    <t>7.11.132.41</t>
  </si>
  <si>
    <t>040E3C1684C4</t>
  </si>
  <si>
    <t>8CG942F82M</t>
  </si>
  <si>
    <t>GENSUS1684C5</t>
  </si>
  <si>
    <t>7.8.220.157</t>
  </si>
  <si>
    <t>040E3C1684C5</t>
  </si>
  <si>
    <t>8CG942F82L</t>
  </si>
  <si>
    <t>GENSUS1684CE</t>
  </si>
  <si>
    <t>7.66.4.235</t>
  </si>
  <si>
    <t>040E3C1684CE</t>
  </si>
  <si>
    <t>8CG942F31C</t>
  </si>
  <si>
    <t>GENSUS1684CF</t>
  </si>
  <si>
    <t>7.67.124.171</t>
  </si>
  <si>
    <t>040E3C1684CF</t>
  </si>
  <si>
    <t>8CG942F31D</t>
  </si>
  <si>
    <t>GENSUS1684E4</t>
  </si>
  <si>
    <t>7.16.60.235</t>
  </si>
  <si>
    <t>040E3C1684E4</t>
  </si>
  <si>
    <t>8CG942F94X</t>
  </si>
  <si>
    <t>GENSUS1684E6</t>
  </si>
  <si>
    <t>7.8.12.79</t>
  </si>
  <si>
    <t>040E3C1684E6</t>
  </si>
  <si>
    <t>8CG942F904</t>
  </si>
  <si>
    <t>GENSUS1684ED</t>
  </si>
  <si>
    <t>7.13.204.147</t>
  </si>
  <si>
    <t>040E3C1684ED</t>
  </si>
  <si>
    <t>8CG942F920</t>
  </si>
  <si>
    <t>GENSUS1684EF</t>
  </si>
  <si>
    <t>7.74.60.43</t>
  </si>
  <si>
    <t>040E3C1684EF</t>
  </si>
  <si>
    <t>8CG942F926</t>
  </si>
  <si>
    <t>GENSUS1684F2</t>
  </si>
  <si>
    <t>7.67.196.180</t>
  </si>
  <si>
    <t>040E3C1684F2</t>
  </si>
  <si>
    <t>8CG942F92F</t>
  </si>
  <si>
    <t>GENSUS1684F3</t>
  </si>
  <si>
    <t>7.189.100.203</t>
  </si>
  <si>
    <t>040E3C1684F3</t>
  </si>
  <si>
    <t>8CG942F92D</t>
  </si>
  <si>
    <t>GENSUS168503</t>
  </si>
  <si>
    <t>7.8.220.39</t>
  </si>
  <si>
    <t>040E3C168503</t>
  </si>
  <si>
    <t>8CG942F81X</t>
  </si>
  <si>
    <t>GENSUS168506</t>
  </si>
  <si>
    <t>7.92.20.204</t>
  </si>
  <si>
    <t>040E3C168506</t>
  </si>
  <si>
    <t>8CG942F92K</t>
  </si>
  <si>
    <t>GENSUS16850B</t>
  </si>
  <si>
    <t>7.79.172.188</t>
  </si>
  <si>
    <t>040E3C16850B</t>
  </si>
  <si>
    <t>8CG942F928</t>
  </si>
  <si>
    <t>GENSUS168516</t>
  </si>
  <si>
    <t>7.8.220.126</t>
  </si>
  <si>
    <t>040E3C168516</t>
  </si>
  <si>
    <t>8CG942F81J</t>
  </si>
  <si>
    <t>GENSUS168517</t>
  </si>
  <si>
    <t>7.8.220.148</t>
  </si>
  <si>
    <t>040E3C168517</t>
  </si>
  <si>
    <t>8CG942F81H</t>
  </si>
  <si>
    <t>GENSUS168518</t>
  </si>
  <si>
    <t>55.79.175.190</t>
  </si>
  <si>
    <t>040E3C168518</t>
  </si>
  <si>
    <t>8CG942F91X</t>
  </si>
  <si>
    <t>GENSUS16851B</t>
  </si>
  <si>
    <t>7.74.124.24</t>
  </si>
  <si>
    <t>040E3C16851B</t>
  </si>
  <si>
    <t>S06685</t>
  </si>
  <si>
    <t>8CG942F827</t>
  </si>
  <si>
    <t>S06685.US-2016</t>
  </si>
  <si>
    <t>GENSUS16851E</t>
  </si>
  <si>
    <t>7.7.212.57</t>
  </si>
  <si>
    <t>040E3C16851E</t>
  </si>
  <si>
    <t>8CG942F820</t>
  </si>
  <si>
    <t>GENSUS16851F</t>
  </si>
  <si>
    <t>7.92.92.144</t>
  </si>
  <si>
    <t>040E3C16851F</t>
  </si>
  <si>
    <t>8CG942F821</t>
  </si>
  <si>
    <t>GENSUS168522</t>
  </si>
  <si>
    <t>7.13.212.172</t>
  </si>
  <si>
    <t>040E3C168522</t>
  </si>
  <si>
    <t>8CG942F92Z</t>
  </si>
  <si>
    <t>GENSUS168526</t>
  </si>
  <si>
    <t>7.53.212.179</t>
  </si>
  <si>
    <t>040E3C168526</t>
  </si>
  <si>
    <t>8CG942F81Y</t>
  </si>
  <si>
    <t>GENSUS16852A</t>
  </si>
  <si>
    <t>7.13.212.205</t>
  </si>
  <si>
    <t>040E3C16852A</t>
  </si>
  <si>
    <t>8CG942F92R</t>
  </si>
  <si>
    <t>GENSUS16852C</t>
  </si>
  <si>
    <t>7.67.196.179</t>
  </si>
  <si>
    <t>040E3C16852C</t>
  </si>
  <si>
    <t>8CG942F92X</t>
  </si>
  <si>
    <t>GENSUS168533</t>
  </si>
  <si>
    <t>7.67.196.214</t>
  </si>
  <si>
    <t>040E3C168533</t>
  </si>
  <si>
    <t>8CG942F92V</t>
  </si>
  <si>
    <t>GENSUS16853E</t>
  </si>
  <si>
    <t>7.61.252.166</t>
  </si>
  <si>
    <t>040E3C16853E</t>
  </si>
  <si>
    <t>8CG942F811</t>
  </si>
  <si>
    <t>GENSUS168542</t>
  </si>
  <si>
    <t>7.189.100.47</t>
  </si>
  <si>
    <t>040E3C168542</t>
  </si>
  <si>
    <t>8CG942F92S</t>
  </si>
  <si>
    <t>GENSUS168546</t>
  </si>
  <si>
    <t>7.17.204.133</t>
  </si>
  <si>
    <t>040E3C168546</t>
  </si>
  <si>
    <t>8CG942F814</t>
  </si>
  <si>
    <t>GENSUS168547</t>
  </si>
  <si>
    <t>7.61.252.163</t>
  </si>
  <si>
    <t>040E3C168547</t>
  </si>
  <si>
    <t>8CG942F813</t>
  </si>
  <si>
    <t>GENSUS16854B</t>
  </si>
  <si>
    <t>7.7.212.104</t>
  </si>
  <si>
    <t>040E3C16854B</t>
  </si>
  <si>
    <t>8CG942F81V</t>
  </si>
  <si>
    <t>GENSUS16854E</t>
  </si>
  <si>
    <t>7.167.132.75</t>
  </si>
  <si>
    <t>040E3C16854E</t>
  </si>
  <si>
    <t>8CG942F837</t>
  </si>
  <si>
    <t>GENSUS168550</t>
  </si>
  <si>
    <t>7.17.204.169</t>
  </si>
  <si>
    <t>040E3C168550</t>
  </si>
  <si>
    <t>8CG942F81B</t>
  </si>
  <si>
    <t>GENSUS168552</t>
  </si>
  <si>
    <t>7.57.164.59</t>
  </si>
  <si>
    <t>040E3C168552</t>
  </si>
  <si>
    <t>8CG942F818</t>
  </si>
  <si>
    <t>GENSUS168556</t>
  </si>
  <si>
    <t>55.66.231.184</t>
  </si>
  <si>
    <t>040E3C168556</t>
  </si>
  <si>
    <t>8CG942F81F</t>
  </si>
  <si>
    <t>GENSUS168558</t>
  </si>
  <si>
    <t>7.17.204.162</t>
  </si>
  <si>
    <t>040E3C168558</t>
  </si>
  <si>
    <t>8CG942F81D</t>
  </si>
  <si>
    <t>GENSUS168559</t>
  </si>
  <si>
    <t>7.31.188.143</t>
  </si>
  <si>
    <t>040E3C168559</t>
  </si>
  <si>
    <t>8CG942F81C</t>
  </si>
  <si>
    <t>GENSUS16855C</t>
  </si>
  <si>
    <t>7.32.76.228</t>
  </si>
  <si>
    <t>040E3C16855C</t>
  </si>
  <si>
    <t>8CG942F94H</t>
  </si>
  <si>
    <t>GENSUS168560</t>
  </si>
  <si>
    <t>7.112.100.116</t>
  </si>
  <si>
    <t>040E3C168560</t>
  </si>
  <si>
    <t>8CG942F81M</t>
  </si>
  <si>
    <t>GENSUS16857B</t>
  </si>
  <si>
    <t>7.32.76.102</t>
  </si>
  <si>
    <t>040E3C16857B</t>
  </si>
  <si>
    <t>8CG942F93V</t>
  </si>
  <si>
    <t>GENSUS16858F</t>
  </si>
  <si>
    <t>7.157.196.130</t>
  </si>
  <si>
    <t>040E3C16858F</t>
  </si>
  <si>
    <t>8CG942FB0Z</t>
  </si>
  <si>
    <t>GENSUS1685A3</t>
  </si>
  <si>
    <t>7.26.244.111</t>
  </si>
  <si>
    <t>040E3C1685A3</t>
  </si>
  <si>
    <t>8CG942F3Y1</t>
  </si>
  <si>
    <t>GENSUS1685A8</t>
  </si>
  <si>
    <t>7.4.100.69</t>
  </si>
  <si>
    <t>040E3C1685A8</t>
  </si>
  <si>
    <t>8CG942FB4P</t>
  </si>
  <si>
    <t>GENSUS1685AB</t>
  </si>
  <si>
    <t>7.79.172.143</t>
  </si>
  <si>
    <t>040E3C1685AB</t>
  </si>
  <si>
    <t>8CG942F93K</t>
  </si>
  <si>
    <t>GENSUS1685AD</t>
  </si>
  <si>
    <t>7.79.172.74</t>
  </si>
  <si>
    <t>040E3C1685AD</t>
  </si>
  <si>
    <t>8CG942F931</t>
  </si>
  <si>
    <t>GENSUS1685B7</t>
  </si>
  <si>
    <t>7.135.132.17</t>
  </si>
  <si>
    <t>040E3C1685B7</t>
  </si>
  <si>
    <t>8CG942F3XZ</t>
  </si>
  <si>
    <t>GENSUS1685BC</t>
  </si>
  <si>
    <t>7.31.196.193</t>
  </si>
  <si>
    <t>040E3C1685BC</t>
  </si>
  <si>
    <t>S06275</t>
  </si>
  <si>
    <t>8CG942F3ZT</t>
  </si>
  <si>
    <t>S06275.US-2016</t>
  </si>
  <si>
    <t>GENSUS1685BD</t>
  </si>
  <si>
    <t>7.21.36.82</t>
  </si>
  <si>
    <t>040E3C1685BD</t>
  </si>
  <si>
    <t>8CG942F3ZS</t>
  </si>
  <si>
    <t>GENSUS1685D3</t>
  </si>
  <si>
    <t>7.57.164.188</t>
  </si>
  <si>
    <t>040E3C1685D3</t>
  </si>
  <si>
    <t>8CG942F85B</t>
  </si>
  <si>
    <t>GENSUS1685D6</t>
  </si>
  <si>
    <t>7.53.212.127</t>
  </si>
  <si>
    <t>040E3C1685D6</t>
  </si>
  <si>
    <t>8CG942F84R</t>
  </si>
  <si>
    <t>GENSUS1685D8</t>
  </si>
  <si>
    <t>55.2.15.188</t>
  </si>
  <si>
    <t>040E3C1685D8</t>
  </si>
  <si>
    <t>8CG942F403</t>
  </si>
  <si>
    <t>GENSUS1685D9</t>
  </si>
  <si>
    <t>7.120.44.200</t>
  </si>
  <si>
    <t>040E3C1685D9</t>
  </si>
  <si>
    <t>8CG942F404</t>
  </si>
  <si>
    <t>GENSUS1685DE</t>
  </si>
  <si>
    <t>7.159.100.221</t>
  </si>
  <si>
    <t>040E3C1685DE</t>
  </si>
  <si>
    <t>S04843</t>
  </si>
  <si>
    <t>8CG942F41W</t>
  </si>
  <si>
    <t>S04843.US-2016</t>
  </si>
  <si>
    <t>GENSUS1685EA</t>
  </si>
  <si>
    <t>7.59.244.166</t>
  </si>
  <si>
    <t>040E3C1685EA</t>
  </si>
  <si>
    <t>8CG942F85H</t>
  </si>
  <si>
    <t>GENSUS1685EB</t>
  </si>
  <si>
    <t>7.10.28.167</t>
  </si>
  <si>
    <t>040E3C1685EB</t>
  </si>
  <si>
    <t>S08190</t>
  </si>
  <si>
    <t>8CG942F85L</t>
  </si>
  <si>
    <t>S08190.US-2016</t>
  </si>
  <si>
    <t>GENSUS1685EE</t>
  </si>
  <si>
    <t>7.12.28.27</t>
  </si>
  <si>
    <t>040E3C1685EE</t>
  </si>
  <si>
    <t>8CG942F85C</t>
  </si>
  <si>
    <t>GENSUS168600</t>
  </si>
  <si>
    <t>7.112.100.110</t>
  </si>
  <si>
    <t>040E3C168600</t>
  </si>
  <si>
    <t>8CG942F84Y</t>
  </si>
  <si>
    <t>GENSUS16860B</t>
  </si>
  <si>
    <t>7.20.252.18</t>
  </si>
  <si>
    <t>040E3C16860B</t>
  </si>
  <si>
    <t>S08135</t>
  </si>
  <si>
    <t>8CG942F857</t>
  </si>
  <si>
    <t>S08135.US-2016</t>
  </si>
  <si>
    <t>GENSUS16860D</t>
  </si>
  <si>
    <t>7.64.36.117</t>
  </si>
  <si>
    <t>040E3C16860D</t>
  </si>
  <si>
    <t>8CG942F850</t>
  </si>
  <si>
    <t>GENSUS168610</t>
  </si>
  <si>
    <t>7.20.252.53</t>
  </si>
  <si>
    <t>040E3C168610</t>
  </si>
  <si>
    <t>8CG942F851</t>
  </si>
  <si>
    <t>GENSUS168612</t>
  </si>
  <si>
    <t>7.191.28.37</t>
  </si>
  <si>
    <t>040E3C168612</t>
  </si>
  <si>
    <t>8CG942F88Y</t>
  </si>
  <si>
    <t>GENSUS168618</t>
  </si>
  <si>
    <t>7.67.28.19</t>
  </si>
  <si>
    <t>040E3C168618</t>
  </si>
  <si>
    <t>8CG942F85S</t>
  </si>
  <si>
    <t>GENSUS168619</t>
  </si>
  <si>
    <t>7.64.228.79</t>
  </si>
  <si>
    <t>040E3C168619</t>
  </si>
  <si>
    <t>8CG942F85T</t>
  </si>
  <si>
    <t>GENSUS16861A</t>
  </si>
  <si>
    <t>7.17.204.13</t>
  </si>
  <si>
    <t>040E3C16861A</t>
  </si>
  <si>
    <t>8CG942F85V</t>
  </si>
  <si>
    <t>GENSUS16861B</t>
  </si>
  <si>
    <t>7.15.60.40</t>
  </si>
  <si>
    <t>040E3C16861B</t>
  </si>
  <si>
    <t>8CG942F85R</t>
  </si>
  <si>
    <t>GENSUS16861E</t>
  </si>
  <si>
    <t>7.10.28.116</t>
  </si>
  <si>
    <t>040E3C16861E</t>
  </si>
  <si>
    <t>8CG942F88M</t>
  </si>
  <si>
    <t>GENSUS168623</t>
  </si>
  <si>
    <t>7.66.228.134</t>
  </si>
  <si>
    <t>040E3C168623</t>
  </si>
  <si>
    <t>8CG942F864</t>
  </si>
  <si>
    <t>GENSUS168626</t>
  </si>
  <si>
    <t>7.121.204.59</t>
  </si>
  <si>
    <t>040E3C168626</t>
  </si>
  <si>
    <t>8CG942F84S</t>
  </si>
  <si>
    <t>GENSUS168627</t>
  </si>
  <si>
    <t>7.53.212.90</t>
  </si>
  <si>
    <t>040E3C168627</t>
  </si>
  <si>
    <t>8CG942F84T</t>
  </si>
  <si>
    <t>GENSUS16862E</t>
  </si>
  <si>
    <t>7.11.132.121</t>
  </si>
  <si>
    <t>040E3C16862E</t>
  </si>
  <si>
    <t>8CG942F85Q</t>
  </si>
  <si>
    <t>GENSUS16862F</t>
  </si>
  <si>
    <t>7.20.252.40</t>
  </si>
  <si>
    <t>040E3C16862F</t>
  </si>
  <si>
    <t>8CG942F85P</t>
  </si>
  <si>
    <t>GENSUS168635</t>
  </si>
  <si>
    <t>7.135.132.82</t>
  </si>
  <si>
    <t>040E3C168635</t>
  </si>
  <si>
    <t>8CG942F40Q</t>
  </si>
  <si>
    <t>GENSUS16863B</t>
  </si>
  <si>
    <t>7.215.236.208</t>
  </si>
  <si>
    <t>040E3C16863B</t>
  </si>
  <si>
    <t>8CG942F411</t>
  </si>
  <si>
    <t>GENSUS16863C</t>
  </si>
  <si>
    <t>7.135.132.121</t>
  </si>
  <si>
    <t>040E3C16863C</t>
  </si>
  <si>
    <t>8CG942F40J</t>
  </si>
  <si>
    <t>GENSUS168640</t>
  </si>
  <si>
    <t>7.12.28.166</t>
  </si>
  <si>
    <t>040E3C168640</t>
  </si>
  <si>
    <t>8CG942F88H</t>
  </si>
  <si>
    <t>GENSUS168641</t>
  </si>
  <si>
    <t>7.73.44.67</t>
  </si>
  <si>
    <t>040E3C168641</t>
  </si>
  <si>
    <t>8CG942F88G</t>
  </si>
  <si>
    <t>GENSUS168642</t>
  </si>
  <si>
    <t>7.191.76.117</t>
  </si>
  <si>
    <t>040E3C168642</t>
  </si>
  <si>
    <t>8CG942F40S</t>
  </si>
  <si>
    <t>GENSUS168645</t>
  </si>
  <si>
    <t>7.5.180.136</t>
  </si>
  <si>
    <t>040E3C168645</t>
  </si>
  <si>
    <t>8CG942F41F</t>
  </si>
  <si>
    <t>GENSUS16864A</t>
  </si>
  <si>
    <t>7.11.132.122</t>
  </si>
  <si>
    <t>040E3C16864A</t>
  </si>
  <si>
    <t>8CG942F85X</t>
  </si>
  <si>
    <t>GENSUS16864B</t>
  </si>
  <si>
    <t>7.12.28.127</t>
  </si>
  <si>
    <t>040E3C16864B</t>
  </si>
  <si>
    <t>8CG942F85Z</t>
  </si>
  <si>
    <t>GENSUS16864E</t>
  </si>
  <si>
    <t>7.19.36.84</t>
  </si>
  <si>
    <t>040E3C16864E</t>
  </si>
  <si>
    <t>8CG942F40K</t>
  </si>
  <si>
    <t>GENSUS168650</t>
  </si>
  <si>
    <t>7.5.180.130</t>
  </si>
  <si>
    <t>040E3C168650</t>
  </si>
  <si>
    <t>8CG942F40N</t>
  </si>
  <si>
    <t>GENSUS168655</t>
  </si>
  <si>
    <t>7.191.28.166</t>
  </si>
  <si>
    <t>040E3C168655</t>
  </si>
  <si>
    <t>8CG942F86F</t>
  </si>
  <si>
    <t>GENSUS16865B</t>
  </si>
  <si>
    <t>7.17.220.169</t>
  </si>
  <si>
    <t>040E3C16865B</t>
  </si>
  <si>
    <t>8CG942F876</t>
  </si>
  <si>
    <t>GENSUS16865C</t>
  </si>
  <si>
    <t>7.190.116.110</t>
  </si>
  <si>
    <t>040E3C16865C</t>
  </si>
  <si>
    <t>8CG942F86M</t>
  </si>
  <si>
    <t>GENSUS16865D</t>
  </si>
  <si>
    <t>7.11.132.119</t>
  </si>
  <si>
    <t>040E3C16865D</t>
  </si>
  <si>
    <t>8CG942F86L</t>
  </si>
  <si>
    <t>GENSUS16865E</t>
  </si>
  <si>
    <t>7.67.28.36</t>
  </si>
  <si>
    <t>040E3C16865E</t>
  </si>
  <si>
    <t>8CG942F87W</t>
  </si>
  <si>
    <t>GENSUS168660</t>
  </si>
  <si>
    <t>7.59.244.45</t>
  </si>
  <si>
    <t>040E3C168660</t>
  </si>
  <si>
    <t>8CG942F871</t>
  </si>
  <si>
    <t>GENSUS168662</t>
  </si>
  <si>
    <t>7.150.36.113</t>
  </si>
  <si>
    <t>040E3C168662</t>
  </si>
  <si>
    <t>8CG942F878</t>
  </si>
  <si>
    <t>GENSUS168663</t>
  </si>
  <si>
    <t>7.191.28.18</t>
  </si>
  <si>
    <t>040E3C168663</t>
  </si>
  <si>
    <t>8CG942F877</t>
  </si>
  <si>
    <t>GENSUS168667</t>
  </si>
  <si>
    <t>7.74.124.36</t>
  </si>
  <si>
    <t>040E3C168667</t>
  </si>
  <si>
    <t>8CG942F87X</t>
  </si>
  <si>
    <t>GENSUS16866B</t>
  </si>
  <si>
    <t>7.12.28.38</t>
  </si>
  <si>
    <t>040E3C16866B</t>
  </si>
  <si>
    <t>8CG942F87Z</t>
  </si>
  <si>
    <t>GENSUS16866C</t>
  </si>
  <si>
    <t>7.191.28.155</t>
  </si>
  <si>
    <t>040E3C16866C</t>
  </si>
  <si>
    <t>8CG942F868</t>
  </si>
  <si>
    <t>GENSUS16866D</t>
  </si>
  <si>
    <t>7.190.116.60</t>
  </si>
  <si>
    <t>040E3C16866D</t>
  </si>
  <si>
    <t>8CG942F869</t>
  </si>
  <si>
    <t>GENSUS16866F</t>
  </si>
  <si>
    <t>7.171.68.204</t>
  </si>
  <si>
    <t>040E3C16866F</t>
  </si>
  <si>
    <t>8CG942F86Y</t>
  </si>
  <si>
    <t>GENSUS168670</t>
  </si>
  <si>
    <t>7.74.124.138</t>
  </si>
  <si>
    <t>040E3C168670</t>
  </si>
  <si>
    <t>8CG942F866</t>
  </si>
  <si>
    <t>GENSUS168672</t>
  </si>
  <si>
    <t>7.75.188.70</t>
  </si>
  <si>
    <t>040E3C168672</t>
  </si>
  <si>
    <t>8CG942F874</t>
  </si>
  <si>
    <t>GENSUS168673</t>
  </si>
  <si>
    <t>7.17.220.40</t>
  </si>
  <si>
    <t>040E3C168673</t>
  </si>
  <si>
    <t>8CG942F873</t>
  </si>
  <si>
    <t>GENSUS16867A</t>
  </si>
  <si>
    <t>7.69.188.47</t>
  </si>
  <si>
    <t>040E3C16867A</t>
  </si>
  <si>
    <t>8CG942F3YR</t>
  </si>
  <si>
    <t>GENSUS16867B</t>
  </si>
  <si>
    <t>7.68.164.101</t>
  </si>
  <si>
    <t>040E3C16867B</t>
  </si>
  <si>
    <t>S06418</t>
  </si>
  <si>
    <t>8CG942F3YS</t>
  </si>
  <si>
    <t>S06418.US-2016</t>
  </si>
  <si>
    <t>GENSUS16867C</t>
  </si>
  <si>
    <t>7.171.68.70</t>
  </si>
  <si>
    <t>040E3C16867C</t>
  </si>
  <si>
    <t>8CG942F87L</t>
  </si>
  <si>
    <t>GENSUS16867D</t>
  </si>
  <si>
    <t>7.12.28.165</t>
  </si>
  <si>
    <t>040E3C16867D</t>
  </si>
  <si>
    <t>8CG942F87K</t>
  </si>
  <si>
    <t>GENSUS16867E</t>
  </si>
  <si>
    <t>7.73.148.111</t>
  </si>
  <si>
    <t>040E3C16867E</t>
  </si>
  <si>
    <t>8CG942F3Z3</t>
  </si>
  <si>
    <t>GENSUS168681</t>
  </si>
  <si>
    <t>7.112.116.91</t>
  </si>
  <si>
    <t>040E3C168681</t>
  </si>
  <si>
    <t>8CG942F3YT</t>
  </si>
  <si>
    <t>GENSUS168682</t>
  </si>
  <si>
    <t>7.75.188.69</t>
  </si>
  <si>
    <t>040E3C168682</t>
  </si>
  <si>
    <t>8CG942F862</t>
  </si>
  <si>
    <t>GENSUS168683</t>
  </si>
  <si>
    <t>7.67.28.178</t>
  </si>
  <si>
    <t>040E3C168683</t>
  </si>
  <si>
    <t>8CG942F860</t>
  </si>
  <si>
    <t>GENSUS16869A</t>
  </si>
  <si>
    <t>7.10.28.209</t>
  </si>
  <si>
    <t>040E3C16869A</t>
  </si>
  <si>
    <t>8CG942F863</t>
  </si>
  <si>
    <t>GENSUS16869B</t>
  </si>
  <si>
    <t>7.64.228.45</t>
  </si>
  <si>
    <t>040E3C16869B</t>
  </si>
  <si>
    <t>8CG942F861</t>
  </si>
  <si>
    <t>GENSUS16869C</t>
  </si>
  <si>
    <t>7.190.12.48</t>
  </si>
  <si>
    <t>040E3C16869C</t>
  </si>
  <si>
    <t>8CG942F3YK</t>
  </si>
  <si>
    <t>GENSUS16869D</t>
  </si>
  <si>
    <t>7.68.164.123</t>
  </si>
  <si>
    <t>040E3C16869D</t>
  </si>
  <si>
    <t>8CG942F3YL</t>
  </si>
  <si>
    <t>GENSUS1686A5</t>
  </si>
  <si>
    <t>7.189.100.161</t>
  </si>
  <si>
    <t>040E3C1686A5</t>
  </si>
  <si>
    <t>8CG942F915</t>
  </si>
  <si>
    <t>GENSUS1686A7</t>
  </si>
  <si>
    <t>7.53.156.15</t>
  </si>
  <si>
    <t>040E3C1686A7</t>
  </si>
  <si>
    <t>8CG942FB2R</t>
  </si>
  <si>
    <t>GENSUS1686AB</t>
  </si>
  <si>
    <t>7.31.196.189</t>
  </si>
  <si>
    <t>040E3C1686AB</t>
  </si>
  <si>
    <t>8CG942F3Y7</t>
  </si>
  <si>
    <t>GENSUS1686AC</t>
  </si>
  <si>
    <t>7.77.140.175</t>
  </si>
  <si>
    <t>040E3C1686AC</t>
  </si>
  <si>
    <t>8CG942F87G</t>
  </si>
  <si>
    <t>GENSUS1686AF</t>
  </si>
  <si>
    <t>7.148.92.156</t>
  </si>
  <si>
    <t>040E3C1686AF</t>
  </si>
  <si>
    <t>8CG942F3YG</t>
  </si>
  <si>
    <t>GENSUS1686B4</t>
  </si>
  <si>
    <t>7.67.28.190</t>
  </si>
  <si>
    <t>040E3C1686B4</t>
  </si>
  <si>
    <t>8CG942F88K</t>
  </si>
  <si>
    <t>GENSUS1686BA</t>
  </si>
  <si>
    <t>7.160.52.63</t>
  </si>
  <si>
    <t>040E3C1686BA</t>
  </si>
  <si>
    <t>8CG942F3YZ</t>
  </si>
  <si>
    <t>GENSUS1686BB</t>
  </si>
  <si>
    <t>7.70.212.138</t>
  </si>
  <si>
    <t>040E3C1686BB</t>
  </si>
  <si>
    <t>8CG942F3YY</t>
  </si>
  <si>
    <t>GENSUS1686BC</t>
  </si>
  <si>
    <t>7.20.244.179</t>
  </si>
  <si>
    <t>040E3C1686BC</t>
  </si>
  <si>
    <t>8CG942F3Z6</t>
  </si>
  <si>
    <t>GENSUS1686C4</t>
  </si>
  <si>
    <t>7.190.252.175</t>
  </si>
  <si>
    <t>040E3C1686C4</t>
  </si>
  <si>
    <t>S08203</t>
  </si>
  <si>
    <t>8CG942F3XH</t>
  </si>
  <si>
    <t>S08203.US-2016</t>
  </si>
  <si>
    <t>GENSUS1686C5</t>
  </si>
  <si>
    <t>7.4.100.117</t>
  </si>
  <si>
    <t>040E3C1686C5</t>
  </si>
  <si>
    <t>8CG942FB5P</t>
  </si>
  <si>
    <t>GENSUS1686CE</t>
  </si>
  <si>
    <t>7.120.44.201</t>
  </si>
  <si>
    <t>040E3C1686CE</t>
  </si>
  <si>
    <t>8CG942F401</t>
  </si>
  <si>
    <t>GENSUS1686D0</t>
  </si>
  <si>
    <t>7.190.116.167</t>
  </si>
  <si>
    <t>040E3C1686D0</t>
  </si>
  <si>
    <t>8CG942F86Q</t>
  </si>
  <si>
    <t>GENSUS1686D1</t>
  </si>
  <si>
    <t>7.74.124.13</t>
  </si>
  <si>
    <t>040E3C1686D1</t>
  </si>
  <si>
    <t>8CG942F86R</t>
  </si>
  <si>
    <t>GENSUS1686D6</t>
  </si>
  <si>
    <t>7.5.116.47</t>
  </si>
  <si>
    <t>040E3C1686D6</t>
  </si>
  <si>
    <t>8CG942FB5N</t>
  </si>
  <si>
    <t>GENSUS1686D8</t>
  </si>
  <si>
    <t>7.124.28.176</t>
  </si>
  <si>
    <t>040E3C1686D8</t>
  </si>
  <si>
    <t>8CG942F3XW</t>
  </si>
  <si>
    <t>GENSUS1686DD</t>
  </si>
  <si>
    <t>7.32.60.182</t>
  </si>
  <si>
    <t>040E3C1686DD</t>
  </si>
  <si>
    <t>8CG942F3XJ</t>
  </si>
  <si>
    <t>GENSUS1686E4</t>
  </si>
  <si>
    <t>7.74.196.59</t>
  </si>
  <si>
    <t>040E3C1686E4</t>
  </si>
  <si>
    <t>8CG942F85K</t>
  </si>
  <si>
    <t>GENSUS1686EB</t>
  </si>
  <si>
    <t>7.73.148.194</t>
  </si>
  <si>
    <t>040E3C1686EB</t>
  </si>
  <si>
    <t>8CG942F3Y6</t>
  </si>
  <si>
    <t>GENSUS1686F6</t>
  </si>
  <si>
    <t>7.68.164.175</t>
  </si>
  <si>
    <t>040E3C1686F6</t>
  </si>
  <si>
    <t>8CG942F3Y3</t>
  </si>
  <si>
    <t>GENSUS168700</t>
  </si>
  <si>
    <t>7.150.52.154</t>
  </si>
  <si>
    <t>040E3C168700</t>
  </si>
  <si>
    <t>8CG942F3XP</t>
  </si>
  <si>
    <t>GENSUS16870C</t>
  </si>
  <si>
    <t>7.122.196.186</t>
  </si>
  <si>
    <t>040E3C16870C</t>
  </si>
  <si>
    <t>8CG942F35C</t>
  </si>
  <si>
    <t>GENSUS16870D</t>
  </si>
  <si>
    <t>7.20.100.104</t>
  </si>
  <si>
    <t>040E3C16870D</t>
  </si>
  <si>
    <t>8CG942F35B</t>
  </si>
  <si>
    <t>GENSUS16874E</t>
  </si>
  <si>
    <t>7.91.204.137</t>
  </si>
  <si>
    <t>040E3C16874E</t>
  </si>
  <si>
    <t>8CG942F88J</t>
  </si>
  <si>
    <t>GENSUS168750</t>
  </si>
  <si>
    <t>7.112.100.159</t>
  </si>
  <si>
    <t>040E3C168750</t>
  </si>
  <si>
    <t>8CG942F86B</t>
  </si>
  <si>
    <t>GENSUS168754</t>
  </si>
  <si>
    <t>7.190.12.15</t>
  </si>
  <si>
    <t>040E3C168754</t>
  </si>
  <si>
    <t>8CG942F3ZH</t>
  </si>
  <si>
    <t>GENSUS168755</t>
  </si>
  <si>
    <t>7.120.44.205</t>
  </si>
  <si>
    <t>040E3C168755</t>
  </si>
  <si>
    <t>8CG942F3ZG</t>
  </si>
  <si>
    <t>GENSUS168759</t>
  </si>
  <si>
    <t>7.76.44.81</t>
  </si>
  <si>
    <t>040E3C168759</t>
  </si>
  <si>
    <t>8CG942F9J9</t>
  </si>
  <si>
    <t>GENSUS168763</t>
  </si>
  <si>
    <t>7.69.60.196</t>
  </si>
  <si>
    <t>040E3C168763</t>
  </si>
  <si>
    <t>8CG942F3ZC</t>
  </si>
  <si>
    <t>GENSUS168764</t>
  </si>
  <si>
    <t>7.150.52.159</t>
  </si>
  <si>
    <t>040E3C168764</t>
  </si>
  <si>
    <t>8CG942F3XM</t>
  </si>
  <si>
    <t>GENSUS168765</t>
  </si>
  <si>
    <t>7.91.180.131</t>
  </si>
  <si>
    <t>040E3C168765</t>
  </si>
  <si>
    <t>8CG942F3XL</t>
  </si>
  <si>
    <t>GENSUS168769</t>
  </si>
  <si>
    <t>7.91.180.97</t>
  </si>
  <si>
    <t>040E3C168769</t>
  </si>
  <si>
    <t>8CG942F3Y5</t>
  </si>
  <si>
    <t>GENSUS16876A</t>
  </si>
  <si>
    <t>7.11.164.83</t>
  </si>
  <si>
    <t>040E3C16876A</t>
  </si>
  <si>
    <t>8CG942F3XT</t>
  </si>
  <si>
    <t>GENSUS168775</t>
  </si>
  <si>
    <t>7.69.60.83</t>
  </si>
  <si>
    <t>040E3C168775</t>
  </si>
  <si>
    <t>8CG942F406</t>
  </si>
  <si>
    <t>GENSUS16877C</t>
  </si>
  <si>
    <t>7.10.28.177</t>
  </si>
  <si>
    <t>040E3C16877C</t>
  </si>
  <si>
    <t>8CG942F86H</t>
  </si>
  <si>
    <t>GENSUS16877D</t>
  </si>
  <si>
    <t>7.66.228.59</t>
  </si>
  <si>
    <t>040E3C16877D</t>
  </si>
  <si>
    <t>8CG942F86D</t>
  </si>
  <si>
    <t>GENSUS16877F</t>
  </si>
  <si>
    <t>7.144.196.28</t>
  </si>
  <si>
    <t>040E3C16877F</t>
  </si>
  <si>
    <t>S04816</t>
  </si>
  <si>
    <t>8CG942F3YB</t>
  </si>
  <si>
    <t>S04816.US-2016</t>
  </si>
  <si>
    <t>GENSUS168781</t>
  </si>
  <si>
    <t>7.150.52.168</t>
  </si>
  <si>
    <t>040E3C168781</t>
  </si>
  <si>
    <t>8CG942F3Z4</t>
  </si>
  <si>
    <t>GENSUS168782</t>
  </si>
  <si>
    <t>7.135.132.110</t>
  </si>
  <si>
    <t>040E3C168782</t>
  </si>
  <si>
    <t>8CG942F3ZW</t>
  </si>
  <si>
    <t>GENSUS168783</t>
  </si>
  <si>
    <t>7.67.172.171</t>
  </si>
  <si>
    <t>040E3C168783</t>
  </si>
  <si>
    <t>8CG942F3ZV</t>
  </si>
  <si>
    <t>GENSUS168785</t>
  </si>
  <si>
    <t>7.67.172.170</t>
  </si>
  <si>
    <t>040E3C168785</t>
  </si>
  <si>
    <t>8CG942F41Y</t>
  </si>
  <si>
    <t>GENSUS16878A</t>
  </si>
  <si>
    <t>7.120.44.174</t>
  </si>
  <si>
    <t>040E3C16878A</t>
  </si>
  <si>
    <t>8CG942F40D</t>
  </si>
  <si>
    <t>GENSUS16878E</t>
  </si>
  <si>
    <t>7.20.244.202</t>
  </si>
  <si>
    <t>040E3C16878E</t>
  </si>
  <si>
    <t>8CG942F3ZZ</t>
  </si>
  <si>
    <t>GENSUS16878F</t>
  </si>
  <si>
    <t>7.148.92.64</t>
  </si>
  <si>
    <t>040E3C16878F</t>
  </si>
  <si>
    <t>8CG942F400</t>
  </si>
  <si>
    <t>GENSUS168798</t>
  </si>
  <si>
    <t>7.77.140.101</t>
  </si>
  <si>
    <t>040E3C168798</t>
  </si>
  <si>
    <t>8CG942F854</t>
  </si>
  <si>
    <t>GENSUS16879A</t>
  </si>
  <si>
    <t>55.148.95.150</t>
  </si>
  <si>
    <t>040E3C16879A</t>
  </si>
  <si>
    <t>8CG942F408</t>
  </si>
  <si>
    <t>GENSUS16879E</t>
  </si>
  <si>
    <t>7.5.180.39</t>
  </si>
  <si>
    <t>040E3C16879E</t>
  </si>
  <si>
    <t>8CG942F419</t>
  </si>
  <si>
    <t>GENSUS1687A0</t>
  </si>
  <si>
    <t>7.212.220.87</t>
  </si>
  <si>
    <t>040E3C1687A0</t>
  </si>
  <si>
    <t>8CG942F84N</t>
  </si>
  <si>
    <t>GENSUS1687A2</t>
  </si>
  <si>
    <t>7.171.68.205</t>
  </si>
  <si>
    <t>040E3C1687A2</t>
  </si>
  <si>
    <t>8CG942F88C</t>
  </si>
  <si>
    <t>GENSUS1687A3</t>
  </si>
  <si>
    <t>7.77.140.129</t>
  </si>
  <si>
    <t>040E3C1687A3</t>
  </si>
  <si>
    <t>8CG942F87N</t>
  </si>
  <si>
    <t>GENSUS1687A5</t>
  </si>
  <si>
    <t>7.150.52.226</t>
  </si>
  <si>
    <t>040E3C1687A5</t>
  </si>
  <si>
    <t>8CG942F3YM</t>
  </si>
  <si>
    <t>GENSUS1687A7</t>
  </si>
  <si>
    <t>7.30.228.91</t>
  </si>
  <si>
    <t>040E3C1687A7</t>
  </si>
  <si>
    <t>8CG942F889</t>
  </si>
  <si>
    <t>GENSUS1687AB</t>
  </si>
  <si>
    <t>7.180.108.152</t>
  </si>
  <si>
    <t>040E3C1687AB</t>
  </si>
  <si>
    <t>8CG942F88Z</t>
  </si>
  <si>
    <t>GENSUS1687AC</t>
  </si>
  <si>
    <t>7.59.244.161</t>
  </si>
  <si>
    <t>040E3C1687AC</t>
  </si>
  <si>
    <t>8CG942F890</t>
  </si>
  <si>
    <t>GENSUS1687B5</t>
  </si>
  <si>
    <t>7.124.28.14</t>
  </si>
  <si>
    <t>040E3C1687B5</t>
  </si>
  <si>
    <t>8CG942F3ZR</t>
  </si>
  <si>
    <t>GENSUS1687B8</t>
  </si>
  <si>
    <t>7.91.180.133</t>
  </si>
  <si>
    <t>040E3C1687B8</t>
  </si>
  <si>
    <t>8CG942F416</t>
  </si>
  <si>
    <t>GENSUS1687B9</t>
  </si>
  <si>
    <t>7.93.60.20</t>
  </si>
  <si>
    <t>040E3C1687B9</t>
  </si>
  <si>
    <t>S04780</t>
  </si>
  <si>
    <t>8CG942F86V</t>
  </si>
  <si>
    <t>S04780.US-2016</t>
  </si>
  <si>
    <t>GENSUS1687BA</t>
  </si>
  <si>
    <t>7.213.180.110</t>
  </si>
  <si>
    <t>040E3C1687BA</t>
  </si>
  <si>
    <t>8CG942F3ZP</t>
  </si>
  <si>
    <t>GENSUS1687C0</t>
  </si>
  <si>
    <t>7.124.28.170</t>
  </si>
  <si>
    <t>040E3C1687C0</t>
  </si>
  <si>
    <t>8CG942F41J</t>
  </si>
  <si>
    <t>GENSUS1687C2</t>
  </si>
  <si>
    <t>7.31.196.192</t>
  </si>
  <si>
    <t>040E3C1687C2</t>
  </si>
  <si>
    <t>8CG942F3ZL</t>
  </si>
  <si>
    <t>GENSUS1687C3</t>
  </si>
  <si>
    <t>7.30.228.63</t>
  </si>
  <si>
    <t>040E3C1687C3</t>
  </si>
  <si>
    <t>8CG942F883</t>
  </si>
  <si>
    <t>GENSUS1687C4</t>
  </si>
  <si>
    <t>7.74.124.17</t>
  </si>
  <si>
    <t>040E3C1687C4</t>
  </si>
  <si>
    <t>8CG942F882</t>
  </si>
  <si>
    <t>GENSUS1687C7</t>
  </si>
  <si>
    <t>7.190.12.43</t>
  </si>
  <si>
    <t>040E3C1687C7</t>
  </si>
  <si>
    <t>8CG942F40V</t>
  </si>
  <si>
    <t>GENSUS1687C9</t>
  </si>
  <si>
    <t>7.140.28.174</t>
  </si>
  <si>
    <t>040E3C1687C9</t>
  </si>
  <si>
    <t>8CG942F3YQ</t>
  </si>
  <si>
    <t>GENSUS1687CA</t>
  </si>
  <si>
    <t>7.29.84.162</t>
  </si>
  <si>
    <t>040E3C1687CA</t>
  </si>
  <si>
    <t>S08201</t>
  </si>
  <si>
    <t>8CG942F3YP</t>
  </si>
  <si>
    <t>S08201.US-2016</t>
  </si>
  <si>
    <t>GENSUS1687CE</t>
  </si>
  <si>
    <t>7.73.44.159</t>
  </si>
  <si>
    <t>040E3C1687CE</t>
  </si>
  <si>
    <t>8CG942F885</t>
  </si>
  <si>
    <t>GENSUS1687CF</t>
  </si>
  <si>
    <t>7.144.196.135</t>
  </si>
  <si>
    <t>040E3C1687CF</t>
  </si>
  <si>
    <t>8CG942F418</t>
  </si>
  <si>
    <t>GENSUS1687D2</t>
  </si>
  <si>
    <t>7.212.220.129</t>
  </si>
  <si>
    <t>040E3C1687D2</t>
  </si>
  <si>
    <t>8CG942F87V</t>
  </si>
  <si>
    <t>GENSUS1687D6</t>
  </si>
  <si>
    <t>7.12.28.40</t>
  </si>
  <si>
    <t>040E3C1687D6</t>
  </si>
  <si>
    <t>8CG942F88T</t>
  </si>
  <si>
    <t>GENSUS1687DE</t>
  </si>
  <si>
    <t>7.26.244.129</t>
  </si>
  <si>
    <t>040E3C1687DE</t>
  </si>
  <si>
    <t>8CG942F3Z1</t>
  </si>
  <si>
    <t>GENSUS1687E4</t>
  </si>
  <si>
    <t>7.5.180.40</t>
  </si>
  <si>
    <t>040E3C1687E4</t>
  </si>
  <si>
    <t>8CG942F40T</t>
  </si>
  <si>
    <t>GENSUS1687E5</t>
  </si>
  <si>
    <t>7.21.36.71</t>
  </si>
  <si>
    <t>040E3C1687E5</t>
  </si>
  <si>
    <t>8CG942F40X</t>
  </si>
  <si>
    <t>GENSUS1687E6</t>
  </si>
  <si>
    <t>7.52.92.166</t>
  </si>
  <si>
    <t>040E3C1687E6</t>
  </si>
  <si>
    <t>8CG942FB54</t>
  </si>
  <si>
    <t>GENSUS1687EA</t>
  </si>
  <si>
    <t>55.5.183.191</t>
  </si>
  <si>
    <t>040E3C1687EA</t>
  </si>
  <si>
    <t>8CG942F41N</t>
  </si>
  <si>
    <t>GENSUS1687F2</t>
  </si>
  <si>
    <t>55.144.199.177</t>
  </si>
  <si>
    <t>040E3C1687F2</t>
  </si>
  <si>
    <t>8CG942F3YX</t>
  </si>
  <si>
    <t>GENSUS1687F4</t>
  </si>
  <si>
    <t>7.31.188.203</t>
  </si>
  <si>
    <t>040E3C1687F4</t>
  </si>
  <si>
    <t>8CG942F88X</t>
  </si>
  <si>
    <t>S04702.US</t>
  </si>
  <si>
    <t>GENSUS1687F6</t>
  </si>
  <si>
    <t>7.32.60.180</t>
  </si>
  <si>
    <t>040E3C1687F6</t>
  </si>
  <si>
    <t>8CG942F3Z2</t>
  </si>
  <si>
    <t>GENSUS1687F7</t>
  </si>
  <si>
    <t>7.10.28.201</t>
  </si>
  <si>
    <t>040E3C1687F7</t>
  </si>
  <si>
    <t>8CG942F867</t>
  </si>
  <si>
    <t>GENSUS168BE9</t>
  </si>
  <si>
    <t>7.74.196.94</t>
  </si>
  <si>
    <t>040E3C168BE9</t>
  </si>
  <si>
    <t>8CG942F87D</t>
  </si>
  <si>
    <t>GENSUS168BF2</t>
  </si>
  <si>
    <t>7.13.236.102</t>
  </si>
  <si>
    <t>040E3C168BF2</t>
  </si>
  <si>
    <t>8CG942F317</t>
  </si>
  <si>
    <t>GENSUS168C03</t>
  </si>
  <si>
    <t>7.73.76.58</t>
  </si>
  <si>
    <t>040E3C168C03</t>
  </si>
  <si>
    <t>8CG942F5DC</t>
  </si>
  <si>
    <t>GENSUS168C05</t>
  </si>
  <si>
    <t>7.2.148.98</t>
  </si>
  <si>
    <t>040E3C168C05</t>
  </si>
  <si>
    <t>8CG942F5DZ</t>
  </si>
  <si>
    <t>GENSUS168C11</t>
  </si>
  <si>
    <t>7.74.196.169</t>
  </si>
  <si>
    <t>040E3C168C11</t>
  </si>
  <si>
    <t>8CG942F83C</t>
  </si>
  <si>
    <t>GENSUS168C12</t>
  </si>
  <si>
    <t>7.13.236.53</t>
  </si>
  <si>
    <t>040E3C168C12</t>
  </si>
  <si>
    <t>8CG942F325</t>
  </si>
  <si>
    <t>GENSUS168C1A</t>
  </si>
  <si>
    <t>7.21.68.97</t>
  </si>
  <si>
    <t>040E3C168C1A</t>
  </si>
  <si>
    <t>8CG942F5F2</t>
  </si>
  <si>
    <t>GENSUS168C23</t>
  </si>
  <si>
    <t>7.26.108.174</t>
  </si>
  <si>
    <t>040E3C168C23</t>
  </si>
  <si>
    <t>8CG942F5F4</t>
  </si>
  <si>
    <t>GENSUS168C26</t>
  </si>
  <si>
    <t>7.2.148.182</t>
  </si>
  <si>
    <t>040E3C168C26</t>
  </si>
  <si>
    <t>8CG942F5DM</t>
  </si>
  <si>
    <t>GENSUS168C29</t>
  </si>
  <si>
    <t>7.73.76.72</t>
  </si>
  <si>
    <t>040E3C168C29</t>
  </si>
  <si>
    <t>8CG942F5DK</t>
  </si>
  <si>
    <t>GENSUS168C2A</t>
  </si>
  <si>
    <t>7.179.196.144</t>
  </si>
  <si>
    <t>040E3C168C2A</t>
  </si>
  <si>
    <t>8CG942F5DL</t>
  </si>
  <si>
    <t>GENSUS168C33</t>
  </si>
  <si>
    <t>7.67.36.116</t>
  </si>
  <si>
    <t>040E3C168C33</t>
  </si>
  <si>
    <t>8CG942F452</t>
  </si>
  <si>
    <t>GENSUS168C36</t>
  </si>
  <si>
    <t>7.2.148.99</t>
  </si>
  <si>
    <t>040E3C168C36</t>
  </si>
  <si>
    <t>8CG942F5DV</t>
  </si>
  <si>
    <t>GENSUS168C3A</t>
  </si>
  <si>
    <t>7.190.252.50</t>
  </si>
  <si>
    <t>040E3C168C3A</t>
  </si>
  <si>
    <t>8CG942F3YF</t>
  </si>
  <si>
    <t>GENSUS168C3C</t>
  </si>
  <si>
    <t>7.55.204.178</t>
  </si>
  <si>
    <t>040E3C168C3C</t>
  </si>
  <si>
    <t>8CG942F45C</t>
  </si>
  <si>
    <t>GENSUS168C49</t>
  </si>
  <si>
    <t>7.30.68.119</t>
  </si>
  <si>
    <t>040E3C168C49</t>
  </si>
  <si>
    <t>8CG942F5DT</t>
  </si>
  <si>
    <t>GENSUS168C50</t>
  </si>
  <si>
    <t>7.21.68.130</t>
  </si>
  <si>
    <t>040E3C168C50</t>
  </si>
  <si>
    <t>8CG942F5DX</t>
  </si>
  <si>
    <t>GENSUS168C5B</t>
  </si>
  <si>
    <t>7.168.148.71</t>
  </si>
  <si>
    <t>040E3C168C5B</t>
  </si>
  <si>
    <t>8CG942F44Z</t>
  </si>
  <si>
    <t>GENSUS168C60</t>
  </si>
  <si>
    <t>7.55.204.173</t>
  </si>
  <si>
    <t>040E3C168C60</t>
  </si>
  <si>
    <t>8CG942F459</t>
  </si>
  <si>
    <t>GENSUS168C63</t>
  </si>
  <si>
    <t>7.168.148.164</t>
  </si>
  <si>
    <t>040E3C168C63</t>
  </si>
  <si>
    <t>8CG942F454</t>
  </si>
  <si>
    <t>GENSUS168C64</t>
  </si>
  <si>
    <t>7.67.36.86</t>
  </si>
  <si>
    <t>040E3C168C64</t>
  </si>
  <si>
    <t>8CG942F453</t>
  </si>
  <si>
    <t>GENSUS168C6B</t>
  </si>
  <si>
    <t>7.55.204.206</t>
  </si>
  <si>
    <t>040E3C168C6B</t>
  </si>
  <si>
    <t>8CG942F457</t>
  </si>
  <si>
    <t>GENSUS168C8A</t>
  </si>
  <si>
    <t>7.68.164.189</t>
  </si>
  <si>
    <t>040E3C168C8A</t>
  </si>
  <si>
    <t>8CG942F44C</t>
  </si>
  <si>
    <t>GENSUS168C8E</t>
  </si>
  <si>
    <t>7.161.252.42</t>
  </si>
  <si>
    <t>040E3C168C8E</t>
  </si>
  <si>
    <t>8CG942F9DP</t>
  </si>
  <si>
    <t>GENSUS168C92</t>
  </si>
  <si>
    <t>7.189.252.162</t>
  </si>
  <si>
    <t>040E3C168C92</t>
  </si>
  <si>
    <t>8CG942F5F1</t>
  </si>
  <si>
    <t>GENSUS168C93</t>
  </si>
  <si>
    <t>7.120.172.116</t>
  </si>
  <si>
    <t>040E3C168C93</t>
  </si>
  <si>
    <t>8CG942F5F0</t>
  </si>
  <si>
    <t>GENSUS168C9B</t>
  </si>
  <si>
    <t>7.120.44.98</t>
  </si>
  <si>
    <t>040E3C168C9B</t>
  </si>
  <si>
    <t>8CG942F44D</t>
  </si>
  <si>
    <t>GENSUS1F6268</t>
  </si>
  <si>
    <t>55.3.7.152</t>
  </si>
  <si>
    <t>040E3C1F6268</t>
  </si>
  <si>
    <t>8CG00100HB</t>
  </si>
  <si>
    <t>GENSUS2112A5</t>
  </si>
  <si>
    <t>7.191.4.111</t>
  </si>
  <si>
    <t>040E3C2112A5</t>
  </si>
  <si>
    <t>8CG00100J8</t>
  </si>
  <si>
    <t>GENSUS2112AA</t>
  </si>
  <si>
    <t>7.120.172.208</t>
  </si>
  <si>
    <t>040E3C2112AA</t>
  </si>
  <si>
    <t>8CG00100J4</t>
  </si>
  <si>
    <t>GENSUS2112C2</t>
  </si>
  <si>
    <t>7.35.20.226</t>
  </si>
  <si>
    <t>040E3C2112C2</t>
  </si>
  <si>
    <t>8CG00100JQ</t>
  </si>
  <si>
    <t>GENSUS2112E0</t>
  </si>
  <si>
    <t>7.140.20.28</t>
  </si>
  <si>
    <t>040E3C2112E0</t>
  </si>
  <si>
    <t>8CG00100J0</t>
  </si>
  <si>
    <t>GENSUS2112E1</t>
  </si>
  <si>
    <t>7.12.124.183</t>
  </si>
  <si>
    <t>040E3C2112E1</t>
  </si>
  <si>
    <t>S08295</t>
  </si>
  <si>
    <t>8CG00100GG</t>
  </si>
  <si>
    <t>S08295.US-2016</t>
  </si>
  <si>
    <t>GENSUS2112F2</t>
  </si>
  <si>
    <t>7.68.68.11</t>
  </si>
  <si>
    <t>040E3C2112F2</t>
  </si>
  <si>
    <t>8CG00100K2</t>
  </si>
  <si>
    <t>GENSUS211321</t>
  </si>
  <si>
    <t>7.5.116.57</t>
  </si>
  <si>
    <t>040E3C211321</t>
  </si>
  <si>
    <t>8CG00100J5</t>
  </si>
  <si>
    <t>GENSUS211368</t>
  </si>
  <si>
    <t>7.214.108.33</t>
  </si>
  <si>
    <t>040E3C211368</t>
  </si>
  <si>
    <t>8CG00100JR</t>
  </si>
  <si>
    <t>GENSUS211379</t>
  </si>
  <si>
    <t>55.3.7.156</t>
  </si>
  <si>
    <t>040E3C211379</t>
  </si>
  <si>
    <t>8CG00100K4</t>
  </si>
  <si>
    <t>GENSUS2113A5</t>
  </si>
  <si>
    <t>7.136.204.113</t>
  </si>
  <si>
    <t>040E3C2113A5</t>
  </si>
  <si>
    <t>S06527</t>
  </si>
  <si>
    <t>8CG00100HV</t>
  </si>
  <si>
    <t>S06527.US-2016</t>
  </si>
  <si>
    <t>GENSUS21803C</t>
  </si>
  <si>
    <t>7.25.124.168</t>
  </si>
  <si>
    <t>040E3C21803C</t>
  </si>
  <si>
    <t>8CG00245JX</t>
  </si>
  <si>
    <t>GENSUS218085</t>
  </si>
  <si>
    <t>7.18.12.115</t>
  </si>
  <si>
    <t>040E3C218085</t>
  </si>
  <si>
    <t>8CG00245HP</t>
  </si>
  <si>
    <t>GENSUS21809C</t>
  </si>
  <si>
    <t>7.70.180.228</t>
  </si>
  <si>
    <t>040E3C21809C</t>
  </si>
  <si>
    <t>8CG00245MY</t>
  </si>
  <si>
    <t>GENSUS2181EF</t>
  </si>
  <si>
    <t>7.231.20.86</t>
  </si>
  <si>
    <t>040E3C2181EF</t>
  </si>
  <si>
    <t>8CG00245KX</t>
  </si>
  <si>
    <t>GENSUS218274</t>
  </si>
  <si>
    <t>7.231.20.134</t>
  </si>
  <si>
    <t>040E3C218274</t>
  </si>
  <si>
    <t>8CG00245LZ</t>
  </si>
  <si>
    <t>GENSUS239784</t>
  </si>
  <si>
    <t>7.135.84.62</t>
  </si>
  <si>
    <t>040E3C239784</t>
  </si>
  <si>
    <t>8CG0083754</t>
  </si>
  <si>
    <t>GENSUS23980A</t>
  </si>
  <si>
    <t>7.32.20.158</t>
  </si>
  <si>
    <t>040E3C23980A</t>
  </si>
  <si>
    <t>S06326</t>
  </si>
  <si>
    <t>8CG008376K</t>
  </si>
  <si>
    <t>S06326.US-2016</t>
  </si>
  <si>
    <t>GENSUS23984F</t>
  </si>
  <si>
    <t>7.53.108.52</t>
  </si>
  <si>
    <t>040E3C23984F</t>
  </si>
  <si>
    <t>8CG00841JY</t>
  </si>
  <si>
    <t>GENSUS239857</t>
  </si>
  <si>
    <t>7.28.212.178</t>
  </si>
  <si>
    <t>040E3C239857</t>
  </si>
  <si>
    <t>8CG00841KM</t>
  </si>
  <si>
    <t>GENSUS2399F9</t>
  </si>
  <si>
    <t>7.91.196.70</t>
  </si>
  <si>
    <t>040E3C2399F9</t>
  </si>
  <si>
    <t>8CG008375V</t>
  </si>
  <si>
    <t>GENSUS239A28</t>
  </si>
  <si>
    <t>7.73.4.187</t>
  </si>
  <si>
    <t>040E3C239A28</t>
  </si>
  <si>
    <t>S06672</t>
  </si>
  <si>
    <t>8CG0083762</t>
  </si>
  <si>
    <t>S06672.US-2016</t>
  </si>
  <si>
    <t>GENSUS239A52</t>
  </si>
  <si>
    <t>55.74.63.188</t>
  </si>
  <si>
    <t>040E3C239A52</t>
  </si>
  <si>
    <t>8CG008375W</t>
  </si>
  <si>
    <t>GENSUS263EAB</t>
  </si>
  <si>
    <t>7.144.76.25</t>
  </si>
  <si>
    <t>040E3C263EAB</t>
  </si>
  <si>
    <t>S04871</t>
  </si>
  <si>
    <t>8CG01137FF</t>
  </si>
  <si>
    <t>S04871.US-2016</t>
  </si>
  <si>
    <t>GENSUS263EB7</t>
  </si>
  <si>
    <t>7.7.68.85</t>
  </si>
  <si>
    <t>040E3C263EB7</t>
  </si>
  <si>
    <t>8CG01137FH</t>
  </si>
  <si>
    <t>GENSUS263EDB</t>
  </si>
  <si>
    <t>7.214.108.43</t>
  </si>
  <si>
    <t>040E3C263EDB</t>
  </si>
  <si>
    <t>8CG01137BM</t>
  </si>
  <si>
    <t>GENSUS263F27</t>
  </si>
  <si>
    <t>7.148.100.35</t>
  </si>
  <si>
    <t>040E3C263F27</t>
  </si>
  <si>
    <t>8CG0136X99</t>
  </si>
  <si>
    <t>GENSUS263F36</t>
  </si>
  <si>
    <t>7.49.204.21</t>
  </si>
  <si>
    <t>040E3C263F36</t>
  </si>
  <si>
    <t>8CG01137F6</t>
  </si>
  <si>
    <t>GENSUS263F4B</t>
  </si>
  <si>
    <t>7.70.180.139</t>
  </si>
  <si>
    <t>040E3C263F4B</t>
  </si>
  <si>
    <t>8CG01137C8</t>
  </si>
  <si>
    <t>GENSUS263F5C</t>
  </si>
  <si>
    <t>7.84.196.48</t>
  </si>
  <si>
    <t>040E3C263F5C</t>
  </si>
  <si>
    <t>8CG01137CF</t>
  </si>
  <si>
    <t>GENSUS264034</t>
  </si>
  <si>
    <t>7.12.108.173</t>
  </si>
  <si>
    <t>040E3C264034</t>
  </si>
  <si>
    <t>8CG01137F3</t>
  </si>
  <si>
    <t>GENSUS264047</t>
  </si>
  <si>
    <t>7.144.180.64</t>
  </si>
  <si>
    <t>040E3C264047</t>
  </si>
  <si>
    <t>8CG01137C3</t>
  </si>
  <si>
    <t>GENSUS264060</t>
  </si>
  <si>
    <t>7.12.108.176</t>
  </si>
  <si>
    <t>040E3C264060</t>
  </si>
  <si>
    <t>8CG01137DN</t>
  </si>
  <si>
    <t>GENSUS264064</t>
  </si>
  <si>
    <t>7.15.4.221</t>
  </si>
  <si>
    <t>040E3C264064</t>
  </si>
  <si>
    <t>S06425</t>
  </si>
  <si>
    <t>8CG01137B8</t>
  </si>
  <si>
    <t>S06425.US-2016</t>
  </si>
  <si>
    <t>GENSUS264065</t>
  </si>
  <si>
    <t>7.23.100.64</t>
  </si>
  <si>
    <t>040E3C264065</t>
  </si>
  <si>
    <t>8CG01137B6</t>
  </si>
  <si>
    <t>GENSUS279AD8</t>
  </si>
  <si>
    <t>7.82.172.227</t>
  </si>
  <si>
    <t>A4BB6D279AD8</t>
  </si>
  <si>
    <t>35JLR33</t>
  </si>
  <si>
    <t>GENSUS28B485</t>
  </si>
  <si>
    <t>7.190.12.42</t>
  </si>
  <si>
    <t>040E3C28B485</t>
  </si>
  <si>
    <t>8CG0136X90</t>
  </si>
  <si>
    <t>GENSUS28B966</t>
  </si>
  <si>
    <t>7.21.148.33</t>
  </si>
  <si>
    <t>040E3C28B966</t>
  </si>
  <si>
    <t>S08228</t>
  </si>
  <si>
    <t>8CG0136XCY</t>
  </si>
  <si>
    <t>S08228.US-2016</t>
  </si>
  <si>
    <t>GENSUS2B5E96</t>
  </si>
  <si>
    <t>7.5.164.159</t>
  </si>
  <si>
    <t>040E3C2B5E96</t>
  </si>
  <si>
    <t>8CG0172GL4</t>
  </si>
  <si>
    <t>GENSUS2B5F1C</t>
  </si>
  <si>
    <t>7.76.44.193</t>
  </si>
  <si>
    <t>040E3C2B5F1C</t>
  </si>
  <si>
    <t>8CG0172GFY</t>
  </si>
  <si>
    <t>GENSUS2B5FC0</t>
  </si>
  <si>
    <t>7.161.76.98</t>
  </si>
  <si>
    <t>040E3C2B5FC0</t>
  </si>
  <si>
    <t>S04961</t>
  </si>
  <si>
    <t>8CG0172GDH</t>
  </si>
  <si>
    <t>S04961.US-2016</t>
  </si>
  <si>
    <t>GENSUS2B5FC4</t>
  </si>
  <si>
    <t>7.52.236.15</t>
  </si>
  <si>
    <t>040E3C2B5FC4</t>
  </si>
  <si>
    <t>8CG0172GFC</t>
  </si>
  <si>
    <t>GENSUS2B5FC7</t>
  </si>
  <si>
    <t>7.77.196.64</t>
  </si>
  <si>
    <t>040E3C2B5FC7</t>
  </si>
  <si>
    <t>8CG0172GFD</t>
  </si>
  <si>
    <t>GENSUS2B5FCA</t>
  </si>
  <si>
    <t>7.84.28.167</t>
  </si>
  <si>
    <t>040E3C2B5FCA</t>
  </si>
  <si>
    <t>8CG0172GF9</t>
  </si>
  <si>
    <t>GENSUS2B5FCD</t>
  </si>
  <si>
    <t>7.183.52.31</t>
  </si>
  <si>
    <t>040E3C2B5FCD</t>
  </si>
  <si>
    <t>8CG0172GDZ</t>
  </si>
  <si>
    <t>GENSUS2B5FCE</t>
  </si>
  <si>
    <t>7.161.76.99</t>
  </si>
  <si>
    <t>040E3C2B5FCE</t>
  </si>
  <si>
    <t>8CG0172GF0</t>
  </si>
  <si>
    <t>GENSUS2B5FD3</t>
  </si>
  <si>
    <t>7.146.92.70</t>
  </si>
  <si>
    <t>040E3C2B5FD3</t>
  </si>
  <si>
    <t>8CG0172GD1</t>
  </si>
  <si>
    <t>GENSUS2B5FD5</t>
  </si>
  <si>
    <t>7.78.220.83</t>
  </si>
  <si>
    <t>040E3C2B5FD5</t>
  </si>
  <si>
    <t>8CG0172GD0</t>
  </si>
  <si>
    <t>GENSUS2B5FD7</t>
  </si>
  <si>
    <t>7.146.92.122</t>
  </si>
  <si>
    <t>040E3C2B5FD7</t>
  </si>
  <si>
    <t>8CG0172GDT</t>
  </si>
  <si>
    <t>GENSUS2B5FD8</t>
  </si>
  <si>
    <t>7.76.44.25</t>
  </si>
  <si>
    <t>040E3C2B5FD8</t>
  </si>
  <si>
    <t>8CG0172GDS</t>
  </si>
  <si>
    <t>GENSUS2B5FDB</t>
  </si>
  <si>
    <t>7.43.172.50</t>
  </si>
  <si>
    <t>040E3C2B5FDB</t>
  </si>
  <si>
    <t>8CG0172GJ3</t>
  </si>
  <si>
    <t>GENSUS2B5FDC</t>
  </si>
  <si>
    <t>7.67.4.11</t>
  </si>
  <si>
    <t>040E3C2B5FDC</t>
  </si>
  <si>
    <t>8CG0172GJ2</t>
  </si>
  <si>
    <t>GENSUS2B5FDF</t>
  </si>
  <si>
    <t>7.78.220.153</t>
  </si>
  <si>
    <t>040E3C2B5FDF</t>
  </si>
  <si>
    <t>8CG0172GG1</t>
  </si>
  <si>
    <t>GENSUS2B5FE0</t>
  </si>
  <si>
    <t>7.215.116.122</t>
  </si>
  <si>
    <t>040E3C2B5FE0</t>
  </si>
  <si>
    <t>S06247</t>
  </si>
  <si>
    <t>8CG0172GG2</t>
  </si>
  <si>
    <t>S06247.US-2016</t>
  </si>
  <si>
    <t>GENSUS2B5FE1</t>
  </si>
  <si>
    <t>7.73.172.41</t>
  </si>
  <si>
    <t>040E3C2B5FE1</t>
  </si>
  <si>
    <t>8CG0172GFF</t>
  </si>
  <si>
    <t>GENSUS2B5FE2</t>
  </si>
  <si>
    <t>7.150.188.195</t>
  </si>
  <si>
    <t>040E3C2B5FE2</t>
  </si>
  <si>
    <t>8CG0172GFG</t>
  </si>
  <si>
    <t>GENSUS2B5FE3</t>
  </si>
  <si>
    <t>7.74.156.150</t>
  </si>
  <si>
    <t>040E3C2B5FE3</t>
  </si>
  <si>
    <t>8CG0172GJG</t>
  </si>
  <si>
    <t>GENSUS2B5FE5</t>
  </si>
  <si>
    <t>7.73.172.49</t>
  </si>
  <si>
    <t>040E3C2B5FE5</t>
  </si>
  <si>
    <t>8CG0172GG6</t>
  </si>
  <si>
    <t>GENSUS2B5FE6</t>
  </si>
  <si>
    <t>7.67.148.108</t>
  </si>
  <si>
    <t>040E3C2B5FE6</t>
  </si>
  <si>
    <t>8CG0172GG5</t>
  </si>
  <si>
    <t>GENSUS2B5FE7</t>
  </si>
  <si>
    <t>7.163.60.38</t>
  </si>
  <si>
    <t>040E3C2B5FE7</t>
  </si>
  <si>
    <t>S04947</t>
  </si>
  <si>
    <t>8CG0172GDW</t>
  </si>
  <si>
    <t>S04947.US-2016</t>
  </si>
  <si>
    <t>GENSUS2B5FE9</t>
  </si>
  <si>
    <t>7.138.36.30</t>
  </si>
  <si>
    <t>040E3C2B5FE9</t>
  </si>
  <si>
    <t>8CG0172GF7</t>
  </si>
  <si>
    <t>GENSUS2B5FF5</t>
  </si>
  <si>
    <t>7.7.68.223</t>
  </si>
  <si>
    <t>040E3C2B5FF5</t>
  </si>
  <si>
    <t>8CG0172GK7</t>
  </si>
  <si>
    <t>GENSUS2B5FF9</t>
  </si>
  <si>
    <t>7.157.252.151</t>
  </si>
  <si>
    <t>040E3C2B5FF9</t>
  </si>
  <si>
    <t>8CG0172GFK</t>
  </si>
  <si>
    <t>GENSUS2B6005</t>
  </si>
  <si>
    <t>7.21.180.77</t>
  </si>
  <si>
    <t>040E3C2B6005</t>
  </si>
  <si>
    <t>8CG0172GFV</t>
  </si>
  <si>
    <t>GENSUS2B6007</t>
  </si>
  <si>
    <t>7.138.100.69</t>
  </si>
  <si>
    <t>040E3C2B6007</t>
  </si>
  <si>
    <t>8CG0172GG7</t>
  </si>
  <si>
    <t>GENSUS2B6008</t>
  </si>
  <si>
    <t>7.161.76.239</t>
  </si>
  <si>
    <t>040E3C2B6008</t>
  </si>
  <si>
    <t>8CG0172GG8</t>
  </si>
  <si>
    <t>GENSUS2B6016</t>
  </si>
  <si>
    <t>7.37.236.74</t>
  </si>
  <si>
    <t>040E3C2B6016</t>
  </si>
  <si>
    <t>S04750</t>
  </si>
  <si>
    <t>8CG0172GD9</t>
  </si>
  <si>
    <t>S04750.US-2016</t>
  </si>
  <si>
    <t>GENSUS2B6017</t>
  </si>
  <si>
    <t>7.7.68.162</t>
  </si>
  <si>
    <t>040E3C2B6017</t>
  </si>
  <si>
    <t>8CG0172GCQ</t>
  </si>
  <si>
    <t>GENSUS2B6018</t>
  </si>
  <si>
    <t>7.74.156.70</t>
  </si>
  <si>
    <t>040E3C2B6018</t>
  </si>
  <si>
    <t>8CG0172GCP</t>
  </si>
  <si>
    <t>GENSUS2B601A</t>
  </si>
  <si>
    <t>7.156.180.130</t>
  </si>
  <si>
    <t>040E3C2B601A</t>
  </si>
  <si>
    <t>8CG0172GCZ</t>
  </si>
  <si>
    <t>GENSUS2B601B</t>
  </si>
  <si>
    <t>7.73.172.96</t>
  </si>
  <si>
    <t>040E3C2B601B</t>
  </si>
  <si>
    <t>8CG0172GF6</t>
  </si>
  <si>
    <t>GENSUS2B6021</t>
  </si>
  <si>
    <t>7.189.4.173</t>
  </si>
  <si>
    <t>040E3C2B6021</t>
  </si>
  <si>
    <t>8CG0172GCY</t>
  </si>
  <si>
    <t>GENSUS2B6022</t>
  </si>
  <si>
    <t>7.91.180.146</t>
  </si>
  <si>
    <t>040E3C2B6022</t>
  </si>
  <si>
    <t>8CG0172GCW</t>
  </si>
  <si>
    <t>GENSUS2B6024</t>
  </si>
  <si>
    <t>7.163.60.19</t>
  </si>
  <si>
    <t>040E3C2B6024</t>
  </si>
  <si>
    <t>8CG0172GGT</t>
  </si>
  <si>
    <t>GENSUS2B6026</t>
  </si>
  <si>
    <t>7.64.204.18</t>
  </si>
  <si>
    <t>040E3C2B6026</t>
  </si>
  <si>
    <t>S06329</t>
  </si>
  <si>
    <t>8CG0172GGC</t>
  </si>
  <si>
    <t>S06329.US-2016</t>
  </si>
  <si>
    <t>GENSUS2B6027</t>
  </si>
  <si>
    <t>7.150.188.127</t>
  </si>
  <si>
    <t>040E3C2B6027</t>
  </si>
  <si>
    <t>8CG0172GCN</t>
  </si>
  <si>
    <t>GENSUS2B6028</t>
  </si>
  <si>
    <t>7.43.204.86</t>
  </si>
  <si>
    <t>040E3C2B6028</t>
  </si>
  <si>
    <t>S08142</t>
  </si>
  <si>
    <t>8CG0172GCM</t>
  </si>
  <si>
    <t>S08142.US-2016</t>
  </si>
  <si>
    <t>GENSUS2B6029</t>
  </si>
  <si>
    <t>7.43.204.139</t>
  </si>
  <si>
    <t>040E3C2B6029</t>
  </si>
  <si>
    <t>8CG0172GHD</t>
  </si>
  <si>
    <t>GENSUS2B602C</t>
  </si>
  <si>
    <t>55.34.151.180</t>
  </si>
  <si>
    <t>040E3C2B602C</t>
  </si>
  <si>
    <t>8CG0172GCV</t>
  </si>
  <si>
    <t>GENSUS2B6036</t>
  </si>
  <si>
    <t>7.34.204.51</t>
  </si>
  <si>
    <t>040E3C2B6036</t>
  </si>
  <si>
    <t>S04878</t>
  </si>
  <si>
    <t>8CG0172GCT</t>
  </si>
  <si>
    <t>S04878.US-2016</t>
  </si>
  <si>
    <t>GENSUS2B6039</t>
  </si>
  <si>
    <t>55.30.71.192</t>
  </si>
  <si>
    <t>040E3C2B6039</t>
  </si>
  <si>
    <t>8CG0172JNC</t>
  </si>
  <si>
    <t>GENSUS2B603D</t>
  </si>
  <si>
    <t>7.76.244.148</t>
  </si>
  <si>
    <t>040E3C2B603D</t>
  </si>
  <si>
    <t>S06572</t>
  </si>
  <si>
    <t>8CG0172GGD</t>
  </si>
  <si>
    <t>S06572.US-2016</t>
  </si>
  <si>
    <t>GENSUS2B603E</t>
  </si>
  <si>
    <t>7.156.180.165</t>
  </si>
  <si>
    <t>040E3C2B603E</t>
  </si>
  <si>
    <t>8CG0172GGB</t>
  </si>
  <si>
    <t>GENSUS2B604F</t>
  </si>
  <si>
    <t>7.128.204.30</t>
  </si>
  <si>
    <t>040E3C2B604F</t>
  </si>
  <si>
    <t>S06308</t>
  </si>
  <si>
    <t>8CG0172GJJ</t>
  </si>
  <si>
    <t>S06308.US-2016</t>
  </si>
  <si>
    <t>GENSUS2B6050</t>
  </si>
  <si>
    <t>7.150.188.112</t>
  </si>
  <si>
    <t>040E3C2B6050</t>
  </si>
  <si>
    <t>8CG0172GJK</t>
  </si>
  <si>
    <t>GENSUS2B6051</t>
  </si>
  <si>
    <t>7.150.188.96</t>
  </si>
  <si>
    <t>040E3C2B6051</t>
  </si>
  <si>
    <t>8CG0172GJL</t>
  </si>
  <si>
    <t>GENSUS2B6052</t>
  </si>
  <si>
    <t>7.52.236.127</t>
  </si>
  <si>
    <t>040E3C2B6052</t>
  </si>
  <si>
    <t>8CG0172GJM</t>
  </si>
  <si>
    <t>GENSUS2B6058</t>
  </si>
  <si>
    <t>7.172.52.239</t>
  </si>
  <si>
    <t>040E3C2B6058</t>
  </si>
  <si>
    <t>8CG0172GD5</t>
  </si>
  <si>
    <t>GENSUS2B605B</t>
  </si>
  <si>
    <t>7.162.44.119</t>
  </si>
  <si>
    <t>040E3C2B605B</t>
  </si>
  <si>
    <t>8CG0172GH7</t>
  </si>
  <si>
    <t>GENSUS2B605F</t>
  </si>
  <si>
    <t>7.74.124.186</t>
  </si>
  <si>
    <t>040E3C2B605F</t>
  </si>
  <si>
    <t>8CG0172GDR</t>
  </si>
  <si>
    <t>GENSUS2B6060</t>
  </si>
  <si>
    <t>7.150.188.90</t>
  </si>
  <si>
    <t>040E3C2B6060</t>
  </si>
  <si>
    <t>8CG0172GDQ</t>
  </si>
  <si>
    <t>GENSUS2B6061</t>
  </si>
  <si>
    <t>7.52.236.121</t>
  </si>
  <si>
    <t>040E3C2B6061</t>
  </si>
  <si>
    <t>8CG0172GGF</t>
  </si>
  <si>
    <t>GENSUS2B6065</t>
  </si>
  <si>
    <t>7.68.124.139</t>
  </si>
  <si>
    <t>040E3C2B6065</t>
  </si>
  <si>
    <t>8CG0172GDP</t>
  </si>
  <si>
    <t>GENSUS2B6077</t>
  </si>
  <si>
    <t>7.153.228.158</t>
  </si>
  <si>
    <t>040E3C2B6077</t>
  </si>
  <si>
    <t>S06518</t>
  </si>
  <si>
    <t>8CG0172GKK</t>
  </si>
  <si>
    <t>S06518.US-2016</t>
  </si>
  <si>
    <t>GENSUS2B6078</t>
  </si>
  <si>
    <t>7.75.244.43</t>
  </si>
  <si>
    <t>040E3C2B6078</t>
  </si>
  <si>
    <t>8CG0172GKM</t>
  </si>
  <si>
    <t>GENSUS2B607F</t>
  </si>
  <si>
    <t>7.87.28.99</t>
  </si>
  <si>
    <t>040E3C2B607F</t>
  </si>
  <si>
    <t>8CG0172GK3</t>
  </si>
  <si>
    <t>GENSUS2B6080</t>
  </si>
  <si>
    <t>7.7.172.54</t>
  </si>
  <si>
    <t>040E3C2B6080</t>
  </si>
  <si>
    <t>8CG0172GK1</t>
  </si>
  <si>
    <t>GENSUS2B6083</t>
  </si>
  <si>
    <t>7.146.92.173</t>
  </si>
  <si>
    <t>040E3C2B6083</t>
  </si>
  <si>
    <t>8CG0172GJS</t>
  </si>
  <si>
    <t>GENSUS2B6084</t>
  </si>
  <si>
    <t>7.32.20.47</t>
  </si>
  <si>
    <t>040E3C2B6084</t>
  </si>
  <si>
    <t>8CG0172GJV</t>
  </si>
  <si>
    <t>GENSUS2B6088</t>
  </si>
  <si>
    <t>7.117.52.34</t>
  </si>
  <si>
    <t>040E3C2B6088</t>
  </si>
  <si>
    <t>8CG0172GKG</t>
  </si>
  <si>
    <t>GENSUS2B6089</t>
  </si>
  <si>
    <t>7.162.44.32</t>
  </si>
  <si>
    <t>040E3C2B6089</t>
  </si>
  <si>
    <t>8CG0172GKH</t>
  </si>
  <si>
    <t>GENSUS2B608D</t>
  </si>
  <si>
    <t>7.216.4.177</t>
  </si>
  <si>
    <t>040E3C2B608D</t>
  </si>
  <si>
    <t>8CG0172GKL</t>
  </si>
  <si>
    <t>GENSUS2B608F</t>
  </si>
  <si>
    <t>7.35.116.138</t>
  </si>
  <si>
    <t>040E3C2B608F</t>
  </si>
  <si>
    <t>8CG0172GH3</t>
  </si>
  <si>
    <t>GENSUS2B6090</t>
  </si>
  <si>
    <t>7.21.92.198</t>
  </si>
  <si>
    <t>040E3C2B6090</t>
  </si>
  <si>
    <t>S08181</t>
  </si>
  <si>
    <t>8CG0172GH5</t>
  </si>
  <si>
    <t>S08181.US-2016</t>
  </si>
  <si>
    <t>GENSUS2B6095</t>
  </si>
  <si>
    <t>7.78.236.196</t>
  </si>
  <si>
    <t>040E3C2B6095</t>
  </si>
  <si>
    <t>8CG0172GGZ</t>
  </si>
  <si>
    <t>GENSUS2B6097</t>
  </si>
  <si>
    <t>7.65.60.50</t>
  </si>
  <si>
    <t>040E3C2B6097</t>
  </si>
  <si>
    <t>8CG0172GH0</t>
  </si>
  <si>
    <t>GENSUS2B6098</t>
  </si>
  <si>
    <t>7.163.60.18</t>
  </si>
  <si>
    <t>040E3C2B6098</t>
  </si>
  <si>
    <t>8CG0172GGY</t>
  </si>
  <si>
    <t>GENSUS2B6099</t>
  </si>
  <si>
    <t>7.74.156.28</t>
  </si>
  <si>
    <t>040E3C2B6099</t>
  </si>
  <si>
    <t>8CG0172GHW</t>
  </si>
  <si>
    <t>GENSUS2B609A</t>
  </si>
  <si>
    <t>7.65.60.128</t>
  </si>
  <si>
    <t>040E3C2B609A</t>
  </si>
  <si>
    <t>8CG0172GHX</t>
  </si>
  <si>
    <t>GENSUS2B609B</t>
  </si>
  <si>
    <t>7.144.204.130</t>
  </si>
  <si>
    <t>040E3C2B609B</t>
  </si>
  <si>
    <t>8CG0172GGS</t>
  </si>
  <si>
    <t>GENSUS2B60A7</t>
  </si>
  <si>
    <t>7.74.156.67</t>
  </si>
  <si>
    <t>040E3C2B60A7</t>
  </si>
  <si>
    <t>8CG0172GGL</t>
  </si>
  <si>
    <t>GENSUS2B60A9</t>
  </si>
  <si>
    <t>7.4.124.162</t>
  </si>
  <si>
    <t>040E3C2B60A9</t>
  </si>
  <si>
    <t>8CG0172GGP</t>
  </si>
  <si>
    <t>GENSUS2B60AA</t>
  </si>
  <si>
    <t>7.117.52.158</t>
  </si>
  <si>
    <t>040E3C2B60AA</t>
  </si>
  <si>
    <t>8CG0172GGR</t>
  </si>
  <si>
    <t>GENSUS2B60AC</t>
  </si>
  <si>
    <t>7.131.4.119</t>
  </si>
  <si>
    <t>040E3C2B60AC</t>
  </si>
  <si>
    <t>8CG0172GJC</t>
  </si>
  <si>
    <t>GENSUS2B60AD</t>
  </si>
  <si>
    <t>7.53.92.188</t>
  </si>
  <si>
    <t>040E3C2B60AD</t>
  </si>
  <si>
    <t>8CG0172GGK</t>
  </si>
  <si>
    <t>GENSUS2B60B0</t>
  </si>
  <si>
    <t>7.69.124.28</t>
  </si>
  <si>
    <t>040E3C2B60B0</t>
  </si>
  <si>
    <t>8CG0172GJW</t>
  </si>
  <si>
    <t>GENSUS2B60B4</t>
  </si>
  <si>
    <t>55.8.127.192</t>
  </si>
  <si>
    <t>040E3C2B60B4</t>
  </si>
  <si>
    <t>8CG0172GJZ</t>
  </si>
  <si>
    <t>GENSUS2B60B7</t>
  </si>
  <si>
    <t>7.34.204.48</t>
  </si>
  <si>
    <t>040E3C2B60B7</t>
  </si>
  <si>
    <t>8CG0172GJX</t>
  </si>
  <si>
    <t>GENSUS2B60BA</t>
  </si>
  <si>
    <t>7.56.204.82</t>
  </si>
  <si>
    <t>040E3C2B60BA</t>
  </si>
  <si>
    <t>8CG0172GK0</t>
  </si>
  <si>
    <t>GENSUS2B60BB</t>
  </si>
  <si>
    <t>7.53.60.57</t>
  </si>
  <si>
    <t>040E3C2B60BB</t>
  </si>
  <si>
    <t>8CG0172GHT</t>
  </si>
  <si>
    <t>GENSUS2B60BC</t>
  </si>
  <si>
    <t>7.7.172.206</t>
  </si>
  <si>
    <t>040E3C2B60BC</t>
  </si>
  <si>
    <t>8CG0172GHV</t>
  </si>
  <si>
    <t>GENSUS2B60BD</t>
  </si>
  <si>
    <t>7.43.204.144</t>
  </si>
  <si>
    <t>040E3C2B60BD</t>
  </si>
  <si>
    <t>8CG0172GHR</t>
  </si>
  <si>
    <t>GENSUS2B60BF</t>
  </si>
  <si>
    <t>7.52.236.110</t>
  </si>
  <si>
    <t>040E3C2B60BF</t>
  </si>
  <si>
    <t>8CG0172GFR</t>
  </si>
  <si>
    <t>GENSUS2B60C0</t>
  </si>
  <si>
    <t>7.78.220.61</t>
  </si>
  <si>
    <t>040E3C2B60C0</t>
  </si>
  <si>
    <t>8CG0172GFQ</t>
  </si>
  <si>
    <t>GENSUS2B60C4</t>
  </si>
  <si>
    <t>7.20.196.19</t>
  </si>
  <si>
    <t>040E3C2B60C4</t>
  </si>
  <si>
    <t>8CG0172GHQ</t>
  </si>
  <si>
    <t>S06456.US-2016</t>
  </si>
  <si>
    <t>GENSUS2B60C7</t>
  </si>
  <si>
    <t>7.164.60.19</t>
  </si>
  <si>
    <t>040E3C2B60C7</t>
  </si>
  <si>
    <t>8CG0172GJR</t>
  </si>
  <si>
    <t>GENSUS2B60CD</t>
  </si>
  <si>
    <t>55.35.159.151</t>
  </si>
  <si>
    <t>040E3C2B60CD</t>
  </si>
  <si>
    <t>8CG0172GHJ</t>
  </si>
  <si>
    <t>GENSUS2B60CE</t>
  </si>
  <si>
    <t>7.128.204.66</t>
  </si>
  <si>
    <t>040E3C2B60CE</t>
  </si>
  <si>
    <t>8CG0172GHH</t>
  </si>
  <si>
    <t>GENSUS2B60D3</t>
  </si>
  <si>
    <t>7.65.60.74</t>
  </si>
  <si>
    <t>040E3C2B60D3</t>
  </si>
  <si>
    <t>8CG0172GKR</t>
  </si>
  <si>
    <t>GENSUS2B60D4</t>
  </si>
  <si>
    <t>7.21.92.234</t>
  </si>
  <si>
    <t>040E3C2B60D4</t>
  </si>
  <si>
    <t>8CG0172GKS</t>
  </si>
  <si>
    <t>GENSUS2B60E1</t>
  </si>
  <si>
    <t>7.43.204.93</t>
  </si>
  <si>
    <t>040E3C2B60E1</t>
  </si>
  <si>
    <t>8CG0172GJ4</t>
  </si>
  <si>
    <t>GENSUS2B60E6</t>
  </si>
  <si>
    <t>7.52.172.115</t>
  </si>
  <si>
    <t>040E3C2B60E6</t>
  </si>
  <si>
    <t>8CG0172KD0</t>
  </si>
  <si>
    <t>GENSUS2B60EE</t>
  </si>
  <si>
    <t>7.52.196.64</t>
  </si>
  <si>
    <t>040E3C2B60EE</t>
  </si>
  <si>
    <t>8CG0172GKV</t>
  </si>
  <si>
    <t>GENSUS2B60F1</t>
  </si>
  <si>
    <t>7.89.172.219</t>
  </si>
  <si>
    <t>040E3C2B60F1</t>
  </si>
  <si>
    <t>8CG0172JM0</t>
  </si>
  <si>
    <t>GENSUS2B60FF</t>
  </si>
  <si>
    <t>7.20.196.51</t>
  </si>
  <si>
    <t>040E3C2B60FF</t>
  </si>
  <si>
    <t>8CG0172GJ7</t>
  </si>
  <si>
    <t>GENSUS2B6100</t>
  </si>
  <si>
    <t>7.168.60.20</t>
  </si>
  <si>
    <t>040E3C2B6100</t>
  </si>
  <si>
    <t>8CG0172GJ5</t>
  </si>
  <si>
    <t>GENSUS2B6153</t>
  </si>
  <si>
    <t>7.64.244.78</t>
  </si>
  <si>
    <t>040E3C2B6153</t>
  </si>
  <si>
    <t>S06345</t>
  </si>
  <si>
    <t>8CG0172FQH</t>
  </si>
  <si>
    <t>S06345.US-2016</t>
  </si>
  <si>
    <t>GENSUS2B61A5</t>
  </si>
  <si>
    <t>7.150.28.38</t>
  </si>
  <si>
    <t>040E3C2B61A5</t>
  </si>
  <si>
    <t>S04938</t>
  </si>
  <si>
    <t>8CG0172GL5</t>
  </si>
  <si>
    <t>S04938.US-2016</t>
  </si>
  <si>
    <t>GENSUS2B61CA</t>
  </si>
  <si>
    <t>7.156.172.234</t>
  </si>
  <si>
    <t>040E3C2B61CA</t>
  </si>
  <si>
    <t>8CG0172GKY</t>
  </si>
  <si>
    <t>GENSUS2B61D6</t>
  </si>
  <si>
    <t>7.157.252.137</t>
  </si>
  <si>
    <t>040E3C2B61D6</t>
  </si>
  <si>
    <t>8CG0172GLB</t>
  </si>
  <si>
    <t>GENSUS2B61D8</t>
  </si>
  <si>
    <t>7.65.60.144</t>
  </si>
  <si>
    <t>040E3C2B61D8</t>
  </si>
  <si>
    <t>8CG0172GL1</t>
  </si>
  <si>
    <t>GENSUS2B61D9</t>
  </si>
  <si>
    <t>7.84.28.110</t>
  </si>
  <si>
    <t>040E3C2B61D9</t>
  </si>
  <si>
    <t>8CG0172GKZ</t>
  </si>
  <si>
    <t>GENSUS2B61EE</t>
  </si>
  <si>
    <t>7.7.172.205</t>
  </si>
  <si>
    <t>040E3C2B61EE</t>
  </si>
  <si>
    <t>8CG0172GL9</t>
  </si>
  <si>
    <t>GENSUS2B626B</t>
  </si>
  <si>
    <t>7.21.92.35</t>
  </si>
  <si>
    <t>040E3C2B626B</t>
  </si>
  <si>
    <t>8CG0172GGJ</t>
  </si>
  <si>
    <t>GENSUS2B62FF</t>
  </si>
  <si>
    <t>7.56.204.56</t>
  </si>
  <si>
    <t>040E3C2B62FF</t>
  </si>
  <si>
    <t>8CG0172JNF</t>
  </si>
  <si>
    <t>GENSUS2B6323</t>
  </si>
  <si>
    <t>7.162.44.17</t>
  </si>
  <si>
    <t>040E3C2B6323</t>
  </si>
  <si>
    <t>8CG0172GJ1</t>
  </si>
  <si>
    <t>GENSUS2B6329</t>
  </si>
  <si>
    <t>55.2.119.150</t>
  </si>
  <si>
    <t>040E3C2B6329</t>
  </si>
  <si>
    <t>8CG0172JLM</t>
  </si>
  <si>
    <t>GENSUS2B6385</t>
  </si>
  <si>
    <t>7.20.196.52</t>
  </si>
  <si>
    <t>040E3C2B6385</t>
  </si>
  <si>
    <t>8CG0172GHK</t>
  </si>
  <si>
    <t>GENSUS2B64A9</t>
  </si>
  <si>
    <t>7.5.164.64</t>
  </si>
  <si>
    <t>040E3C2B64A9</t>
  </si>
  <si>
    <t>8CG0172GF1</t>
  </si>
  <si>
    <t>GENSUS2B6594</t>
  </si>
  <si>
    <t>7.39.252.53</t>
  </si>
  <si>
    <t>040E3C2B6594</t>
  </si>
  <si>
    <t>S06181</t>
  </si>
  <si>
    <t>8CG0172GFZ</t>
  </si>
  <si>
    <t>S06181.US-2016</t>
  </si>
  <si>
    <t>GENSUS2BE2DB</t>
  </si>
  <si>
    <t>7.72.108.57</t>
  </si>
  <si>
    <t>040E3C2BE2DB</t>
  </si>
  <si>
    <t>8CG0180Y7H</t>
  </si>
  <si>
    <t>GENSUS2BE2E3</t>
  </si>
  <si>
    <t>7.65.12.79</t>
  </si>
  <si>
    <t>040E3C2BE2E3</t>
  </si>
  <si>
    <t>8CG0172GJ0</t>
  </si>
  <si>
    <t>GENSUS2BE2F4</t>
  </si>
  <si>
    <t>7.25.148.33</t>
  </si>
  <si>
    <t>040E3C2BE2F4</t>
  </si>
  <si>
    <t>S06240</t>
  </si>
  <si>
    <t>8CG0172JR7</t>
  </si>
  <si>
    <t>S06240.US-2016</t>
  </si>
  <si>
    <t>GENSUS2BE325</t>
  </si>
  <si>
    <t>7.72.132.151</t>
  </si>
  <si>
    <t>040E3C2BE325</t>
  </si>
  <si>
    <t>S08273</t>
  </si>
  <si>
    <t>8CG0172KMK</t>
  </si>
  <si>
    <t>S08273.US-2016</t>
  </si>
  <si>
    <t>GENSUS2BE328</t>
  </si>
  <si>
    <t>7.8.172.87</t>
  </si>
  <si>
    <t>040E3C2BE328</t>
  </si>
  <si>
    <t>S06460</t>
  </si>
  <si>
    <t>8CG0172KMX</t>
  </si>
  <si>
    <t>S06460.US-2016</t>
  </si>
  <si>
    <t>GENSUS2BE329</t>
  </si>
  <si>
    <t>55.87.71.184</t>
  </si>
  <si>
    <t>040E3C2BE329</t>
  </si>
  <si>
    <t>8CG0172KMW</t>
  </si>
  <si>
    <t>GENSUS2BE32E</t>
  </si>
  <si>
    <t>7.3.92.22</t>
  </si>
  <si>
    <t>040E3C2BE32E</t>
  </si>
  <si>
    <t>8CG0172KMQ</t>
  </si>
  <si>
    <t>GENSUS2BE336</t>
  </si>
  <si>
    <t>7.167.188.46</t>
  </si>
  <si>
    <t>040E3C2BE336</t>
  </si>
  <si>
    <t>S04829</t>
  </si>
  <si>
    <t>8CG0172KKB</t>
  </si>
  <si>
    <t>S04829.US-2016</t>
  </si>
  <si>
    <t>GENSUS2BE338</t>
  </si>
  <si>
    <t>7.144.212.174</t>
  </si>
  <si>
    <t>040E3C2BE338</t>
  </si>
  <si>
    <t>8CG0172KN1</t>
  </si>
  <si>
    <t>GENSUS2BE339</t>
  </si>
  <si>
    <t>7.144.212.178</t>
  </si>
  <si>
    <t>040E3C2BE339</t>
  </si>
  <si>
    <t>8CG0172KMZ</t>
  </si>
  <si>
    <t>GENSUS2BE345</t>
  </si>
  <si>
    <t>7.64.236.163</t>
  </si>
  <si>
    <t>040E3C2BE345</t>
  </si>
  <si>
    <t>8CG0172KK0</t>
  </si>
  <si>
    <t>GENSUS2BE34C</t>
  </si>
  <si>
    <t>7.67.36.191</t>
  </si>
  <si>
    <t>040E3C2BE34C</t>
  </si>
  <si>
    <t>8CG0180YZL</t>
  </si>
  <si>
    <t>GENSUS2BE35F</t>
  </si>
  <si>
    <t>7.174.100.43</t>
  </si>
  <si>
    <t>040E3C2BE35F</t>
  </si>
  <si>
    <t>8CG0172KN8</t>
  </si>
  <si>
    <t>GENSUS2BE360</t>
  </si>
  <si>
    <t>7.87.68.212</t>
  </si>
  <si>
    <t>040E3C2BE360</t>
  </si>
  <si>
    <t>8CG0172KN6</t>
  </si>
  <si>
    <t>GENSUS2BE362</t>
  </si>
  <si>
    <t>7.74.4.150</t>
  </si>
  <si>
    <t>040E3C2BE362</t>
  </si>
  <si>
    <t>8CG0172KG3</t>
  </si>
  <si>
    <t>GENSUS2BE36F</t>
  </si>
  <si>
    <t>7.73.4.30</t>
  </si>
  <si>
    <t>040E3C2BE36F</t>
  </si>
  <si>
    <t>8CG0172KKN</t>
  </si>
  <si>
    <t>GENSUS2BE370</t>
  </si>
  <si>
    <t>7.21.20.134</t>
  </si>
  <si>
    <t>040E3C2BE370</t>
  </si>
  <si>
    <t>8CG0172KFX</t>
  </si>
  <si>
    <t>GENSUS2BE371</t>
  </si>
  <si>
    <t>7.67.20.129</t>
  </si>
  <si>
    <t>040E3C2BE371</t>
  </si>
  <si>
    <t>S06402</t>
  </si>
  <si>
    <t>8CG0172KFZ</t>
  </si>
  <si>
    <t>S06402.US-2016</t>
  </si>
  <si>
    <t>GENSUS2BE377</t>
  </si>
  <si>
    <t>7.146.124.21</t>
  </si>
  <si>
    <t>040E3C2BE377</t>
  </si>
  <si>
    <t>8CG0172KKJ</t>
  </si>
  <si>
    <t>GENSUS2BE37A</t>
  </si>
  <si>
    <t>7.64.236.37</t>
  </si>
  <si>
    <t>040E3C2BE37A</t>
  </si>
  <si>
    <t>8CG0172KGR</t>
  </si>
  <si>
    <t>GENSUS2BE388</t>
  </si>
  <si>
    <t>7.12.108.81</t>
  </si>
  <si>
    <t>040E3C2BE388</t>
  </si>
  <si>
    <t>8CG0172KGB</t>
  </si>
  <si>
    <t>GENSUS2BE38A</t>
  </si>
  <si>
    <t>7.136.204.119</t>
  </si>
  <si>
    <t>040E3C2BE38A</t>
  </si>
  <si>
    <t>8CG0172KGN</t>
  </si>
  <si>
    <t>S06527.US</t>
  </si>
  <si>
    <t>GENSUS2BE38C</t>
  </si>
  <si>
    <t>7.73.4.76</t>
  </si>
  <si>
    <t>040E3C2BE38C</t>
  </si>
  <si>
    <t>8CG0172KJZ</t>
  </si>
  <si>
    <t>GENSUS2BE390</t>
  </si>
  <si>
    <t>7.142.140.170</t>
  </si>
  <si>
    <t>040E3C2BE390</t>
  </si>
  <si>
    <t>S04703</t>
  </si>
  <si>
    <t>8CG0172KG1</t>
  </si>
  <si>
    <t>S04703.US-2016</t>
  </si>
  <si>
    <t>GENSUS2BE393</t>
  </si>
  <si>
    <t>7.8.172.169</t>
  </si>
  <si>
    <t>040E3C2BE393</t>
  </si>
  <si>
    <t>8CG0172KM4</t>
  </si>
  <si>
    <t>GENSUS2BE394</t>
  </si>
  <si>
    <t>7.150.148.60</t>
  </si>
  <si>
    <t>040E3C2BE394</t>
  </si>
  <si>
    <t>S06671</t>
  </si>
  <si>
    <t>8CG0172KMY</t>
  </si>
  <si>
    <t>S06671.US-2016</t>
  </si>
  <si>
    <t>GENSUS2BE39A</t>
  </si>
  <si>
    <t>7.21.20.107</t>
  </si>
  <si>
    <t>040E3C2BE39A</t>
  </si>
  <si>
    <t>8CG0172KMP</t>
  </si>
  <si>
    <t>GENSUS2BE39B</t>
  </si>
  <si>
    <t>7.144.76.129</t>
  </si>
  <si>
    <t>040E3C2BE39B</t>
  </si>
  <si>
    <t>8CG0172KMR</t>
  </si>
  <si>
    <t>GENSUS2BE39F</t>
  </si>
  <si>
    <t>7.21.20.180</t>
  </si>
  <si>
    <t>040E3C2BE39F</t>
  </si>
  <si>
    <t>8CG0172KG7</t>
  </si>
  <si>
    <t>GENSUS2BE3A6</t>
  </si>
  <si>
    <t>7.21.28.15</t>
  </si>
  <si>
    <t>040E3C2BE3A6</t>
  </si>
  <si>
    <t>S08161</t>
  </si>
  <si>
    <t>8CG0172KLR</t>
  </si>
  <si>
    <t>S08161.US-2016</t>
  </si>
  <si>
    <t>GENSUS2BE3AA</t>
  </si>
  <si>
    <t>7.3.92.49</t>
  </si>
  <si>
    <t>040E3C2BE3AA</t>
  </si>
  <si>
    <t>8CG0172KL7</t>
  </si>
  <si>
    <t>GENSUS2BE3AC</t>
  </si>
  <si>
    <t>7.21.28.151</t>
  </si>
  <si>
    <t>040E3C2BE3AC</t>
  </si>
  <si>
    <t>8CG0172KGD</t>
  </si>
  <si>
    <t>GENSUS2BE3AE</t>
  </si>
  <si>
    <t>7.157.252.174</t>
  </si>
  <si>
    <t>040E3C2BE3AE</t>
  </si>
  <si>
    <t>8CG0172KMF</t>
  </si>
  <si>
    <t>GENSUS2BE3B7</t>
  </si>
  <si>
    <t>7.32.36.188</t>
  </si>
  <si>
    <t>040E3C2BE3B7</t>
  </si>
  <si>
    <t>8CG0172KL6</t>
  </si>
  <si>
    <t>GENSUS2BE3B8</t>
  </si>
  <si>
    <t>7.29.156.168</t>
  </si>
  <si>
    <t>040E3C2BE3B8</t>
  </si>
  <si>
    <t>S08225</t>
  </si>
  <si>
    <t>8CG0172KL8</t>
  </si>
  <si>
    <t>S08225.US-2016</t>
  </si>
  <si>
    <t>GENSUS2BE3BD</t>
  </si>
  <si>
    <t>7.67.196.35</t>
  </si>
  <si>
    <t>040E3C2BE3BD</t>
  </si>
  <si>
    <t>8CG0172KKY</t>
  </si>
  <si>
    <t>GENSUS2BE3C0</t>
  </si>
  <si>
    <t>7.31.92.225</t>
  </si>
  <si>
    <t>040E3C2BE3C0</t>
  </si>
  <si>
    <t>8CG0172KNB</t>
  </si>
  <si>
    <t>GENSUS2BE3C2</t>
  </si>
  <si>
    <t>7.167.188.41</t>
  </si>
  <si>
    <t>040E3C2BE3C2</t>
  </si>
  <si>
    <t>8CG0172KLN</t>
  </si>
  <si>
    <t>GENSUS2BE3C3</t>
  </si>
  <si>
    <t>7.146.124.37</t>
  </si>
  <si>
    <t>040E3C2BE3C3</t>
  </si>
  <si>
    <t>8CG0172KL9</t>
  </si>
  <si>
    <t>GENSUS2BE3C6</t>
  </si>
  <si>
    <t>7.146.124.107</t>
  </si>
  <si>
    <t>040E3C2BE3C6</t>
  </si>
  <si>
    <t>8CG0172KKZ</t>
  </si>
  <si>
    <t>GENSUS2BE3D6</t>
  </si>
  <si>
    <t>7.78.20.116</t>
  </si>
  <si>
    <t>040E3C2BE3D6</t>
  </si>
  <si>
    <t>S06528</t>
  </si>
  <si>
    <t>8CG0172FR0</t>
  </si>
  <si>
    <t>S06528.US-2016</t>
  </si>
  <si>
    <t>GENSUS2BE3D9</t>
  </si>
  <si>
    <t>7.144.84.92</t>
  </si>
  <si>
    <t>040E3C2BE3D9</t>
  </si>
  <si>
    <t>8CG0172FQG</t>
  </si>
  <si>
    <t>GENSUS2BE3DC</t>
  </si>
  <si>
    <t>7.144.220.37</t>
  </si>
  <si>
    <t>040E3C2BE3DC</t>
  </si>
  <si>
    <t>8CG0172FPW</t>
  </si>
  <si>
    <t>GENSUS2BE3DD</t>
  </si>
  <si>
    <t>7.77.196.121</t>
  </si>
  <si>
    <t>040E3C2BE3DD</t>
  </si>
  <si>
    <t>8CG0172FPY</t>
  </si>
  <si>
    <t>GENSUS2BE3DE</t>
  </si>
  <si>
    <t>7.123.148.163</t>
  </si>
  <si>
    <t>040E3C2BE3DE</t>
  </si>
  <si>
    <t>S04740</t>
  </si>
  <si>
    <t>8CG0172FSM</t>
  </si>
  <si>
    <t>S04740.US-2016</t>
  </si>
  <si>
    <t>GENSUS2BE3DF</t>
  </si>
  <si>
    <t>7.42.164.86</t>
  </si>
  <si>
    <t>040E3C2BE3DF</t>
  </si>
  <si>
    <t>8CG0172FSK</t>
  </si>
  <si>
    <t>GENSUS2BE3E3</t>
  </si>
  <si>
    <t>7.146.124.16</t>
  </si>
  <si>
    <t>040E3C2BE3E3</t>
  </si>
  <si>
    <t>8CG0172KMD</t>
  </si>
  <si>
    <t>GENSUS2BE3E5</t>
  </si>
  <si>
    <t>7.144.220.15</t>
  </si>
  <si>
    <t>040E3C2BE3E5</t>
  </si>
  <si>
    <t>8CG0172FQX</t>
  </si>
  <si>
    <t>GENSUS2BE3E6</t>
  </si>
  <si>
    <t>7.31.92.177</t>
  </si>
  <si>
    <t>040E3C2BE3E6</t>
  </si>
  <si>
    <t>8CG0172KD8</t>
  </si>
  <si>
    <t>GENSUS2BE3EE</t>
  </si>
  <si>
    <t>7.146.108.66</t>
  </si>
  <si>
    <t>040E3C2BE3EE</t>
  </si>
  <si>
    <t>8CG0172FKD</t>
  </si>
  <si>
    <t>GENSUS2BE3F0</t>
  </si>
  <si>
    <t>55.52.15.177</t>
  </si>
  <si>
    <t>040E3C2BE3F0</t>
  </si>
  <si>
    <t>8CG0172FPF</t>
  </si>
  <si>
    <t>GENSUS2BE3F2</t>
  </si>
  <si>
    <t>7.73.52.47</t>
  </si>
  <si>
    <t>040E3C2BE3F2</t>
  </si>
  <si>
    <t>8CG0172FRD</t>
  </si>
  <si>
    <t>GENSUS2BE3F7</t>
  </si>
  <si>
    <t>7.57.236.121</t>
  </si>
  <si>
    <t>040E3C2BE3F7</t>
  </si>
  <si>
    <t>S04933</t>
  </si>
  <si>
    <t>8CG0172KDP</t>
  </si>
  <si>
    <t>S04933.US-2016</t>
  </si>
  <si>
    <t>GENSUS2BE3FB</t>
  </si>
  <si>
    <t>7.183.188.104</t>
  </si>
  <si>
    <t>040E3C2BE3FB</t>
  </si>
  <si>
    <t>8CG0172FMF</t>
  </si>
  <si>
    <t>GENSUS2BE401</t>
  </si>
  <si>
    <t>7.4.68.75</t>
  </si>
  <si>
    <t>040E3C2BE401</t>
  </si>
  <si>
    <t>8CG0172KGJ</t>
  </si>
  <si>
    <t>GENSUS2BE402</t>
  </si>
  <si>
    <t>7.32.20.140</t>
  </si>
  <si>
    <t>040E3C2BE402</t>
  </si>
  <si>
    <t>8CG0172FRX</t>
  </si>
  <si>
    <t>GENSUS2BE408</t>
  </si>
  <si>
    <t>7.89.228.60</t>
  </si>
  <si>
    <t>040E3C2BE408</t>
  </si>
  <si>
    <t>8CG0172FKC</t>
  </si>
  <si>
    <t>GENSUS2BE413</t>
  </si>
  <si>
    <t>7.4.68.77</t>
  </si>
  <si>
    <t>040E3C2BE413</t>
  </si>
  <si>
    <t>8CG0172KD9</t>
  </si>
  <si>
    <t>GENSUS2BE415</t>
  </si>
  <si>
    <t>7.75.148.41</t>
  </si>
  <si>
    <t>040E3C2BE415</t>
  </si>
  <si>
    <t>S06658</t>
  </si>
  <si>
    <t>8CG0172FMQ</t>
  </si>
  <si>
    <t>S06658.US-2016</t>
  </si>
  <si>
    <t>GENSUS2BE41A</t>
  </si>
  <si>
    <t>7.52.12.201</t>
  </si>
  <si>
    <t>040E3C2BE41A</t>
  </si>
  <si>
    <t>8CG0172FP9</t>
  </si>
  <si>
    <t>GENSUS2BE41C</t>
  </si>
  <si>
    <t>7.74.4.158</t>
  </si>
  <si>
    <t>040E3C2BE41C</t>
  </si>
  <si>
    <t>8CG0172KDQ</t>
  </si>
  <si>
    <t>GENSUS2BE41D</t>
  </si>
  <si>
    <t>7.136.204.20</t>
  </si>
  <si>
    <t>040E3C2BE41D</t>
  </si>
  <si>
    <t>8CG0172KDN</t>
  </si>
  <si>
    <t>GENSUS2BE41E</t>
  </si>
  <si>
    <t>7.35.116.210</t>
  </si>
  <si>
    <t>040E3C2BE41E</t>
  </si>
  <si>
    <t>8CG0172FPS</t>
  </si>
  <si>
    <t>GENSUS2BE421</t>
  </si>
  <si>
    <t>7.57.236.123</t>
  </si>
  <si>
    <t>040E3C2BE421</t>
  </si>
  <si>
    <t>8CG0172KDJ</t>
  </si>
  <si>
    <t>GENSUS2BE422</t>
  </si>
  <si>
    <t>7.159.60.63</t>
  </si>
  <si>
    <t>040E3C2BE422</t>
  </si>
  <si>
    <t>8CG0172KDK</t>
  </si>
  <si>
    <t>GENSUS2BE423</t>
  </si>
  <si>
    <t>7.21.28.166</t>
  </si>
  <si>
    <t>040E3C2BE423</t>
  </si>
  <si>
    <t>8CG0172KDH</t>
  </si>
  <si>
    <t>GENSUS2BE427</t>
  </si>
  <si>
    <t>7.67.4.78</t>
  </si>
  <si>
    <t>040E3C2BE427</t>
  </si>
  <si>
    <t>8CG0172FHG</t>
  </si>
  <si>
    <t>GENSUS2BE428</t>
  </si>
  <si>
    <t>7.137.140.152</t>
  </si>
  <si>
    <t>040E3C2BE428</t>
  </si>
  <si>
    <t>8CG0172KF9</t>
  </si>
  <si>
    <t>GENSUS2BE429</t>
  </si>
  <si>
    <t>7.144.212.216</t>
  </si>
  <si>
    <t>040E3C2BE429</t>
  </si>
  <si>
    <t>8CG0172KFC</t>
  </si>
  <si>
    <t>GENSUS2BE42A</t>
  </si>
  <si>
    <t>7.64.236.42</t>
  </si>
  <si>
    <t>040E3C2BE42A</t>
  </si>
  <si>
    <t>8CG0172KDT</t>
  </si>
  <si>
    <t>GENSUS2BE430</t>
  </si>
  <si>
    <t>7.123.148.156</t>
  </si>
  <si>
    <t>040E3C2BE430</t>
  </si>
  <si>
    <t>8CG0172FP4</t>
  </si>
  <si>
    <t>GENSUS2BE437</t>
  </si>
  <si>
    <t>7.72.132.189</t>
  </si>
  <si>
    <t>040E3C2BE437</t>
  </si>
  <si>
    <t>8CG0172KL4</t>
  </si>
  <si>
    <t>GENSUS2BE43B</t>
  </si>
  <si>
    <t>55.43.175.192</t>
  </si>
  <si>
    <t>040E3C2BE43B</t>
  </si>
  <si>
    <t>8CG0172FS1</t>
  </si>
  <si>
    <t>GENSUS2BE43E</t>
  </si>
  <si>
    <t>7.150.148.205</t>
  </si>
  <si>
    <t>040E3C2BE43E</t>
  </si>
  <si>
    <t>8CG0172KHQ</t>
  </si>
  <si>
    <t>GENSUS2BE43F</t>
  </si>
  <si>
    <t>7.64.236.44</t>
  </si>
  <si>
    <t>040E3C2BE43F</t>
  </si>
  <si>
    <t>8CG0172KHS</t>
  </si>
  <si>
    <t>GENSUS2BE440</t>
  </si>
  <si>
    <t>7.189.12.126</t>
  </si>
  <si>
    <t>040E3C2BE440</t>
  </si>
  <si>
    <t>8CG0172KHZ</t>
  </si>
  <si>
    <t>GENSUS2BE445</t>
  </si>
  <si>
    <t>7.150.44.132</t>
  </si>
  <si>
    <t>040E3C2BE445</t>
  </si>
  <si>
    <t>8CG0172KJW</t>
  </si>
  <si>
    <t>GENSUS2BE449</t>
  </si>
  <si>
    <t>7.87.68.180</t>
  </si>
  <si>
    <t>040E3C2BE449</t>
  </si>
  <si>
    <t>8CG0172KKW</t>
  </si>
  <si>
    <t>GENSUS2BE44D</t>
  </si>
  <si>
    <t>7.28.20.18</t>
  </si>
  <si>
    <t>040E3C2BE44D</t>
  </si>
  <si>
    <t>8CG0172KKK</t>
  </si>
  <si>
    <t>GENSUS2BE44E</t>
  </si>
  <si>
    <t>7.137.140.163</t>
  </si>
  <si>
    <t>040E3C2BE44E</t>
  </si>
  <si>
    <t>8CG0172KK7</t>
  </si>
  <si>
    <t>GENSUS2BE450</t>
  </si>
  <si>
    <t>7.171.212.120</t>
  </si>
  <si>
    <t>040E3C2BE450</t>
  </si>
  <si>
    <t>S06670</t>
  </si>
  <si>
    <t>8CG0172KLM</t>
  </si>
  <si>
    <t>S06670.US-2016</t>
  </si>
  <si>
    <t>GENSUS2BE451</t>
  </si>
  <si>
    <t>7.150.148.57</t>
  </si>
  <si>
    <t>040E3C2BE451</t>
  </si>
  <si>
    <t>8CG0172KLP</t>
  </si>
  <si>
    <t>GENSUS2BE452</t>
  </si>
  <si>
    <t>7.137.140.139</t>
  </si>
  <si>
    <t>040E3C2BE452</t>
  </si>
  <si>
    <t>8CG0172KGP</t>
  </si>
  <si>
    <t>GENSUS2BE453</t>
  </si>
  <si>
    <t>7.157.252.110</t>
  </si>
  <si>
    <t>040E3C2BE453</t>
  </si>
  <si>
    <t>8CG0172KGQ</t>
  </si>
  <si>
    <t>GENSUS2BE456</t>
  </si>
  <si>
    <t>7.11.180.62</t>
  </si>
  <si>
    <t>040E3C2BE456</t>
  </si>
  <si>
    <t>8CG0172KNC</t>
  </si>
  <si>
    <t>GENSUS2BE45C</t>
  </si>
  <si>
    <t>7.73.4.58</t>
  </si>
  <si>
    <t>040E3C2BE45C</t>
  </si>
  <si>
    <t>8CG0172KHW</t>
  </si>
  <si>
    <t>GENSUS2BE45E</t>
  </si>
  <si>
    <t>7.146.124.22</t>
  </si>
  <si>
    <t>040E3C2BE45E</t>
  </si>
  <si>
    <t>8CG0172KGT</t>
  </si>
  <si>
    <t>GENSUS2BE460</t>
  </si>
  <si>
    <t>7.216.4.31</t>
  </si>
  <si>
    <t>040E3C2BE460</t>
  </si>
  <si>
    <t>8CG0172KGW</t>
  </si>
  <si>
    <t>GENSUS2BE463</t>
  </si>
  <si>
    <t>7.4.124.109</t>
  </si>
  <si>
    <t>040E3C2BE463</t>
  </si>
  <si>
    <t>8CG0172KK8</t>
  </si>
  <si>
    <t>GENSUS2BE468</t>
  </si>
  <si>
    <t>7.93.84.129</t>
  </si>
  <si>
    <t>040E3C2BE468</t>
  </si>
  <si>
    <t>8CG0172KGG</t>
  </si>
  <si>
    <t>GENSUS2BE469</t>
  </si>
  <si>
    <t>7.157.252.235</t>
  </si>
  <si>
    <t>040E3C2BE469</t>
  </si>
  <si>
    <t>8CG0172KGF</t>
  </si>
  <si>
    <t>GENSUS2BE46A</t>
  </si>
  <si>
    <t>7.21.20.96</t>
  </si>
  <si>
    <t>040E3C2BE46A</t>
  </si>
  <si>
    <t>8CG0172KJ7</t>
  </si>
  <si>
    <t>GENSUS2BE46B</t>
  </si>
  <si>
    <t>7.65.12.16</t>
  </si>
  <si>
    <t>040E3C2BE46B</t>
  </si>
  <si>
    <t>8CG0172KJ9</t>
  </si>
  <si>
    <t>GENSUS2BE46C</t>
  </si>
  <si>
    <t>7.57.236.128</t>
  </si>
  <si>
    <t>040E3C2BE46C</t>
  </si>
  <si>
    <t>8CG0172KJF</t>
  </si>
  <si>
    <t>GENSUS2BE470</t>
  </si>
  <si>
    <t>7.139.76.62</t>
  </si>
  <si>
    <t>040E3C2BE470</t>
  </si>
  <si>
    <t>8CG0172KJG</t>
  </si>
  <si>
    <t>GENSUS2BE471</t>
  </si>
  <si>
    <t>7.171.212.96</t>
  </si>
  <si>
    <t>040E3C2BE471</t>
  </si>
  <si>
    <t>8CG0172KJD</t>
  </si>
  <si>
    <t>GENSUS2BE472</t>
  </si>
  <si>
    <t>7.4.68.147</t>
  </si>
  <si>
    <t>040E3C2BE472</t>
  </si>
  <si>
    <t>8CG0172KJ0</t>
  </si>
  <si>
    <t>GENSUS2BE473</t>
  </si>
  <si>
    <t>7.63.76.21</t>
  </si>
  <si>
    <t>040E3C2BE473</t>
  </si>
  <si>
    <t>8CG0172KJ2</t>
  </si>
  <si>
    <t>GENSUS2BE476</t>
  </si>
  <si>
    <t>7.167.188.100</t>
  </si>
  <si>
    <t>040E3C2BE476</t>
  </si>
  <si>
    <t>8CG0172KLD</t>
  </si>
  <si>
    <t>GENSUS2BE480</t>
  </si>
  <si>
    <t>7.81.108.76</t>
  </si>
  <si>
    <t>040E3C2BE480</t>
  </si>
  <si>
    <t>8CG0172KH3</t>
  </si>
  <si>
    <t>GENSUS2BE482</t>
  </si>
  <si>
    <t>7.52.252.145</t>
  </si>
  <si>
    <t>040E3C2BE482</t>
  </si>
  <si>
    <t>8CG0172KJP</t>
  </si>
  <si>
    <t>GENSUS2BE485</t>
  </si>
  <si>
    <t>7.52.180.217</t>
  </si>
  <si>
    <t>040E3C2BE485</t>
  </si>
  <si>
    <t>8CG0172KH6</t>
  </si>
  <si>
    <t>GENSUS2BE487</t>
  </si>
  <si>
    <t>7.65.12.105</t>
  </si>
  <si>
    <t>040E3C2BE487</t>
  </si>
  <si>
    <t>8CG0172KHB</t>
  </si>
  <si>
    <t>GENSUS2BE48C</t>
  </si>
  <si>
    <t>7.21.28.128</t>
  </si>
  <si>
    <t>040E3C2BE48C</t>
  </si>
  <si>
    <t>8CG0172KJL</t>
  </si>
  <si>
    <t>GENSUS2BE48D</t>
  </si>
  <si>
    <t>7.142.132.204</t>
  </si>
  <si>
    <t>040E3C2BE48D</t>
  </si>
  <si>
    <t>8CG0172KJJ</t>
  </si>
  <si>
    <t>GENSUS2BE48E</t>
  </si>
  <si>
    <t>7.144.76.201</t>
  </si>
  <si>
    <t>040E3C2BE48E</t>
  </si>
  <si>
    <t>8CG0172KH2</t>
  </si>
  <si>
    <t>GENSUS2BE492</t>
  </si>
  <si>
    <t>7.144.212.217</t>
  </si>
  <si>
    <t>040E3C2BE492</t>
  </si>
  <si>
    <t>8CG0172KJ4</t>
  </si>
  <si>
    <t>GENSUS2BE499</t>
  </si>
  <si>
    <t>7.53.180.47</t>
  </si>
  <si>
    <t>040E3C2BE499</t>
  </si>
  <si>
    <t>8CG0172KFR</t>
  </si>
  <si>
    <t>GENSUS2BE49C</t>
  </si>
  <si>
    <t>7.67.20.169</t>
  </si>
  <si>
    <t>040E3C2BE49C</t>
  </si>
  <si>
    <t>8CG0172KBV</t>
  </si>
  <si>
    <t>GENSUS2BE4A1</t>
  </si>
  <si>
    <t>7.190.68.213</t>
  </si>
  <si>
    <t>040E3C2BE4A1</t>
  </si>
  <si>
    <t>8CG0172KFL</t>
  </si>
  <si>
    <t>GENSUS2BE4A4</t>
  </si>
  <si>
    <t>7.53.180.12</t>
  </si>
  <si>
    <t>040E3C2BE4A4</t>
  </si>
  <si>
    <t>8CG0172KBZ</t>
  </si>
  <si>
    <t>GENSUS2BE4A5</t>
  </si>
  <si>
    <t>7.135.84.87</t>
  </si>
  <si>
    <t>040E3C2BE4A5</t>
  </si>
  <si>
    <t>8CG0172KJ1</t>
  </si>
  <si>
    <t>GENSUS2BE4AF</t>
  </si>
  <si>
    <t>7.162.36.151</t>
  </si>
  <si>
    <t>040E3C2BE4AF</t>
  </si>
  <si>
    <t>8CG0172FPJ</t>
  </si>
  <si>
    <t>GENSUS2BE4B0</t>
  </si>
  <si>
    <t>7.35.116.27</t>
  </si>
  <si>
    <t>040E3C2BE4B0</t>
  </si>
  <si>
    <t>8CG0172FPK</t>
  </si>
  <si>
    <t>GENSUS2BE4B5</t>
  </si>
  <si>
    <t>7.77.156.95</t>
  </si>
  <si>
    <t>040E3C2BE4B5</t>
  </si>
  <si>
    <t>8CG0172FQ1</t>
  </si>
  <si>
    <t>GENSUS2BE4BD</t>
  </si>
  <si>
    <t>7.70.236.65</t>
  </si>
  <si>
    <t>040E3C2BE4BD</t>
  </si>
  <si>
    <t>8CG0172FSJ</t>
  </si>
  <si>
    <t>GENSUS2BE4BF</t>
  </si>
  <si>
    <t>7.52.172.159</t>
  </si>
  <si>
    <t>040E3C2BE4BF</t>
  </si>
  <si>
    <t>8CG0172KHF</t>
  </si>
  <si>
    <t>GENSUS2BE4C4</t>
  </si>
  <si>
    <t>7.52.252.138</t>
  </si>
  <si>
    <t>040E3C2BE4C4</t>
  </si>
  <si>
    <t>8CG0172KFQ</t>
  </si>
  <si>
    <t>GENSUS2BE4C8</t>
  </si>
  <si>
    <t>7.74.44.149</t>
  </si>
  <si>
    <t>040E3C2BE4C8</t>
  </si>
  <si>
    <t>8CG0172KJN</t>
  </si>
  <si>
    <t>GENSUS2BE4CA</t>
  </si>
  <si>
    <t>7.171.212.69</t>
  </si>
  <si>
    <t>040E3C2BE4CA</t>
  </si>
  <si>
    <t>8CG0172KHM</t>
  </si>
  <si>
    <t>GENSUS2BE4DD</t>
  </si>
  <si>
    <t>7.64.204.21</t>
  </si>
  <si>
    <t>040E3C2BE4DD</t>
  </si>
  <si>
    <t>8CG0172FRT</t>
  </si>
  <si>
    <t>GENSUS2BE4E0</t>
  </si>
  <si>
    <t>7.189.4.162</t>
  </si>
  <si>
    <t>040E3C2BE4E0</t>
  </si>
  <si>
    <t>8CG0172FRN</t>
  </si>
  <si>
    <t>GENSUS2BE4E7</t>
  </si>
  <si>
    <t>7.52.172.154</t>
  </si>
  <si>
    <t>040E3C2BE4E7</t>
  </si>
  <si>
    <t>8CG0172KG0</t>
  </si>
  <si>
    <t>GENSUS2BE4EB</t>
  </si>
  <si>
    <t>7.167.188.59</t>
  </si>
  <si>
    <t>040E3C2BE4EB</t>
  </si>
  <si>
    <t>8CG0172KCN</t>
  </si>
  <si>
    <t>GENSUS2BE4EC</t>
  </si>
  <si>
    <t>7.21.20.173</t>
  </si>
  <si>
    <t>040E3C2BE4EC</t>
  </si>
  <si>
    <t>8CG0172KCP</t>
  </si>
  <si>
    <t>GENSUS2BE4EE</t>
  </si>
  <si>
    <t>7.135.84.157</t>
  </si>
  <si>
    <t>040E3C2BE4EE</t>
  </si>
  <si>
    <t>8CG0172KCV</t>
  </si>
  <si>
    <t>GENSUS2BE4EF</t>
  </si>
  <si>
    <t>7.3.92.45</t>
  </si>
  <si>
    <t>040E3C2BE4EF</t>
  </si>
  <si>
    <t>8CG0172KCJ</t>
  </si>
  <si>
    <t>GENSUS2BE4F2</t>
  </si>
  <si>
    <t>7.165.244.184</t>
  </si>
  <si>
    <t>040E3C2BE4F2</t>
  </si>
  <si>
    <t>8CG0172KCS</t>
  </si>
  <si>
    <t>GENSUS2BE4F6</t>
  </si>
  <si>
    <t>7.53.124.103</t>
  </si>
  <si>
    <t>040E3C2BE4F6</t>
  </si>
  <si>
    <t>8CG0172KDS</t>
  </si>
  <si>
    <t>GENSUS2BE4F8</t>
  </si>
  <si>
    <t>7.137.140.134</t>
  </si>
  <si>
    <t>040E3C2BE4F8</t>
  </si>
  <si>
    <t>8CG0172KF1</t>
  </si>
  <si>
    <t>GENSUS2BE4F9</t>
  </si>
  <si>
    <t>7.144.84.214</t>
  </si>
  <si>
    <t>040E3C2BE4F9</t>
  </si>
  <si>
    <t>8CG0172FRM</t>
  </si>
  <si>
    <t>GENSUS2BE4FF</t>
  </si>
  <si>
    <t>7.35.116.65</t>
  </si>
  <si>
    <t>040E3C2BE4FF</t>
  </si>
  <si>
    <t>8CG0172FR7</t>
  </si>
  <si>
    <t>GENSUS2BE501</t>
  </si>
  <si>
    <t>7.144.220.17</t>
  </si>
  <si>
    <t>040E3C2BE501</t>
  </si>
  <si>
    <t>8CG0172FR6</t>
  </si>
  <si>
    <t>GENSUS2BE503</t>
  </si>
  <si>
    <t>7.95.52.158</t>
  </si>
  <si>
    <t>040E3C2BE503</t>
  </si>
  <si>
    <t>S06581</t>
  </si>
  <si>
    <t>8CG0172FQ3</t>
  </si>
  <si>
    <t>S06581.US-2016</t>
  </si>
  <si>
    <t>GENSUS2BE504</t>
  </si>
  <si>
    <t>7.89.228.76</t>
  </si>
  <si>
    <t>040E3C2BE504</t>
  </si>
  <si>
    <t>8CG0172FQ5</t>
  </si>
  <si>
    <t>GENSUS2BE505</t>
  </si>
  <si>
    <t>7.144.188.116</t>
  </si>
  <si>
    <t>040E3C2BE505</t>
  </si>
  <si>
    <t>8CG0172KD5</t>
  </si>
  <si>
    <t>GENSUS2BE506</t>
  </si>
  <si>
    <t>7.65.12.89</t>
  </si>
  <si>
    <t>040E3C2BE506</t>
  </si>
  <si>
    <t>8CG0172KH8</t>
  </si>
  <si>
    <t>GENSUS2BE507</t>
  </si>
  <si>
    <t>7.67.20.136</t>
  </si>
  <si>
    <t>040E3C2BE507</t>
  </si>
  <si>
    <t>8CG0172KF8</t>
  </si>
  <si>
    <t>GENSUS2BE50B</t>
  </si>
  <si>
    <t>7.12.108.102</t>
  </si>
  <si>
    <t>040E3C2BE50B</t>
  </si>
  <si>
    <t>8CG0172KC3</t>
  </si>
  <si>
    <t>GENSUS2BE50D</t>
  </si>
  <si>
    <t>7.4.68.80</t>
  </si>
  <si>
    <t>040E3C2BE50D</t>
  </si>
  <si>
    <t>8CG0172KF2</t>
  </si>
  <si>
    <t>GENSUS2BE50E</t>
  </si>
  <si>
    <t>7.52.252.144</t>
  </si>
  <si>
    <t>040E3C2BE50E</t>
  </si>
  <si>
    <t>8CG0172KF3</t>
  </si>
  <si>
    <t>GENSUS2BE512</t>
  </si>
  <si>
    <t>7.39.252.208</t>
  </si>
  <si>
    <t>040E3C2BE512</t>
  </si>
  <si>
    <t>8CG0172FRJ</t>
  </si>
  <si>
    <t>GENSUS2BE515</t>
  </si>
  <si>
    <t>7.25.148.213</t>
  </si>
  <si>
    <t>040E3C2BE515</t>
  </si>
  <si>
    <t>8CG0172KF6</t>
  </si>
  <si>
    <t>GENSUS2BE516</t>
  </si>
  <si>
    <t>7.190.68.81</t>
  </si>
  <si>
    <t>040E3C2BE516</t>
  </si>
  <si>
    <t>8CG0172KF7</t>
  </si>
  <si>
    <t>GENSUS2BE51B</t>
  </si>
  <si>
    <t>7.159.60.150</t>
  </si>
  <si>
    <t>040E3C2BE51B</t>
  </si>
  <si>
    <t>8CG0172KF4</t>
  </si>
  <si>
    <t>GENSUS2BE51C</t>
  </si>
  <si>
    <t>7.32.36.191</t>
  </si>
  <si>
    <t>040E3C2BE51C</t>
  </si>
  <si>
    <t>8CG0172KF5</t>
  </si>
  <si>
    <t>GENSUS2BE521</t>
  </si>
  <si>
    <t>7.3.92.73</t>
  </si>
  <si>
    <t>040E3C2BE521</t>
  </si>
  <si>
    <t>8CG0172FK6</t>
  </si>
  <si>
    <t>GENSUS2BE522</t>
  </si>
  <si>
    <t>7.183.52.13</t>
  </si>
  <si>
    <t>040E3C2BE522</t>
  </si>
  <si>
    <t>8CG0172FK8</t>
  </si>
  <si>
    <t>GENSUS2BE523</t>
  </si>
  <si>
    <t>7.70.180.178</t>
  </si>
  <si>
    <t>040E3C2BE523</t>
  </si>
  <si>
    <t>8CG0172KDC</t>
  </si>
  <si>
    <t>GENSUS2BE527</t>
  </si>
  <si>
    <t>7.142.132.209</t>
  </si>
  <si>
    <t>040E3C2BE527</t>
  </si>
  <si>
    <t>8CG0172KBY</t>
  </si>
  <si>
    <t>GENSUS2BE52C</t>
  </si>
  <si>
    <t>7.144.84.164</t>
  </si>
  <si>
    <t>040E3C2BE52C</t>
  </si>
  <si>
    <t>8CG0172FS2</t>
  </si>
  <si>
    <t>GENSUS2BE52E</t>
  </si>
  <si>
    <t>7.89.228.129</t>
  </si>
  <si>
    <t>040E3C2BE52E</t>
  </si>
  <si>
    <t>8CG0172FRV</t>
  </si>
  <si>
    <t>GENSUS2BE52F</t>
  </si>
  <si>
    <t>7.67.4.80</t>
  </si>
  <si>
    <t>040E3C2BE52F</t>
  </si>
  <si>
    <t>8CG0172FRW</t>
  </si>
  <si>
    <t>GENSUS2BE530</t>
  </si>
  <si>
    <t>7.183.188.12</t>
  </si>
  <si>
    <t>040E3C2BE530</t>
  </si>
  <si>
    <t>8CG0172FS5</t>
  </si>
  <si>
    <t>GENSUS2BE532</t>
  </si>
  <si>
    <t>7.189.12.28</t>
  </si>
  <si>
    <t>040E3C2BE532</t>
  </si>
  <si>
    <t>8CG0172KC1</t>
  </si>
  <si>
    <t>GENSUS2BE534</t>
  </si>
  <si>
    <t>7.32.20.157</t>
  </si>
  <si>
    <t>040E3C2BE534</t>
  </si>
  <si>
    <t>8CG0172FQQ</t>
  </si>
  <si>
    <t>GENSUS2BE536</t>
  </si>
  <si>
    <t>7.159.60.58</t>
  </si>
  <si>
    <t>040E3C2BE536</t>
  </si>
  <si>
    <t>8CG0172KFH</t>
  </si>
  <si>
    <t>GENSUS2BE53B</t>
  </si>
  <si>
    <t>7.8.172.163</t>
  </si>
  <si>
    <t>040E3C2BE53B</t>
  </si>
  <si>
    <t>8CG0172KD1</t>
  </si>
  <si>
    <t>GENSUS2BE53F</t>
  </si>
  <si>
    <t>55.123.151.197</t>
  </si>
  <si>
    <t>040E3C2BE53F</t>
  </si>
  <si>
    <t>8CG0172FS8</t>
  </si>
  <si>
    <t>GENSUS2BE548</t>
  </si>
  <si>
    <t>7.70.52.27</t>
  </si>
  <si>
    <t>040E3C2BE548</t>
  </si>
  <si>
    <t>8CG0172FMD</t>
  </si>
  <si>
    <t>GENSUS2BE549</t>
  </si>
  <si>
    <t>7.189.4.170</t>
  </si>
  <si>
    <t>040E3C2BE549</t>
  </si>
  <si>
    <t>8CG0172FMB</t>
  </si>
  <si>
    <t>GENSUS2BE54B</t>
  </si>
  <si>
    <t>7.88.84.120</t>
  </si>
  <si>
    <t>040E3C2BE54B</t>
  </si>
  <si>
    <t>8CG0172FHR</t>
  </si>
  <si>
    <t>GENSUS2BE54D</t>
  </si>
  <si>
    <t>7.189.4.31</t>
  </si>
  <si>
    <t>040E3C2BE54D</t>
  </si>
  <si>
    <t>8CG0172FKJ</t>
  </si>
  <si>
    <t>GENSUS2BE54F</t>
  </si>
  <si>
    <t>7.87.28.226</t>
  </si>
  <si>
    <t>040E3C2BE54F</t>
  </si>
  <si>
    <t>8CG0172JWT</t>
  </si>
  <si>
    <t>GENSUS2BE550</t>
  </si>
  <si>
    <t>7.35.116.167</t>
  </si>
  <si>
    <t>040E3C2BE550</t>
  </si>
  <si>
    <t>8CG0172FKN</t>
  </si>
  <si>
    <t>GENSUS2BE551</t>
  </si>
  <si>
    <t>7.150.28.36</t>
  </si>
  <si>
    <t>040E3C2BE551</t>
  </si>
  <si>
    <t>8CG0172FKL</t>
  </si>
  <si>
    <t>GENSUS2BE554</t>
  </si>
  <si>
    <t>7.74.172.65</t>
  </si>
  <si>
    <t>040E3C2BE554</t>
  </si>
  <si>
    <t>S06693</t>
  </si>
  <si>
    <t>8CG0172FLZ</t>
  </si>
  <si>
    <t>S06693.US-2016</t>
  </si>
  <si>
    <t>GENSUS2BE557</t>
  </si>
  <si>
    <t>7.35.116.12</t>
  </si>
  <si>
    <t>040E3C2BE557</t>
  </si>
  <si>
    <t>8CG0172JV8</t>
  </si>
  <si>
    <t>GENSUS2BE55C</t>
  </si>
  <si>
    <t>7.12.12.141</t>
  </si>
  <si>
    <t>040E3C2BE55C</t>
  </si>
  <si>
    <t>8CG0172JTV</t>
  </si>
  <si>
    <t>GENSUS2BE55D</t>
  </si>
  <si>
    <t>7.77.252.89</t>
  </si>
  <si>
    <t>040E3C2BE55D</t>
  </si>
  <si>
    <t>8CG0172JTX</t>
  </si>
  <si>
    <t>GENSUS2BE563</t>
  </si>
  <si>
    <t>7.77.196.112</t>
  </si>
  <si>
    <t>040E3C2BE563</t>
  </si>
  <si>
    <t>8CG0172JS0</t>
  </si>
  <si>
    <t>GENSUS2BE564</t>
  </si>
  <si>
    <t>7.52.12.160</t>
  </si>
  <si>
    <t>040E3C2BE564</t>
  </si>
  <si>
    <t>8CG0172JTK</t>
  </si>
  <si>
    <t>GENSUS2BE565</t>
  </si>
  <si>
    <t>7.68.124.154</t>
  </si>
  <si>
    <t>040E3C2BE565</t>
  </si>
  <si>
    <t>8CG0172JTM</t>
  </si>
  <si>
    <t>GENSUS2BE56A</t>
  </si>
  <si>
    <t>7.68.68.46</t>
  </si>
  <si>
    <t>040E3C2BE56A</t>
  </si>
  <si>
    <t>8CG0172JQ4</t>
  </si>
  <si>
    <t>GENSUS2BE56B</t>
  </si>
  <si>
    <t>7.150.28.39</t>
  </si>
  <si>
    <t>040E3C2BE56B</t>
  </si>
  <si>
    <t>8CG0172JQ6</t>
  </si>
  <si>
    <t>GENSUS2BE56C</t>
  </si>
  <si>
    <t>7.35.116.21</t>
  </si>
  <si>
    <t>040E3C2BE56C</t>
  </si>
  <si>
    <t>8CG0172JPR</t>
  </si>
  <si>
    <t>GENSUS2BE56E</t>
  </si>
  <si>
    <t>7.73.4.216</t>
  </si>
  <si>
    <t>040E3C2BE56E</t>
  </si>
  <si>
    <t>8CG0172JRF</t>
  </si>
  <si>
    <t>GENSUS2BE570</t>
  </si>
  <si>
    <t>7.156.172.97</t>
  </si>
  <si>
    <t>040E3C2BE570</t>
  </si>
  <si>
    <t>8CG0172JV4</t>
  </si>
  <si>
    <t>GENSUS2BE571</t>
  </si>
  <si>
    <t>7.72.132.22</t>
  </si>
  <si>
    <t>040E3C2BE571</t>
  </si>
  <si>
    <t>8CG0172JV9</t>
  </si>
  <si>
    <t>GENSUS2BE579</t>
  </si>
  <si>
    <t>7.53.124.102</t>
  </si>
  <si>
    <t>040E3C2BE579</t>
  </si>
  <si>
    <t>8CG0172KBS</t>
  </si>
  <si>
    <t>GENSUS2BE57A</t>
  </si>
  <si>
    <t>7.8.156.56</t>
  </si>
  <si>
    <t>040E3C2BE57A</t>
  </si>
  <si>
    <t>8CG0172FRZ</t>
  </si>
  <si>
    <t>GENSUS2BE581</t>
  </si>
  <si>
    <t>7.88.84.149</t>
  </si>
  <si>
    <t>040E3C2BE581</t>
  </si>
  <si>
    <t>8CG0172FLK</t>
  </si>
  <si>
    <t>GENSUS2BE588</t>
  </si>
  <si>
    <t>7.212.220.134</t>
  </si>
  <si>
    <t>040E3C2BE588</t>
  </si>
  <si>
    <t>8CG0172FMJ</t>
  </si>
  <si>
    <t>GENSUS2BE58E</t>
  </si>
  <si>
    <t>7.3.92.148</t>
  </si>
  <si>
    <t>040E3C2BE58E</t>
  </si>
  <si>
    <t>8CG0172FH3</t>
  </si>
  <si>
    <t>GENSUS2BE58F</t>
  </si>
  <si>
    <t>7.64.204.111</t>
  </si>
  <si>
    <t>040E3C2BE58F</t>
  </si>
  <si>
    <t>8CG0172FH4</t>
  </si>
  <si>
    <t>GENSUS2BE590</t>
  </si>
  <si>
    <t>7.164.60.20</t>
  </si>
  <si>
    <t>040E3C2BE590</t>
  </si>
  <si>
    <t>8CG0172FM7</t>
  </si>
  <si>
    <t>GENSUS2BE592</t>
  </si>
  <si>
    <t>7.69.108.119</t>
  </si>
  <si>
    <t>040E3C2BE592</t>
  </si>
  <si>
    <t>8CG0172FK0</t>
  </si>
  <si>
    <t>GENSUS2BE597</t>
  </si>
  <si>
    <t>7.186.244.24</t>
  </si>
  <si>
    <t>040E3C2BE597</t>
  </si>
  <si>
    <t>8CG0172FHQ</t>
  </si>
  <si>
    <t>GENSUS2BE59D</t>
  </si>
  <si>
    <t>7.144.188.39</t>
  </si>
  <si>
    <t>040E3C2BE59D</t>
  </si>
  <si>
    <t>8CG0172FP1</t>
  </si>
  <si>
    <t>GENSUS2BE5A1</t>
  </si>
  <si>
    <t>7.65.12.56</t>
  </si>
  <si>
    <t>040E3C2BE5A1</t>
  </si>
  <si>
    <t>8CG0172JWQ</t>
  </si>
  <si>
    <t>GENSUS2BE5A2</t>
  </si>
  <si>
    <t>7.76.36.59</t>
  </si>
  <si>
    <t>040E3C2BE5A2</t>
  </si>
  <si>
    <t>8CG0172FN5</t>
  </si>
  <si>
    <t>GENSUS2BE5A4</t>
  </si>
  <si>
    <t>7.52.12.151</t>
  </si>
  <si>
    <t>040E3C2BE5A4</t>
  </si>
  <si>
    <t>8CG0172JWP</t>
  </si>
  <si>
    <t>GENSUS2BE5A6</t>
  </si>
  <si>
    <t>7.87.68.177</t>
  </si>
  <si>
    <t>040E3C2BE5A6</t>
  </si>
  <si>
    <t>8CG0172KM9</t>
  </si>
  <si>
    <t>GENSUS2BE5AC</t>
  </si>
  <si>
    <t>7.57.132.49</t>
  </si>
  <si>
    <t>040E3C2BE5AC</t>
  </si>
  <si>
    <t>8CG0172FHC</t>
  </si>
  <si>
    <t>GENSUS2BE5AE</t>
  </si>
  <si>
    <t>7.73.172.44</t>
  </si>
  <si>
    <t>040E3C2BE5AE</t>
  </si>
  <si>
    <t>8CG0172FM6</t>
  </si>
  <si>
    <t>GENSUS2BE5B3</t>
  </si>
  <si>
    <t>7.89.228.167</t>
  </si>
  <si>
    <t>040E3C2BE5B3</t>
  </si>
  <si>
    <t>8CG0172FKM</t>
  </si>
  <si>
    <t>GENSUS2BE5B5</t>
  </si>
  <si>
    <t>7.52.140.205</t>
  </si>
  <si>
    <t>040E3C2BE5B5</t>
  </si>
  <si>
    <t>8CG0172FK2</t>
  </si>
  <si>
    <t>GENSUS2BE5B7</t>
  </si>
  <si>
    <t>7.66.212.14</t>
  </si>
  <si>
    <t>040E3C2BE5B7</t>
  </si>
  <si>
    <t>8CG0180YZZ</t>
  </si>
  <si>
    <t>GENSUS2BE5B8</t>
  </si>
  <si>
    <t>7.89.172.218</t>
  </si>
  <si>
    <t>040E3C2BE5B8</t>
  </si>
  <si>
    <t>8CG0172FHB</t>
  </si>
  <si>
    <t>GENSUS2BE5C0</t>
  </si>
  <si>
    <t>7.183.52.102</t>
  </si>
  <si>
    <t>040E3C2BE5C0</t>
  </si>
  <si>
    <t>8CG0172FJ7</t>
  </si>
  <si>
    <t>GENSUS2BE5C4</t>
  </si>
  <si>
    <t>7.67.4.37</t>
  </si>
  <si>
    <t>040E3C2BE5C4</t>
  </si>
  <si>
    <t>8CG0172FHM</t>
  </si>
  <si>
    <t>GENSUS2BE5C5</t>
  </si>
  <si>
    <t>7.88.84.24</t>
  </si>
  <si>
    <t>040E3C2BE5C5</t>
  </si>
  <si>
    <t>8CG0172FHL</t>
  </si>
  <si>
    <t>GENSUS2BE5C8</t>
  </si>
  <si>
    <t>7.166.204.186</t>
  </si>
  <si>
    <t>040E3C2BE5C8</t>
  </si>
  <si>
    <t>S08209</t>
  </si>
  <si>
    <t>8CG0172FN0</t>
  </si>
  <si>
    <t>S08209.US-2016</t>
  </si>
  <si>
    <t>GENSUS2BE5C9</t>
  </si>
  <si>
    <t>7.76.36.96</t>
  </si>
  <si>
    <t>040E3C2BE5C9</t>
  </si>
  <si>
    <t>8CG0172FN1</t>
  </si>
  <si>
    <t>GENSUS2BE5CA</t>
  </si>
  <si>
    <t>7.189.4.168</t>
  </si>
  <si>
    <t>040E3C2BE5CA</t>
  </si>
  <si>
    <t>8CG0172JWY</t>
  </si>
  <si>
    <t>GENSUS2BE5CD</t>
  </si>
  <si>
    <t>7.151.100.25</t>
  </si>
  <si>
    <t>040E3C2BE5CD</t>
  </si>
  <si>
    <t>8CG0172FN8</t>
  </si>
  <si>
    <t>GENSUS2BE5DA</t>
  </si>
  <si>
    <t>7.70.52.36</t>
  </si>
  <si>
    <t>040E3C2BE5DA</t>
  </si>
  <si>
    <t>8CG0172FHZ</t>
  </si>
  <si>
    <t>GENSUS2BE5DD</t>
  </si>
  <si>
    <t>7.95.52.30</t>
  </si>
  <si>
    <t>040E3C2BE5DD</t>
  </si>
  <si>
    <t>8CG0172FN6</t>
  </si>
  <si>
    <t>GENSUS2BE5DE</t>
  </si>
  <si>
    <t>7.70.52.128</t>
  </si>
  <si>
    <t>040E3C2BE5DE</t>
  </si>
  <si>
    <t>8CG0172FJ4</t>
  </si>
  <si>
    <t>GENSUS2BE5E7</t>
  </si>
  <si>
    <t>7.53.140.131</t>
  </si>
  <si>
    <t>040E3C2BE5E7</t>
  </si>
  <si>
    <t>8CG0172FLD</t>
  </si>
  <si>
    <t>GENSUS2BE5E9</t>
  </si>
  <si>
    <t>7.78.36.127</t>
  </si>
  <si>
    <t>040E3C2BE5E9</t>
  </si>
  <si>
    <t>S06547</t>
  </si>
  <si>
    <t>8CG0172FHT</t>
  </si>
  <si>
    <t>S06547.US-2016</t>
  </si>
  <si>
    <t>GENSUS2BE5EE</t>
  </si>
  <si>
    <t>7.151.100.59</t>
  </si>
  <si>
    <t>040E3C2BE5EE</t>
  </si>
  <si>
    <t>8CG0172FKS</t>
  </si>
  <si>
    <t>GENSUS2BE5F2</t>
  </si>
  <si>
    <t>7.123.148.178</t>
  </si>
  <si>
    <t>040E3C2BE5F2</t>
  </si>
  <si>
    <t>8CG0172FNK</t>
  </si>
  <si>
    <t>GENSUS2BE5F4</t>
  </si>
  <si>
    <t>7.166.204.99</t>
  </si>
  <si>
    <t>040E3C2BE5F4</t>
  </si>
  <si>
    <t>8CG0172FNB</t>
  </si>
  <si>
    <t>GENSUS2BE5F5</t>
  </si>
  <si>
    <t>7.34.204.36</t>
  </si>
  <si>
    <t>040E3C2BE5F5</t>
  </si>
  <si>
    <t>8CG0172FND</t>
  </si>
  <si>
    <t>GENSUS2BE5FE</t>
  </si>
  <si>
    <t>7.146.108.131</t>
  </si>
  <si>
    <t>040E3C2BE5FE</t>
  </si>
  <si>
    <t>8CG0172FKW</t>
  </si>
  <si>
    <t>GENSUS2BE5FF</t>
  </si>
  <si>
    <t>7.146.108.129</t>
  </si>
  <si>
    <t>040E3C2BE5FF</t>
  </si>
  <si>
    <t>8CG0172FKY</t>
  </si>
  <si>
    <t>GENSUS2BE600</t>
  </si>
  <si>
    <t>7.144.220.76</t>
  </si>
  <si>
    <t>040E3C2BE600</t>
  </si>
  <si>
    <t>8CG0172FMV</t>
  </si>
  <si>
    <t>GENSUS2BE601</t>
  </si>
  <si>
    <t>7.93.84.133</t>
  </si>
  <si>
    <t>040E3C2BE601</t>
  </si>
  <si>
    <t>8CG0172FMW</t>
  </si>
  <si>
    <t>GENSUS2BE603</t>
  </si>
  <si>
    <t>7.146.108.61</t>
  </si>
  <si>
    <t>040E3C2BE603</t>
  </si>
  <si>
    <t>8CG0172FJF</t>
  </si>
  <si>
    <t>GENSUS2BE604</t>
  </si>
  <si>
    <t>7.53.92.79</t>
  </si>
  <si>
    <t>040E3C2BE604</t>
  </si>
  <si>
    <t>8CG0172FJT</t>
  </si>
  <si>
    <t>GENSUS2BE605</t>
  </si>
  <si>
    <t>7.123.148.158</t>
  </si>
  <si>
    <t>040E3C2BE605</t>
  </si>
  <si>
    <t>8CG0172FJW</t>
  </si>
  <si>
    <t>GENSUS2BE606</t>
  </si>
  <si>
    <t>7.52.140.171</t>
  </si>
  <si>
    <t>040E3C2BE606</t>
  </si>
  <si>
    <t>8CG0172FL2</t>
  </si>
  <si>
    <t>GENSUS2BE607</t>
  </si>
  <si>
    <t>7.20.212.111</t>
  </si>
  <si>
    <t>040E3C2BE607</t>
  </si>
  <si>
    <t>S06463</t>
  </si>
  <si>
    <t>8CG0172FL4</t>
  </si>
  <si>
    <t>S06463.US-2016</t>
  </si>
  <si>
    <t>GENSUS2BE608</t>
  </si>
  <si>
    <t>7.156.180.141</t>
  </si>
  <si>
    <t>040E3C2BE608</t>
  </si>
  <si>
    <t>8CG0172FKX</t>
  </si>
  <si>
    <t>GENSUS2BE609</t>
  </si>
  <si>
    <t>55.150.199.196</t>
  </si>
  <si>
    <t>040E3C2BE609</t>
  </si>
  <si>
    <t>8CG0172FKV</t>
  </si>
  <si>
    <t>GENSUS2BE60D</t>
  </si>
  <si>
    <t>7.20.212.177</t>
  </si>
  <si>
    <t>040E3C2BE60D</t>
  </si>
  <si>
    <t>8CG0172FJP</t>
  </si>
  <si>
    <t>GENSUS2BE610</t>
  </si>
  <si>
    <t>7.70.52.45</t>
  </si>
  <si>
    <t>040E3C2BE610</t>
  </si>
  <si>
    <t>8CG0172FNF</t>
  </si>
  <si>
    <t>GENSUS2BE612</t>
  </si>
  <si>
    <t>7.53.140.187</t>
  </si>
  <si>
    <t>040E3C2BE612</t>
  </si>
  <si>
    <t>8CG0172FMT</t>
  </si>
  <si>
    <t>GENSUS2BE614</t>
  </si>
  <si>
    <t>7.57.132.120</t>
  </si>
  <si>
    <t>040E3C2BE614</t>
  </si>
  <si>
    <t>8CG0172FL0</t>
  </si>
  <si>
    <t>GENSUS2BE618</t>
  </si>
  <si>
    <t>7.77.196.20</t>
  </si>
  <si>
    <t>040E3C2BE618</t>
  </si>
  <si>
    <t>8CG0172FHP</t>
  </si>
  <si>
    <t>GENSUS2BE61A</t>
  </si>
  <si>
    <t>7.25.148.111</t>
  </si>
  <si>
    <t>040E3C2BE61A</t>
  </si>
  <si>
    <t>8CG0172JTJ</t>
  </si>
  <si>
    <t>GENSUS2BE61B</t>
  </si>
  <si>
    <t>7.43.204.82</t>
  </si>
  <si>
    <t>040E3C2BE61B</t>
  </si>
  <si>
    <t>8CG0172JTG</t>
  </si>
  <si>
    <t>GENSUS2BE61C</t>
  </si>
  <si>
    <t>7.20.212.51</t>
  </si>
  <si>
    <t>040E3C2BE61C</t>
  </si>
  <si>
    <t>8CG0172FJS</t>
  </si>
  <si>
    <t>GENSUS2BE61D</t>
  </si>
  <si>
    <t>55.20.214.149</t>
  </si>
  <si>
    <t>040E3C2BE61D</t>
  </si>
  <si>
    <t>8CG0172FJQ</t>
  </si>
  <si>
    <t>GENSUS2BE621</t>
  </si>
  <si>
    <t>7.186.244.23</t>
  </si>
  <si>
    <t>040E3C2BE621</t>
  </si>
  <si>
    <t>8CG0172FL7</t>
  </si>
  <si>
    <t>GENSUS2BE622</t>
  </si>
  <si>
    <t>7.20.172.178</t>
  </si>
  <si>
    <t>040E3C2BE622</t>
  </si>
  <si>
    <t>S06450</t>
  </si>
  <si>
    <t>8CG0172JWB</t>
  </si>
  <si>
    <t>S06450.US-2016</t>
  </si>
  <si>
    <t>GENSUS2BE624</t>
  </si>
  <si>
    <t>7.21.52.70</t>
  </si>
  <si>
    <t>040E3C2BE624</t>
  </si>
  <si>
    <t>8CG0172FK1</t>
  </si>
  <si>
    <t>GENSUS2BE625</t>
  </si>
  <si>
    <t>7.53.92.21</t>
  </si>
  <si>
    <t>040E3C2BE625</t>
  </si>
  <si>
    <t>8CG0172FJZ</t>
  </si>
  <si>
    <t>GENSUS2BE626</t>
  </si>
  <si>
    <t>7.162.44.117</t>
  </si>
  <si>
    <t>040E3C2BE626</t>
  </si>
  <si>
    <t>8CG0172JVB</t>
  </si>
  <si>
    <t>GENSUS2BE629</t>
  </si>
  <si>
    <t>7.53.180.101</t>
  </si>
  <si>
    <t>040E3C2BE629</t>
  </si>
  <si>
    <t>8CG0172JTF</t>
  </si>
  <si>
    <t>GENSUS2BE62F</t>
  </si>
  <si>
    <t>7.70.52.34</t>
  </si>
  <si>
    <t>040E3C2BE62F</t>
  </si>
  <si>
    <t>8CG0172FHJ</t>
  </si>
  <si>
    <t>GENSUS2BE630</t>
  </si>
  <si>
    <t>7.87.60.233</t>
  </si>
  <si>
    <t>040E3C2BE630</t>
  </si>
  <si>
    <t>8CG0172JW5</t>
  </si>
  <si>
    <t>GENSUS2BE634</t>
  </si>
  <si>
    <t>7.25.148.214</t>
  </si>
  <si>
    <t>040E3C2BE634</t>
  </si>
  <si>
    <t>8CG0172JRY</t>
  </si>
  <si>
    <t>GENSUS2BE63D</t>
  </si>
  <si>
    <t>7.162.36.153</t>
  </si>
  <si>
    <t>040E3C2BE63D</t>
  </si>
  <si>
    <t>8CG0172FL3</t>
  </si>
  <si>
    <t>GENSUS2BE63E</t>
  </si>
  <si>
    <t>7.78.220.91</t>
  </si>
  <si>
    <t>040E3C2BE63E</t>
  </si>
  <si>
    <t>8CG0172FLN</t>
  </si>
  <si>
    <t>GENSUS2BE63F</t>
  </si>
  <si>
    <t>7.190.116.155</t>
  </si>
  <si>
    <t>040E3C2BE63F</t>
  </si>
  <si>
    <t>8CG0172JTR</t>
  </si>
  <si>
    <t>GENSUS2BE640</t>
  </si>
  <si>
    <t>7.216.4.65</t>
  </si>
  <si>
    <t>040E3C2BE640</t>
  </si>
  <si>
    <t>8CG0172JTP</t>
  </si>
  <si>
    <t>GENSUS2BE642</t>
  </si>
  <si>
    <t>7.144.220.14</t>
  </si>
  <si>
    <t>040E3C2BE642</t>
  </si>
  <si>
    <t>8CG0172JW0</t>
  </si>
  <si>
    <t>GENSUS2BE643</t>
  </si>
  <si>
    <t>7.53.164.226</t>
  </si>
  <si>
    <t>040E3C2BE643</t>
  </si>
  <si>
    <t>8CG0172JVY</t>
  </si>
  <si>
    <t>GENSUS2BE649</t>
  </si>
  <si>
    <t>7.189.4.40</t>
  </si>
  <si>
    <t>040E3C2BE649</t>
  </si>
  <si>
    <t>8CG0172JRV</t>
  </si>
  <si>
    <t>GENSUS2BE64A</t>
  </si>
  <si>
    <t>7.20.172.186</t>
  </si>
  <si>
    <t>040E3C2BE64A</t>
  </si>
  <si>
    <t>8CG0172JRX</t>
  </si>
  <si>
    <t>GENSUS2BE64C</t>
  </si>
  <si>
    <t>7.164.60.124</t>
  </si>
  <si>
    <t>040E3C2BE64C</t>
  </si>
  <si>
    <t>8CG0172JPZ</t>
  </si>
  <si>
    <t>GENSUS2BE64D</t>
  </si>
  <si>
    <t>55.39.255.184</t>
  </si>
  <si>
    <t>040E3C2BE64D</t>
  </si>
  <si>
    <t>8CG0172JRS</t>
  </si>
  <si>
    <t>GENSUS2BE64F</t>
  </si>
  <si>
    <t>7.89.172.192</t>
  </si>
  <si>
    <t>040E3C2BE64F</t>
  </si>
  <si>
    <t>8CG0172JS1</t>
  </si>
  <si>
    <t>GENSUS2BE651</t>
  </si>
  <si>
    <t>7.77.252.77</t>
  </si>
  <si>
    <t>040E3C2BE651</t>
  </si>
  <si>
    <t>8CG0172JTT</t>
  </si>
  <si>
    <t>GENSUS2BE653</t>
  </si>
  <si>
    <t>7.7.68.221</t>
  </si>
  <si>
    <t>040E3C2BE653</t>
  </si>
  <si>
    <t>8CG0172JTL</t>
  </si>
  <si>
    <t>GENSUS2BE659</t>
  </si>
  <si>
    <t>7.12.12.155</t>
  </si>
  <si>
    <t>040E3C2BE659</t>
  </si>
  <si>
    <t>8CG0172JRR</t>
  </si>
  <si>
    <t>GENSUS2BE65A</t>
  </si>
  <si>
    <t>7.189.252.37</t>
  </si>
  <si>
    <t>040E3C2BE65A</t>
  </si>
  <si>
    <t>8CG0180Y77</t>
  </si>
  <si>
    <t>GENSUS2BE65C</t>
  </si>
  <si>
    <t>7.17.156.165</t>
  </si>
  <si>
    <t>040E3C2BE65C</t>
  </si>
  <si>
    <t>8CG0172JS5</t>
  </si>
  <si>
    <t>GENSUS2BE65F</t>
  </si>
  <si>
    <t>7.189.12.37</t>
  </si>
  <si>
    <t>040E3C2BE65F</t>
  </si>
  <si>
    <t>8CG0172KHK</t>
  </si>
  <si>
    <t>GENSUS2BE66A</t>
  </si>
  <si>
    <t>7.78.36.99</t>
  </si>
  <si>
    <t>040E3C2BE66A</t>
  </si>
  <si>
    <t>8CG0172JRP</t>
  </si>
  <si>
    <t>GENSUS2BE66D</t>
  </si>
  <si>
    <t>7.53.140.26</t>
  </si>
  <si>
    <t>040E3C2BE66D</t>
  </si>
  <si>
    <t>8CG0172FL5</t>
  </si>
  <si>
    <t>GENSUS2BE673</t>
  </si>
  <si>
    <t>7.69.124.13</t>
  </si>
  <si>
    <t>040E3C2BE673</t>
  </si>
  <si>
    <t>8CG0172JPV</t>
  </si>
  <si>
    <t>GENSUS2BE675</t>
  </si>
  <si>
    <t>55.64.207.189</t>
  </si>
  <si>
    <t>040E3C2BE675</t>
  </si>
  <si>
    <t>8CG0172JQT</t>
  </si>
  <si>
    <t>GENSUS2BE676</t>
  </si>
  <si>
    <t>55.4.127.166</t>
  </si>
  <si>
    <t>040E3C2BE676</t>
  </si>
  <si>
    <t>8CG0172JV1</t>
  </si>
  <si>
    <t>GENSUS2BE67A</t>
  </si>
  <si>
    <t>7.150.28.15</t>
  </si>
  <si>
    <t>040E3C2BE67A</t>
  </si>
  <si>
    <t>8CG0172JPY</t>
  </si>
  <si>
    <t>GENSUS2BE67F</t>
  </si>
  <si>
    <t>7.73.4.85</t>
  </si>
  <si>
    <t>040E3C2BE67F</t>
  </si>
  <si>
    <t>8CG0172JTC</t>
  </si>
  <si>
    <t>GENSUS2BE680</t>
  </si>
  <si>
    <t>55.66.230.158</t>
  </si>
  <si>
    <t>040E3C2BE680</t>
  </si>
  <si>
    <t>8CG0172JWF</t>
  </si>
  <si>
    <t>GENSUS2BE684</t>
  </si>
  <si>
    <t>7.190.68.207</t>
  </si>
  <si>
    <t>040E3C2BE684</t>
  </si>
  <si>
    <t>8CG0172JRK</t>
  </si>
  <si>
    <t>GENSUS2BE685</t>
  </si>
  <si>
    <t>55.69.127.154</t>
  </si>
  <si>
    <t>040E3C2BE685</t>
  </si>
  <si>
    <t>8CG0172JRH</t>
  </si>
  <si>
    <t>GENSUS2BE686</t>
  </si>
  <si>
    <t>7.78.36.135</t>
  </si>
  <si>
    <t>040E3C2BE686</t>
  </si>
  <si>
    <t>8CG0172JQ2</t>
  </si>
  <si>
    <t>GENSUS2BE687</t>
  </si>
  <si>
    <t>7.20.172.180</t>
  </si>
  <si>
    <t>040E3C2BE687</t>
  </si>
  <si>
    <t>8CG0172JQ0</t>
  </si>
  <si>
    <t>GENSUS2BE689</t>
  </si>
  <si>
    <t>7.68.132.42</t>
  </si>
  <si>
    <t>040E3C2BE689</t>
  </si>
  <si>
    <t>8CG0172FH6</t>
  </si>
  <si>
    <t>GENSUS2BE68E</t>
  </si>
  <si>
    <t>7.89.172.13</t>
  </si>
  <si>
    <t>040E3C2BE68E</t>
  </si>
  <si>
    <t>8CG0172JW4</t>
  </si>
  <si>
    <t>GENSUS2BE68F</t>
  </si>
  <si>
    <t>7.67.148.36</t>
  </si>
  <si>
    <t>040E3C2BE68F</t>
  </si>
  <si>
    <t>8CG0172JW6</t>
  </si>
  <si>
    <t>GENSUS2BE694</t>
  </si>
  <si>
    <t>7.52.140.168</t>
  </si>
  <si>
    <t>040E3C2BE694</t>
  </si>
  <si>
    <t>8CG0172JQP</t>
  </si>
  <si>
    <t>GENSUS2BE695</t>
  </si>
  <si>
    <t>7.186.244.220</t>
  </si>
  <si>
    <t>040E3C2BE695</t>
  </si>
  <si>
    <t>8CG0172JQM</t>
  </si>
  <si>
    <t>GENSUS2BE696</t>
  </si>
  <si>
    <t>7.68.108.49</t>
  </si>
  <si>
    <t>040E3C2BE696</t>
  </si>
  <si>
    <t>8CG0172JVG</t>
  </si>
  <si>
    <t>GENSUS2BE697</t>
  </si>
  <si>
    <t>7.52.12.13</t>
  </si>
  <si>
    <t>040E3C2BE697</t>
  </si>
  <si>
    <t>8CG0172JVJ</t>
  </si>
  <si>
    <t>GENSUS2BE69E</t>
  </si>
  <si>
    <t>7.53.164.117</t>
  </si>
  <si>
    <t>040E3C2BE69E</t>
  </si>
  <si>
    <t>8CG0172JVT</t>
  </si>
  <si>
    <t>GENSUS2BE6A8</t>
  </si>
  <si>
    <t>7.17.156.171</t>
  </si>
  <si>
    <t>040E3C2BE6A8</t>
  </si>
  <si>
    <t>8CG0172JVX</t>
  </si>
  <si>
    <t>GENSUS2BE6AB</t>
  </si>
  <si>
    <t>7.77.156.96</t>
  </si>
  <si>
    <t>040E3C2BE6AB</t>
  </si>
  <si>
    <t>8CG0172JVS</t>
  </si>
  <si>
    <t>GENSUS2BE6AD</t>
  </si>
  <si>
    <t>7.146.92.114</t>
  </si>
  <si>
    <t>040E3C2BE6AD</t>
  </si>
  <si>
    <t>8CG0172FT8</t>
  </si>
  <si>
    <t>GENSUS2BE6B0</t>
  </si>
  <si>
    <t>7.95.52.23</t>
  </si>
  <si>
    <t>040E3C2BE6B0</t>
  </si>
  <si>
    <t>8CG0172FV9</t>
  </si>
  <si>
    <t>GENSUS2BE6B8</t>
  </si>
  <si>
    <t>7.36.44.222</t>
  </si>
  <si>
    <t>040E3C2BE6B8</t>
  </si>
  <si>
    <t>8CG0172FW9</t>
  </si>
  <si>
    <t>GENSUS2BE6B9</t>
  </si>
  <si>
    <t>7.144.84.130</t>
  </si>
  <si>
    <t>040E3C2BE6B9</t>
  </si>
  <si>
    <t>8CG0172JWM</t>
  </si>
  <si>
    <t>GENSUS2BE6BA</t>
  </si>
  <si>
    <t>7.4.124.27</t>
  </si>
  <si>
    <t>040E3C2BE6BA</t>
  </si>
  <si>
    <t>8CG0172JWJ</t>
  </si>
  <si>
    <t>GENSUS2BE6BB</t>
  </si>
  <si>
    <t>7.21.28.69</t>
  </si>
  <si>
    <t>040E3C2BE6BB</t>
  </si>
  <si>
    <t>8CG0172KH1</t>
  </si>
  <si>
    <t>GENSUS2BE6BC</t>
  </si>
  <si>
    <t>7.57.236.122</t>
  </si>
  <si>
    <t>040E3C2BE6BC</t>
  </si>
  <si>
    <t>8CG0172KFM</t>
  </si>
  <si>
    <t>GENSUS2BE6BD</t>
  </si>
  <si>
    <t>7.29.156.204</t>
  </si>
  <si>
    <t>040E3C2BE6BD</t>
  </si>
  <si>
    <t>8CG0172KFK</t>
  </si>
  <si>
    <t>GENSUS2BE6C1</t>
  </si>
  <si>
    <t>55.8.127.154</t>
  </si>
  <si>
    <t>040E3C2BE6C1</t>
  </si>
  <si>
    <t>8CG0172JSX</t>
  </si>
  <si>
    <t>GENSUS2BE6C3</t>
  </si>
  <si>
    <t>7.84.196.23</t>
  </si>
  <si>
    <t>040E3C2BE6C3</t>
  </si>
  <si>
    <t>8CG0172JQW</t>
  </si>
  <si>
    <t>GENSUS2BE6C7</t>
  </si>
  <si>
    <t>7.68.108.101</t>
  </si>
  <si>
    <t>040E3C2BE6C7</t>
  </si>
  <si>
    <t>8CG0172JQX</t>
  </si>
  <si>
    <t>GENSUS2BE6C9</t>
  </si>
  <si>
    <t>7.162.36.75</t>
  </si>
  <si>
    <t>040E3C2BE6C9</t>
  </si>
  <si>
    <t>8CG0172JT0</t>
  </si>
  <si>
    <t>GENSUS2BE6CC</t>
  </si>
  <si>
    <t>7.69.124.15</t>
  </si>
  <si>
    <t>040E3C2BE6CC</t>
  </si>
  <si>
    <t>8CG0172JQH</t>
  </si>
  <si>
    <t>GENSUS2BE6CD</t>
  </si>
  <si>
    <t>7.68.124.81</t>
  </si>
  <si>
    <t>040E3C2BE6CD</t>
  </si>
  <si>
    <t>8CG0172JQK</t>
  </si>
  <si>
    <t>GENSUS2BE6CE</t>
  </si>
  <si>
    <t>7.126.60.105</t>
  </si>
  <si>
    <t>040E3C2BE6CE</t>
  </si>
  <si>
    <t>8CG0172FWJ</t>
  </si>
  <si>
    <t>GENSUS2BE6CF</t>
  </si>
  <si>
    <t>7.126.60.101</t>
  </si>
  <si>
    <t>040E3C2BE6CF</t>
  </si>
  <si>
    <t>8CG0172FWH</t>
  </si>
  <si>
    <t>GENSUS2BE6D5</t>
  </si>
  <si>
    <t>7.68.108.34</t>
  </si>
  <si>
    <t>040E3C2BE6D5</t>
  </si>
  <si>
    <t>8CG0172JT5</t>
  </si>
  <si>
    <t>GENSUS2BE6D7</t>
  </si>
  <si>
    <t>7.78.252.117</t>
  </si>
  <si>
    <t>040E3C2BE6D7</t>
  </si>
  <si>
    <t>8CG0172FW5</t>
  </si>
  <si>
    <t>GENSUS2BE6DF</t>
  </si>
  <si>
    <t>7.95.52.36</t>
  </si>
  <si>
    <t>040E3C2BE6DF</t>
  </si>
  <si>
    <t>8CG0172FVQ</t>
  </si>
  <si>
    <t>GENSUS2BE6E3</t>
  </si>
  <si>
    <t>55.31.95.188</t>
  </si>
  <si>
    <t>040E3C2BE6E3</t>
  </si>
  <si>
    <t>8CG0172KFV</t>
  </si>
  <si>
    <t>GENSUS2BE6E7</t>
  </si>
  <si>
    <t>7.5.164.181</t>
  </si>
  <si>
    <t>040E3C2BE6E7</t>
  </si>
  <si>
    <t>8CG0172FY3</t>
  </si>
  <si>
    <t>GENSUS2BE6EA</t>
  </si>
  <si>
    <t>7.84.196.174</t>
  </si>
  <si>
    <t>040E3C2BE6EA</t>
  </si>
  <si>
    <t>8CG0172JR1</t>
  </si>
  <si>
    <t>GENSUS2BE6F2</t>
  </si>
  <si>
    <t>7.216.4.55</t>
  </si>
  <si>
    <t>040E3C2BE6F2</t>
  </si>
  <si>
    <t>8CG0172JSP</t>
  </si>
  <si>
    <t>GENSUS2BE6F5</t>
  </si>
  <si>
    <t>7.13.60.16</t>
  </si>
  <si>
    <t>040E3C2BE6F5</t>
  </si>
  <si>
    <t>8CG0172JS4</t>
  </si>
  <si>
    <t>GENSUS2BE6FE</t>
  </si>
  <si>
    <t>7.11.68.162</t>
  </si>
  <si>
    <t>040E3C2BE6FE</t>
  </si>
  <si>
    <t>S08237</t>
  </si>
  <si>
    <t>8CG0172FW2</t>
  </si>
  <si>
    <t>S08237.US-2016</t>
  </si>
  <si>
    <t>GENSUS2BE708</t>
  </si>
  <si>
    <t>7.8.124.40</t>
  </si>
  <si>
    <t>040E3C2BE708</t>
  </si>
  <si>
    <t>8CG0172FW8</t>
  </si>
  <si>
    <t>GENSUS2BE709</t>
  </si>
  <si>
    <t>7.32.20.150</t>
  </si>
  <si>
    <t>040E3C2BE709</t>
  </si>
  <si>
    <t>8CG0172FVK</t>
  </si>
  <si>
    <t>GENSUS2BE70B</t>
  </si>
  <si>
    <t>7.43.172.79</t>
  </si>
  <si>
    <t>040E3C2BE70B</t>
  </si>
  <si>
    <t>8CG0172JWK</t>
  </si>
  <si>
    <t>GENSUS2BE710</t>
  </si>
  <si>
    <t>7.76.12.10</t>
  </si>
  <si>
    <t>040E3C2BE710</t>
  </si>
  <si>
    <t>S06368</t>
  </si>
  <si>
    <t>8CG0172FTZ</t>
  </si>
  <si>
    <t>S06368.US-2016</t>
  </si>
  <si>
    <t>GENSUS2BE711</t>
  </si>
  <si>
    <t>7.11.68.55</t>
  </si>
  <si>
    <t>040E3C2BE711</t>
  </si>
  <si>
    <t>8CG0172FTX</t>
  </si>
  <si>
    <t>GENSUS2BE712</t>
  </si>
  <si>
    <t>7.82.164.31</t>
  </si>
  <si>
    <t>040E3C2BE712</t>
  </si>
  <si>
    <t>8CG0172FW0</t>
  </si>
  <si>
    <t>GENSUS2BE714</t>
  </si>
  <si>
    <t>7.126.60.106</t>
  </si>
  <si>
    <t>040E3C2BE714</t>
  </si>
  <si>
    <t>8CG0172FWK</t>
  </si>
  <si>
    <t>GENSUS2BE715</t>
  </si>
  <si>
    <t>7.136.204.114</t>
  </si>
  <si>
    <t>040E3C2BE715</t>
  </si>
  <si>
    <t>8CG0172FWG</t>
  </si>
  <si>
    <t>GENSUS2BE71F</t>
  </si>
  <si>
    <t>7.65.12.88</t>
  </si>
  <si>
    <t>040E3C2BE71F</t>
  </si>
  <si>
    <t>8CG0172FVF</t>
  </si>
  <si>
    <t>GENSUS2BE721</t>
  </si>
  <si>
    <t>7.37.236.23</t>
  </si>
  <si>
    <t>040E3C2BE721</t>
  </si>
  <si>
    <t>8CG0172JSR</t>
  </si>
  <si>
    <t>GENSUS2BE723</t>
  </si>
  <si>
    <t>7.156.172.235</t>
  </si>
  <si>
    <t>040E3C2BE723</t>
  </si>
  <si>
    <t>8CG0172JSJ</t>
  </si>
  <si>
    <t>GENSUS2BE726</t>
  </si>
  <si>
    <t>7.37.228.166</t>
  </si>
  <si>
    <t>040E3C2BE726</t>
  </si>
  <si>
    <t>S04742</t>
  </si>
  <si>
    <t>8CG0172FVW</t>
  </si>
  <si>
    <t>S04742.US-2016</t>
  </si>
  <si>
    <t>GENSUS2BE727</t>
  </si>
  <si>
    <t>7.8.124.229</t>
  </si>
  <si>
    <t>040E3C2BE727</t>
  </si>
  <si>
    <t>8CG0172FVT</t>
  </si>
  <si>
    <t>GENSUS2BE72E</t>
  </si>
  <si>
    <t>7.64.244.225</t>
  </si>
  <si>
    <t>040E3C2BE72E</t>
  </si>
  <si>
    <t>8CG0172FX4</t>
  </si>
  <si>
    <t>GENSUS2BE72F</t>
  </si>
  <si>
    <t>7.78.204.77</t>
  </si>
  <si>
    <t>040E3C2BE72F</t>
  </si>
  <si>
    <t>8CG0172FX3</t>
  </si>
  <si>
    <t>GENSUS2BE736</t>
  </si>
  <si>
    <t>7.39.252.207</t>
  </si>
  <si>
    <t>040E3C2BE736</t>
  </si>
  <si>
    <t>8CG0172JT3</t>
  </si>
  <si>
    <t>GENSUS2BE737</t>
  </si>
  <si>
    <t>7.37.236.12</t>
  </si>
  <si>
    <t>040E3C2BE737</t>
  </si>
  <si>
    <t>8CG0172JT4</t>
  </si>
  <si>
    <t>GENSUS2BE740</t>
  </si>
  <si>
    <t>7.171.68.168</t>
  </si>
  <si>
    <t>040E3C2BE740</t>
  </si>
  <si>
    <t>8CG0172FX8</t>
  </si>
  <si>
    <t>GENSUS2BE741</t>
  </si>
  <si>
    <t>7.78.252.14</t>
  </si>
  <si>
    <t>040E3C2BE741</t>
  </si>
  <si>
    <t>8CG0172FX7</t>
  </si>
  <si>
    <t>GENSUS2BE746</t>
  </si>
  <si>
    <t>55.66.7.181</t>
  </si>
  <si>
    <t>040E3C2BE746</t>
  </si>
  <si>
    <t>8CG0172JSD</t>
  </si>
  <si>
    <t>GENSUS2BE748</t>
  </si>
  <si>
    <t>7.64.36.69</t>
  </si>
  <si>
    <t>040E3C2BE748</t>
  </si>
  <si>
    <t>8CG0172FWB</t>
  </si>
  <si>
    <t>GENSUS2BE749</t>
  </si>
  <si>
    <t>7.21.92.101</t>
  </si>
  <si>
    <t>040E3C2BE749</t>
  </si>
  <si>
    <t>8CG0172FWD</t>
  </si>
  <si>
    <t>GENSUS2BE74C</t>
  </si>
  <si>
    <t>7.142.140.173</t>
  </si>
  <si>
    <t>040E3C2BE74C</t>
  </si>
  <si>
    <t>8CG0172FVL</t>
  </si>
  <si>
    <t>GENSUS2BE74E</t>
  </si>
  <si>
    <t>7.95.52.37</t>
  </si>
  <si>
    <t>040E3C2BE74E</t>
  </si>
  <si>
    <t>8CG0172FTT</t>
  </si>
  <si>
    <t>GENSUS2BE753</t>
  </si>
  <si>
    <t>7.11.68.10</t>
  </si>
  <si>
    <t>040E3C2BE753</t>
  </si>
  <si>
    <t>8CG0172FXF</t>
  </si>
  <si>
    <t>GENSUS2BE754</t>
  </si>
  <si>
    <t>7.17.156.64</t>
  </si>
  <si>
    <t>040E3C2BE754</t>
  </si>
  <si>
    <t>8CG0172JQC</t>
  </si>
  <si>
    <t>GENSUS2BE755</t>
  </si>
  <si>
    <t>7.183.188.85</t>
  </si>
  <si>
    <t>040E3C2BE755</t>
  </si>
  <si>
    <t>8CG0172JQD</t>
  </si>
  <si>
    <t>GENSUS2BE756</t>
  </si>
  <si>
    <t>55.11.71.182</t>
  </si>
  <si>
    <t>040E3C2BE756</t>
  </si>
  <si>
    <t>8CG0172FTS</t>
  </si>
  <si>
    <t>GENSUS2BE759</t>
  </si>
  <si>
    <t>7.21.92.28</t>
  </si>
  <si>
    <t>040E3C2BE759</t>
  </si>
  <si>
    <t>8CG0172FWP</t>
  </si>
  <si>
    <t>GENSUS2BE766</t>
  </si>
  <si>
    <t>7.78.252.26</t>
  </si>
  <si>
    <t>040E3C2BE766</t>
  </si>
  <si>
    <t>8CG0172FWL</t>
  </si>
  <si>
    <t>GENSUS2BE76D</t>
  </si>
  <si>
    <t>7.31.188.146</t>
  </si>
  <si>
    <t>040E3C2BE76D</t>
  </si>
  <si>
    <t>8CG0172FWZ</t>
  </si>
  <si>
    <t>GENSUS2BE775</t>
  </si>
  <si>
    <t>7.150.148.61</t>
  </si>
  <si>
    <t>040E3C2BE775</t>
  </si>
  <si>
    <t>8CG0172FVP</t>
  </si>
  <si>
    <t>GENSUS2BE791</t>
  </si>
  <si>
    <t>7.43.204.84</t>
  </si>
  <si>
    <t>040E3C2BE791</t>
  </si>
  <si>
    <t>8CG0172FXV</t>
  </si>
  <si>
    <t>GENSUS2BE798</t>
  </si>
  <si>
    <t>7.151.100.23</t>
  </si>
  <si>
    <t>040E3C2BE798</t>
  </si>
  <si>
    <t>8CG0172FVH</t>
  </si>
  <si>
    <t>GENSUS2BE7AA</t>
  </si>
  <si>
    <t>7.52.148.76</t>
  </si>
  <si>
    <t>040E3C2BE7AA</t>
  </si>
  <si>
    <t>8CG0172JT2</t>
  </si>
  <si>
    <t>GENSUS2BE7AB</t>
  </si>
  <si>
    <t>7.190.68.220</t>
  </si>
  <si>
    <t>040E3C2BE7AB</t>
  </si>
  <si>
    <t>8CG0172JT1</t>
  </si>
  <si>
    <t>GENSUS2BE7B4</t>
  </si>
  <si>
    <t>7.139.52.84</t>
  </si>
  <si>
    <t>040E3C2BE7B4</t>
  </si>
  <si>
    <t>S06228</t>
  </si>
  <si>
    <t>8CG0172FVD</t>
  </si>
  <si>
    <t>S06228.US-2016</t>
  </si>
  <si>
    <t>GENSUS2BE7B8</t>
  </si>
  <si>
    <t>7.139.52.235</t>
  </si>
  <si>
    <t>040E3C2BE7B8</t>
  </si>
  <si>
    <t>8CG0172FXT</t>
  </si>
  <si>
    <t>GENSUS2BE7B9</t>
  </si>
  <si>
    <t>7.142.140.186</t>
  </si>
  <si>
    <t>040E3C2BE7B9</t>
  </si>
  <si>
    <t>8CG0172FXR</t>
  </si>
  <si>
    <t>GENSUS2BE7BC</t>
  </si>
  <si>
    <t>7.4.68.93</t>
  </si>
  <si>
    <t>040E3C2BE7BC</t>
  </si>
  <si>
    <t>8CG0172KGY</t>
  </si>
  <si>
    <t>GENSUS2BE7C0</t>
  </si>
  <si>
    <t>7.78.204.78</t>
  </si>
  <si>
    <t>040E3C2BE7C0</t>
  </si>
  <si>
    <t>8CG0172FXP</t>
  </si>
  <si>
    <t>GENSUS2BE7C1</t>
  </si>
  <si>
    <t>7.24.76.15</t>
  </si>
  <si>
    <t>040E3C2BE7C1</t>
  </si>
  <si>
    <t>8CG0172FXM</t>
  </si>
  <si>
    <t>GENSUS2BE7D5</t>
  </si>
  <si>
    <t>7.72.132.74</t>
  </si>
  <si>
    <t>040E3C2BE7D5</t>
  </si>
  <si>
    <t>8CG0172JST</t>
  </si>
  <si>
    <t>GENSUS2BE7E3</t>
  </si>
  <si>
    <t>7.151.100.58</t>
  </si>
  <si>
    <t>040E3C2BE7E3</t>
  </si>
  <si>
    <t>8CG0172FTM</t>
  </si>
  <si>
    <t>GENSUS2BE7E5</t>
  </si>
  <si>
    <t>7.78.220.68</t>
  </si>
  <si>
    <t>040E3C2BE7E5</t>
  </si>
  <si>
    <t>8CG0172FV1</t>
  </si>
  <si>
    <t>GENSUS2BE7E8</t>
  </si>
  <si>
    <t>7.24.4.53</t>
  </si>
  <si>
    <t>040E3C2BE7E8</t>
  </si>
  <si>
    <t>8CG0172FV8</t>
  </si>
  <si>
    <t>GENSUS2BE7F0</t>
  </si>
  <si>
    <t>7.77.196.61</t>
  </si>
  <si>
    <t>040E3C2BE7F0</t>
  </si>
  <si>
    <t>8CG0172JQ7</t>
  </si>
  <si>
    <t>GENSUS2BE7F9</t>
  </si>
  <si>
    <t>7.82.164.148</t>
  </si>
  <si>
    <t>040E3C2BE7F9</t>
  </si>
  <si>
    <t>8CG0172FTJ</t>
  </si>
  <si>
    <t>GENSUS2BE7FC</t>
  </si>
  <si>
    <t>55.21.95.162</t>
  </si>
  <si>
    <t>040E3C2BE7FC</t>
  </si>
  <si>
    <t>8CG0172FWW</t>
  </si>
  <si>
    <t>GENSUS2BE810</t>
  </si>
  <si>
    <t>7.5.164.168</t>
  </si>
  <si>
    <t>040E3C2BE810</t>
  </si>
  <si>
    <t>8CG0172FXQ</t>
  </si>
  <si>
    <t>GENSUS2BE88E</t>
  </si>
  <si>
    <t>7.63.76.153</t>
  </si>
  <si>
    <t>040E3C2BE88E</t>
  </si>
  <si>
    <t>8CG0172FXY</t>
  </si>
  <si>
    <t>GENSUS2BE8AE</t>
  </si>
  <si>
    <t>7.42.164.94</t>
  </si>
  <si>
    <t>040E3C2BE8AE</t>
  </si>
  <si>
    <t>8CG0172JPD</t>
  </si>
  <si>
    <t>GENSUS2BE8AF</t>
  </si>
  <si>
    <t>7.68.108.155</t>
  </si>
  <si>
    <t>040E3C2BE8AF</t>
  </si>
  <si>
    <t>8CG0172JPG</t>
  </si>
  <si>
    <t>GENSUS2BE914</t>
  </si>
  <si>
    <t>7.124.12.22</t>
  </si>
  <si>
    <t>040E3C2BE914</t>
  </si>
  <si>
    <t>8CG0172FWX</t>
  </si>
  <si>
    <t>GENSUS2BE922</t>
  </si>
  <si>
    <t>7.84.28.126</t>
  </si>
  <si>
    <t>040E3C2BE922</t>
  </si>
  <si>
    <t>8CG0172FT5</t>
  </si>
  <si>
    <t>GENSUS2BE924</t>
  </si>
  <si>
    <t>7.84.196.199</t>
  </si>
  <si>
    <t>040E3C2BE924</t>
  </si>
  <si>
    <t>8CG0172JVN</t>
  </si>
  <si>
    <t>GENSUS2BE937</t>
  </si>
  <si>
    <t>7.64.36.219</t>
  </si>
  <si>
    <t>040E3C2BE937</t>
  </si>
  <si>
    <t>8CG0172GMG</t>
  </si>
  <si>
    <t>GENSUS2BE943</t>
  </si>
  <si>
    <t>7.78.20.129</t>
  </si>
  <si>
    <t>040E3C2BE943</t>
  </si>
  <si>
    <t>8CG0172JNS</t>
  </si>
  <si>
    <t>GENSUS2BE944</t>
  </si>
  <si>
    <t>7.144.204.174</t>
  </si>
  <si>
    <t>040E3C2BE944</t>
  </si>
  <si>
    <t>8CG0172JM2</t>
  </si>
  <si>
    <t>GENSUS2BE945</t>
  </si>
  <si>
    <t>7.20.172.172</t>
  </si>
  <si>
    <t>040E3C2BE945</t>
  </si>
  <si>
    <t>8CG0172JLZ</t>
  </si>
  <si>
    <t>GENSUS2BE946</t>
  </si>
  <si>
    <t>7.68.68.31</t>
  </si>
  <si>
    <t>040E3C2BE946</t>
  </si>
  <si>
    <t>8CG0172JP9</t>
  </si>
  <si>
    <t>GENSUS2BE94A</t>
  </si>
  <si>
    <t>7.163.60.162</t>
  </si>
  <si>
    <t>040E3C2BE94A</t>
  </si>
  <si>
    <t>8CG0172GMV</t>
  </si>
  <si>
    <t>GENSUS2BE94B</t>
  </si>
  <si>
    <t>7.21.84.149</t>
  </si>
  <si>
    <t>040E3C2BE94B</t>
  </si>
  <si>
    <t>8CG0172GMS</t>
  </si>
  <si>
    <t>GENSUS2BE94E</t>
  </si>
  <si>
    <t>7.70.52.26</t>
  </si>
  <si>
    <t>040E3C2BE94E</t>
  </si>
  <si>
    <t>8CG0172GNL</t>
  </si>
  <si>
    <t>GENSUS2BE94F</t>
  </si>
  <si>
    <t>7.186.244.217</t>
  </si>
  <si>
    <t>040E3C2BE94F</t>
  </si>
  <si>
    <t>8CG0172GNM</t>
  </si>
  <si>
    <t>GENSUS2BE950</t>
  </si>
  <si>
    <t>7.35.156.220</t>
  </si>
  <si>
    <t>040E3C2BE950</t>
  </si>
  <si>
    <t>8CG0172JPH</t>
  </si>
  <si>
    <t>GENSUS2BE953</t>
  </si>
  <si>
    <t>7.67.148.71</t>
  </si>
  <si>
    <t>040E3C2BE953</t>
  </si>
  <si>
    <t>8CG0172JMP</t>
  </si>
  <si>
    <t>GENSUS2BE954</t>
  </si>
  <si>
    <t>7.78.36.94</t>
  </si>
  <si>
    <t>040E3C2BE954</t>
  </si>
  <si>
    <t>8CG0172GLH</t>
  </si>
  <si>
    <t>GENSUS2BE956</t>
  </si>
  <si>
    <t>7.78.252.99</t>
  </si>
  <si>
    <t>040E3C2BE956</t>
  </si>
  <si>
    <t>8CG0172FX5</t>
  </si>
  <si>
    <t>GENSUS2BE958</t>
  </si>
  <si>
    <t>7.13.60.17</t>
  </si>
  <si>
    <t>040E3C2BE958</t>
  </si>
  <si>
    <t>8CG0172JMV</t>
  </si>
  <si>
    <t>GENSUS2BE95B</t>
  </si>
  <si>
    <t>7.131.4.209</t>
  </si>
  <si>
    <t>040E3C2BE95B</t>
  </si>
  <si>
    <t>8CG0172JNZ</t>
  </si>
  <si>
    <t>GENSUS2BE960</t>
  </si>
  <si>
    <t>7.131.4.208</t>
  </si>
  <si>
    <t>040E3C2BE960</t>
  </si>
  <si>
    <t>8CG0172JLG</t>
  </si>
  <si>
    <t>GENSUS2BE961</t>
  </si>
  <si>
    <t>7.128.204.197</t>
  </si>
  <si>
    <t>040E3C2BE961</t>
  </si>
  <si>
    <t>8CG0172JLJ</t>
  </si>
  <si>
    <t>GENSUS2BE962</t>
  </si>
  <si>
    <t>7.89.172.193</t>
  </si>
  <si>
    <t>040E3C2BE962</t>
  </si>
  <si>
    <t>8CG0172JMR</t>
  </si>
  <si>
    <t>GENSUS2BE963</t>
  </si>
  <si>
    <t>7.215.116.150</t>
  </si>
  <si>
    <t>040E3C2BE963</t>
  </si>
  <si>
    <t>8CG0172GM7</t>
  </si>
  <si>
    <t>GENSUS2BE964</t>
  </si>
  <si>
    <t>7.216.4.137</t>
  </si>
  <si>
    <t>040E3C2BE964</t>
  </si>
  <si>
    <t>8CG0172GNZ</t>
  </si>
  <si>
    <t>GENSUS2BE966</t>
  </si>
  <si>
    <t>7.39.252.94</t>
  </si>
  <si>
    <t>040E3C2BE966</t>
  </si>
  <si>
    <t>8CG0172JP4</t>
  </si>
  <si>
    <t>GENSUS2BE96B</t>
  </si>
  <si>
    <t>7.68.68.41</t>
  </si>
  <si>
    <t>040E3C2BE96B</t>
  </si>
  <si>
    <t>8CG0172JNX</t>
  </si>
  <si>
    <t>GENSUS2BE96D</t>
  </si>
  <si>
    <t>7.163.60.28</t>
  </si>
  <si>
    <t>040E3C2BE96D</t>
  </si>
  <si>
    <t>8CG0172JP5</t>
  </si>
  <si>
    <t>GENSUS2BE96F</t>
  </si>
  <si>
    <t>7.7.172.57</t>
  </si>
  <si>
    <t>040E3C2BE96F</t>
  </si>
  <si>
    <t>8CG0172JSW</t>
  </si>
  <si>
    <t>GENSUS2BE972</t>
  </si>
  <si>
    <t>7.130.212.84</t>
  </si>
  <si>
    <t>040E3C2BE972</t>
  </si>
  <si>
    <t>8CG0172GNQ</t>
  </si>
  <si>
    <t>GENSUS2BE973</t>
  </si>
  <si>
    <t>7.43.204.85</t>
  </si>
  <si>
    <t>040E3C2BE973</t>
  </si>
  <si>
    <t>8CG0172GNR</t>
  </si>
  <si>
    <t>GENSUS2BE974</t>
  </si>
  <si>
    <t>7.42.164.95</t>
  </si>
  <si>
    <t>040E3C2BE974</t>
  </si>
  <si>
    <t>8CG0172JPJ</t>
  </si>
  <si>
    <t>GENSUS2BE976</t>
  </si>
  <si>
    <t>7.65.236.30</t>
  </si>
  <si>
    <t>040E3C2BE976</t>
  </si>
  <si>
    <t>8CG0172GN7</t>
  </si>
  <si>
    <t>GENSUS2BE977</t>
  </si>
  <si>
    <t>7.138.100.62</t>
  </si>
  <si>
    <t>040E3C2BE977</t>
  </si>
  <si>
    <t>8CG0172GN6</t>
  </si>
  <si>
    <t>GENSUS2BE97A</t>
  </si>
  <si>
    <t>7.56.204.219</t>
  </si>
  <si>
    <t>040E3C2BE97A</t>
  </si>
  <si>
    <t>8CG0172JMM</t>
  </si>
  <si>
    <t>GENSUS2BE97D</t>
  </si>
  <si>
    <t>7.78.180.77</t>
  </si>
  <si>
    <t>040E3C2BE97D</t>
  </si>
  <si>
    <t>8CG0172GMK</t>
  </si>
  <si>
    <t>GENSUS2BE985</t>
  </si>
  <si>
    <t>7.186.244.27</t>
  </si>
  <si>
    <t>040E3C2BE985</t>
  </si>
  <si>
    <t>8CG0172JMW</t>
  </si>
  <si>
    <t>GENSUS2BE987</t>
  </si>
  <si>
    <t>7.144.204.124</t>
  </si>
  <si>
    <t>040E3C2BE987</t>
  </si>
  <si>
    <t>8CG0172JN0</t>
  </si>
  <si>
    <t>GENSUS2BE988</t>
  </si>
  <si>
    <t>7.13.60.24</t>
  </si>
  <si>
    <t>040E3C2BE988</t>
  </si>
  <si>
    <t>8CG0172JNP</t>
  </si>
  <si>
    <t>GENSUS2BE989</t>
  </si>
  <si>
    <t>7.128.204.142</t>
  </si>
  <si>
    <t>040E3C2BE989</t>
  </si>
  <si>
    <t>8CG0172JNL</t>
  </si>
  <si>
    <t>GENSUS2BE98A</t>
  </si>
  <si>
    <t>7.20.148.88</t>
  </si>
  <si>
    <t>040E3C2BE98A</t>
  </si>
  <si>
    <t>8CG0172GN9</t>
  </si>
  <si>
    <t>GENSUS2BE98C</t>
  </si>
  <si>
    <t>7.53.164.146</t>
  </si>
  <si>
    <t>040E3C2BE98C</t>
  </si>
  <si>
    <t>8CG0172GMT</t>
  </si>
  <si>
    <t>GENSUS2BE98E</t>
  </si>
  <si>
    <t>7.150.20.128</t>
  </si>
  <si>
    <t>040E3C2BE98E</t>
  </si>
  <si>
    <t>8CG0172GN4</t>
  </si>
  <si>
    <t>GENSUS2BE991</t>
  </si>
  <si>
    <t>7.76.36.93</t>
  </si>
  <si>
    <t>040E3C2BE991</t>
  </si>
  <si>
    <t>8CG0172JP2</t>
  </si>
  <si>
    <t>GENSUS2BE992</t>
  </si>
  <si>
    <t>7.66.20.32</t>
  </si>
  <si>
    <t>040E3C2BE992</t>
  </si>
  <si>
    <t>8CG0172FTD</t>
  </si>
  <si>
    <t>GENSUS2BE999</t>
  </si>
  <si>
    <t>7.78.20.23</t>
  </si>
  <si>
    <t>040E3C2BE999</t>
  </si>
  <si>
    <t>8CG0172JLY</t>
  </si>
  <si>
    <t>GENSUS2BE99C</t>
  </si>
  <si>
    <t>7.166.204.180</t>
  </si>
  <si>
    <t>040E3C2BE99C</t>
  </si>
  <si>
    <t>8CG0172FJC</t>
  </si>
  <si>
    <t>GENSUS2BE99F</t>
  </si>
  <si>
    <t>7.89.172.206</t>
  </si>
  <si>
    <t>040E3C2BE99F</t>
  </si>
  <si>
    <t>8CG0172GMH</t>
  </si>
  <si>
    <t>GENSUS2BE9A0</t>
  </si>
  <si>
    <t>7.144.84.216</t>
  </si>
  <si>
    <t>040E3C2BE9A0</t>
  </si>
  <si>
    <t>8CG0172JNK</t>
  </si>
  <si>
    <t>GENSUS2BE9A3</t>
  </si>
  <si>
    <t>7.63.76.75</t>
  </si>
  <si>
    <t>040E3C2BE9A3</t>
  </si>
  <si>
    <t>8CG0172GMY</t>
  </si>
  <si>
    <t>GENSUS2BE9A6</t>
  </si>
  <si>
    <t>7.138.100.168</t>
  </si>
  <si>
    <t>040E3C2BE9A6</t>
  </si>
  <si>
    <t>8CG0172JNG</t>
  </si>
  <si>
    <t>GENSUS2BE9AA</t>
  </si>
  <si>
    <t>7.67.148.60</t>
  </si>
  <si>
    <t>040E3C2BE9AA</t>
  </si>
  <si>
    <t>8CG0172JML</t>
  </si>
  <si>
    <t>GENSUS2BE9AB</t>
  </si>
  <si>
    <t>7.20.172.169</t>
  </si>
  <si>
    <t>040E3C2BE9AB</t>
  </si>
  <si>
    <t>8CG0172JMN</t>
  </si>
  <si>
    <t>GENSUS2BE9AC</t>
  </si>
  <si>
    <t>7.87.28.135</t>
  </si>
  <si>
    <t>040E3C2BE9AC</t>
  </si>
  <si>
    <t>8CG0172JM7</t>
  </si>
  <si>
    <t>GENSUS2BE9AD</t>
  </si>
  <si>
    <t>7.78.20.113</t>
  </si>
  <si>
    <t>040E3C2BE9AD</t>
  </si>
  <si>
    <t>8CG0172JLR</t>
  </si>
  <si>
    <t>GENSUS2BE9AE</t>
  </si>
  <si>
    <t>7.14.44.126</t>
  </si>
  <si>
    <t>040E3C2BE9AE</t>
  </si>
  <si>
    <t>S06445</t>
  </si>
  <si>
    <t>8CG0172JLQ</t>
  </si>
  <si>
    <t>S06445.US-2016</t>
  </si>
  <si>
    <t>GENSUS2BE9AF</t>
  </si>
  <si>
    <t>7.35.156.94</t>
  </si>
  <si>
    <t>040E3C2BE9AF</t>
  </si>
  <si>
    <t>8CG0172JMS</t>
  </si>
  <si>
    <t>GENSUS2BE9B1</t>
  </si>
  <si>
    <t>7.65.220.204</t>
  </si>
  <si>
    <t>040E3C2BE9B1</t>
  </si>
  <si>
    <t>S06355</t>
  </si>
  <si>
    <t>8CG0172JSV</t>
  </si>
  <si>
    <t>S06355.US-2016</t>
  </si>
  <si>
    <t>GENSUS2BE9B6</t>
  </si>
  <si>
    <t>7.138.100.66</t>
  </si>
  <si>
    <t>040E3C2BE9B6</t>
  </si>
  <si>
    <t>8CG0172GLZ</t>
  </si>
  <si>
    <t>GENSUS2BE9BA</t>
  </si>
  <si>
    <t>7.68.68.184</t>
  </si>
  <si>
    <t>040E3C2BE9BA</t>
  </si>
  <si>
    <t>8CG0172JM3</t>
  </si>
  <si>
    <t>GENSUS2BE9BD</t>
  </si>
  <si>
    <t>7.56.204.71</t>
  </si>
  <si>
    <t>040E3C2BE9BD</t>
  </si>
  <si>
    <t>8CG0172GNB</t>
  </si>
  <si>
    <t>GENSUS2BE9BF</t>
  </si>
  <si>
    <t>7.53.164.172</t>
  </si>
  <si>
    <t>040E3C2BE9BF</t>
  </si>
  <si>
    <t>8CG0172GMC</t>
  </si>
  <si>
    <t>GENSUS2BE9C1</t>
  </si>
  <si>
    <t>7.84.28.127</t>
  </si>
  <si>
    <t>040E3C2BE9C1</t>
  </si>
  <si>
    <t>8CG0172FTF</t>
  </si>
  <si>
    <t>GENSUS2BE9C5</t>
  </si>
  <si>
    <t>7.171.212.133</t>
  </si>
  <si>
    <t>040E3C2BE9C5</t>
  </si>
  <si>
    <t>8CG0172GM5</t>
  </si>
  <si>
    <t>GENSUS2BE9C8</t>
  </si>
  <si>
    <t>7.76.36.118</t>
  </si>
  <si>
    <t>040E3C2BE9C8</t>
  </si>
  <si>
    <t>8CG0172JLS</t>
  </si>
  <si>
    <t>GENSUS2BE9CC</t>
  </si>
  <si>
    <t>7.20.148.83</t>
  </si>
  <si>
    <t>040E3C2BE9CC</t>
  </si>
  <si>
    <t>8CG0172GLT</t>
  </si>
  <si>
    <t>GENSUS2BE9CD</t>
  </si>
  <si>
    <t>7.144.204.168</t>
  </si>
  <si>
    <t>040E3C2BE9CD</t>
  </si>
  <si>
    <t>8CG0172GM8</t>
  </si>
  <si>
    <t>GENSUS2BE9E4</t>
  </si>
  <si>
    <t>7.188.164.90</t>
  </si>
  <si>
    <t>040E3C2BE9E4</t>
  </si>
  <si>
    <t>8CG0172GP8</t>
  </si>
  <si>
    <t>GENSUS2BE9E5</t>
  </si>
  <si>
    <t>55.174.103.168</t>
  </si>
  <si>
    <t>040E3C2BE9E5</t>
  </si>
  <si>
    <t>8CG0172GNH</t>
  </si>
  <si>
    <t>GENSUS2BE9E7</t>
  </si>
  <si>
    <t>7.188.164.11</t>
  </si>
  <si>
    <t>040E3C2BE9E7</t>
  </si>
  <si>
    <t>8CG0172GP5</t>
  </si>
  <si>
    <t>GENSUS2BE9EA</t>
  </si>
  <si>
    <t>7.52.236.92</t>
  </si>
  <si>
    <t>040E3C2BE9EA</t>
  </si>
  <si>
    <t>8CG0172GLS</t>
  </si>
  <si>
    <t>GENSUS2BE9EB</t>
  </si>
  <si>
    <t>7.67.148.83</t>
  </si>
  <si>
    <t>040E3C2BE9EB</t>
  </si>
  <si>
    <t>8CG0172JLH</t>
  </si>
  <si>
    <t>GENSUS2BE9EC</t>
  </si>
  <si>
    <t>7.144.204.119</t>
  </si>
  <si>
    <t>040E3C2BE9EC</t>
  </si>
  <si>
    <t>8CG0172JLK</t>
  </si>
  <si>
    <t>GENSUS2BE9F2</t>
  </si>
  <si>
    <t>7.52.124.176</t>
  </si>
  <si>
    <t>040E3C2BE9F2</t>
  </si>
  <si>
    <t>8CG0172GNY</t>
  </si>
  <si>
    <t>GENSUS2BE9FB</t>
  </si>
  <si>
    <t>7.162.36.158</t>
  </si>
  <si>
    <t>040E3C2BE9FB</t>
  </si>
  <si>
    <t>8CG0172GNN</t>
  </si>
  <si>
    <t>GENSUS2BE9FE</t>
  </si>
  <si>
    <t>7.53.92.132</t>
  </si>
  <si>
    <t>040E3C2BE9FE</t>
  </si>
  <si>
    <t>8CG0172GND</t>
  </si>
  <si>
    <t>GENSUS2BE9FF</t>
  </si>
  <si>
    <t>55.117.55.159</t>
  </si>
  <si>
    <t>040E3C2BE9FF</t>
  </si>
  <si>
    <t>8CG0172GM2</t>
  </si>
  <si>
    <t>GENSUS2BEA00</t>
  </si>
  <si>
    <t>7.52.140.169</t>
  </si>
  <si>
    <t>040E3C2BEA00</t>
  </si>
  <si>
    <t>8CG0172GM0</t>
  </si>
  <si>
    <t>GENSUS2BEA02</t>
  </si>
  <si>
    <t>7.20.172.78</t>
  </si>
  <si>
    <t>040E3C2BEA02</t>
  </si>
  <si>
    <t>8CG0172JN3</t>
  </si>
  <si>
    <t>GENSUS2BEA07</t>
  </si>
  <si>
    <t>55.78.23.184</t>
  </si>
  <si>
    <t>040E3C2BEA07</t>
  </si>
  <si>
    <t>8CG0172JVM</t>
  </si>
  <si>
    <t>GENSUS2BEA0A</t>
  </si>
  <si>
    <t>7.164.60.171</t>
  </si>
  <si>
    <t>040E3C2BEA0A</t>
  </si>
  <si>
    <t>8CG0172JN4</t>
  </si>
  <si>
    <t>GENSUS2BEA0E</t>
  </si>
  <si>
    <t>7.74.172.68</t>
  </si>
  <si>
    <t>040E3C2BEA0E</t>
  </si>
  <si>
    <t>8CG0172GM9</t>
  </si>
  <si>
    <t>GENSUS2BEA11</t>
  </si>
  <si>
    <t>7.150.28.35</t>
  </si>
  <si>
    <t>040E3C2BEA11</t>
  </si>
  <si>
    <t>8CG0172JQ9</t>
  </si>
  <si>
    <t>GENSUS2BEA12</t>
  </si>
  <si>
    <t>7.93.100.44</t>
  </si>
  <si>
    <t>040E3C2BEA12</t>
  </si>
  <si>
    <t>8CG0172JQB</t>
  </si>
  <si>
    <t>GENSUS2BEA13</t>
  </si>
  <si>
    <t>7.35.156.107</t>
  </si>
  <si>
    <t>040E3C2BEA13</t>
  </si>
  <si>
    <t>8CG0172GP1</t>
  </si>
  <si>
    <t>GENSUS2BEA1B</t>
  </si>
  <si>
    <t>55.77.31.162</t>
  </si>
  <si>
    <t>040E3C2BEA1B</t>
  </si>
  <si>
    <t>8CG0172GLP</t>
  </si>
  <si>
    <t>GENSUS2BEA1C</t>
  </si>
  <si>
    <t>7.56.204.86</t>
  </si>
  <si>
    <t>040E3C2BEA1C</t>
  </si>
  <si>
    <t>8CG0172GLM</t>
  </si>
  <si>
    <t>GENSUS2BEA1F</t>
  </si>
  <si>
    <t>7.191.4.126</t>
  </si>
  <si>
    <t>040E3C2BEA1F</t>
  </si>
  <si>
    <t>8CG0172GNK</t>
  </si>
  <si>
    <t>GENSUS2BEA20</t>
  </si>
  <si>
    <t>7.131.4.210</t>
  </si>
  <si>
    <t>040E3C2BEA20</t>
  </si>
  <si>
    <t>8CG0172GNJ</t>
  </si>
  <si>
    <t>GENSUS2BEA22</t>
  </si>
  <si>
    <t>7.138.100.210</t>
  </si>
  <si>
    <t>040E3C2BEA22</t>
  </si>
  <si>
    <t>8CG0172JN9</t>
  </si>
  <si>
    <t>GENSUS2BEA39</t>
  </si>
  <si>
    <t>7.57.132.239</t>
  </si>
  <si>
    <t>040E3C2BEA39</t>
  </si>
  <si>
    <t>8CG0172GLV</t>
  </si>
  <si>
    <t>GENSUS2BEA3A</t>
  </si>
  <si>
    <t>7.213.124.162</t>
  </si>
  <si>
    <t>040E3C2BEA3A</t>
  </si>
  <si>
    <t>8CG0172GLX</t>
  </si>
  <si>
    <t>GENSUS2BEA3C</t>
  </si>
  <si>
    <t>7.153.228.147</t>
  </si>
  <si>
    <t>040E3C2BEA3C</t>
  </si>
  <si>
    <t>8CG0172GMM</t>
  </si>
  <si>
    <t>GENSUS2BEA41</t>
  </si>
  <si>
    <t>7.64.204.117</t>
  </si>
  <si>
    <t>040E3C2BEA41</t>
  </si>
  <si>
    <t>8CG0172JMF</t>
  </si>
  <si>
    <t>GENSUS2BEA44</t>
  </si>
  <si>
    <t>7.56.204.220</t>
  </si>
  <si>
    <t>040E3C2BEA44</t>
  </si>
  <si>
    <t>8CG0172GLG</t>
  </si>
  <si>
    <t>GENSUS2BEA45</t>
  </si>
  <si>
    <t>7.144.212.215</t>
  </si>
  <si>
    <t>040E3C2BEA45</t>
  </si>
  <si>
    <t>8CG0172GLJ</t>
  </si>
  <si>
    <t>GENSUS2BEA4C</t>
  </si>
  <si>
    <t>7.144.220.68</t>
  </si>
  <si>
    <t>040E3C2BEA4C</t>
  </si>
  <si>
    <t>8CG0172JPS</t>
  </si>
  <si>
    <t>GENSUS2BEA4D</t>
  </si>
  <si>
    <t>7.43.172.184</t>
  </si>
  <si>
    <t>040E3C2BEA4D</t>
  </si>
  <si>
    <t>8CG0172JPT</t>
  </si>
  <si>
    <t>GENSUS2BEA4F</t>
  </si>
  <si>
    <t>7.35.156.64</t>
  </si>
  <si>
    <t>040E3C2BEA4F</t>
  </si>
  <si>
    <t>8CG0172JM1</t>
  </si>
  <si>
    <t>GENSUS2BEA50</t>
  </si>
  <si>
    <t>7.53.60.111</t>
  </si>
  <si>
    <t>040E3C2BEA50</t>
  </si>
  <si>
    <t>8CG0172JNN</t>
  </si>
  <si>
    <t>GENSUS2BEA51</t>
  </si>
  <si>
    <t>7.20.172.174</t>
  </si>
  <si>
    <t>040E3C2BEA51</t>
  </si>
  <si>
    <t>8CG0172JNQ</t>
  </si>
  <si>
    <t>GENSUS2BEA52</t>
  </si>
  <si>
    <t>7.77.252.82</t>
  </si>
  <si>
    <t>040E3C2BEA52</t>
  </si>
  <si>
    <t>8CG0172JNM</t>
  </si>
  <si>
    <t>GENSUS2BEA57</t>
  </si>
  <si>
    <t>7.78.252.219</t>
  </si>
  <si>
    <t>040E3C2BEA57</t>
  </si>
  <si>
    <t>8CG0172FT9</t>
  </si>
  <si>
    <t>GENSUS2BEA58</t>
  </si>
  <si>
    <t>7.191.84.109</t>
  </si>
  <si>
    <t>040E3C2BEA58</t>
  </si>
  <si>
    <t>S06365</t>
  </si>
  <si>
    <t>8CG0172JMJ</t>
  </si>
  <si>
    <t>S06365.US-2016</t>
  </si>
  <si>
    <t>GENSUS2BEA59</t>
  </si>
  <si>
    <t>7.68.68.61</t>
  </si>
  <si>
    <t>040E3C2BEA59</t>
  </si>
  <si>
    <t>8CG0172JMH</t>
  </si>
  <si>
    <t>GENSUS2BEA5A</t>
  </si>
  <si>
    <t>7.13.60.59</t>
  </si>
  <si>
    <t>040E3C2BEA5A</t>
  </si>
  <si>
    <t>8CG0172JM6</t>
  </si>
  <si>
    <t>GENSUS2BEA5F</t>
  </si>
  <si>
    <t>7.53.60.200</t>
  </si>
  <si>
    <t>040E3C2BEA5F</t>
  </si>
  <si>
    <t>8CG0172JNR</t>
  </si>
  <si>
    <t>GENSUS2BEA61</t>
  </si>
  <si>
    <t>7.13.60.77</t>
  </si>
  <si>
    <t>040E3C2BEA61</t>
  </si>
  <si>
    <t>8CG0172JNV</t>
  </si>
  <si>
    <t>GENSUS2CB9F5</t>
  </si>
  <si>
    <t>7.215.116.216</t>
  </si>
  <si>
    <t>040E3C2CB9F5</t>
  </si>
  <si>
    <t>8CG019372K</t>
  </si>
  <si>
    <t>GENSUS2CBA27</t>
  </si>
  <si>
    <t>7.53.212.163</t>
  </si>
  <si>
    <t>040E3C2CBA27</t>
  </si>
  <si>
    <t>8CG019376M</t>
  </si>
  <si>
    <t>GENSUS2CBA3A</t>
  </si>
  <si>
    <t>7.67.196.50</t>
  </si>
  <si>
    <t>040E3C2CBA3A</t>
  </si>
  <si>
    <t>8CG019372M</t>
  </si>
  <si>
    <t>GENSUS2CBA82</t>
  </si>
  <si>
    <t>7.142.108.39</t>
  </si>
  <si>
    <t>040E3C2CBA82</t>
  </si>
  <si>
    <t>S06259</t>
  </si>
  <si>
    <t>8CG019371M</t>
  </si>
  <si>
    <t>S06259.US-2016</t>
  </si>
  <si>
    <t>GENSUS2CBAB0</t>
  </si>
  <si>
    <t>7.114.188.60</t>
  </si>
  <si>
    <t>040E3C2CBAB0</t>
  </si>
  <si>
    <t>8CG019374W</t>
  </si>
  <si>
    <t>GENSUS2CBB08</t>
  </si>
  <si>
    <t>7.78.252.208</t>
  </si>
  <si>
    <t>040E3C2CBB08</t>
  </si>
  <si>
    <t>8CG019375J</t>
  </si>
  <si>
    <t>GENSUS2DB4C4</t>
  </si>
  <si>
    <t>7.181.44.61</t>
  </si>
  <si>
    <t>C465162DB4C4</t>
  </si>
  <si>
    <t>8CG9294KCJ</t>
  </si>
  <si>
    <t>GENSUS2FC795</t>
  </si>
  <si>
    <t>55.93.103.187</t>
  </si>
  <si>
    <t>040E3C2FC795</t>
  </si>
  <si>
    <t>8CG0231D3G</t>
  </si>
  <si>
    <t>GENSUS301D4F</t>
  </si>
  <si>
    <t>7.68.132.146</t>
  </si>
  <si>
    <t>C46516301D4F</t>
  </si>
  <si>
    <t>8CG9294KDN</t>
  </si>
  <si>
    <t>GENSUS301DA6</t>
  </si>
  <si>
    <t>7.23.100.34</t>
  </si>
  <si>
    <t>C46516301DA6</t>
  </si>
  <si>
    <t>8CG9294KF0</t>
  </si>
  <si>
    <t>GENSUS301DC6</t>
  </si>
  <si>
    <t>7.3.212.175</t>
  </si>
  <si>
    <t>C46516301DC6</t>
  </si>
  <si>
    <t>8CG9294KB7</t>
  </si>
  <si>
    <t>GENSUS301DE8</t>
  </si>
  <si>
    <t>7.4.100.83</t>
  </si>
  <si>
    <t>C46516301DE8</t>
  </si>
  <si>
    <t>8CG9294K94</t>
  </si>
  <si>
    <t>GENSUS301E6A</t>
  </si>
  <si>
    <t>7.23.100.68</t>
  </si>
  <si>
    <t>C46516301E6A</t>
  </si>
  <si>
    <t>8CG9294KGX</t>
  </si>
  <si>
    <t>GENSUS301E92</t>
  </si>
  <si>
    <t>7.151.116.38</t>
  </si>
  <si>
    <t>C46516301E92</t>
  </si>
  <si>
    <t>S04946</t>
  </si>
  <si>
    <t>8CG9294KJR</t>
  </si>
  <si>
    <t>S04946.US-2016</t>
  </si>
  <si>
    <t>GENSUS302111</t>
  </si>
  <si>
    <t>7.191.84.204</t>
  </si>
  <si>
    <t>C46516302111</t>
  </si>
  <si>
    <t>8CG9294K9X</t>
  </si>
  <si>
    <t>GENSUS3024E5</t>
  </si>
  <si>
    <t>7.56.196.187</t>
  </si>
  <si>
    <t>C465163024E5</t>
  </si>
  <si>
    <t>8CG929532V</t>
  </si>
  <si>
    <t>GENSUS30B42C</t>
  </si>
  <si>
    <t>7.77.188.34</t>
  </si>
  <si>
    <t>C4651630B42C</t>
  </si>
  <si>
    <t>8CG9303X3G</t>
  </si>
  <si>
    <t>GENSUS30B448</t>
  </si>
  <si>
    <t>7.190.52.75</t>
  </si>
  <si>
    <t>C4651630B448</t>
  </si>
  <si>
    <t>S08264</t>
  </si>
  <si>
    <t>8CG92952GR</t>
  </si>
  <si>
    <t>S08264.US-2016</t>
  </si>
  <si>
    <t>GENSUS30B44A</t>
  </si>
  <si>
    <t>55.14.175.168</t>
  </si>
  <si>
    <t>C4651630B44A</t>
  </si>
  <si>
    <t>8CG9294YZN</t>
  </si>
  <si>
    <t>GENSUS30B451</t>
  </si>
  <si>
    <t>7.65.220.194</t>
  </si>
  <si>
    <t>C4651630B451</t>
  </si>
  <si>
    <t>8CG9294Z6G</t>
  </si>
  <si>
    <t>GENSUS30B45C</t>
  </si>
  <si>
    <t>7.25.124.47</t>
  </si>
  <si>
    <t>C4651630B45C</t>
  </si>
  <si>
    <t>8CG92952GX</t>
  </si>
  <si>
    <t>GENSUS30B46B</t>
  </si>
  <si>
    <t>7.0.52.68</t>
  </si>
  <si>
    <t>C4651630B46B</t>
  </si>
  <si>
    <t>8CG92952DY</t>
  </si>
  <si>
    <t>GENSUS30B46C</t>
  </si>
  <si>
    <t>7.136.196.158</t>
  </si>
  <si>
    <t>C4651630B46C</t>
  </si>
  <si>
    <t>8CG92952DS</t>
  </si>
  <si>
    <t>GENSUS30B46E</t>
  </si>
  <si>
    <t>7.179.108.14</t>
  </si>
  <si>
    <t>C4651630B46E</t>
  </si>
  <si>
    <t>8CG92952DR</t>
  </si>
  <si>
    <t>GENSUS30B470</t>
  </si>
  <si>
    <t>7.0.52.137</t>
  </si>
  <si>
    <t>C4651630B470</t>
  </si>
  <si>
    <t>8CG92952DW</t>
  </si>
  <si>
    <t>GENSUS30B472</t>
  </si>
  <si>
    <t>7.21.196.169</t>
  </si>
  <si>
    <t>C4651630B472</t>
  </si>
  <si>
    <t>8CG92952F1</t>
  </si>
  <si>
    <t>GENSUS30B479</t>
  </si>
  <si>
    <t>7.0.52.194</t>
  </si>
  <si>
    <t>C4651630B479</t>
  </si>
  <si>
    <t>8CG92952H9</t>
  </si>
  <si>
    <t>GENSUS30B47B</t>
  </si>
  <si>
    <t>7.189.68.205</t>
  </si>
  <si>
    <t>C4651630B47B</t>
  </si>
  <si>
    <t>8CG9303X09</t>
  </si>
  <si>
    <t>GENSUS30B47E</t>
  </si>
  <si>
    <t>7.25.124.203</t>
  </si>
  <si>
    <t>C4651630B47E</t>
  </si>
  <si>
    <t>8CG92952G9</t>
  </si>
  <si>
    <t>GENSUS30B481</t>
  </si>
  <si>
    <t>7.179.108.148</t>
  </si>
  <si>
    <t>C4651630B481</t>
  </si>
  <si>
    <t>8CG92952D6</t>
  </si>
  <si>
    <t>GENSUS30B485</t>
  </si>
  <si>
    <t>7.11.244.40</t>
  </si>
  <si>
    <t>C4651630B485</t>
  </si>
  <si>
    <t>S08279</t>
  </si>
  <si>
    <t>8CG92952D4</t>
  </si>
  <si>
    <t>S08279.US-2016</t>
  </si>
  <si>
    <t>GENSUS30B488</t>
  </si>
  <si>
    <t>7.179.108.139</t>
  </si>
  <si>
    <t>C4651630B488</t>
  </si>
  <si>
    <t>8CG92952DB</t>
  </si>
  <si>
    <t>GENSUS30B492</t>
  </si>
  <si>
    <t>7.124.52.101</t>
  </si>
  <si>
    <t>C4651630B492</t>
  </si>
  <si>
    <t>S06619</t>
  </si>
  <si>
    <t>8CG92952F7</t>
  </si>
  <si>
    <t>S06619.US-2016</t>
  </si>
  <si>
    <t>GENSUS30B495</t>
  </si>
  <si>
    <t>7.179.108.146</t>
  </si>
  <si>
    <t>C4651630B495</t>
  </si>
  <si>
    <t>8CG92952F4</t>
  </si>
  <si>
    <t>GENSUS30B4AB</t>
  </si>
  <si>
    <t>7.0.52.154</t>
  </si>
  <si>
    <t>C4651630B4AB</t>
  </si>
  <si>
    <t>8CG92952D0</t>
  </si>
  <si>
    <t>GENSUS30B4B6</t>
  </si>
  <si>
    <t>7.12.12.139</t>
  </si>
  <si>
    <t>C4651630B4B6</t>
  </si>
  <si>
    <t>8CG9294Z5R</t>
  </si>
  <si>
    <t>GENSUS30B4BB</t>
  </si>
  <si>
    <t>7.214.108.176</t>
  </si>
  <si>
    <t>C4651630B4BB</t>
  </si>
  <si>
    <t>8CG9303X04</t>
  </si>
  <si>
    <t>GENSUS30B4BE</t>
  </si>
  <si>
    <t>7.36.28.227</t>
  </si>
  <si>
    <t>C4651630B4BE</t>
  </si>
  <si>
    <t>S08112</t>
  </si>
  <si>
    <t>8CG9303WZZ</t>
  </si>
  <si>
    <t>S08112.US-2016</t>
  </si>
  <si>
    <t>GENSUS30B4C1</t>
  </si>
  <si>
    <t>7.135.76.164</t>
  </si>
  <si>
    <t>C4651630B4C1</t>
  </si>
  <si>
    <t>8CG92952DJ</t>
  </si>
  <si>
    <t>GENSUS30B4C9</t>
  </si>
  <si>
    <t>7.178.212.82</t>
  </si>
  <si>
    <t>C4651630B4C9</t>
  </si>
  <si>
    <t>8CG9303X0P</t>
  </si>
  <si>
    <t>GENSUS30B4CC</t>
  </si>
  <si>
    <t>7.179.108.137</t>
  </si>
  <si>
    <t>C4651630B4CC</t>
  </si>
  <si>
    <t>8CG9294Z5Y</t>
  </si>
  <si>
    <t>GENSUS30B4D6</t>
  </si>
  <si>
    <t>7.28.36.34</t>
  </si>
  <si>
    <t>C4651630B4D6</t>
  </si>
  <si>
    <t>8CG9303WZY</t>
  </si>
  <si>
    <t>GENSUS30B4DF</t>
  </si>
  <si>
    <t>7.57.156.92</t>
  </si>
  <si>
    <t>C4651630B4DF</t>
  </si>
  <si>
    <t>S06650</t>
  </si>
  <si>
    <t>8CG92952KR</t>
  </si>
  <si>
    <t>S06650.US-2016</t>
  </si>
  <si>
    <t>GENSUS30B512</t>
  </si>
  <si>
    <t>7.35.36.110</t>
  </si>
  <si>
    <t>C4651630B512</t>
  </si>
  <si>
    <t>8CG9303X1K</t>
  </si>
  <si>
    <t>GENSUS30B528</t>
  </si>
  <si>
    <t>7.213.4.11</t>
  </si>
  <si>
    <t>C4651630B528</t>
  </si>
  <si>
    <t>8CG9303X22</t>
  </si>
  <si>
    <t>GENSUS30B539</t>
  </si>
  <si>
    <t>7.21.76.216</t>
  </si>
  <si>
    <t>C4651630B539</t>
  </si>
  <si>
    <t>S08172</t>
  </si>
  <si>
    <t>8CG9303X15</t>
  </si>
  <si>
    <t>S08172.US-2016</t>
  </si>
  <si>
    <t>GENSUS30B552</t>
  </si>
  <si>
    <t>7.28.36.53</t>
  </si>
  <si>
    <t>C4651630B552</t>
  </si>
  <si>
    <t>8CG9303WZX</t>
  </si>
  <si>
    <t>GENSUS30B553</t>
  </si>
  <si>
    <t>7.66.236.115</t>
  </si>
  <si>
    <t>C4651630B553</t>
  </si>
  <si>
    <t>8CG9303X0C</t>
  </si>
  <si>
    <t>GENSUS30B560</t>
  </si>
  <si>
    <t>55.21.151.181</t>
  </si>
  <si>
    <t>C4651630B560</t>
  </si>
  <si>
    <t>8CG92952G3</t>
  </si>
  <si>
    <t>GENSUS30B561</t>
  </si>
  <si>
    <t>7.128.212.126</t>
  </si>
  <si>
    <t>C4651630B561</t>
  </si>
  <si>
    <t>8CG92952G2</t>
  </si>
  <si>
    <t>GENSUS30B563</t>
  </si>
  <si>
    <t>7.3.212.198</t>
  </si>
  <si>
    <t>C4651630B563</t>
  </si>
  <si>
    <t>8CG9303X1X</t>
  </si>
  <si>
    <t>GENSUS30B565</t>
  </si>
  <si>
    <t>7.179.108.56</t>
  </si>
  <si>
    <t>C4651630B565</t>
  </si>
  <si>
    <t>8CG92952G5</t>
  </si>
  <si>
    <t>GENSUS30B568</t>
  </si>
  <si>
    <t>7.65.220.189</t>
  </si>
  <si>
    <t>C4651630B568</t>
  </si>
  <si>
    <t>8CG92952G1</t>
  </si>
  <si>
    <t>GENSUS30B569</t>
  </si>
  <si>
    <t>7.73.148.104</t>
  </si>
  <si>
    <t>C4651630B569</t>
  </si>
  <si>
    <t>8CG92952FY</t>
  </si>
  <si>
    <t>GENSUS30B56C</t>
  </si>
  <si>
    <t>7.0.52.195</t>
  </si>
  <si>
    <t>C4651630B56C</t>
  </si>
  <si>
    <t>8CG92952FZ</t>
  </si>
  <si>
    <t>GENSUS30B571</t>
  </si>
  <si>
    <t>7.68.148.42</t>
  </si>
  <si>
    <t>C4651630B571</t>
  </si>
  <si>
    <t>8CG92952FB</t>
  </si>
  <si>
    <t>GENSUS30B574</t>
  </si>
  <si>
    <t>7.34.156.21</t>
  </si>
  <si>
    <t>C4651630B574</t>
  </si>
  <si>
    <t>8CG9295251</t>
  </si>
  <si>
    <t>GENSUS30B57A</t>
  </si>
  <si>
    <t>7.172.52.14</t>
  </si>
  <si>
    <t>C4651630B57A</t>
  </si>
  <si>
    <t>8CG92952C5</t>
  </si>
  <si>
    <t>GENSUS30B581</t>
  </si>
  <si>
    <t>7.25.124.166</t>
  </si>
  <si>
    <t>C4651630B581</t>
  </si>
  <si>
    <t>8CG92952G8</t>
  </si>
  <si>
    <t>GENSUS30B58C</t>
  </si>
  <si>
    <t>7.25.148.63</t>
  </si>
  <si>
    <t>C4651630B58C</t>
  </si>
  <si>
    <t>8CG92952FV</t>
  </si>
  <si>
    <t>GENSUS30B592</t>
  </si>
  <si>
    <t>7.11.244.39</t>
  </si>
  <si>
    <t>C4651630B592</t>
  </si>
  <si>
    <t>8CG92952FG</t>
  </si>
  <si>
    <t>GENSUS30B593</t>
  </si>
  <si>
    <t>7.47.244.133</t>
  </si>
  <si>
    <t>C4651630B593</t>
  </si>
  <si>
    <t>8CG92952FH</t>
  </si>
  <si>
    <t>GENSUS30B597</t>
  </si>
  <si>
    <t>7.179.108.145</t>
  </si>
  <si>
    <t>C4651630B597</t>
  </si>
  <si>
    <t>8CG92952FM</t>
  </si>
  <si>
    <t>GENSUS30B598</t>
  </si>
  <si>
    <t>7.21.196.41</t>
  </si>
  <si>
    <t>C4651630B598</t>
  </si>
  <si>
    <t>8CG92952FR</t>
  </si>
  <si>
    <t>GENSUS30B599</t>
  </si>
  <si>
    <t>7.137.180.140</t>
  </si>
  <si>
    <t>C4651630B599</t>
  </si>
  <si>
    <t>8CG92952FQ</t>
  </si>
  <si>
    <t>GENSUS30B59A</t>
  </si>
  <si>
    <t>7.13.244.154</t>
  </si>
  <si>
    <t>C4651630B59A</t>
  </si>
  <si>
    <t>8CG9303X0B</t>
  </si>
  <si>
    <t>GENSUS30B5A0</t>
  </si>
  <si>
    <t>7.135.76.227</t>
  </si>
  <si>
    <t>C4651630B5A0</t>
  </si>
  <si>
    <t>8CG92952FT</t>
  </si>
  <si>
    <t>GENSUS30B5B0</t>
  </si>
  <si>
    <t>7.122.172.151</t>
  </si>
  <si>
    <t>C4651630B5B0</t>
  </si>
  <si>
    <t>8CG9294ZK3</t>
  </si>
  <si>
    <t>GENSUS30B5B1</t>
  </si>
  <si>
    <t>7.123.164.224</t>
  </si>
  <si>
    <t>C4651630B5B1</t>
  </si>
  <si>
    <t>8CG9303X03</t>
  </si>
  <si>
    <t>GENSUS30B5C0</t>
  </si>
  <si>
    <t>7.131.36.61</t>
  </si>
  <si>
    <t>C4651630B5C0</t>
  </si>
  <si>
    <t>8CG92952PC</t>
  </si>
  <si>
    <t>GENSUS30B5DA</t>
  </si>
  <si>
    <t>7.135.116.151</t>
  </si>
  <si>
    <t>C4651630B5DA</t>
  </si>
  <si>
    <t>S04781</t>
  </si>
  <si>
    <t>8CG92950PY</t>
  </si>
  <si>
    <t>S04781.US-2016</t>
  </si>
  <si>
    <t>GENSUS30B5E2</t>
  </si>
  <si>
    <t>7.156.244.34</t>
  </si>
  <si>
    <t>C4651630B5E2</t>
  </si>
  <si>
    <t>8CG9294ZJ5</t>
  </si>
  <si>
    <t>GENSUS30B5E5</t>
  </si>
  <si>
    <t>7.130.212.74</t>
  </si>
  <si>
    <t>C4651630B5E5</t>
  </si>
  <si>
    <t>8CG9294ZHV</t>
  </si>
  <si>
    <t>GENSUS30B5E8</t>
  </si>
  <si>
    <t>7.0.52.197</t>
  </si>
  <si>
    <t>C4651630B5E8</t>
  </si>
  <si>
    <t>8CG9294ZKD</t>
  </si>
  <si>
    <t>GENSUS30B5F2</t>
  </si>
  <si>
    <t>7.88.4.74</t>
  </si>
  <si>
    <t>C4651630B5F2</t>
  </si>
  <si>
    <t>8CG9303X08</t>
  </si>
  <si>
    <t>GENSUS30B5FB</t>
  </si>
  <si>
    <t>7.123.132.130</t>
  </si>
  <si>
    <t>C4651630B5FB</t>
  </si>
  <si>
    <t>8CG92950PR</t>
  </si>
  <si>
    <t>GENSUS30B62A</t>
  </si>
  <si>
    <t>7.165.244.62</t>
  </si>
  <si>
    <t>C4651630B62A</t>
  </si>
  <si>
    <t>8CG9294ZPM</t>
  </si>
  <si>
    <t>GENSUS30B62F</t>
  </si>
  <si>
    <t>7.36.44.96</t>
  </si>
  <si>
    <t>C4651630B62F</t>
  </si>
  <si>
    <t>8CG9294ZPK</t>
  </si>
  <si>
    <t>GENSUS30B639</t>
  </si>
  <si>
    <t>7.150.180.161</t>
  </si>
  <si>
    <t>C4651630B639</t>
  </si>
  <si>
    <t>8CG92950S3</t>
  </si>
  <si>
    <t>GENSUS30B641</t>
  </si>
  <si>
    <t>7.187.100.86</t>
  </si>
  <si>
    <t>C4651630B641</t>
  </si>
  <si>
    <t>8CG9294ZPS</t>
  </si>
  <si>
    <t>GENSUS30B644</t>
  </si>
  <si>
    <t>7.34.156.76</t>
  </si>
  <si>
    <t>C4651630B644</t>
  </si>
  <si>
    <t>8CG92950T3</t>
  </si>
  <si>
    <t>GENSUS30B647</t>
  </si>
  <si>
    <t>7.72.28.25</t>
  </si>
  <si>
    <t>C4651630B647</t>
  </si>
  <si>
    <t>8CG92950SH</t>
  </si>
  <si>
    <t>GENSUS30B649</t>
  </si>
  <si>
    <t>7.66.196.98</t>
  </si>
  <si>
    <t>C4651630B649</t>
  </si>
  <si>
    <t>8CG92950T9</t>
  </si>
  <si>
    <t>GENSUS30B650</t>
  </si>
  <si>
    <t>7.140.140.163</t>
  </si>
  <si>
    <t>C4651630B650</t>
  </si>
  <si>
    <t>8CG92950T4</t>
  </si>
  <si>
    <t>GENSUS30B654</t>
  </si>
  <si>
    <t>7.82.180.27</t>
  </si>
  <si>
    <t>C4651630B654</t>
  </si>
  <si>
    <t>8CG92950S8</t>
  </si>
  <si>
    <t>GENSUS30B65B</t>
  </si>
  <si>
    <t>7.53.156.51</t>
  </si>
  <si>
    <t>C4651630B65B</t>
  </si>
  <si>
    <t>8CG9295234</t>
  </si>
  <si>
    <t>GENSUS30B668</t>
  </si>
  <si>
    <t>7.140.140.41</t>
  </si>
  <si>
    <t>C4651630B668</t>
  </si>
  <si>
    <t>8CG92950RW</t>
  </si>
  <si>
    <t>GENSUS30B673</t>
  </si>
  <si>
    <t>7.24.12.227</t>
  </si>
  <si>
    <t>C4651630B673</t>
  </si>
  <si>
    <t>S06202</t>
  </si>
  <si>
    <t>8CG92950RY</t>
  </si>
  <si>
    <t>S06202.US-2016</t>
  </si>
  <si>
    <t>GENSUS30B6A4</t>
  </si>
  <si>
    <t>7.122.172.69</t>
  </si>
  <si>
    <t>C4651630B6A4</t>
  </si>
  <si>
    <t>8CG92950SS</t>
  </si>
  <si>
    <t>GENSUS30B6AE</t>
  </si>
  <si>
    <t>7.67.36.88</t>
  </si>
  <si>
    <t>C4651630B6AE</t>
  </si>
  <si>
    <t>8CG92950V5</t>
  </si>
  <si>
    <t>GENSUS30B6BA</t>
  </si>
  <si>
    <t>7.53.132.135</t>
  </si>
  <si>
    <t>C4651630B6BA</t>
  </si>
  <si>
    <t>8CG92950TL</t>
  </si>
  <si>
    <t>GENSUS30B6C3</t>
  </si>
  <si>
    <t>7.136.108.186</t>
  </si>
  <si>
    <t>C4651630B6C3</t>
  </si>
  <si>
    <t>8CG9294Z6M</t>
  </si>
  <si>
    <t>GENSUS30B6C4</t>
  </si>
  <si>
    <t>7.112.84.112</t>
  </si>
  <si>
    <t>C4651630B6C4</t>
  </si>
  <si>
    <t>S06217</t>
  </si>
  <si>
    <t>8CG9294ZPB</t>
  </si>
  <si>
    <t>S06217.US-2016</t>
  </si>
  <si>
    <t>GENSUS30B6C7</t>
  </si>
  <si>
    <t>7.135.116.63</t>
  </si>
  <si>
    <t>C4651630B6C7</t>
  </si>
  <si>
    <t>8CG92950SW</t>
  </si>
  <si>
    <t>GENSUS30B6D8</t>
  </si>
  <si>
    <t>7.92.20.202</t>
  </si>
  <si>
    <t>C4651630B6D8</t>
  </si>
  <si>
    <t>8CG92950SY</t>
  </si>
  <si>
    <t>GENSUS30B6E1</t>
  </si>
  <si>
    <t>7.65.220.211</t>
  </si>
  <si>
    <t>C4651630B6E1</t>
  </si>
  <si>
    <t>8CG92950ST</t>
  </si>
  <si>
    <t>GENSUS30B6E8</t>
  </si>
  <si>
    <t>7.135.76.174</t>
  </si>
  <si>
    <t>C4651630B6E8</t>
  </si>
  <si>
    <t>8CG9294ZMX</t>
  </si>
  <si>
    <t>GENSUS30B702</t>
  </si>
  <si>
    <t>7.112.84.16</t>
  </si>
  <si>
    <t>C4651630B702</t>
  </si>
  <si>
    <t>8CG9294ZMM</t>
  </si>
  <si>
    <t>GENSUS30B72B</t>
  </si>
  <si>
    <t>7.66.212.100</t>
  </si>
  <si>
    <t>C4651630B72B</t>
  </si>
  <si>
    <t>8CG9294ZP5</t>
  </si>
  <si>
    <t>GENSUS30B733</t>
  </si>
  <si>
    <t>7.172.52.177</t>
  </si>
  <si>
    <t>C4651630B733</t>
  </si>
  <si>
    <t>8CG9294ZN5</t>
  </si>
  <si>
    <t>GENSUS30B74F</t>
  </si>
  <si>
    <t>7.4.100.116</t>
  </si>
  <si>
    <t>C4651630B74F</t>
  </si>
  <si>
    <t>8CG9295249</t>
  </si>
  <si>
    <t>GENSUS30B752</t>
  </si>
  <si>
    <t>7.140.140.159</t>
  </si>
  <si>
    <t>C4651630B752</t>
  </si>
  <si>
    <t>8CG929524H</t>
  </si>
  <si>
    <t>GENSUS30B757</t>
  </si>
  <si>
    <t>7.151.124.164</t>
  </si>
  <si>
    <t>C4651630B757</t>
  </si>
  <si>
    <t>8CG929522P</t>
  </si>
  <si>
    <t>GENSUS30B75C</t>
  </si>
  <si>
    <t>7.187.100.40</t>
  </si>
  <si>
    <t>C4651630B75C</t>
  </si>
  <si>
    <t>8CG92950XK</t>
  </si>
  <si>
    <t>GENSUS30B768</t>
  </si>
  <si>
    <t>7.25.132.117</t>
  </si>
  <si>
    <t>C4651630B768</t>
  </si>
  <si>
    <t>S06216</t>
  </si>
  <si>
    <t>8CG929524N</t>
  </si>
  <si>
    <t>S06216.US-2016</t>
  </si>
  <si>
    <t>GENSUS30B76A</t>
  </si>
  <si>
    <t>7.130.212.126</t>
  </si>
  <si>
    <t>C4651630B76A</t>
  </si>
  <si>
    <t>8CG929524J</t>
  </si>
  <si>
    <t>GENSUS30B77C</t>
  </si>
  <si>
    <t>7.12.84.115</t>
  </si>
  <si>
    <t>C4651630B77C</t>
  </si>
  <si>
    <t>S08266</t>
  </si>
  <si>
    <t>8CG9303WZ4</t>
  </si>
  <si>
    <t>S08266.US-2016</t>
  </si>
  <si>
    <t>GENSUS30B7A2</t>
  </si>
  <si>
    <t>7.12.44.80</t>
  </si>
  <si>
    <t>C4651630B7A2</t>
  </si>
  <si>
    <t>8CG9295244</t>
  </si>
  <si>
    <t>GENSUS30B7A5</t>
  </si>
  <si>
    <t>7.112.84.17</t>
  </si>
  <si>
    <t>C4651630B7A5</t>
  </si>
  <si>
    <t>8CG9295261</t>
  </si>
  <si>
    <t>GENSUS30B7A7</t>
  </si>
  <si>
    <t>7.92.20.165</t>
  </si>
  <si>
    <t>C4651630B7A7</t>
  </si>
  <si>
    <t>8CG92950XS</t>
  </si>
  <si>
    <t>GENSUS30B7B2</t>
  </si>
  <si>
    <t>7.25.132.36</t>
  </si>
  <si>
    <t>C4651630B7B2</t>
  </si>
  <si>
    <t>8CG929523J</t>
  </si>
  <si>
    <t>GENSUS30B7D2</t>
  </si>
  <si>
    <t>7.125.124.55</t>
  </si>
  <si>
    <t>C4651630B7D2</t>
  </si>
  <si>
    <t>8CG9295247</t>
  </si>
  <si>
    <t>GENSUS30B7EB</t>
  </si>
  <si>
    <t>7.35.164.64</t>
  </si>
  <si>
    <t>C4651630B7EB</t>
  </si>
  <si>
    <t>8CG929522C</t>
  </si>
  <si>
    <t>GENSUS30B7F3</t>
  </si>
  <si>
    <t>7.24.12.64</t>
  </si>
  <si>
    <t>C4651630B7F3</t>
  </si>
  <si>
    <t>8CG9295265</t>
  </si>
  <si>
    <t>GENSUS30B7FD</t>
  </si>
  <si>
    <t>7.163.148.191</t>
  </si>
  <si>
    <t>C4651630B7FD</t>
  </si>
  <si>
    <t>8CG929521X</t>
  </si>
  <si>
    <t>GENSUS30B806</t>
  </si>
  <si>
    <t>7.135.116.196</t>
  </si>
  <si>
    <t>C4651630B806</t>
  </si>
  <si>
    <t>8CG9294ZPG</t>
  </si>
  <si>
    <t>GENSUS30B83C</t>
  </si>
  <si>
    <t>7.34.204.84</t>
  </si>
  <si>
    <t>C4651630B83C</t>
  </si>
  <si>
    <t>8CG929530K</t>
  </si>
  <si>
    <t>GENSUS30B845</t>
  </si>
  <si>
    <t>7.159.44.229</t>
  </si>
  <si>
    <t>C4651630B845</t>
  </si>
  <si>
    <t>8CG9295334</t>
  </si>
  <si>
    <t>GENSUS30B851</t>
  </si>
  <si>
    <t>7.49.196.170</t>
  </si>
  <si>
    <t>C4651630B851</t>
  </si>
  <si>
    <t>8CG9295305</t>
  </si>
  <si>
    <t>GENSUS30B855</t>
  </si>
  <si>
    <t>7.11.60.178</t>
  </si>
  <si>
    <t>C4651630B855</t>
  </si>
  <si>
    <t>8CG9295309</t>
  </si>
  <si>
    <t>GENSUS30B85A</t>
  </si>
  <si>
    <t>7.215.12.200</t>
  </si>
  <si>
    <t>C4651630B85A</t>
  </si>
  <si>
    <t>8CG929530N</t>
  </si>
  <si>
    <t>GENSUS30B85B</t>
  </si>
  <si>
    <t>7.153.52.162</t>
  </si>
  <si>
    <t>C4651630B85B</t>
  </si>
  <si>
    <t>8CG9295332</t>
  </si>
  <si>
    <t>GENSUS30B860</t>
  </si>
  <si>
    <t>7.150.196.37</t>
  </si>
  <si>
    <t>C4651630B860</t>
  </si>
  <si>
    <t>8CG929533N</t>
  </si>
  <si>
    <t>GENSUS30B887</t>
  </si>
  <si>
    <t>7.35.140.188</t>
  </si>
  <si>
    <t>C4651630B887</t>
  </si>
  <si>
    <t>8CG92952ZR</t>
  </si>
  <si>
    <t>GENSUS30B88E</t>
  </si>
  <si>
    <t>7.20.180.233</t>
  </si>
  <si>
    <t>C4651630B88E</t>
  </si>
  <si>
    <t>8CG9295330</t>
  </si>
  <si>
    <t>GENSUS30B897</t>
  </si>
  <si>
    <t>7.150.12.181</t>
  </si>
  <si>
    <t>C4651630B897</t>
  </si>
  <si>
    <t>S04908</t>
  </si>
  <si>
    <t>8CG9295329</t>
  </si>
  <si>
    <t>S04908.US-2016</t>
  </si>
  <si>
    <t>GENSUS30B8BE</t>
  </si>
  <si>
    <t>7.142.108.190</t>
  </si>
  <si>
    <t>C4651630B8BE</t>
  </si>
  <si>
    <t>8CG9294ZGB</t>
  </si>
  <si>
    <t>GENSUS30B8CC</t>
  </si>
  <si>
    <t>7.24.68.204</t>
  </si>
  <si>
    <t>C4651630B8CC</t>
  </si>
  <si>
    <t>S04738</t>
  </si>
  <si>
    <t>8CG9294ZGP</t>
  </si>
  <si>
    <t>S04738.US-2016</t>
  </si>
  <si>
    <t>GENSUS30B8D7</t>
  </si>
  <si>
    <t>7.8.156.109</t>
  </si>
  <si>
    <t>C4651630B8D7</t>
  </si>
  <si>
    <t>8CG929531Y</t>
  </si>
  <si>
    <t>GENSUS30B8D9</t>
  </si>
  <si>
    <t>7.125.132.125</t>
  </si>
  <si>
    <t>C4651630B8D9</t>
  </si>
  <si>
    <t>8CG929531X</t>
  </si>
  <si>
    <t>GENSUS30B8DA</t>
  </si>
  <si>
    <t>7.28.212.191</t>
  </si>
  <si>
    <t>C4651630B8DA</t>
  </si>
  <si>
    <t>8CG929531W</t>
  </si>
  <si>
    <t>GENSUS30B8E0</t>
  </si>
  <si>
    <t>7.11.252.178</t>
  </si>
  <si>
    <t>C4651630B8E0</t>
  </si>
  <si>
    <t>8CG9295320</t>
  </si>
  <si>
    <t>GENSUS30B8ED</t>
  </si>
  <si>
    <t>7.165.244.30</t>
  </si>
  <si>
    <t>C4651630B8ED</t>
  </si>
  <si>
    <t>8CG929536V</t>
  </si>
  <si>
    <t>GENSUS30B8F1</t>
  </si>
  <si>
    <t>7.139.52.66</t>
  </si>
  <si>
    <t>C4651630B8F1</t>
  </si>
  <si>
    <t>8CG929531G</t>
  </si>
  <si>
    <t>GENSUS30B8F7</t>
  </si>
  <si>
    <t>7.4.132.95</t>
  </si>
  <si>
    <t>C4651630B8F7</t>
  </si>
  <si>
    <t>8CG9295327</t>
  </si>
  <si>
    <t>GENSUS30B900</t>
  </si>
  <si>
    <t>7.69.20.27</t>
  </si>
  <si>
    <t>C4651630B900</t>
  </si>
  <si>
    <t>8CG9294ZGX</t>
  </si>
  <si>
    <t>GENSUS30B905</t>
  </si>
  <si>
    <t>7.87.60.176</t>
  </si>
  <si>
    <t>C4651630B905</t>
  </si>
  <si>
    <t>8CG9294KTG</t>
  </si>
  <si>
    <t>GENSUS30B908</t>
  </si>
  <si>
    <t>7.66.60.106</t>
  </si>
  <si>
    <t>C4651630B908</t>
  </si>
  <si>
    <t>8CG9294KTD</t>
  </si>
  <si>
    <t>GENSUS30B909</t>
  </si>
  <si>
    <t>7.20.204.12</t>
  </si>
  <si>
    <t>C4651630B909</t>
  </si>
  <si>
    <t>8CG929531K</t>
  </si>
  <si>
    <t>S06462.US-2016</t>
  </si>
  <si>
    <t>GENSUS30B913</t>
  </si>
  <si>
    <t>7.150.12.62</t>
  </si>
  <si>
    <t>C4651630B913</t>
  </si>
  <si>
    <t>8CG929531J</t>
  </si>
  <si>
    <t>GENSUS30B914</t>
  </si>
  <si>
    <t>7.4.132.72</t>
  </si>
  <si>
    <t>C4651630B914</t>
  </si>
  <si>
    <t>8CG9295324</t>
  </si>
  <si>
    <t>GENSUS30B92E</t>
  </si>
  <si>
    <t>7.5.132.60</t>
  </si>
  <si>
    <t>C4651630B92E</t>
  </si>
  <si>
    <t>S04783</t>
  </si>
  <si>
    <t>8CG929534B</t>
  </si>
  <si>
    <t>S04783.US-2016</t>
  </si>
  <si>
    <t>GENSUS30B92F</t>
  </si>
  <si>
    <t>7.11.60.115</t>
  </si>
  <si>
    <t>C4651630B92F</t>
  </si>
  <si>
    <t>8CG9294KV0</t>
  </si>
  <si>
    <t>GENSUS30B93A</t>
  </si>
  <si>
    <t>7.112.132.19</t>
  </si>
  <si>
    <t>C4651630B93A</t>
  </si>
  <si>
    <t>8CG929533S</t>
  </si>
  <si>
    <t>GENSUS30B93B</t>
  </si>
  <si>
    <t>7.20.228.13</t>
  </si>
  <si>
    <t>C4651630B93B</t>
  </si>
  <si>
    <t>8CG929533T</t>
  </si>
  <si>
    <t>GENSUS30B944</t>
  </si>
  <si>
    <t>7.4.76.18</t>
  </si>
  <si>
    <t>C4651630B944</t>
  </si>
  <si>
    <t>8CG9295362</t>
  </si>
  <si>
    <t>GENSUS30B952</t>
  </si>
  <si>
    <t>7.151.36.19</t>
  </si>
  <si>
    <t>C4651630B952</t>
  </si>
  <si>
    <t>8CG929533V</t>
  </si>
  <si>
    <t>GENSUS30B95C</t>
  </si>
  <si>
    <t>7.43.180.147</t>
  </si>
  <si>
    <t>C4651630B95C</t>
  </si>
  <si>
    <t>8CG9295341</t>
  </si>
  <si>
    <t>GENSUS30B960</t>
  </si>
  <si>
    <t>7.123.164.30</t>
  </si>
  <si>
    <t>C4651630B960</t>
  </si>
  <si>
    <t>8CG9295345</t>
  </si>
  <si>
    <t>GENSUS30B965</t>
  </si>
  <si>
    <t>7.77.188.124</t>
  </si>
  <si>
    <t>C4651630B965</t>
  </si>
  <si>
    <t>8CG9294NHH</t>
  </si>
  <si>
    <t>GENSUS30B967</t>
  </si>
  <si>
    <t>7.178.116.166</t>
  </si>
  <si>
    <t>C4651630B967</t>
  </si>
  <si>
    <t>S04749</t>
  </si>
  <si>
    <t>8CG929534J</t>
  </si>
  <si>
    <t>S04749.US-2016</t>
  </si>
  <si>
    <t>GENSUS30B968</t>
  </si>
  <si>
    <t>7.56.180.152</t>
  </si>
  <si>
    <t>C4651630B968</t>
  </si>
  <si>
    <t>8CG929534F</t>
  </si>
  <si>
    <t>GENSUS30B972</t>
  </si>
  <si>
    <t>7.139.52.67</t>
  </si>
  <si>
    <t>C4651630B972</t>
  </si>
  <si>
    <t>8CG9294G97</t>
  </si>
  <si>
    <t>GENSUS30B975</t>
  </si>
  <si>
    <t>7.73.36.160</t>
  </si>
  <si>
    <t>C4651630B975</t>
  </si>
  <si>
    <t>8CG9294NHD</t>
  </si>
  <si>
    <t>GENSUS30B97F</t>
  </si>
  <si>
    <t>7.8.228.16</t>
  </si>
  <si>
    <t>C4651630B97F</t>
  </si>
  <si>
    <t>S06440</t>
  </si>
  <si>
    <t>8CG9294G73</t>
  </si>
  <si>
    <t>S06440.US-2016</t>
  </si>
  <si>
    <t>GENSUS30B98A</t>
  </si>
  <si>
    <t>7.160.52.116</t>
  </si>
  <si>
    <t>C4651630B98A</t>
  </si>
  <si>
    <t>8CG9294G93</t>
  </si>
  <si>
    <t>GENSUS30B98D</t>
  </si>
  <si>
    <t>7.124.28.169</t>
  </si>
  <si>
    <t>C4651630B98D</t>
  </si>
  <si>
    <t>8CG9294KT9</t>
  </si>
  <si>
    <t>GENSUS30B996</t>
  </si>
  <si>
    <t>7.214.108.212</t>
  </si>
  <si>
    <t>C4651630B996</t>
  </si>
  <si>
    <t>8CG9294G2B</t>
  </si>
  <si>
    <t>GENSUS30B998</t>
  </si>
  <si>
    <t>7.189.12.31</t>
  </si>
  <si>
    <t>C4651630B998</t>
  </si>
  <si>
    <t>8CG9294G1J</t>
  </si>
  <si>
    <t>GENSUS30B99F</t>
  </si>
  <si>
    <t>7.73.28.84</t>
  </si>
  <si>
    <t>C4651630B99F</t>
  </si>
  <si>
    <t>S06628</t>
  </si>
  <si>
    <t>8CG9294G1L</t>
  </si>
  <si>
    <t>S06628.US-2016</t>
  </si>
  <si>
    <t>GENSUS30B9B0</t>
  </si>
  <si>
    <t>7.68.132.34</t>
  </si>
  <si>
    <t>C4651630B9B0</t>
  </si>
  <si>
    <t>8CG9294G5Y</t>
  </si>
  <si>
    <t>GENSUS30B9BE</t>
  </si>
  <si>
    <t>7.159.4.48</t>
  </si>
  <si>
    <t>C4651630B9BE</t>
  </si>
  <si>
    <t>8CG9294G63</t>
  </si>
  <si>
    <t>GENSUS30B9F2</t>
  </si>
  <si>
    <t>7.142.108.65</t>
  </si>
  <si>
    <t>C4651630B9F2</t>
  </si>
  <si>
    <t>8CG9294GBK</t>
  </si>
  <si>
    <t>GENSUS30BA00</t>
  </si>
  <si>
    <t>7.53.116.13</t>
  </si>
  <si>
    <t>C4651630BA00</t>
  </si>
  <si>
    <t>8CG9294GBB</t>
  </si>
  <si>
    <t>GENSUS30BA0D</t>
  </si>
  <si>
    <t>7.56.180.153</t>
  </si>
  <si>
    <t>C4651630BA0D</t>
  </si>
  <si>
    <t>8CG929531Q</t>
  </si>
  <si>
    <t>GENSUS30BA13</t>
  </si>
  <si>
    <t>7.160.52.137</t>
  </si>
  <si>
    <t>C4651630BA13</t>
  </si>
  <si>
    <t>8CG9294G7X</t>
  </si>
  <si>
    <t>GENSUS30BA22</t>
  </si>
  <si>
    <t>7.175.60.215</t>
  </si>
  <si>
    <t>C4651630BA22</t>
  </si>
  <si>
    <t>8CG9294G7J</t>
  </si>
  <si>
    <t>GENSUS30BA23</t>
  </si>
  <si>
    <t>7.68.164.145</t>
  </si>
  <si>
    <t>C4651630BA23</t>
  </si>
  <si>
    <t>8CG9294G7S</t>
  </si>
  <si>
    <t>GENSUS30BA35</t>
  </si>
  <si>
    <t>7.126.100.216</t>
  </si>
  <si>
    <t>C4651630BA35</t>
  </si>
  <si>
    <t>S06613</t>
  </si>
  <si>
    <t>8CG9294G8K</t>
  </si>
  <si>
    <t>S06613.US-2016</t>
  </si>
  <si>
    <t>GENSUS30BA36</t>
  </si>
  <si>
    <t>7.126.100.217</t>
  </si>
  <si>
    <t>C4651630BA36</t>
  </si>
  <si>
    <t>8CG9294G8Z</t>
  </si>
  <si>
    <t>GENSUS30BA37</t>
  </si>
  <si>
    <t>7.47.244.19</t>
  </si>
  <si>
    <t>C4651630BA37</t>
  </si>
  <si>
    <t>8CG9294G8J</t>
  </si>
  <si>
    <t>GENSUS30BA3A</t>
  </si>
  <si>
    <t>7.10.164.144</t>
  </si>
  <si>
    <t>C4651630BA3A</t>
  </si>
  <si>
    <t>8CG9294G8S</t>
  </si>
  <si>
    <t>GENSUS30BA43</t>
  </si>
  <si>
    <t>7.130.220.50</t>
  </si>
  <si>
    <t>C4651630BA43</t>
  </si>
  <si>
    <t>8CG9294NDZ</t>
  </si>
  <si>
    <t>GENSUS30BA53</t>
  </si>
  <si>
    <t>7.57.156.169</t>
  </si>
  <si>
    <t>C4651630BA53</t>
  </si>
  <si>
    <t>8CG9294NDD</t>
  </si>
  <si>
    <t>GENSUS30BA5C</t>
  </si>
  <si>
    <t>7.88.4.34</t>
  </si>
  <si>
    <t>C4651630BA5C</t>
  </si>
  <si>
    <t>8CG9294NF0</t>
  </si>
  <si>
    <t>GENSUS30BA60</t>
  </si>
  <si>
    <t>7.21.44.141</t>
  </si>
  <si>
    <t>C4651630BA60</t>
  </si>
  <si>
    <t>S08166</t>
  </si>
  <si>
    <t>8CG9294GB8</t>
  </si>
  <si>
    <t>S08166.US-2016</t>
  </si>
  <si>
    <t>GENSUS30BA61</t>
  </si>
  <si>
    <t>7.126.52.156</t>
  </si>
  <si>
    <t>C4651630BA61</t>
  </si>
  <si>
    <t>8CG9294NDJ</t>
  </si>
  <si>
    <t>GENSUS30BA6A</t>
  </si>
  <si>
    <t>7.53.156.27</t>
  </si>
  <si>
    <t>C4651630BA6A</t>
  </si>
  <si>
    <t>8CG9294G9T</t>
  </si>
  <si>
    <t>GENSUS30BA71</t>
  </si>
  <si>
    <t>7.160.52.138</t>
  </si>
  <si>
    <t>C4651630BA71</t>
  </si>
  <si>
    <t>8CG9294G3P</t>
  </si>
  <si>
    <t>GENSUS30BA82</t>
  </si>
  <si>
    <t>7.75.244.158</t>
  </si>
  <si>
    <t>C4651630BA82</t>
  </si>
  <si>
    <t>8CG9294GCG</t>
  </si>
  <si>
    <t>GENSUS30BA93</t>
  </si>
  <si>
    <t>55.47.247.155</t>
  </si>
  <si>
    <t>C4651630BA93</t>
  </si>
  <si>
    <t>8CG9294G3T</t>
  </si>
  <si>
    <t>GENSUS30BA98</t>
  </si>
  <si>
    <t>7.135.68.40</t>
  </si>
  <si>
    <t>C4651630BA98</t>
  </si>
  <si>
    <t>8CG9294G4B</t>
  </si>
  <si>
    <t>GENSUS30BAB4</t>
  </si>
  <si>
    <t>7.124.52.74</t>
  </si>
  <si>
    <t>C4651630BAB4</t>
  </si>
  <si>
    <t>8CG9294G2Y</t>
  </si>
  <si>
    <t>GENSUS30BAB5</t>
  </si>
  <si>
    <t>7.89.108.208</t>
  </si>
  <si>
    <t>C4651630BAB5</t>
  </si>
  <si>
    <t>8CG9294G88</t>
  </si>
  <si>
    <t>GENSUS30BAB6</t>
  </si>
  <si>
    <t>7.89.108.145</t>
  </si>
  <si>
    <t>C4651630BAB6</t>
  </si>
  <si>
    <t>8CG9294G8B</t>
  </si>
  <si>
    <t>GENSUS30BAC8</t>
  </si>
  <si>
    <t>7.73.148.155</t>
  </si>
  <si>
    <t>C4651630BAC8</t>
  </si>
  <si>
    <t>8CG9294KTS</t>
  </si>
  <si>
    <t>GENSUS30BACF</t>
  </si>
  <si>
    <t>7.78.44.52</t>
  </si>
  <si>
    <t>C4651630BACF</t>
  </si>
  <si>
    <t>8CG929533Z</t>
  </si>
  <si>
    <t>GENSUS30BADD</t>
  </si>
  <si>
    <t>55.90.103.151</t>
  </si>
  <si>
    <t>C4651630BADD</t>
  </si>
  <si>
    <t>8CG929531B</t>
  </si>
  <si>
    <t>GENSUS30BAE3</t>
  </si>
  <si>
    <t>7.56.180.26</t>
  </si>
  <si>
    <t>C4651630BAE3</t>
  </si>
  <si>
    <t>8CG9294G5Q</t>
  </si>
  <si>
    <t>GENSUS30BAE7</t>
  </si>
  <si>
    <t>7.23.124.75</t>
  </si>
  <si>
    <t>C4651630BAE7</t>
  </si>
  <si>
    <t>8CG9294G6V</t>
  </si>
  <si>
    <t>GENSUS30BAF8</t>
  </si>
  <si>
    <t>7.124.28.66</t>
  </si>
  <si>
    <t>C4651630BAF8</t>
  </si>
  <si>
    <t>8CG9294G6K</t>
  </si>
  <si>
    <t>GENSUS30BAFC</t>
  </si>
  <si>
    <t>7.70.212.127</t>
  </si>
  <si>
    <t>C4651630BAFC</t>
  </si>
  <si>
    <t>8CG9294G6N</t>
  </si>
  <si>
    <t>GENSUS30BAFE</t>
  </si>
  <si>
    <t>7.53.116.130</t>
  </si>
  <si>
    <t>C4651630BAFE</t>
  </si>
  <si>
    <t>8CG9294NGB</t>
  </si>
  <si>
    <t>GENSUS30BB09</t>
  </si>
  <si>
    <t>7.159.100.43</t>
  </si>
  <si>
    <t>C4651630BB09</t>
  </si>
  <si>
    <t>8CG9294G6P</t>
  </si>
  <si>
    <t>GENSUS30BB0A</t>
  </si>
  <si>
    <t>7.182.116.135</t>
  </si>
  <si>
    <t>C4651630BB0A</t>
  </si>
  <si>
    <t>8CG9294G6M</t>
  </si>
  <si>
    <t>GENSUS30BB14</t>
  </si>
  <si>
    <t>7.28.164.143</t>
  </si>
  <si>
    <t>C4651630BB14</t>
  </si>
  <si>
    <t>8CG9294G70</t>
  </si>
  <si>
    <t>GENSUS30BB18</t>
  </si>
  <si>
    <t>7.69.60.37</t>
  </si>
  <si>
    <t>C4651630BB18</t>
  </si>
  <si>
    <t>8CG9294G71</t>
  </si>
  <si>
    <t>GENSUS30BB1A</t>
  </si>
  <si>
    <t>7.161.252.21</t>
  </si>
  <si>
    <t>C4651630BB1A</t>
  </si>
  <si>
    <t>8CG9294NFD</t>
  </si>
  <si>
    <t>GENSUS30BB2A</t>
  </si>
  <si>
    <t>7.70.188.42</t>
  </si>
  <si>
    <t>C4651630BB2A</t>
  </si>
  <si>
    <t>S06435</t>
  </si>
  <si>
    <t>8CG9294NFS</t>
  </si>
  <si>
    <t>S06435.US-2016</t>
  </si>
  <si>
    <t>GENSUS30BB31</t>
  </si>
  <si>
    <t>7.8.228.140</t>
  </si>
  <si>
    <t>C4651630BB31</t>
  </si>
  <si>
    <t>8CG9294G6D</t>
  </si>
  <si>
    <t>GENSUS30BB32</t>
  </si>
  <si>
    <t>7.125.92.193</t>
  </si>
  <si>
    <t>C4651630BB32</t>
  </si>
  <si>
    <t>8CG9294G6F</t>
  </si>
  <si>
    <t>GENSUS30BB39</t>
  </si>
  <si>
    <t>7.76.28.29</t>
  </si>
  <si>
    <t>C4651630BB39</t>
  </si>
  <si>
    <t>8CG9294G6Y</t>
  </si>
  <si>
    <t>GENSUS30BB3D</t>
  </si>
  <si>
    <t>7.73.44.123</t>
  </si>
  <si>
    <t>C4651630BB3D</t>
  </si>
  <si>
    <t>8CG9294BL2</t>
  </si>
  <si>
    <t>GENSUS30BB47</t>
  </si>
  <si>
    <t>55.14.47.173</t>
  </si>
  <si>
    <t>C4651630BB47</t>
  </si>
  <si>
    <t>8CG9294BLD</t>
  </si>
  <si>
    <t>GENSUS30BB58</t>
  </si>
  <si>
    <t>7.87.60.180</t>
  </si>
  <si>
    <t>C4651630BB58</t>
  </si>
  <si>
    <t>8CG9294BLF</t>
  </si>
  <si>
    <t>GENSUS30BB6F</t>
  </si>
  <si>
    <t>7.153.52.161</t>
  </si>
  <si>
    <t>C4651630BB6F</t>
  </si>
  <si>
    <t>8CG929531M</t>
  </si>
  <si>
    <t>GENSUS30BB75</t>
  </si>
  <si>
    <t>7.18.12.222</t>
  </si>
  <si>
    <t>C4651630BB75</t>
  </si>
  <si>
    <t>8CG9294BLZ</t>
  </si>
  <si>
    <t>GENSUS30BB79</t>
  </si>
  <si>
    <t>7.53.108.229</t>
  </si>
  <si>
    <t>C4651630BB79</t>
  </si>
  <si>
    <t>8CG929532N</t>
  </si>
  <si>
    <t>GENSUS30BB8C</t>
  </si>
  <si>
    <t>7.35.164.80</t>
  </si>
  <si>
    <t>C4651630BB8C</t>
  </si>
  <si>
    <t>8CG9294BJR</t>
  </si>
  <si>
    <t>GENSUS30BB94</t>
  </si>
  <si>
    <t>7.76.12.227</t>
  </si>
  <si>
    <t>C4651630BB94</t>
  </si>
  <si>
    <t>8CG9294BK7</t>
  </si>
  <si>
    <t>GENSUS30BB9C</t>
  </si>
  <si>
    <t>7.15.20.64</t>
  </si>
  <si>
    <t>C4651630BB9C</t>
  </si>
  <si>
    <t>S06439</t>
  </si>
  <si>
    <t>8CG9294F3Z</t>
  </si>
  <si>
    <t>S06439.US-2016</t>
  </si>
  <si>
    <t>GENSUS30BBA0</t>
  </si>
  <si>
    <t>7.151.116.105</t>
  </si>
  <si>
    <t>C4651630BBA0</t>
  </si>
  <si>
    <t>8CG9294F43</t>
  </si>
  <si>
    <t>GENSUS30BBB9</t>
  </si>
  <si>
    <t>7.29.84.55</t>
  </si>
  <si>
    <t>C4651630BBB9</t>
  </si>
  <si>
    <t>8CG9294G8D</t>
  </si>
  <si>
    <t>GENSUS30BBBD</t>
  </si>
  <si>
    <t>7.69.188.40</t>
  </si>
  <si>
    <t>C4651630BBBD</t>
  </si>
  <si>
    <t>8CG9294BJC</t>
  </si>
  <si>
    <t>GENSUS30BBBE</t>
  </si>
  <si>
    <t>7.18.12.190</t>
  </si>
  <si>
    <t>C4651630BBBE</t>
  </si>
  <si>
    <t>8CG9294F1N</t>
  </si>
  <si>
    <t>GENSUS30BBD1</t>
  </si>
  <si>
    <t>7.35.164.176</t>
  </si>
  <si>
    <t>C4651630BBD1</t>
  </si>
  <si>
    <t>8CG9294F17</t>
  </si>
  <si>
    <t>GENSUS30BBDA</t>
  </si>
  <si>
    <t>7.64.188.107</t>
  </si>
  <si>
    <t>C4651630BBDA</t>
  </si>
  <si>
    <t>8CG9294G7G</t>
  </si>
  <si>
    <t>GENSUS30BBDE</t>
  </si>
  <si>
    <t>7.78.244.237</t>
  </si>
  <si>
    <t>C4651630BBDE</t>
  </si>
  <si>
    <t>S06612</t>
  </si>
  <si>
    <t>8CG9294F3Q</t>
  </si>
  <si>
    <t>S06612.US-2016</t>
  </si>
  <si>
    <t>GENSUS30BBDF</t>
  </si>
  <si>
    <t>7.76.12.124</t>
  </si>
  <si>
    <t>C4651630BBDF</t>
  </si>
  <si>
    <t>8CG9294F3N</t>
  </si>
  <si>
    <t>GENSUS30BBEA</t>
  </si>
  <si>
    <t>55.36.159.166</t>
  </si>
  <si>
    <t>C4651630BBEA</t>
  </si>
  <si>
    <t>S08285</t>
  </si>
  <si>
    <t>8CG9294F3W</t>
  </si>
  <si>
    <t>S08285.US-2016</t>
  </si>
  <si>
    <t>GENSUS30BBEB</t>
  </si>
  <si>
    <t>7.124.52.192</t>
  </si>
  <si>
    <t>C4651630BBEB</t>
  </si>
  <si>
    <t>8CG9294BG6</t>
  </si>
  <si>
    <t>GENSUS30BBEE</t>
  </si>
  <si>
    <t>7.35.164.75</t>
  </si>
  <si>
    <t>C4651630BBEE</t>
  </si>
  <si>
    <t>8CG9294F3L</t>
  </si>
  <si>
    <t>GENSUS30BBF7</t>
  </si>
  <si>
    <t>7.87.52.107</t>
  </si>
  <si>
    <t>C4651630BBF7</t>
  </si>
  <si>
    <t>8CG9294F0F</t>
  </si>
  <si>
    <t>GENSUS30BBF8</t>
  </si>
  <si>
    <t>7.68.132.208</t>
  </si>
  <si>
    <t>C4651630BBF8</t>
  </si>
  <si>
    <t>8CG9294DZR</t>
  </si>
  <si>
    <t>GENSUS30BBFC</t>
  </si>
  <si>
    <t>7.155.164.131</t>
  </si>
  <si>
    <t>C4651630BBFC</t>
  </si>
  <si>
    <t>S04791</t>
  </si>
  <si>
    <t>8CG9294K25</t>
  </si>
  <si>
    <t>S04791.US-2016</t>
  </si>
  <si>
    <t>GENSUS30BC00</t>
  </si>
  <si>
    <t>7.8.188.63</t>
  </si>
  <si>
    <t>C4651630BC00</t>
  </si>
  <si>
    <t>8CG9294F2M</t>
  </si>
  <si>
    <t>GENSUS30BC02</t>
  </si>
  <si>
    <t>7.150.180.116</t>
  </si>
  <si>
    <t>C4651630BC02</t>
  </si>
  <si>
    <t>8CG9294F0R</t>
  </si>
  <si>
    <t>GENSUS30BC09</t>
  </si>
  <si>
    <t>7.67.172.164</t>
  </si>
  <si>
    <t>C4651630BC09</t>
  </si>
  <si>
    <t>8CG9294DYZ</t>
  </si>
  <si>
    <t>GENSUS30BC0A</t>
  </si>
  <si>
    <t>7.13.244.156</t>
  </si>
  <si>
    <t>C4651630BC0A</t>
  </si>
  <si>
    <t>8CG929532K</t>
  </si>
  <si>
    <t>GENSUS30BC17</t>
  </si>
  <si>
    <t>7.211.228.209</t>
  </si>
  <si>
    <t>C4651630BC17</t>
  </si>
  <si>
    <t>8CG9294F2R</t>
  </si>
  <si>
    <t>GENSUS30BC19</t>
  </si>
  <si>
    <t>7.25.140.172</t>
  </si>
  <si>
    <t>C4651630BC19</t>
  </si>
  <si>
    <t>8CG9294F2W</t>
  </si>
  <si>
    <t>GENSUS30BC1A</t>
  </si>
  <si>
    <t>55.130.223.167</t>
  </si>
  <si>
    <t>C4651630BC1A</t>
  </si>
  <si>
    <t>8CG9294F2V</t>
  </si>
  <si>
    <t>GENSUS30BC24</t>
  </si>
  <si>
    <t>7.179.212.21</t>
  </si>
  <si>
    <t>C4651630BC24</t>
  </si>
  <si>
    <t>8CG9294Z57</t>
  </si>
  <si>
    <t>GENSUS30BC25</t>
  </si>
  <si>
    <t>7.126.52.187</t>
  </si>
  <si>
    <t>C4651630BC25</t>
  </si>
  <si>
    <t>8CG9294BHC</t>
  </si>
  <si>
    <t>GENSUS30BC26</t>
  </si>
  <si>
    <t>7.8.188.87</t>
  </si>
  <si>
    <t>C4651630BC26</t>
  </si>
  <si>
    <t>8CG9294F1X</t>
  </si>
  <si>
    <t>GENSUS30BC2A</t>
  </si>
  <si>
    <t>7.131.12.60</t>
  </si>
  <si>
    <t>C4651630BC2A</t>
  </si>
  <si>
    <t>8CG9294F21</t>
  </si>
  <si>
    <t>GENSUS30BC41</t>
  </si>
  <si>
    <t>7.57.84.54</t>
  </si>
  <si>
    <t>C4651630BC41</t>
  </si>
  <si>
    <t>8CG9294F26</t>
  </si>
  <si>
    <t>GENSUS30BC42</t>
  </si>
  <si>
    <t>7.25.140.119</t>
  </si>
  <si>
    <t>C4651630BC42</t>
  </si>
  <si>
    <t>8CG9294F39</t>
  </si>
  <si>
    <t>GENSUS30BC44</t>
  </si>
  <si>
    <t>7.91.108.33</t>
  </si>
  <si>
    <t>C4651630BC44</t>
  </si>
  <si>
    <t>8CG9294BHT</t>
  </si>
  <si>
    <t>GENSUS30BC47</t>
  </si>
  <si>
    <t>7.70.212.193</t>
  </si>
  <si>
    <t>C4651630BC47</t>
  </si>
  <si>
    <t>8CG9294F07</t>
  </si>
  <si>
    <t>GENSUS30BC52</t>
  </si>
  <si>
    <t>55.3.94.219</t>
  </si>
  <si>
    <t>C4651630BC52</t>
  </si>
  <si>
    <t>8CG9294DZC</t>
  </si>
  <si>
    <t>GENSUS30BC56</t>
  </si>
  <si>
    <t>7.53.132.224</t>
  </si>
  <si>
    <t>C4651630BC56</t>
  </si>
  <si>
    <t>8CG9294DZ6</t>
  </si>
  <si>
    <t>GENSUS30BC64</t>
  </si>
  <si>
    <t>7.155.180.45</t>
  </si>
  <si>
    <t>C4651630BC64</t>
  </si>
  <si>
    <t>S04999</t>
  </si>
  <si>
    <t>8CG9294PPS</t>
  </si>
  <si>
    <t>S04999.US-2016</t>
  </si>
  <si>
    <t>GENSUS30BC94</t>
  </si>
  <si>
    <t>7.28.164.135</t>
  </si>
  <si>
    <t>C4651630BC94</t>
  </si>
  <si>
    <t>8CG9294DXV</t>
  </si>
  <si>
    <t>GENSUS30BC98</t>
  </si>
  <si>
    <t>7.161.252.155</t>
  </si>
  <si>
    <t>C4651630BC98</t>
  </si>
  <si>
    <t>8CG9294PQR</t>
  </si>
  <si>
    <t>GENSUS30BC99</t>
  </si>
  <si>
    <t>7.124.12.18</t>
  </si>
  <si>
    <t>C4651630BC99</t>
  </si>
  <si>
    <t>8CG9294PJ6</t>
  </si>
  <si>
    <t>GENSUS30BCAE</t>
  </si>
  <si>
    <t>7.73.164.191</t>
  </si>
  <si>
    <t>C4651630BCAE</t>
  </si>
  <si>
    <t>8CG9294PRD</t>
  </si>
  <si>
    <t>GENSUS30BCB1</t>
  </si>
  <si>
    <t>7.37.172.159</t>
  </si>
  <si>
    <t>C4651630BCB1</t>
  </si>
  <si>
    <t>8CG9294PRH</t>
  </si>
  <si>
    <t>GENSUS30BCB7</t>
  </si>
  <si>
    <t>7.52.220.184</t>
  </si>
  <si>
    <t>C4651630BCB7</t>
  </si>
  <si>
    <t>8CG9294DX2</t>
  </si>
  <si>
    <t>GENSUS30BCC1</t>
  </si>
  <si>
    <t>55.126.103.176</t>
  </si>
  <si>
    <t>C4651630BCC1</t>
  </si>
  <si>
    <t>8CG9294DWW</t>
  </si>
  <si>
    <t>GENSUS30BCD1</t>
  </si>
  <si>
    <t>7.8.188.130</t>
  </si>
  <si>
    <t>C4651630BCD1</t>
  </si>
  <si>
    <t>8CG9294PL1</t>
  </si>
  <si>
    <t>GENSUS30BCD8</t>
  </si>
  <si>
    <t>7.124.12.160</t>
  </si>
  <si>
    <t>C4651630BCD8</t>
  </si>
  <si>
    <t>8CG9294PJG</t>
  </si>
  <si>
    <t>GENSUS30BCE0</t>
  </si>
  <si>
    <t>7.15.20.75</t>
  </si>
  <si>
    <t>C4651630BCE0</t>
  </si>
  <si>
    <t>8CG9294PJP</t>
  </si>
  <si>
    <t>GENSUS30BCE1</t>
  </si>
  <si>
    <t>7.161.252.187</t>
  </si>
  <si>
    <t>C4651630BCE1</t>
  </si>
  <si>
    <t>8CG9294PKX</t>
  </si>
  <si>
    <t>GENSUS30BCF7</t>
  </si>
  <si>
    <t>7.69.108.37</t>
  </si>
  <si>
    <t>C4651630BCF7</t>
  </si>
  <si>
    <t>8CG9294PKM</t>
  </si>
  <si>
    <t>GENSUS30BCFE</t>
  </si>
  <si>
    <t>7.87.60.183</t>
  </si>
  <si>
    <t>C4651630BCFE</t>
  </si>
  <si>
    <t>8CG9294PK1</t>
  </si>
  <si>
    <t>GENSUS30BD21</t>
  </si>
  <si>
    <t>7.181.44.137</t>
  </si>
  <si>
    <t>C4651630BD21</t>
  </si>
  <si>
    <t>8CG9294PLT</t>
  </si>
  <si>
    <t>GENSUS30BD3B</t>
  </si>
  <si>
    <t>7.37.172.131</t>
  </si>
  <si>
    <t>C4651630BD3B</t>
  </si>
  <si>
    <t>8CG9294BHQ</t>
  </si>
  <si>
    <t>GENSUS30BD56</t>
  </si>
  <si>
    <t>7.4.100.115</t>
  </si>
  <si>
    <t>C4651630BD56</t>
  </si>
  <si>
    <t>8CG9294J24</t>
  </si>
  <si>
    <t>GENSUS30BD5B</t>
  </si>
  <si>
    <t>7.87.52.109</t>
  </si>
  <si>
    <t>C4651630BD5B</t>
  </si>
  <si>
    <t>8CG9294DWJ</t>
  </si>
  <si>
    <t>GENSUS30BD61</t>
  </si>
  <si>
    <t>7.36.44.125</t>
  </si>
  <si>
    <t>C4651630BD61</t>
  </si>
  <si>
    <t>8CG9294PQJ</t>
  </si>
  <si>
    <t>GENSUS30BD62</t>
  </si>
  <si>
    <t>7.161.252.89</t>
  </si>
  <si>
    <t>C4651630BD62</t>
  </si>
  <si>
    <t>8CG9294J27</t>
  </si>
  <si>
    <t>GENSUS30BD63</t>
  </si>
  <si>
    <t>7.122.204.145</t>
  </si>
  <si>
    <t>C4651630BD63</t>
  </si>
  <si>
    <t>8CG9294PRX</t>
  </si>
  <si>
    <t>GENSUS30BD66</t>
  </si>
  <si>
    <t>7.166.204.212</t>
  </si>
  <si>
    <t>C4651630BD66</t>
  </si>
  <si>
    <t>8CG9294PQP</t>
  </si>
  <si>
    <t>GENSUS30BD83</t>
  </si>
  <si>
    <t>7.73.28.206</t>
  </si>
  <si>
    <t>C4651630BD83</t>
  </si>
  <si>
    <t>8CG9294DYF</t>
  </si>
  <si>
    <t>GENSUS30BD8C</t>
  </si>
  <si>
    <t>7.181.44.65</t>
  </si>
  <si>
    <t>C4651630BD8C</t>
  </si>
  <si>
    <t>8CG9294PQY</t>
  </si>
  <si>
    <t>GENSUS30BD8D</t>
  </si>
  <si>
    <t>7.158.28.130</t>
  </si>
  <si>
    <t>C4651630BD8D</t>
  </si>
  <si>
    <t>S04728</t>
  </si>
  <si>
    <t>8CG9294K1M</t>
  </si>
  <si>
    <t>S04728.US-2016</t>
  </si>
  <si>
    <t>GENSUS30BD92</t>
  </si>
  <si>
    <t>7.73.36.29</t>
  </si>
  <si>
    <t>C4651630BD92</t>
  </si>
  <si>
    <t>8CG9294DXZ</t>
  </si>
  <si>
    <t>GENSUS30BD98</t>
  </si>
  <si>
    <t>7.15.20.161</t>
  </si>
  <si>
    <t>C4651630BD98</t>
  </si>
  <si>
    <t>8CG9294F0B</t>
  </si>
  <si>
    <t>GENSUS30BDAD</t>
  </si>
  <si>
    <t>7.76.12.209</t>
  </si>
  <si>
    <t>C4651630BDAD</t>
  </si>
  <si>
    <t>8CG9294PLB</t>
  </si>
  <si>
    <t>GENSUS30BDB3</t>
  </si>
  <si>
    <t>7.213.4.82</t>
  </si>
  <si>
    <t>C4651630BDB3</t>
  </si>
  <si>
    <t>8CG9294PNZ</t>
  </si>
  <si>
    <t>GENSUS30BDC7</t>
  </si>
  <si>
    <t>7.131.12.75</t>
  </si>
  <si>
    <t>C4651630BDC7</t>
  </si>
  <si>
    <t>8CG9294DWB</t>
  </si>
  <si>
    <t>GENSUS30BDE4</t>
  </si>
  <si>
    <t>7.52.220.102</t>
  </si>
  <si>
    <t>C4651630BDE4</t>
  </si>
  <si>
    <t>8CG9294PN6</t>
  </si>
  <si>
    <t>GENSUS30BDF4</t>
  </si>
  <si>
    <t>7.128.212.112</t>
  </si>
  <si>
    <t>C4651630BDF4</t>
  </si>
  <si>
    <t>8CG9294PPT</t>
  </si>
  <si>
    <t>GENSUS30BE04</t>
  </si>
  <si>
    <t>7.137.180.24</t>
  </si>
  <si>
    <t>C4651630BE04</t>
  </si>
  <si>
    <t>8CG9294K6B</t>
  </si>
  <si>
    <t>GENSUS30BE0B</t>
  </si>
  <si>
    <t>7.20.188.155</t>
  </si>
  <si>
    <t>C4651630BE0B</t>
  </si>
  <si>
    <t>8CG9294K45</t>
  </si>
  <si>
    <t>GENSUS30BE1A</t>
  </si>
  <si>
    <t>7.82.172.148</t>
  </si>
  <si>
    <t>C4651630BE1A</t>
  </si>
  <si>
    <t>8CG9294K55</t>
  </si>
  <si>
    <t>GENSUS30BE22</t>
  </si>
  <si>
    <t>7.144.172.23</t>
  </si>
  <si>
    <t>C4651630BE22</t>
  </si>
  <si>
    <t>8CG9294HVD</t>
  </si>
  <si>
    <t>GENSUS30BE2B</t>
  </si>
  <si>
    <t>55.36.31.192</t>
  </si>
  <si>
    <t>C4651630BE2B</t>
  </si>
  <si>
    <t>8CG9294K54</t>
  </si>
  <si>
    <t>GENSUS30BE32</t>
  </si>
  <si>
    <t>7.21.36.67</t>
  </si>
  <si>
    <t>C4651630BE32</t>
  </si>
  <si>
    <t>8CG9294K4J</t>
  </si>
  <si>
    <t>GENSUS30BE67</t>
  </si>
  <si>
    <t>7.191.84.106</t>
  </si>
  <si>
    <t>C4651630BE67</t>
  </si>
  <si>
    <t>8CG9294K1X</t>
  </si>
  <si>
    <t>GENSUS30BE94</t>
  </si>
  <si>
    <t>7.14.12.49</t>
  </si>
  <si>
    <t>C4651630BE94</t>
  </si>
  <si>
    <t>8CG9294K2X</t>
  </si>
  <si>
    <t>GENSUS30BE9A</t>
  </si>
  <si>
    <t>7.28.212.104</t>
  </si>
  <si>
    <t>C4651630BE9A</t>
  </si>
  <si>
    <t>8CG9294K3D</t>
  </si>
  <si>
    <t>GENSUS30BE9D</t>
  </si>
  <si>
    <t>7.24.20.177</t>
  </si>
  <si>
    <t>C4651630BE9D</t>
  </si>
  <si>
    <t>8CG9294K4V</t>
  </si>
  <si>
    <t>GENSUS30BEA0</t>
  </si>
  <si>
    <t>7.66.236.144</t>
  </si>
  <si>
    <t>C4651630BEA0</t>
  </si>
  <si>
    <t>8CG9294J0Y</t>
  </si>
  <si>
    <t>GENSUS30BEAE</t>
  </si>
  <si>
    <t>7.24.212.59</t>
  </si>
  <si>
    <t>C4651630BEAE</t>
  </si>
  <si>
    <t>8CG9294F34</t>
  </si>
  <si>
    <t>GENSUS30BEC0</t>
  </si>
  <si>
    <t>7.216.156.158</t>
  </si>
  <si>
    <t>C4651630BEC0</t>
  </si>
  <si>
    <t>8CG9294K5R</t>
  </si>
  <si>
    <t>GENSUS30BEC4</t>
  </si>
  <si>
    <t>7.182.252.53</t>
  </si>
  <si>
    <t>C4651630BEC4</t>
  </si>
  <si>
    <t>8CG9294K5K</t>
  </si>
  <si>
    <t>GENSUS30BEC8</t>
  </si>
  <si>
    <t>7.216.156.51</t>
  </si>
  <si>
    <t>C4651630BEC8</t>
  </si>
  <si>
    <t>8CG9294K33</t>
  </si>
  <si>
    <t>GENSUS30BECA</t>
  </si>
  <si>
    <t>7.73.204.163</t>
  </si>
  <si>
    <t>C4651630BECA</t>
  </si>
  <si>
    <t>8CG9294K5P</t>
  </si>
  <si>
    <t>GENSUS30BED7</t>
  </si>
  <si>
    <t>7.73.28.189</t>
  </si>
  <si>
    <t>C4651630BED7</t>
  </si>
  <si>
    <t>8CG9294HZW</t>
  </si>
  <si>
    <t>GENSUS30BEF3</t>
  </si>
  <si>
    <t>7.125.124.154</t>
  </si>
  <si>
    <t>C4651630BEF3</t>
  </si>
  <si>
    <t>8CG9294HXV</t>
  </si>
  <si>
    <t>GENSUS30BF10</t>
  </si>
  <si>
    <t>7.64.212.168</t>
  </si>
  <si>
    <t>C4651630BF10</t>
  </si>
  <si>
    <t>8CG9294HVH</t>
  </si>
  <si>
    <t>GENSUS30BF28</t>
  </si>
  <si>
    <t>7.24.4.138</t>
  </si>
  <si>
    <t>C4651630BF28</t>
  </si>
  <si>
    <t>8CG92950PC</t>
  </si>
  <si>
    <t>GENSUS30BF2E</t>
  </si>
  <si>
    <t>7.175.60.115</t>
  </si>
  <si>
    <t>C4651630BF2E</t>
  </si>
  <si>
    <t>8CG9294HVR</t>
  </si>
  <si>
    <t>GENSUS30BF30</t>
  </si>
  <si>
    <t>7.82.172.164</t>
  </si>
  <si>
    <t>C4651630BF30</t>
  </si>
  <si>
    <t>8CG9294K62</t>
  </si>
  <si>
    <t>GENSUS30BF48</t>
  </si>
  <si>
    <t>7.35.140.187</t>
  </si>
  <si>
    <t>C4651630BF48</t>
  </si>
  <si>
    <t>8CG9294K5J</t>
  </si>
  <si>
    <t>GENSUS30BF5B</t>
  </si>
  <si>
    <t>7.150.52.228</t>
  </si>
  <si>
    <t>C4651630BF5B</t>
  </si>
  <si>
    <t>8CG9294JYN</t>
  </si>
  <si>
    <t>GENSUS30BF6A</t>
  </si>
  <si>
    <t>7.53.44.216</t>
  </si>
  <si>
    <t>C4651630BF6A</t>
  </si>
  <si>
    <t>8CG9294K0Z</t>
  </si>
  <si>
    <t>GENSUS30BF7B</t>
  </si>
  <si>
    <t>7.81.116.53</t>
  </si>
  <si>
    <t>C4651630BF7B</t>
  </si>
  <si>
    <t>8CG9294JZW</t>
  </si>
  <si>
    <t>GENSUS30BF95</t>
  </si>
  <si>
    <t>7.81.116.161</t>
  </si>
  <si>
    <t>C4651630BF95</t>
  </si>
  <si>
    <t>8CG9294KSN</t>
  </si>
  <si>
    <t>GENSUS30BFC7</t>
  </si>
  <si>
    <t>7.216.156.207</t>
  </si>
  <si>
    <t>C4651630BFC7</t>
  </si>
  <si>
    <t>8CG9294KSD</t>
  </si>
  <si>
    <t>GENSUS30BFCF</t>
  </si>
  <si>
    <t>7.82.172.187</t>
  </si>
  <si>
    <t>C4651630BFCF</t>
  </si>
  <si>
    <t>8CG9294KQQ</t>
  </si>
  <si>
    <t>GENSUS30BFD6</t>
  </si>
  <si>
    <t>7.14.12.218</t>
  </si>
  <si>
    <t>C4651630BFD6</t>
  </si>
  <si>
    <t>8CG9294KR4</t>
  </si>
  <si>
    <t>GENSUS30BFD7</t>
  </si>
  <si>
    <t>7.21.36.10</t>
  </si>
  <si>
    <t>C4651630BFD7</t>
  </si>
  <si>
    <t>8CG9294KR6</t>
  </si>
  <si>
    <t>GENSUS30BFDC</t>
  </si>
  <si>
    <t>7.31.196.190</t>
  </si>
  <si>
    <t>C4651630BFDC</t>
  </si>
  <si>
    <t>8CG9294K2Y</t>
  </si>
  <si>
    <t>GENSUS30C025</t>
  </si>
  <si>
    <t>7.73.204.218</t>
  </si>
  <si>
    <t>C4651630C025</t>
  </si>
  <si>
    <t>8CG9294KQ3</t>
  </si>
  <si>
    <t>GENSUS30C03C</t>
  </si>
  <si>
    <t>7.135.124.117</t>
  </si>
  <si>
    <t>C4651630C03C</t>
  </si>
  <si>
    <t>8CG9294KNX</t>
  </si>
  <si>
    <t>GENSUS30C054</t>
  </si>
  <si>
    <t>7.25.140.102</t>
  </si>
  <si>
    <t>C4651630C054</t>
  </si>
  <si>
    <t>8CG9294NQP</t>
  </si>
  <si>
    <t>GENSUS30C070</t>
  </si>
  <si>
    <t>7.167.148.181</t>
  </si>
  <si>
    <t>C4651630C070</t>
  </si>
  <si>
    <t>8CG9294NT2</t>
  </si>
  <si>
    <t>GENSUS30C07E</t>
  </si>
  <si>
    <t>7.36.44.158</t>
  </si>
  <si>
    <t>C4651630C07E</t>
  </si>
  <si>
    <t>8CG9294NS2</t>
  </si>
  <si>
    <t>GENSUS30C085</t>
  </si>
  <si>
    <t>7.135.124.35</t>
  </si>
  <si>
    <t>C4651630C085</t>
  </si>
  <si>
    <t>8CG9294NTF</t>
  </si>
  <si>
    <t>GENSUS30C08A</t>
  </si>
  <si>
    <t>7.21.172.169</t>
  </si>
  <si>
    <t>C4651630C08A</t>
  </si>
  <si>
    <t>8CG9294NTY</t>
  </si>
  <si>
    <t>GENSUS30C096</t>
  </si>
  <si>
    <t>7.144.172.56</t>
  </si>
  <si>
    <t>C4651630C096</t>
  </si>
  <si>
    <t>8CG9294NT8</t>
  </si>
  <si>
    <t>GENSUS30C097</t>
  </si>
  <si>
    <t>7.151.108.24</t>
  </si>
  <si>
    <t>C4651630C097</t>
  </si>
  <si>
    <t>8CG9294NT5</t>
  </si>
  <si>
    <t>GENSUS30C099</t>
  </si>
  <si>
    <t>7.189.68.207</t>
  </si>
  <si>
    <t>C4651630C099</t>
  </si>
  <si>
    <t>8CG9294K50</t>
  </si>
  <si>
    <t>GENSUS30C0B9</t>
  </si>
  <si>
    <t>7.87.92.159</t>
  </si>
  <si>
    <t>C4651630C0B9</t>
  </si>
  <si>
    <t>8CG9294NQG</t>
  </si>
  <si>
    <t>GENSUS30C0F0</t>
  </si>
  <si>
    <t>7.189.68.153</t>
  </si>
  <si>
    <t>C4651630C0F0</t>
  </si>
  <si>
    <t>8CG9294NSB</t>
  </si>
  <si>
    <t>GENSUS30C10F</t>
  </si>
  <si>
    <t>7.8.228.34</t>
  </si>
  <si>
    <t>C4651630C10F</t>
  </si>
  <si>
    <t>8CG9294KMN</t>
  </si>
  <si>
    <t>GENSUS30C110</t>
  </si>
  <si>
    <t>7.49.140.141</t>
  </si>
  <si>
    <t>C4651630C110</t>
  </si>
  <si>
    <t>8CG9294KMQ</t>
  </si>
  <si>
    <t>GENSUS30C137</t>
  </si>
  <si>
    <t>7.166.204.26</t>
  </si>
  <si>
    <t>C4651630C137</t>
  </si>
  <si>
    <t>8CG9294KK6</t>
  </si>
  <si>
    <t>GENSUS30C149</t>
  </si>
  <si>
    <t>7.72.28.163</t>
  </si>
  <si>
    <t>C4651630C149</t>
  </si>
  <si>
    <t>8CG9294KKM</t>
  </si>
  <si>
    <t>GENSUS30C155</t>
  </si>
  <si>
    <t>7.24.212.19</t>
  </si>
  <si>
    <t>C4651630C155</t>
  </si>
  <si>
    <t>8CG9294NVD</t>
  </si>
  <si>
    <t>GENSUS30C189</t>
  </si>
  <si>
    <t>7.81.116.128</t>
  </si>
  <si>
    <t>C4651630C189</t>
  </si>
  <si>
    <t>8CG9294K2Z</t>
  </si>
  <si>
    <t>GENSUS30C1A5</t>
  </si>
  <si>
    <t>55.188.7.176</t>
  </si>
  <si>
    <t>C4651630C1A5</t>
  </si>
  <si>
    <t>8CG9294NN0</t>
  </si>
  <si>
    <t>GENSUS30C204</t>
  </si>
  <si>
    <t>7.189.124.172</t>
  </si>
  <si>
    <t>C4651630C204</t>
  </si>
  <si>
    <t>8CG9294NLT</t>
  </si>
  <si>
    <t>GENSUS30C22F</t>
  </si>
  <si>
    <t>7.74.124.11</t>
  </si>
  <si>
    <t>C4651630C22F</t>
  </si>
  <si>
    <t>8CG9294P6X</t>
  </si>
  <si>
    <t>GENSUS30C237</t>
  </si>
  <si>
    <t>7.20.188.156</t>
  </si>
  <si>
    <t>C4651630C237</t>
  </si>
  <si>
    <t>8CG9294K39</t>
  </si>
  <si>
    <t>GENSUS30C23A</t>
  </si>
  <si>
    <t>7.91.196.121</t>
  </si>
  <si>
    <t>C4651630C23A</t>
  </si>
  <si>
    <t>8CG9294K31</t>
  </si>
  <si>
    <t>GENSUS30C249</t>
  </si>
  <si>
    <t>7.15.20.70</t>
  </si>
  <si>
    <t>C4651630C249</t>
  </si>
  <si>
    <t>8CG9294P7P</t>
  </si>
  <si>
    <t>GENSUS30C251</t>
  </si>
  <si>
    <t>7.124.52.162</t>
  </si>
  <si>
    <t>C4651630C251</t>
  </si>
  <si>
    <t>8CG9294P6S</t>
  </si>
  <si>
    <t>GENSUS30F4A0</t>
  </si>
  <si>
    <t>7.212.236.202</t>
  </si>
  <si>
    <t>C4651630F4A0</t>
  </si>
  <si>
    <t>8CG92952HR</t>
  </si>
  <si>
    <t>GENSUS30F4A7</t>
  </si>
  <si>
    <t>7.11.252.51</t>
  </si>
  <si>
    <t>C4651630F4A7</t>
  </si>
  <si>
    <t>8CG92952L1</t>
  </si>
  <si>
    <t>GENSUS30F4B5</t>
  </si>
  <si>
    <t>7.84.180.194</t>
  </si>
  <si>
    <t>C4651630F4B5</t>
  </si>
  <si>
    <t>8CG92952JQ</t>
  </si>
  <si>
    <t>GENSUS30F4B9</t>
  </si>
  <si>
    <t>7.11.156.228</t>
  </si>
  <si>
    <t>C4651630F4B9</t>
  </si>
  <si>
    <t>8CG9303WV3</t>
  </si>
  <si>
    <t>GENSUS30F4C7</t>
  </si>
  <si>
    <t>7.5.132.61</t>
  </si>
  <si>
    <t>C4651630F4C7</t>
  </si>
  <si>
    <t>8CG9303WZ6</t>
  </si>
  <si>
    <t>GENSUS30F4CC</t>
  </si>
  <si>
    <t>7.215.236.16</t>
  </si>
  <si>
    <t>C4651630F4CC</t>
  </si>
  <si>
    <t>8CG9303WV4</t>
  </si>
  <si>
    <t>GENSUS30F4CE</t>
  </si>
  <si>
    <t>7.69.60.195</t>
  </si>
  <si>
    <t>C4651630F4CE</t>
  </si>
  <si>
    <t>8CG9303WV1</t>
  </si>
  <si>
    <t>GENSUS30F4CF</t>
  </si>
  <si>
    <t>7.11.156.113</t>
  </si>
  <si>
    <t>C4651630F4CF</t>
  </si>
  <si>
    <t>8CG9303WV0</t>
  </si>
  <si>
    <t>GENSUS30F4DC</t>
  </si>
  <si>
    <t>7.149.156.68</t>
  </si>
  <si>
    <t>C4651630F4DC</t>
  </si>
  <si>
    <t>8CG9303WVK</t>
  </si>
  <si>
    <t>GENSUS30F4DD</t>
  </si>
  <si>
    <t>7.158.148.222</t>
  </si>
  <si>
    <t>C4651630F4DD</t>
  </si>
  <si>
    <t>8CG9303WVL</t>
  </si>
  <si>
    <t>GENSUS30F4E0</t>
  </si>
  <si>
    <t>7.21.132.120</t>
  </si>
  <si>
    <t>C4651630F4E0</t>
  </si>
  <si>
    <t>8CG9303WVF</t>
  </si>
  <si>
    <t>GENSUS30F4E1</t>
  </si>
  <si>
    <t>7.136.196.227</t>
  </si>
  <si>
    <t>C4651630F4E1</t>
  </si>
  <si>
    <t>8CG9303WVG</t>
  </si>
  <si>
    <t>GENSUS30F4E4</t>
  </si>
  <si>
    <t>7.53.156.237</t>
  </si>
  <si>
    <t>C4651630F4E4</t>
  </si>
  <si>
    <t>8CG9303WVC</t>
  </si>
  <si>
    <t>GENSUS30F4F1</t>
  </si>
  <si>
    <t>7.123.132.50</t>
  </si>
  <si>
    <t>C4651630F4F1</t>
  </si>
  <si>
    <t>8CG9295260</t>
  </si>
  <si>
    <t>GENSUS30F504</t>
  </si>
  <si>
    <t>7.72.108.157</t>
  </si>
  <si>
    <t>C4651630F504</t>
  </si>
  <si>
    <t>8CG92952CK</t>
  </si>
  <si>
    <t>GENSUS30F50A</t>
  </si>
  <si>
    <t>7.151.36.53</t>
  </si>
  <si>
    <t>C4651630F50A</t>
  </si>
  <si>
    <t>8CG9303WYW</t>
  </si>
  <si>
    <t>GENSUS30F512</t>
  </si>
  <si>
    <t>7.82.180.24</t>
  </si>
  <si>
    <t>C4651630F512</t>
  </si>
  <si>
    <t>8CG9303WWQ</t>
  </si>
  <si>
    <t>GENSUS30F51D</t>
  </si>
  <si>
    <t>7.182.252.67</t>
  </si>
  <si>
    <t>C4651630F51D</t>
  </si>
  <si>
    <t>8CG9303WWT</t>
  </si>
  <si>
    <t>GENSUS30F529</t>
  </si>
  <si>
    <t>7.69.84.146</t>
  </si>
  <si>
    <t>C4651630F529</t>
  </si>
  <si>
    <t>8CG9303WW5</t>
  </si>
  <si>
    <t>GENSUS30F52B</t>
  </si>
  <si>
    <t>7.157.196.227</t>
  </si>
  <si>
    <t>C4651630F52B</t>
  </si>
  <si>
    <t>8CG9303WWS</t>
  </si>
  <si>
    <t>GENSUS30F52C</t>
  </si>
  <si>
    <t>7.48.196.183</t>
  </si>
  <si>
    <t>C4651630F52C</t>
  </si>
  <si>
    <t>8CG9303WWM</t>
  </si>
  <si>
    <t>GENSUS30F535</t>
  </si>
  <si>
    <t>7.21.132.96</t>
  </si>
  <si>
    <t>C4651630F535</t>
  </si>
  <si>
    <t>8CG9303WW0</t>
  </si>
  <si>
    <t>GENSUS30F53F</t>
  </si>
  <si>
    <t>7.151.36.76</t>
  </si>
  <si>
    <t>C4651630F53F</t>
  </si>
  <si>
    <t>8CG9303WYK</t>
  </si>
  <si>
    <t>GENSUS30F549</t>
  </si>
  <si>
    <t>7.53.68.226</t>
  </si>
  <si>
    <t>C4651630F549</t>
  </si>
  <si>
    <t>8CG9303WX7</t>
  </si>
  <si>
    <t>GENSUS30F551</t>
  </si>
  <si>
    <t>7.21.132.230</t>
  </si>
  <si>
    <t>C4651630F551</t>
  </si>
  <si>
    <t>8CG9303WX8</t>
  </si>
  <si>
    <t>GENSUS30F554</t>
  </si>
  <si>
    <t>7.140.28.40</t>
  </si>
  <si>
    <t>C4651630F554</t>
  </si>
  <si>
    <t>8CG9303WXB</t>
  </si>
  <si>
    <t>GENSUS30F561</t>
  </si>
  <si>
    <t>7.34.156.43</t>
  </si>
  <si>
    <t>C4651630F561</t>
  </si>
  <si>
    <t>8CG9294YZW</t>
  </si>
  <si>
    <t>GENSUS30F562</t>
  </si>
  <si>
    <t>7.34.156.131</t>
  </si>
  <si>
    <t>C4651630F562</t>
  </si>
  <si>
    <t>8CG9294YZZ</t>
  </si>
  <si>
    <t>GENSUS30F563</t>
  </si>
  <si>
    <t>7.8.212.33</t>
  </si>
  <si>
    <t>C4651630F563</t>
  </si>
  <si>
    <t>8CG9294Z00</t>
  </si>
  <si>
    <t>GENSUS30F5A2</t>
  </si>
  <si>
    <t>7.76.28.27</t>
  </si>
  <si>
    <t>C4651630F5A2</t>
  </si>
  <si>
    <t>8CG9303WZQ</t>
  </si>
  <si>
    <t>GENSUS30F5A3</t>
  </si>
  <si>
    <t>7.150.36.101</t>
  </si>
  <si>
    <t>C4651630F5A3</t>
  </si>
  <si>
    <t>8CG9303WZN</t>
  </si>
  <si>
    <t>GENSUS30F5A7</t>
  </si>
  <si>
    <t>7.213.4.81</t>
  </si>
  <si>
    <t>C4651630F5A7</t>
  </si>
  <si>
    <t>8CG9303X4M</t>
  </si>
  <si>
    <t>GENSUS30F5AF</t>
  </si>
  <si>
    <t>7.5.132.119</t>
  </si>
  <si>
    <t>C4651630F5AF</t>
  </si>
  <si>
    <t>8CG9303WZ3</t>
  </si>
  <si>
    <t>GENSUS30F5B0</t>
  </si>
  <si>
    <t>7.77.148.183</t>
  </si>
  <si>
    <t>C4651630F5B0</t>
  </si>
  <si>
    <t>S06503</t>
  </si>
  <si>
    <t>8CG9303WZ0</t>
  </si>
  <si>
    <t>S06503.US-2016</t>
  </si>
  <si>
    <t>GENSUS30F5B9</t>
  </si>
  <si>
    <t>7.53.68.75</t>
  </si>
  <si>
    <t>C4651630F5B9</t>
  </si>
  <si>
    <t>8CG9303WWB</t>
  </si>
  <si>
    <t>GENSUS30F5BA</t>
  </si>
  <si>
    <t>7.53.68.232</t>
  </si>
  <si>
    <t>C4651630F5BA</t>
  </si>
  <si>
    <t>8CG9303WTW</t>
  </si>
  <si>
    <t>GENSUS30F5BB</t>
  </si>
  <si>
    <t>7.72.108.49</t>
  </si>
  <si>
    <t>C4651630F5BB</t>
  </si>
  <si>
    <t>8CG9303WTZ</t>
  </si>
  <si>
    <t>GENSUS30F5C4</t>
  </si>
  <si>
    <t>7.72.108.56</t>
  </si>
  <si>
    <t>C4651630F5C4</t>
  </si>
  <si>
    <t>8CG9303WX4</t>
  </si>
  <si>
    <t>GENSUS30F5C8</t>
  </si>
  <si>
    <t>7.150.196.36</t>
  </si>
  <si>
    <t>C4651630F5C8</t>
  </si>
  <si>
    <t>8CG9303WZG</t>
  </si>
  <si>
    <t>GENSUS30F5CA</t>
  </si>
  <si>
    <t>7.7.164.132</t>
  </si>
  <si>
    <t>C4651630F5CA</t>
  </si>
  <si>
    <t>8CG9303WWK</t>
  </si>
  <si>
    <t>GENSUS30F5CD</t>
  </si>
  <si>
    <t>7.149.156.66</t>
  </si>
  <si>
    <t>C4651630F5CD</t>
  </si>
  <si>
    <t>8CG9303WXD</t>
  </si>
  <si>
    <t>GENSUS30F5D2</t>
  </si>
  <si>
    <t>7.21.76.26</t>
  </si>
  <si>
    <t>C4651630F5D2</t>
  </si>
  <si>
    <t>8CG9303WY8</t>
  </si>
  <si>
    <t>GENSUS30F5D4</t>
  </si>
  <si>
    <t>7.89.108.44</t>
  </si>
  <si>
    <t>C4651630F5D4</t>
  </si>
  <si>
    <t>8CG9303WTY</t>
  </si>
  <si>
    <t>GENSUS30F5D6</t>
  </si>
  <si>
    <t>7.78.44.95</t>
  </si>
  <si>
    <t>C4651630F5D6</t>
  </si>
  <si>
    <t>8CG9303WX3</t>
  </si>
  <si>
    <t>GENSUS30F5D8</t>
  </si>
  <si>
    <t>7.140.28.172</t>
  </si>
  <si>
    <t>C4651630F5D8</t>
  </si>
  <si>
    <t>8CG9303WXH</t>
  </si>
  <si>
    <t>GENSUS30F5DC</t>
  </si>
  <si>
    <t>7.3.172.26</t>
  </si>
  <si>
    <t>C4651630F5DC</t>
  </si>
  <si>
    <t>8CG9303WYD</t>
  </si>
  <si>
    <t>GENSUS30F5DD</t>
  </si>
  <si>
    <t>7.150.36.197</t>
  </si>
  <si>
    <t>C4651630F5DD</t>
  </si>
  <si>
    <t>8CG9303WYJ</t>
  </si>
  <si>
    <t>GENSUS30F5E0</t>
  </si>
  <si>
    <t>7.21.132.74</t>
  </si>
  <si>
    <t>C4651630F5E0</t>
  </si>
  <si>
    <t>8CG9303WWG</t>
  </si>
  <si>
    <t>GENSUS30F5E4</t>
  </si>
  <si>
    <t>7.130.236.18</t>
  </si>
  <si>
    <t>C4651630F5E4</t>
  </si>
  <si>
    <t>8CG9303WYC</t>
  </si>
  <si>
    <t>GENSUS30F601</t>
  </si>
  <si>
    <t>55.21.151.175</t>
  </si>
  <si>
    <t>C4651630F601</t>
  </si>
  <si>
    <t>8CG929527S</t>
  </si>
  <si>
    <t>S08228.US</t>
  </si>
  <si>
    <t>GENSUS30F60B</t>
  </si>
  <si>
    <t>7.172.220.133</t>
  </si>
  <si>
    <t>C4651630F60B</t>
  </si>
  <si>
    <t>8CG92952KB</t>
  </si>
  <si>
    <t>GENSUS30F612</t>
  </si>
  <si>
    <t>7.73.164.80</t>
  </si>
  <si>
    <t>C4651630F612</t>
  </si>
  <si>
    <t>8CG92952LD</t>
  </si>
  <si>
    <t>GENSUS30F62D</t>
  </si>
  <si>
    <t>7.122.172.219</t>
  </si>
  <si>
    <t>C4651630F62D</t>
  </si>
  <si>
    <t>8CG929526J</t>
  </si>
  <si>
    <t>GENSUS30F62E</t>
  </si>
  <si>
    <t>7.125.124.132</t>
  </si>
  <si>
    <t>C4651630F62E</t>
  </si>
  <si>
    <t>8CG929526G</t>
  </si>
  <si>
    <t>GENSUS30F634</t>
  </si>
  <si>
    <t>7.162.140.105</t>
  </si>
  <si>
    <t>C4651630F634</t>
  </si>
  <si>
    <t>S06644</t>
  </si>
  <si>
    <t>8CG929525V</t>
  </si>
  <si>
    <t>S06644.US-2016</t>
  </si>
  <si>
    <t>GENSUS30F64B</t>
  </si>
  <si>
    <t>7.34.156.18</t>
  </si>
  <si>
    <t>C4651630F64B</t>
  </si>
  <si>
    <t>8CG929525N</t>
  </si>
  <si>
    <t>GENSUS30F64C</t>
  </si>
  <si>
    <t>7.125.124.42</t>
  </si>
  <si>
    <t>C4651630F64C</t>
  </si>
  <si>
    <t>8CG929525M</t>
  </si>
  <si>
    <t>GENSUS30F654</t>
  </si>
  <si>
    <t>7.112.84.211</t>
  </si>
  <si>
    <t>C4651630F654</t>
  </si>
  <si>
    <t>8CG929527M</t>
  </si>
  <si>
    <t>GENSUS30F658</t>
  </si>
  <si>
    <t>7.24.12.214</t>
  </si>
  <si>
    <t>C4651630F658</t>
  </si>
  <si>
    <t>8CG929527J</t>
  </si>
  <si>
    <t>GENSUS30F65A</t>
  </si>
  <si>
    <t>7.69.20.77</t>
  </si>
  <si>
    <t>C4651630F65A</t>
  </si>
  <si>
    <t>8CG929527D</t>
  </si>
  <si>
    <t>GENSUS30F65D</t>
  </si>
  <si>
    <t>7.4.100.66</t>
  </si>
  <si>
    <t>C4651630F65D</t>
  </si>
  <si>
    <t>8CG9294YZ7</t>
  </si>
  <si>
    <t>GENSUS30F660</t>
  </si>
  <si>
    <t>55.135.119.163</t>
  </si>
  <si>
    <t>C4651630F660</t>
  </si>
  <si>
    <t>8CG9295275</t>
  </si>
  <si>
    <t>GENSUS30F661</t>
  </si>
  <si>
    <t>7.125.124.11</t>
  </si>
  <si>
    <t>C4651630F661</t>
  </si>
  <si>
    <t>8CG9295272</t>
  </si>
  <si>
    <t>GENSUS30F664</t>
  </si>
  <si>
    <t>7.24.36.152</t>
  </si>
  <si>
    <t>C4651630F664</t>
  </si>
  <si>
    <t>8CG929528C</t>
  </si>
  <si>
    <t>GENSUS30F66C</t>
  </si>
  <si>
    <t>7.188.140.201</t>
  </si>
  <si>
    <t>C4651630F66C</t>
  </si>
  <si>
    <t>8CG9294YZ1</t>
  </si>
  <si>
    <t>GENSUS30F66E</t>
  </si>
  <si>
    <t>7.125.124.177</t>
  </si>
  <si>
    <t>C4651630F66E</t>
  </si>
  <si>
    <t>8CG929527P</t>
  </si>
  <si>
    <t>GENSUS30F678</t>
  </si>
  <si>
    <t>7.130.212.167</t>
  </si>
  <si>
    <t>C4651630F678</t>
  </si>
  <si>
    <t>8CG929527F</t>
  </si>
  <si>
    <t>GENSUS30F67C</t>
  </si>
  <si>
    <t>7.140.140.65</t>
  </si>
  <si>
    <t>C4651630F67C</t>
  </si>
  <si>
    <t>8CG9294YZ5</t>
  </si>
  <si>
    <t>GENSUS30F67E</t>
  </si>
  <si>
    <t>7.136.196.91</t>
  </si>
  <si>
    <t>C4651630F67E</t>
  </si>
  <si>
    <t>8CG9294Z3P</t>
  </si>
  <si>
    <t>GENSUS30F67F</t>
  </si>
  <si>
    <t>7.74.212.172</t>
  </si>
  <si>
    <t>C4651630F67F</t>
  </si>
  <si>
    <t>8CG9294Z0Z</t>
  </si>
  <si>
    <t>GENSUS30F686</t>
  </si>
  <si>
    <t>7.25.124.167</t>
  </si>
  <si>
    <t>C4651630F686</t>
  </si>
  <si>
    <t>8CG9294Z4F</t>
  </si>
  <si>
    <t>GENSUS30F68E</t>
  </si>
  <si>
    <t>7.140.140.140</t>
  </si>
  <si>
    <t>C4651630F68E</t>
  </si>
  <si>
    <t>8CG9294Z0B</t>
  </si>
  <si>
    <t>GENSUS30F6B1</t>
  </si>
  <si>
    <t>7.34.156.132</t>
  </si>
  <si>
    <t>C4651630F6B1</t>
  </si>
  <si>
    <t>8CG9294Z0F</t>
  </si>
  <si>
    <t>GENSUS30F6E9</t>
  </si>
  <si>
    <t>7.213.124.22</t>
  </si>
  <si>
    <t>C4651630F6E9</t>
  </si>
  <si>
    <t>8CG9295255</t>
  </si>
  <si>
    <t>GENSUS30F6EA</t>
  </si>
  <si>
    <t>7.187.100.36</t>
  </si>
  <si>
    <t>C4651630F6EA</t>
  </si>
  <si>
    <t>8CG9295254</t>
  </si>
  <si>
    <t>GENSUS30F6EB</t>
  </si>
  <si>
    <t>7.112.84.64</t>
  </si>
  <si>
    <t>C4651630F6EB</t>
  </si>
  <si>
    <t>8CG929526D</t>
  </si>
  <si>
    <t>GENSUS30F6F3</t>
  </si>
  <si>
    <t>7.24.12.217</t>
  </si>
  <si>
    <t>C4651630F6F3</t>
  </si>
  <si>
    <t>8CG929526Q</t>
  </si>
  <si>
    <t>GENSUS30F6F4</t>
  </si>
  <si>
    <t>7.124.68.114</t>
  </si>
  <si>
    <t>C4651630F6F4</t>
  </si>
  <si>
    <t>8CG929526P</t>
  </si>
  <si>
    <t>GENSUS30F6FC</t>
  </si>
  <si>
    <t>7.187.100.42</t>
  </si>
  <si>
    <t>C4651630F6FC</t>
  </si>
  <si>
    <t>8CG9294Z0V</t>
  </si>
  <si>
    <t>GENSUS30F70F</t>
  </si>
  <si>
    <t>7.118.108.57</t>
  </si>
  <si>
    <t>C4651630F70F</t>
  </si>
  <si>
    <t>S06575</t>
  </si>
  <si>
    <t>8CG92952K5</t>
  </si>
  <si>
    <t>S06575.US-2016</t>
  </si>
  <si>
    <t>GENSUS30F713</t>
  </si>
  <si>
    <t>7.64.244.224</t>
  </si>
  <si>
    <t>C4651630F713</t>
  </si>
  <si>
    <t>8CG92952CY</t>
  </si>
  <si>
    <t>GENSUS30F716</t>
  </si>
  <si>
    <t>7.71.60.93</t>
  </si>
  <si>
    <t>C4651630F716</t>
  </si>
  <si>
    <t>8CG9303WZB</t>
  </si>
  <si>
    <t>GENSUS30F717</t>
  </si>
  <si>
    <t>7.165.244.55</t>
  </si>
  <si>
    <t>C4651630F717</t>
  </si>
  <si>
    <t>8CG9303WZ8</t>
  </si>
  <si>
    <t>GENSUS30F722</t>
  </si>
  <si>
    <t>7.43.180.27</t>
  </si>
  <si>
    <t>C4651630F722</t>
  </si>
  <si>
    <t>8CG92952LK</t>
  </si>
  <si>
    <t>GENSUS30F726</t>
  </si>
  <si>
    <t>7.65.220.17</t>
  </si>
  <si>
    <t>C4651630F726</t>
  </si>
  <si>
    <t>8CG92952LC</t>
  </si>
  <si>
    <t>GENSUS30F74C</t>
  </si>
  <si>
    <t>7.211.228.195</t>
  </si>
  <si>
    <t>C4651630F74C</t>
  </si>
  <si>
    <t>8CG92952KF</t>
  </si>
  <si>
    <t>GENSUS30F750</t>
  </si>
  <si>
    <t>7.122.172.25</t>
  </si>
  <si>
    <t>C4651630F750</t>
  </si>
  <si>
    <t>8CG9294Z06</t>
  </si>
  <si>
    <t>GENSUS30F751</t>
  </si>
  <si>
    <t>7.24.12.196</t>
  </si>
  <si>
    <t>C4651630F751</t>
  </si>
  <si>
    <t>8CG9294Z0S</t>
  </si>
  <si>
    <t>GENSUS30F753</t>
  </si>
  <si>
    <t>7.163.148.232</t>
  </si>
  <si>
    <t>C4651630F753</t>
  </si>
  <si>
    <t>8CG929527Z</t>
  </si>
  <si>
    <t>GENSUS30F754</t>
  </si>
  <si>
    <t>7.187.100.14</t>
  </si>
  <si>
    <t>C4651630F754</t>
  </si>
  <si>
    <t>8CG9295280</t>
  </si>
  <si>
    <t>GENSUS30F758</t>
  </si>
  <si>
    <t>7.112.84.130</t>
  </si>
  <si>
    <t>C4651630F758</t>
  </si>
  <si>
    <t>8CG929527X</t>
  </si>
  <si>
    <t>GENSUS30F759</t>
  </si>
  <si>
    <t>7.163.148.230</t>
  </si>
  <si>
    <t>C4651630F759</t>
  </si>
  <si>
    <t>8CG929527Y</t>
  </si>
  <si>
    <t>GENSUS30F75D</t>
  </si>
  <si>
    <t>7.7.76.198</t>
  </si>
  <si>
    <t>C4651630F75D</t>
  </si>
  <si>
    <t>8CG9294YZK</t>
  </si>
  <si>
    <t>GENSUS30F75E</t>
  </si>
  <si>
    <t>7.125.132.13</t>
  </si>
  <si>
    <t>C4651630F75E</t>
  </si>
  <si>
    <t>8CG9295269</t>
  </si>
  <si>
    <t>GENSUS30F75F</t>
  </si>
  <si>
    <t>7.128.220.60</t>
  </si>
  <si>
    <t>C4651630F75F</t>
  </si>
  <si>
    <t>S06624</t>
  </si>
  <si>
    <t>8CG9295284</t>
  </si>
  <si>
    <t>S06624.US-2016</t>
  </si>
  <si>
    <t>GENSUS30F763</t>
  </si>
  <si>
    <t>7.24.12.208</t>
  </si>
  <si>
    <t>C4651630F763</t>
  </si>
  <si>
    <t>8CG929525B</t>
  </si>
  <si>
    <t>GENSUS30F76A</t>
  </si>
  <si>
    <t>7.131.36.165</t>
  </si>
  <si>
    <t>C4651630F76A</t>
  </si>
  <si>
    <t>8CG92952LM</t>
  </si>
  <si>
    <t>GENSUS30F7A5</t>
  </si>
  <si>
    <t>7.122.204.108</t>
  </si>
  <si>
    <t>C4651630F7A5</t>
  </si>
  <si>
    <t>8CG9294F46</t>
  </si>
  <si>
    <t>GENSUS30F7BE</t>
  </si>
  <si>
    <t>7.8.188.88</t>
  </si>
  <si>
    <t>C4651630F7BE</t>
  </si>
  <si>
    <t>8CG9294F1V</t>
  </si>
  <si>
    <t>GENSUS30F7C2</t>
  </si>
  <si>
    <t>7.172.220.234</t>
  </si>
  <si>
    <t>C4651630F7C2</t>
  </si>
  <si>
    <t>8CG9294G7B</t>
  </si>
  <si>
    <t>GENSUS30F7CB</t>
  </si>
  <si>
    <t>7.140.20.20</t>
  </si>
  <si>
    <t>C4651630F7CB</t>
  </si>
  <si>
    <t>8CG9294BJ4</t>
  </si>
  <si>
    <t>GENSUS30F7CC</t>
  </si>
  <si>
    <t>7.122.204.26</t>
  </si>
  <si>
    <t>C4651630F7CC</t>
  </si>
  <si>
    <t>8CG9294BJ2</t>
  </si>
  <si>
    <t>GENSUS30F7D9</t>
  </si>
  <si>
    <t>7.35.164.12</t>
  </si>
  <si>
    <t>C4651630F7D9</t>
  </si>
  <si>
    <t>8CG9294DZT</t>
  </si>
  <si>
    <t>GENSUS30F7DA</t>
  </si>
  <si>
    <t>7.124.52.215</t>
  </si>
  <si>
    <t>C4651630F7DA</t>
  </si>
  <si>
    <t>8CG9294DZV</t>
  </si>
  <si>
    <t>GENSUS30F7E1</t>
  </si>
  <si>
    <t>7.91.108.164</t>
  </si>
  <si>
    <t>C4651630F7E1</t>
  </si>
  <si>
    <t>8CG9294F3F</t>
  </si>
  <si>
    <t>GENSUS30F7E3</t>
  </si>
  <si>
    <t>7.122.204.176</t>
  </si>
  <si>
    <t>C4651630F7E3</t>
  </si>
  <si>
    <t>8CG9294BG9</t>
  </si>
  <si>
    <t>GENSUS30F7EC</t>
  </si>
  <si>
    <t>7.122.204.240</t>
  </si>
  <si>
    <t>C4651630F7EC</t>
  </si>
  <si>
    <t>8CG9294BGT</t>
  </si>
  <si>
    <t>GENSUS30F7EF</t>
  </si>
  <si>
    <t>7.131.12.165</t>
  </si>
  <si>
    <t>C4651630F7EF</t>
  </si>
  <si>
    <t>8CG9294F10</t>
  </si>
  <si>
    <t>GENSUS30F7FF</t>
  </si>
  <si>
    <t>7.37.172.160</t>
  </si>
  <si>
    <t>C4651630F7FF</t>
  </si>
  <si>
    <t>8CG9294DYR</t>
  </si>
  <si>
    <t>GENSUS30F80B</t>
  </si>
  <si>
    <t>7.87.60.17</t>
  </si>
  <si>
    <t>C4651630F80B</t>
  </si>
  <si>
    <t>8CG9294PLS</t>
  </si>
  <si>
    <t>GENSUS30F80E</t>
  </si>
  <si>
    <t>7.150.180.114</t>
  </si>
  <si>
    <t>C4651630F80E</t>
  </si>
  <si>
    <t>8CG9294PMZ</t>
  </si>
  <si>
    <t>GENSUS30F81B</t>
  </si>
  <si>
    <t>7.37.172.147</t>
  </si>
  <si>
    <t>C4651630F81B</t>
  </si>
  <si>
    <t>8CG9294DXX</t>
  </si>
  <si>
    <t>GENSUS30F820</t>
  </si>
  <si>
    <t>7.35.124.108</t>
  </si>
  <si>
    <t>C4651630F820</t>
  </si>
  <si>
    <t>8CG9294PKJ</t>
  </si>
  <si>
    <t>GENSUS30F98B</t>
  </si>
  <si>
    <t>7.182.116.209</t>
  </si>
  <si>
    <t>C4651630F98B</t>
  </si>
  <si>
    <t>8CG9302XYG</t>
  </si>
  <si>
    <t>GENSUS30F98E</t>
  </si>
  <si>
    <t>7.47.244.47</t>
  </si>
  <si>
    <t>C4651630F98E</t>
  </si>
  <si>
    <t>8CG9302Y01</t>
  </si>
  <si>
    <t>GENSUS30F9E1</t>
  </si>
  <si>
    <t>7.65.236.186</t>
  </si>
  <si>
    <t>C4651630F9E1</t>
  </si>
  <si>
    <t>8CG9303ZKY</t>
  </si>
  <si>
    <t>GENSUS30FA0D</t>
  </si>
  <si>
    <t>7.75.244.161</t>
  </si>
  <si>
    <t>C4651630FA0D</t>
  </si>
  <si>
    <t>8CG9303ZL2</t>
  </si>
  <si>
    <t>GENSUS30FA58</t>
  </si>
  <si>
    <t>7.92.20.76</t>
  </si>
  <si>
    <t>C4651630FA58</t>
  </si>
  <si>
    <t>8CG9301SZ4</t>
  </si>
  <si>
    <t>GENSUS30FAA4</t>
  </si>
  <si>
    <t>55.52.231.154</t>
  </si>
  <si>
    <t>C4651630FAA4</t>
  </si>
  <si>
    <t>8CG9303ZF7</t>
  </si>
  <si>
    <t>GENSUS30FAD3</t>
  </si>
  <si>
    <t>7.171.60.162</t>
  </si>
  <si>
    <t>C4651630FAD3</t>
  </si>
  <si>
    <t>8CG9301T35</t>
  </si>
  <si>
    <t>GENSUS30FADA</t>
  </si>
  <si>
    <t>7.167.148.210</t>
  </si>
  <si>
    <t>C4651630FADA</t>
  </si>
  <si>
    <t>8CG9301T31</t>
  </si>
  <si>
    <t>GENSUS30FB5C</t>
  </si>
  <si>
    <t>7.66.212.61</t>
  </si>
  <si>
    <t>C4651630FB5C</t>
  </si>
  <si>
    <t>8CG9296GWS</t>
  </si>
  <si>
    <t>GENSUS30FB62</t>
  </si>
  <si>
    <t>7.24.4.43</t>
  </si>
  <si>
    <t>C4651630FB62</t>
  </si>
  <si>
    <t>8CG9296GWK</t>
  </si>
  <si>
    <t>GENSUS30FB64</t>
  </si>
  <si>
    <t>7.24.36.67</t>
  </si>
  <si>
    <t>C4651630FB64</t>
  </si>
  <si>
    <t>8CG9296GWG</t>
  </si>
  <si>
    <t>GENSUS30FB65</t>
  </si>
  <si>
    <t>7.14.172.69</t>
  </si>
  <si>
    <t>C4651630FB65</t>
  </si>
  <si>
    <t>8CG9296GWP</t>
  </si>
  <si>
    <t>GENSUS30FB6A</t>
  </si>
  <si>
    <t>7.76.244.66</t>
  </si>
  <si>
    <t>C4651630FB6A</t>
  </si>
  <si>
    <t>8CG9296GZ5</t>
  </si>
  <si>
    <t>GENSUS30FB6E</t>
  </si>
  <si>
    <t>7.14.172.59</t>
  </si>
  <si>
    <t>C4651630FB6E</t>
  </si>
  <si>
    <t>8CG9296GWV</t>
  </si>
  <si>
    <t>GENSUS30FB72</t>
  </si>
  <si>
    <t>7.14.172.199</t>
  </si>
  <si>
    <t>C4651630FB72</t>
  </si>
  <si>
    <t>8CG9296GWD</t>
  </si>
  <si>
    <t>GENSUS30FB74</t>
  </si>
  <si>
    <t>7.66.212.46</t>
  </si>
  <si>
    <t>C4651630FB74</t>
  </si>
  <si>
    <t>8CG9296GWL</t>
  </si>
  <si>
    <t>GENSUS30FB9C</t>
  </si>
  <si>
    <t>7.123.44.165</t>
  </si>
  <si>
    <t>C4651630FB9C</t>
  </si>
  <si>
    <t>8CG9296H0V</t>
  </si>
  <si>
    <t>GENSUS30FBC8</t>
  </si>
  <si>
    <t>7.8.12.141</t>
  </si>
  <si>
    <t>C4651630FBC8</t>
  </si>
  <si>
    <t>8CG9296KYQ</t>
  </si>
  <si>
    <t>S06453.US</t>
  </si>
  <si>
    <t>GENSUS30FBEE</t>
  </si>
  <si>
    <t>7.123.44.53</t>
  </si>
  <si>
    <t>C4651630FBEE</t>
  </si>
  <si>
    <t>8CG9296GZZ</t>
  </si>
  <si>
    <t>GENSUS30FC10</t>
  </si>
  <si>
    <t>7.7.76.233</t>
  </si>
  <si>
    <t>C4651630FC10</t>
  </si>
  <si>
    <t>8CG9296GZR</t>
  </si>
  <si>
    <t>GENSUS30FC1F</t>
  </si>
  <si>
    <t>7.188.140.212</t>
  </si>
  <si>
    <t>C4651630FC1F</t>
  </si>
  <si>
    <t>8CG9296GZQ</t>
  </si>
  <si>
    <t>GENSUS30FC25</t>
  </si>
  <si>
    <t>7.128.220.20</t>
  </si>
  <si>
    <t>C4651630FC25</t>
  </si>
  <si>
    <t>8CG9296GXN</t>
  </si>
  <si>
    <t>GENSUS30FC42</t>
  </si>
  <si>
    <t>7.136.100.155</t>
  </si>
  <si>
    <t>C4651630FC42</t>
  </si>
  <si>
    <t>S06235</t>
  </si>
  <si>
    <t>8CG9296KXS</t>
  </si>
  <si>
    <t>S06235.US-2016</t>
  </si>
  <si>
    <t>GENSUS30FC51</t>
  </si>
  <si>
    <t>7.123.44.156</t>
  </si>
  <si>
    <t>C4651630FC51</t>
  </si>
  <si>
    <t>8CG9296H0B</t>
  </si>
  <si>
    <t>GENSUS30FC52</t>
  </si>
  <si>
    <t>7.66.28.216</t>
  </si>
  <si>
    <t>C4651630FC52</t>
  </si>
  <si>
    <t>8CG9296H1J</t>
  </si>
  <si>
    <t>GENSUS30FC53</t>
  </si>
  <si>
    <t>7.8.12.151</t>
  </si>
  <si>
    <t>C4651630FC53</t>
  </si>
  <si>
    <t>8CG9296H47</t>
  </si>
  <si>
    <t>GENSUS30FC62</t>
  </si>
  <si>
    <t>7.24.36.118</t>
  </si>
  <si>
    <t>C4651630FC62</t>
  </si>
  <si>
    <t>8CG9296KXT</t>
  </si>
  <si>
    <t>GENSUS30FC6A</t>
  </si>
  <si>
    <t>7.188.140.220</t>
  </si>
  <si>
    <t>C4651630FC6A</t>
  </si>
  <si>
    <t>8CG9296GZP</t>
  </si>
  <si>
    <t>GENSUS30FC6B</t>
  </si>
  <si>
    <t>7.35.12.159</t>
  </si>
  <si>
    <t>C4651630FC6B</t>
  </si>
  <si>
    <t>S08208</t>
  </si>
  <si>
    <t>8CG9296H43</t>
  </si>
  <si>
    <t>S08208.US-2016</t>
  </si>
  <si>
    <t>GENSUS30FC8D</t>
  </si>
  <si>
    <t>7.188.140.218</t>
  </si>
  <si>
    <t>C4651630FC8D</t>
  </si>
  <si>
    <t>8CG9296H3H</t>
  </si>
  <si>
    <t>GENSUS30FCB7</t>
  </si>
  <si>
    <t>7.214.108.172</t>
  </si>
  <si>
    <t>C4651630FCB7</t>
  </si>
  <si>
    <t>8CG9296L01</t>
  </si>
  <si>
    <t>GENSUS30FCBF</t>
  </si>
  <si>
    <t>7.150.52.137</t>
  </si>
  <si>
    <t>C4651630FCBF</t>
  </si>
  <si>
    <t>8CG9296KY8</t>
  </si>
  <si>
    <t>GENSUS30FCD3</t>
  </si>
  <si>
    <t>7.175.60.184</t>
  </si>
  <si>
    <t>C4651630FCD3</t>
  </si>
  <si>
    <t>8CG9296KY7</t>
  </si>
  <si>
    <t>GENSUS30FD0C</t>
  </si>
  <si>
    <t>7.21.188.87</t>
  </si>
  <si>
    <t>C4651630FD0C</t>
  </si>
  <si>
    <t>S08262</t>
  </si>
  <si>
    <t>8CG9296KZ4</t>
  </si>
  <si>
    <t>S08262.US-2016</t>
  </si>
  <si>
    <t>GENSUS30FD11</t>
  </si>
  <si>
    <t>7.212.236.155</t>
  </si>
  <si>
    <t>C4651630FD11</t>
  </si>
  <si>
    <t>8CG92962BP</t>
  </si>
  <si>
    <t>GENSUS30FD12</t>
  </si>
  <si>
    <t>7.21.44.206</t>
  </si>
  <si>
    <t>C4651630FD12</t>
  </si>
  <si>
    <t>8CG92962BQ</t>
  </si>
  <si>
    <t>GENSUS30FD1C</t>
  </si>
  <si>
    <t>7.52.252.112</t>
  </si>
  <si>
    <t>C4651630FD1C</t>
  </si>
  <si>
    <t>8CG9295ZLB</t>
  </si>
  <si>
    <t>GENSUS30FD23</t>
  </si>
  <si>
    <t>7.139.52.11</t>
  </si>
  <si>
    <t>C4651630FD23</t>
  </si>
  <si>
    <t>8CG92962JR</t>
  </si>
  <si>
    <t>GENSUS30FD2E</t>
  </si>
  <si>
    <t>7.35.12.190</t>
  </si>
  <si>
    <t>C4651630FD2E</t>
  </si>
  <si>
    <t>8CG92962C0</t>
  </si>
  <si>
    <t>GENSUS30FD4C</t>
  </si>
  <si>
    <t>7.24.12.173</t>
  </si>
  <si>
    <t>C4651630FD4C</t>
  </si>
  <si>
    <t>8CG9296L44</t>
  </si>
  <si>
    <t>GENSUS30FD7A</t>
  </si>
  <si>
    <t>7.56.196.177</t>
  </si>
  <si>
    <t>C4651630FD7A</t>
  </si>
  <si>
    <t>8CG9296H25</t>
  </si>
  <si>
    <t>GENSUS30FD8C</t>
  </si>
  <si>
    <t>7.135.124.39</t>
  </si>
  <si>
    <t>C4651630FD8C</t>
  </si>
  <si>
    <t>8CG9296L2X</t>
  </si>
  <si>
    <t>GENSUS30FDAB</t>
  </si>
  <si>
    <t>7.161.68.178</t>
  </si>
  <si>
    <t>C4651630FDAB</t>
  </si>
  <si>
    <t>8CG92962BZ</t>
  </si>
  <si>
    <t>GENSUS30FDD7</t>
  </si>
  <si>
    <t>7.156.164.58</t>
  </si>
  <si>
    <t>C4651630FDD7</t>
  </si>
  <si>
    <t>8CG9296HFW</t>
  </si>
  <si>
    <t>GENSUS30FDE2</t>
  </si>
  <si>
    <t>7.66.188.164</t>
  </si>
  <si>
    <t>C4651630FDE2</t>
  </si>
  <si>
    <t>8CG9296HGF</t>
  </si>
  <si>
    <t>GENSUS30FDE8</t>
  </si>
  <si>
    <t>7.189.60.48</t>
  </si>
  <si>
    <t>C4651630FDE8</t>
  </si>
  <si>
    <t>8CG9296HCQ</t>
  </si>
  <si>
    <t>GENSUS30FE12</t>
  </si>
  <si>
    <t>7.49.212.100</t>
  </si>
  <si>
    <t>C4651630FE12</t>
  </si>
  <si>
    <t>8CG9296L1R</t>
  </si>
  <si>
    <t>GENSUS30FE40</t>
  </si>
  <si>
    <t>7.65.236.199</t>
  </si>
  <si>
    <t>C4651630FE40</t>
  </si>
  <si>
    <t>8CG9295Y47</t>
  </si>
  <si>
    <t>GENSUS30FE58</t>
  </si>
  <si>
    <t>7.156.164.59</t>
  </si>
  <si>
    <t>C4651630FE58</t>
  </si>
  <si>
    <t>8CG9296HDY</t>
  </si>
  <si>
    <t>GENSUS30FE5B</t>
  </si>
  <si>
    <t>7.114.188.126</t>
  </si>
  <si>
    <t>C4651630FE5B</t>
  </si>
  <si>
    <t>8CG9295Y3V</t>
  </si>
  <si>
    <t>GENSUS30FE65</t>
  </si>
  <si>
    <t>7.7.76.47</t>
  </si>
  <si>
    <t>C4651630FE65</t>
  </si>
  <si>
    <t>8CG9296HF0</t>
  </si>
  <si>
    <t>GENSUS30FE6C</t>
  </si>
  <si>
    <t>7.168.60.94</t>
  </si>
  <si>
    <t>C4651630FE6C</t>
  </si>
  <si>
    <t>8CG9295Y41</t>
  </si>
  <si>
    <t>GENSUS30FE7E</t>
  </si>
  <si>
    <t>7.66.28.217</t>
  </si>
  <si>
    <t>C4651630FE7E</t>
  </si>
  <si>
    <t>8CG92962KG</t>
  </si>
  <si>
    <t>GENSUS30FE90</t>
  </si>
  <si>
    <t>7.159.4.152</t>
  </si>
  <si>
    <t>C4651630FE90</t>
  </si>
  <si>
    <t>8CG929625P</t>
  </si>
  <si>
    <t>GENSUS30FE94</t>
  </si>
  <si>
    <t>7.7.76.44</t>
  </si>
  <si>
    <t>C4651630FE94</t>
  </si>
  <si>
    <t>8CG929624M</t>
  </si>
  <si>
    <t>GENSUS30FEA4</t>
  </si>
  <si>
    <t>7.74.212.129</t>
  </si>
  <si>
    <t>C4651630FEA4</t>
  </si>
  <si>
    <t>8CG9296GX9</t>
  </si>
  <si>
    <t>GENSUS30FEAB</t>
  </si>
  <si>
    <t>55.66.215.199</t>
  </si>
  <si>
    <t>C4651630FEAB</t>
  </si>
  <si>
    <t>8CG9296GXD</t>
  </si>
  <si>
    <t>GENSUS30FEAC</t>
  </si>
  <si>
    <t>7.128.220.16</t>
  </si>
  <si>
    <t>C4651630FEAC</t>
  </si>
  <si>
    <t>8CG9296GXB</t>
  </si>
  <si>
    <t>GENSUS30FEB2</t>
  </si>
  <si>
    <t>7.113.28.22</t>
  </si>
  <si>
    <t>C4651630FEB2</t>
  </si>
  <si>
    <t>8CG929624H</t>
  </si>
  <si>
    <t>GENSUS30FEBC</t>
  </si>
  <si>
    <t>7.159.44.153</t>
  </si>
  <si>
    <t>C4651630FEBC</t>
  </si>
  <si>
    <t>8CG92962KL</t>
  </si>
  <si>
    <t>GENSUS30FEC8</t>
  </si>
  <si>
    <t>7.191.84.168</t>
  </si>
  <si>
    <t>C4651630FEC8</t>
  </si>
  <si>
    <t>8CG9296242</t>
  </si>
  <si>
    <t>GENSUS30FED2</t>
  </si>
  <si>
    <t>7.5.140.44</t>
  </si>
  <si>
    <t>C4651630FED2</t>
  </si>
  <si>
    <t>8CG92962HJ</t>
  </si>
  <si>
    <t>GENSUS30FEF7</t>
  </si>
  <si>
    <t>7.53.44.214</t>
  </si>
  <si>
    <t>C4651630FEF7</t>
  </si>
  <si>
    <t>8CG9295ZMH</t>
  </si>
  <si>
    <t>GENSUS30FF05</t>
  </si>
  <si>
    <t>7.144.196.43</t>
  </si>
  <si>
    <t>C4651630FF05</t>
  </si>
  <si>
    <t>8CG9295ZMN</t>
  </si>
  <si>
    <t>GENSUS30FF0D</t>
  </si>
  <si>
    <t>7.23.124.178</t>
  </si>
  <si>
    <t>C4651630FF0D</t>
  </si>
  <si>
    <t>8CG9295ZN0</t>
  </si>
  <si>
    <t>GENSUS30FF0F</t>
  </si>
  <si>
    <t>7.21.148.61</t>
  </si>
  <si>
    <t>C4651630FF0F</t>
  </si>
  <si>
    <t>8CG92962K3</t>
  </si>
  <si>
    <t>GENSUS30FF2B</t>
  </si>
  <si>
    <t>7.24.36.146</t>
  </si>
  <si>
    <t>C4651630FF2B</t>
  </si>
  <si>
    <t>8CG9296250</t>
  </si>
  <si>
    <t>GENSUS30FF2F</t>
  </si>
  <si>
    <t>7.21.100.23</t>
  </si>
  <si>
    <t>C4651630FF2F</t>
  </si>
  <si>
    <t>8CG9296254</t>
  </si>
  <si>
    <t>GENSUS30FF3D</t>
  </si>
  <si>
    <t>7.182.148.65</t>
  </si>
  <si>
    <t>C4651630FF3D</t>
  </si>
  <si>
    <t>8CG929626V</t>
  </si>
  <si>
    <t>GENSUS30FF40</t>
  </si>
  <si>
    <t>7.66.212.133</t>
  </si>
  <si>
    <t>C4651630FF40</t>
  </si>
  <si>
    <t>8CG9296GX1</t>
  </si>
  <si>
    <t>GENSUS30FF55</t>
  </si>
  <si>
    <t>7.188.140.124</t>
  </si>
  <si>
    <t>C4651630FF55</t>
  </si>
  <si>
    <t>8CG9295ZLN</t>
  </si>
  <si>
    <t>GENSUS30FF5F</t>
  </si>
  <si>
    <t>7.191.76.167</t>
  </si>
  <si>
    <t>C4651630FF5F</t>
  </si>
  <si>
    <t>8CG9295ZPF</t>
  </si>
  <si>
    <t>GENSUS30FF6D</t>
  </si>
  <si>
    <t>7.53.44.202</t>
  </si>
  <si>
    <t>C4651630FF6D</t>
  </si>
  <si>
    <t>8CG9295ZLR</t>
  </si>
  <si>
    <t>GENSUS30FF72</t>
  </si>
  <si>
    <t>7.21.188.58</t>
  </si>
  <si>
    <t>C4651630FF72</t>
  </si>
  <si>
    <t>8CG929629W</t>
  </si>
  <si>
    <t>GENSUS30FF78</t>
  </si>
  <si>
    <t>7.74.212.166</t>
  </si>
  <si>
    <t>C4651630FF78</t>
  </si>
  <si>
    <t>8CG9296GX2</t>
  </si>
  <si>
    <t>GENSUS30FF79</t>
  </si>
  <si>
    <t>7.49.140.34</t>
  </si>
  <si>
    <t>C4651630FF79</t>
  </si>
  <si>
    <t>8CG9295ZMX</t>
  </si>
  <si>
    <t>GENSUS30FF7B</t>
  </si>
  <si>
    <t>7.91.180.191</t>
  </si>
  <si>
    <t>C4651630FF7B</t>
  </si>
  <si>
    <t>8CG9295ZPG</t>
  </si>
  <si>
    <t>GENSUS30FF7C</t>
  </si>
  <si>
    <t>7.53.44.201</t>
  </si>
  <si>
    <t>C4651630FF7C</t>
  </si>
  <si>
    <t>8CG9295ZPJ</t>
  </si>
  <si>
    <t>GENSUS30FF88</t>
  </si>
  <si>
    <t>7.24.4.44</t>
  </si>
  <si>
    <t>C4651630FF88</t>
  </si>
  <si>
    <t>8CG929628Z</t>
  </si>
  <si>
    <t>GENSUS30FF89</t>
  </si>
  <si>
    <t>7.36.52.52</t>
  </si>
  <si>
    <t>C4651630FF89</t>
  </si>
  <si>
    <t>8CG929628G</t>
  </si>
  <si>
    <t>GENSUS30FF8A</t>
  </si>
  <si>
    <t>7.73.60.53</t>
  </si>
  <si>
    <t>C4651630FF8A</t>
  </si>
  <si>
    <t>8CG929628F</t>
  </si>
  <si>
    <t>GENSUS30FF8B</t>
  </si>
  <si>
    <t>7.21.188.94</t>
  </si>
  <si>
    <t>C4651630FF8B</t>
  </si>
  <si>
    <t>8CG929629Y</t>
  </si>
  <si>
    <t>GENSUS30FF8D</t>
  </si>
  <si>
    <t>7.182.148.66</t>
  </si>
  <si>
    <t>C4651630FF8D</t>
  </si>
  <si>
    <t>8CG929628H</t>
  </si>
  <si>
    <t>GENSUS30FF8F</t>
  </si>
  <si>
    <t>7.36.52.46</t>
  </si>
  <si>
    <t>C4651630FF8F</t>
  </si>
  <si>
    <t>8CG929628C</t>
  </si>
  <si>
    <t>GENSUS30FF9D</t>
  </si>
  <si>
    <t>7.21.148.58</t>
  </si>
  <si>
    <t>C4651630FF9D</t>
  </si>
  <si>
    <t>8CG92962JJ</t>
  </si>
  <si>
    <t>GENSUS30FFBD</t>
  </si>
  <si>
    <t>7.190.52.172</t>
  </si>
  <si>
    <t>C4651630FFBD</t>
  </si>
  <si>
    <t>8CG92962CH</t>
  </si>
  <si>
    <t>GENSUS30FFD8</t>
  </si>
  <si>
    <t>7.91.196.10</t>
  </si>
  <si>
    <t>C4651630FFD8</t>
  </si>
  <si>
    <t>8CG9296KY3</t>
  </si>
  <si>
    <t>GENSUS30FFD9</t>
  </si>
  <si>
    <t>7.14.44.158</t>
  </si>
  <si>
    <t>C4651630FFD9</t>
  </si>
  <si>
    <t>8CG9295ZP7</t>
  </si>
  <si>
    <t>GENSUS30FFDA</t>
  </si>
  <si>
    <t>7.138.36.137</t>
  </si>
  <si>
    <t>C4651630FFDA</t>
  </si>
  <si>
    <t>8CG9295ZP6</t>
  </si>
  <si>
    <t>GENSUS30FFE3</t>
  </si>
  <si>
    <t>7.24.68.67</t>
  </si>
  <si>
    <t>C4651630FFE3</t>
  </si>
  <si>
    <t>8CG9295ZQY</t>
  </si>
  <si>
    <t>GENSUS30FFE8</t>
  </si>
  <si>
    <t>7.182.148.37</t>
  </si>
  <si>
    <t>C4651630FFE8</t>
  </si>
  <si>
    <t>8CG929627T</t>
  </si>
  <si>
    <t>GENSUS30FFF0</t>
  </si>
  <si>
    <t>7.161.68.129</t>
  </si>
  <si>
    <t>C4651630FFF0</t>
  </si>
  <si>
    <t>8CG92962C7</t>
  </si>
  <si>
    <t>GENSUS30FFF8</t>
  </si>
  <si>
    <t>7.49.140.140</t>
  </si>
  <si>
    <t>C4651630FFF8</t>
  </si>
  <si>
    <t>8CG9295ZNG</t>
  </si>
  <si>
    <t>GENSUS30FFFF</t>
  </si>
  <si>
    <t>7.77.28.60</t>
  </si>
  <si>
    <t>C4651630FFFF</t>
  </si>
  <si>
    <t>8CG9295ZP3</t>
  </si>
  <si>
    <t>GENSUS310000</t>
  </si>
  <si>
    <t>7.84.180.171</t>
  </si>
  <si>
    <t>C46516310000</t>
  </si>
  <si>
    <t>8CG9295ZP2</t>
  </si>
  <si>
    <t>GENSUS310002</t>
  </si>
  <si>
    <t>7.89.108.58</t>
  </si>
  <si>
    <t>C46516310002</t>
  </si>
  <si>
    <t>8CG9295ZP4</t>
  </si>
  <si>
    <t>GENSUS310005</t>
  </si>
  <si>
    <t>7.77.28.116</t>
  </si>
  <si>
    <t>C46516310005</t>
  </si>
  <si>
    <t>8CG9295ZQS</t>
  </si>
  <si>
    <t>GENSUS31000A</t>
  </si>
  <si>
    <t>7.14.44.57</t>
  </si>
  <si>
    <t>C4651631000A</t>
  </si>
  <si>
    <t>8CG9295ZQW</t>
  </si>
  <si>
    <t>GENSUS31000C</t>
  </si>
  <si>
    <t>7.128.220.22</t>
  </si>
  <si>
    <t>C4651631000C</t>
  </si>
  <si>
    <t>8CG9296GX3</t>
  </si>
  <si>
    <t>GENSUS310024</t>
  </si>
  <si>
    <t>55.78.183.170</t>
  </si>
  <si>
    <t>C46516310024</t>
  </si>
  <si>
    <t>8CG9296277</t>
  </si>
  <si>
    <t>GENSUS310026</t>
  </si>
  <si>
    <t>7.165.244.61</t>
  </si>
  <si>
    <t>C46516310026</t>
  </si>
  <si>
    <t>8CG9295ZSS</t>
  </si>
  <si>
    <t>GENSUS310031</t>
  </si>
  <si>
    <t>7.74.44.40</t>
  </si>
  <si>
    <t>C46516310031</t>
  </si>
  <si>
    <t>8CG9295ZPN</t>
  </si>
  <si>
    <t>GENSUS31003A</t>
  </si>
  <si>
    <t>7.29.84.61</t>
  </si>
  <si>
    <t>C4651631003A</t>
  </si>
  <si>
    <t>8CG9295ZPM</t>
  </si>
  <si>
    <t>GENSUS310044</t>
  </si>
  <si>
    <t>7.53.124.205</t>
  </si>
  <si>
    <t>C46516310044</t>
  </si>
  <si>
    <t>8CG929628K</t>
  </si>
  <si>
    <t>GENSUS310048</t>
  </si>
  <si>
    <t>7.21.44.100</t>
  </si>
  <si>
    <t>C46516310048</t>
  </si>
  <si>
    <t>8CG92962C6</t>
  </si>
  <si>
    <t>GENSUS310058</t>
  </si>
  <si>
    <t>7.89.212.45</t>
  </si>
  <si>
    <t>C46516310058</t>
  </si>
  <si>
    <t>8CG9295ZPR</t>
  </si>
  <si>
    <t>GENSUS31005C</t>
  </si>
  <si>
    <t>7.24.68.63</t>
  </si>
  <si>
    <t>C4651631005C</t>
  </si>
  <si>
    <t>8CG9295ZQF</t>
  </si>
  <si>
    <t>GENSUS310062</t>
  </si>
  <si>
    <t>7.21.188.187</t>
  </si>
  <si>
    <t>C46516310062</t>
  </si>
  <si>
    <t>8CG92962B3</t>
  </si>
  <si>
    <t>GENSUS310064</t>
  </si>
  <si>
    <t>7.190.52.175</t>
  </si>
  <si>
    <t>C46516310064</t>
  </si>
  <si>
    <t>8CG92962B2</t>
  </si>
  <si>
    <t>GENSUS310066</t>
  </si>
  <si>
    <t>7.91.180.176</t>
  </si>
  <si>
    <t>C46516310066</t>
  </si>
  <si>
    <t>8CG9295ZQ0</t>
  </si>
  <si>
    <t>GENSUS310068</t>
  </si>
  <si>
    <t>7.35.12.161</t>
  </si>
  <si>
    <t>C46516310068</t>
  </si>
  <si>
    <t>8CG92962B6</t>
  </si>
  <si>
    <t>GENSUS31006F</t>
  </si>
  <si>
    <t>7.78.44.53</t>
  </si>
  <si>
    <t>C4651631006F</t>
  </si>
  <si>
    <t>8CG9295ZQ4</t>
  </si>
  <si>
    <t>GENSUS310075</t>
  </si>
  <si>
    <t>7.74.212.169</t>
  </si>
  <si>
    <t>C46516310075</t>
  </si>
  <si>
    <t>8CG92962C1</t>
  </si>
  <si>
    <t>GENSUS310077</t>
  </si>
  <si>
    <t>7.14.44.232</t>
  </si>
  <si>
    <t>C46516310077</t>
  </si>
  <si>
    <t>8CG9295ZPV</t>
  </si>
  <si>
    <t>GENSUS310078</t>
  </si>
  <si>
    <t>7.216.156.138</t>
  </si>
  <si>
    <t>C46516310078</t>
  </si>
  <si>
    <t>8CG9295ZPX</t>
  </si>
  <si>
    <t>GENSUS310079</t>
  </si>
  <si>
    <t>7.12.44.181</t>
  </si>
  <si>
    <t>C46516310079</t>
  </si>
  <si>
    <t>8CG9295ZQQ</t>
  </si>
  <si>
    <t>GENSUS31007B</t>
  </si>
  <si>
    <t>7.89.108.218</t>
  </si>
  <si>
    <t>C4651631007B</t>
  </si>
  <si>
    <t>8CG9295ZQL</t>
  </si>
  <si>
    <t>GENSUS31007E</t>
  </si>
  <si>
    <t>7.140.28.60</t>
  </si>
  <si>
    <t>C4651631007E</t>
  </si>
  <si>
    <t>8CG9295ZPW</t>
  </si>
  <si>
    <t>GENSUS310088</t>
  </si>
  <si>
    <t>55.144.199.165</t>
  </si>
  <si>
    <t>C46516310088</t>
  </si>
  <si>
    <t>8CG9295ZQ8</t>
  </si>
  <si>
    <t>GENSUS31008C</t>
  </si>
  <si>
    <t>7.161.68.44</t>
  </si>
  <si>
    <t>C4651631008C</t>
  </si>
  <si>
    <t>8CG9296267</t>
  </si>
  <si>
    <t>GENSUS31008E</t>
  </si>
  <si>
    <t>7.138.36.60</t>
  </si>
  <si>
    <t>C4651631008E</t>
  </si>
  <si>
    <t>8CG9295ZQP</t>
  </si>
  <si>
    <t>GENSUS31008F</t>
  </si>
  <si>
    <t>7.161.68.163</t>
  </si>
  <si>
    <t>C4651631008F</t>
  </si>
  <si>
    <t>8CG929629Q</t>
  </si>
  <si>
    <t>GENSUS310092</t>
  </si>
  <si>
    <t>7.212.236.205</t>
  </si>
  <si>
    <t>C46516310092</t>
  </si>
  <si>
    <t>8CG929629N</t>
  </si>
  <si>
    <t>GENSUS310095</t>
  </si>
  <si>
    <t>7.21.148.169</t>
  </si>
  <si>
    <t>C46516310095</t>
  </si>
  <si>
    <t>8CG92962BH</t>
  </si>
  <si>
    <t>GENSUS310096</t>
  </si>
  <si>
    <t>7.53.124.16</t>
  </si>
  <si>
    <t>C46516310096</t>
  </si>
  <si>
    <t>8CG92962B9</t>
  </si>
  <si>
    <t>GENSUS3100A8</t>
  </si>
  <si>
    <t>7.36.52.162</t>
  </si>
  <si>
    <t>C465163100A8</t>
  </si>
  <si>
    <t>8CG929629H</t>
  </si>
  <si>
    <t>GENSUS3100C9</t>
  </si>
  <si>
    <t>7.26.196.171</t>
  </si>
  <si>
    <t>C465163100C9</t>
  </si>
  <si>
    <t>S08259</t>
  </si>
  <si>
    <t>8CG9295ZTL</t>
  </si>
  <si>
    <t>S08259.US-2016</t>
  </si>
  <si>
    <t>GENSUS3100F8</t>
  </si>
  <si>
    <t>7.135.84.75</t>
  </si>
  <si>
    <t>C465163100F8</t>
  </si>
  <si>
    <t>8CG92962FD</t>
  </si>
  <si>
    <t>GENSUS310102</t>
  </si>
  <si>
    <t>7.66.212.143</t>
  </si>
  <si>
    <t>C46516310102</t>
  </si>
  <si>
    <t>8CG92962D3</t>
  </si>
  <si>
    <t>GENSUS31010B</t>
  </si>
  <si>
    <t>7.70.188.127</t>
  </si>
  <si>
    <t>C4651631010B</t>
  </si>
  <si>
    <t>8CG92962F9</t>
  </si>
  <si>
    <t>GENSUS31011B</t>
  </si>
  <si>
    <t>7.159.60.46</t>
  </si>
  <si>
    <t>C4651631011B</t>
  </si>
  <si>
    <t>8CG9295YJB</t>
  </si>
  <si>
    <t>GENSUS310129</t>
  </si>
  <si>
    <t>7.35.12.89</t>
  </si>
  <si>
    <t>C46516310129</t>
  </si>
  <si>
    <t>8CG92962K1</t>
  </si>
  <si>
    <t>GENSUS31012B</t>
  </si>
  <si>
    <t>7.48.196.91</t>
  </si>
  <si>
    <t>C4651631012B</t>
  </si>
  <si>
    <t>8CG9295YHG</t>
  </si>
  <si>
    <t>GENSUS310133</t>
  </si>
  <si>
    <t>7.15.4.124</t>
  </si>
  <si>
    <t>C46516310133</t>
  </si>
  <si>
    <t>8CG9295YGS</t>
  </si>
  <si>
    <t>GENSUS31014A</t>
  </si>
  <si>
    <t>7.191.84.141</t>
  </si>
  <si>
    <t>C4651631014A</t>
  </si>
  <si>
    <t>8CG9295Y2S</t>
  </si>
  <si>
    <t>GENSUS31015F</t>
  </si>
  <si>
    <t>7.20.164.37</t>
  </si>
  <si>
    <t>C4651631015F</t>
  </si>
  <si>
    <t>8CG9295Y6R</t>
  </si>
  <si>
    <t>GENSUS31016A</t>
  </si>
  <si>
    <t>7.79.20.187</t>
  </si>
  <si>
    <t>C4651631016A</t>
  </si>
  <si>
    <t>8CG9295YGM</t>
  </si>
  <si>
    <t>GENSUS31016B</t>
  </si>
  <si>
    <t>7.140.28.22</t>
  </si>
  <si>
    <t>C4651631016B</t>
  </si>
  <si>
    <t>8CG9295ZL0</t>
  </si>
  <si>
    <t>GENSUS31016E</t>
  </si>
  <si>
    <t>7.151.108.37</t>
  </si>
  <si>
    <t>C4651631016E</t>
  </si>
  <si>
    <t>8CG9295Y6H</t>
  </si>
  <si>
    <t>GENSUS31017A</t>
  </si>
  <si>
    <t>7.69.84.18</t>
  </si>
  <si>
    <t>C4651631017A</t>
  </si>
  <si>
    <t>8CG9295ZKW</t>
  </si>
  <si>
    <t>GENSUS310190</t>
  </si>
  <si>
    <t>7.66.212.123</t>
  </si>
  <si>
    <t>C46516310190</t>
  </si>
  <si>
    <t>8CG9296GWZ</t>
  </si>
  <si>
    <t>GENSUS310193</t>
  </si>
  <si>
    <t>7.20.180.196</t>
  </si>
  <si>
    <t>C46516310193</t>
  </si>
  <si>
    <t>8CG9295YJK</t>
  </si>
  <si>
    <t>GENSUS310199</t>
  </si>
  <si>
    <t>7.77.132.121</t>
  </si>
  <si>
    <t>C46516310199</t>
  </si>
  <si>
    <t>8CG9295YFN</t>
  </si>
  <si>
    <t>GENSUS31019C</t>
  </si>
  <si>
    <t>7.213.12.67</t>
  </si>
  <si>
    <t>C4651631019C</t>
  </si>
  <si>
    <t>8CG9295YGD</t>
  </si>
  <si>
    <t>GENSUS3101AF</t>
  </si>
  <si>
    <t>7.73.164.189</t>
  </si>
  <si>
    <t>C465163101AF</t>
  </si>
  <si>
    <t>8CG9295Y2T</t>
  </si>
  <si>
    <t>GENSUS3101C2</t>
  </si>
  <si>
    <t>7.89.220.33</t>
  </si>
  <si>
    <t>C465163101C2</t>
  </si>
  <si>
    <t>8CG9295YKN</t>
  </si>
  <si>
    <t>GENSUS3101C3</t>
  </si>
  <si>
    <t>7.148.100.144</t>
  </si>
  <si>
    <t>C465163101C3</t>
  </si>
  <si>
    <t>8CG9295YKP</t>
  </si>
  <si>
    <t>GENSUS3101C4</t>
  </si>
  <si>
    <t>7.53.108.228</t>
  </si>
  <si>
    <t>C465163101C4</t>
  </si>
  <si>
    <t>8CG9295YKQ</t>
  </si>
  <si>
    <t>GENSUS3101C8</t>
  </si>
  <si>
    <t>7.20.204.185</t>
  </si>
  <si>
    <t>C465163101C8</t>
  </si>
  <si>
    <t>8CG9295YLJ</t>
  </si>
  <si>
    <t>GENSUS3101CA</t>
  </si>
  <si>
    <t>7.73.52.68</t>
  </si>
  <si>
    <t>C465163101CA</t>
  </si>
  <si>
    <t>8CG9295YLL</t>
  </si>
  <si>
    <t>GENSUS3101D0</t>
  </si>
  <si>
    <t>7.90.100.62</t>
  </si>
  <si>
    <t>C465163101D0</t>
  </si>
  <si>
    <t>8CG9295YM1</t>
  </si>
  <si>
    <t>GENSUS3101D1</t>
  </si>
  <si>
    <t>7.135.68.50</t>
  </si>
  <si>
    <t>C465163101D1</t>
  </si>
  <si>
    <t>8CG9295YM4</t>
  </si>
  <si>
    <t>GENSUS3101D2</t>
  </si>
  <si>
    <t>7.20.180.234</t>
  </si>
  <si>
    <t>C465163101D2</t>
  </si>
  <si>
    <t>8CG9295YM5</t>
  </si>
  <si>
    <t>GENSUS3101DA</t>
  </si>
  <si>
    <t>7.77.172.73</t>
  </si>
  <si>
    <t>C465163101DA</t>
  </si>
  <si>
    <t>8CG9295YJ5</t>
  </si>
  <si>
    <t>GENSUS3101DE</t>
  </si>
  <si>
    <t>7.159.44.172</t>
  </si>
  <si>
    <t>C465163101DE</t>
  </si>
  <si>
    <t>8CG9295YKL</t>
  </si>
  <si>
    <t>GENSUS310205</t>
  </si>
  <si>
    <t>7.66.188.90</t>
  </si>
  <si>
    <t>C46516310205</t>
  </si>
  <si>
    <t>8CG9296GZC</t>
  </si>
  <si>
    <t>GENSUS310212</t>
  </si>
  <si>
    <t>7.23.236.22</t>
  </si>
  <si>
    <t>C46516310212</t>
  </si>
  <si>
    <t>S04836</t>
  </si>
  <si>
    <t>8CG9295YP2</t>
  </si>
  <si>
    <t>S04836.US-2016</t>
  </si>
  <si>
    <t>GENSUS310213</t>
  </si>
  <si>
    <t>7.89.212.154</t>
  </si>
  <si>
    <t>C46516310213</t>
  </si>
  <si>
    <t>8CG9295YP3</t>
  </si>
  <si>
    <t>GENSUS310219</t>
  </si>
  <si>
    <t>7.125.132.197</t>
  </si>
  <si>
    <t>C46516310219</t>
  </si>
  <si>
    <t>8CG9295ZK4</t>
  </si>
  <si>
    <t>GENSUS31021B</t>
  </si>
  <si>
    <t>7.69.84.149</t>
  </si>
  <si>
    <t>C4651631021B</t>
  </si>
  <si>
    <t>8CG9295ZK5</t>
  </si>
  <si>
    <t>GENSUS310222</t>
  </si>
  <si>
    <t>7.28.20.14</t>
  </si>
  <si>
    <t>C46516310222</t>
  </si>
  <si>
    <t>8CG9295ZJT</t>
  </si>
  <si>
    <t>GENSUS310225</t>
  </si>
  <si>
    <t>7.89.212.182</t>
  </si>
  <si>
    <t>C46516310225</t>
  </si>
  <si>
    <t>8CG9295YP5</t>
  </si>
  <si>
    <t>GENSUS310229</t>
  </si>
  <si>
    <t>7.174.108.45</t>
  </si>
  <si>
    <t>C46516310229</t>
  </si>
  <si>
    <t>8CG9295YP6</t>
  </si>
  <si>
    <t>GENSUS310237</t>
  </si>
  <si>
    <t>7.131.36.66</t>
  </si>
  <si>
    <t>C46516310237</t>
  </si>
  <si>
    <t>8CG9295YNJ</t>
  </si>
  <si>
    <t>GENSUS31023A</t>
  </si>
  <si>
    <t>7.20.228.28</t>
  </si>
  <si>
    <t>C4651631023A</t>
  </si>
  <si>
    <t>8CG9295YNK</t>
  </si>
  <si>
    <t>GENSUS310240</t>
  </si>
  <si>
    <t>7.43.180.136</t>
  </si>
  <si>
    <t>C46516310240</t>
  </si>
  <si>
    <t>8CG9295YNV</t>
  </si>
  <si>
    <t>GENSUS310244</t>
  </si>
  <si>
    <t>7.53.204.188</t>
  </si>
  <si>
    <t>C46516310244</t>
  </si>
  <si>
    <t>S06429</t>
  </si>
  <si>
    <t>8CG9295YNT</t>
  </si>
  <si>
    <t>S06429.US-2016</t>
  </si>
  <si>
    <t>GENSUS310245</t>
  </si>
  <si>
    <t>7.174.108.172</t>
  </si>
  <si>
    <t>C46516310245</t>
  </si>
  <si>
    <t>8CG9295YNW</t>
  </si>
  <si>
    <t>GENSUS310248</t>
  </si>
  <si>
    <t>7.159.60.159</t>
  </si>
  <si>
    <t>C46516310248</t>
  </si>
  <si>
    <t>8CG9295YKZ</t>
  </si>
  <si>
    <t>GENSUS310249</t>
  </si>
  <si>
    <t>7.53.108.230</t>
  </si>
  <si>
    <t>C46516310249</t>
  </si>
  <si>
    <t>8CG9295YL1</t>
  </si>
  <si>
    <t>GENSUS31024A</t>
  </si>
  <si>
    <t>7.4.68.71</t>
  </si>
  <si>
    <t>C4651631024A</t>
  </si>
  <si>
    <t>8CG9295YL0</t>
  </si>
  <si>
    <t>GENSUS31024E</t>
  </si>
  <si>
    <t>7.52.220.32</t>
  </si>
  <si>
    <t>C4651631024E</t>
  </si>
  <si>
    <t>8CG9295YNP</t>
  </si>
  <si>
    <t>GENSUS310253</t>
  </si>
  <si>
    <t>7.20.204.86</t>
  </si>
  <si>
    <t>C46516310253</t>
  </si>
  <si>
    <t>8CG9295YLB</t>
  </si>
  <si>
    <t>GENSUS310256</t>
  </si>
  <si>
    <t>7.36.156.56</t>
  </si>
  <si>
    <t>C46516310256</t>
  </si>
  <si>
    <t>8CG9295YLC</t>
  </si>
  <si>
    <t>GENSUS310259</t>
  </si>
  <si>
    <t>7.155.180.97</t>
  </si>
  <si>
    <t>C46516310259</t>
  </si>
  <si>
    <t>8CG9295YKG</t>
  </si>
  <si>
    <t>GENSUS31025B</t>
  </si>
  <si>
    <t>7.91.172.163</t>
  </si>
  <si>
    <t>C4651631025B</t>
  </si>
  <si>
    <t>8CG9295YKF</t>
  </si>
  <si>
    <t>GENSUS31025C</t>
  </si>
  <si>
    <t>7.3.212.17</t>
  </si>
  <si>
    <t>C4651631025C</t>
  </si>
  <si>
    <t>8CG9295YMS</t>
  </si>
  <si>
    <t>GENSUS310267</t>
  </si>
  <si>
    <t>7.164.244.216</t>
  </si>
  <si>
    <t>C46516310267</t>
  </si>
  <si>
    <t>8CG9295YND</t>
  </si>
  <si>
    <t>GENSUS310269</t>
  </si>
  <si>
    <t>7.168.60.161</t>
  </si>
  <si>
    <t>C46516310269</t>
  </si>
  <si>
    <t>8CG9295YJW</t>
  </si>
  <si>
    <t>GENSUS310270</t>
  </si>
  <si>
    <t>7.21.180.45</t>
  </si>
  <si>
    <t>C46516310270</t>
  </si>
  <si>
    <t>8CG9295YP0</t>
  </si>
  <si>
    <t>GENSUS310275</t>
  </si>
  <si>
    <t>7.77.172.217</t>
  </si>
  <si>
    <t>C46516310275</t>
  </si>
  <si>
    <t>8CG9295YMT</t>
  </si>
  <si>
    <t>GENSUS310277</t>
  </si>
  <si>
    <t>7.136.108.86</t>
  </si>
  <si>
    <t>C46516310277</t>
  </si>
  <si>
    <t>8CG9295YN3</t>
  </si>
  <si>
    <t>GENSUS310289</t>
  </si>
  <si>
    <t>7.189.12.177</t>
  </si>
  <si>
    <t>C46516310289</t>
  </si>
  <si>
    <t>8CG9295YKK</t>
  </si>
  <si>
    <t>GENSUS3102BF</t>
  </si>
  <si>
    <t>7.28.212.195</t>
  </si>
  <si>
    <t>C465163102BF</t>
  </si>
  <si>
    <t>8CG9295ZZL</t>
  </si>
  <si>
    <t>GENSUS3102C5</t>
  </si>
  <si>
    <t>7.70.236.183</t>
  </si>
  <si>
    <t>C465163102C5</t>
  </si>
  <si>
    <t>8CG9295ZZV</t>
  </si>
  <si>
    <t>GENSUS3102DD</t>
  </si>
  <si>
    <t>7.53.204.79</t>
  </si>
  <si>
    <t>C465163102DD</t>
  </si>
  <si>
    <t>8CG9295ZJ0</t>
  </si>
  <si>
    <t>GENSUS3102E7</t>
  </si>
  <si>
    <t>55.120.63.150</t>
  </si>
  <si>
    <t>C465163102E7</t>
  </si>
  <si>
    <t>8CG9295ZGK</t>
  </si>
  <si>
    <t>GENSUS310301</t>
  </si>
  <si>
    <t>7.146.116.40</t>
  </si>
  <si>
    <t>C46516310301</t>
  </si>
  <si>
    <t>S08102</t>
  </si>
  <si>
    <t>8CG9295ZGG</t>
  </si>
  <si>
    <t>S08102.US-2016</t>
  </si>
  <si>
    <t>GENSUS310307</t>
  </si>
  <si>
    <t>7.120.60.161</t>
  </si>
  <si>
    <t>C46516310307</t>
  </si>
  <si>
    <t>8CG9295ZHK</t>
  </si>
  <si>
    <t>GENSUS310309</t>
  </si>
  <si>
    <t>7.53.116.206</t>
  </si>
  <si>
    <t>C46516310309</t>
  </si>
  <si>
    <t>8CG9295ZHN</t>
  </si>
  <si>
    <t>GENSUS31030E</t>
  </si>
  <si>
    <t>7.11.60.126</t>
  </si>
  <si>
    <t>C4651631030E</t>
  </si>
  <si>
    <t>8CG9295ZH9</t>
  </si>
  <si>
    <t>GENSUS310319</t>
  </si>
  <si>
    <t>7.5.140.167</t>
  </si>
  <si>
    <t>C46516310319</t>
  </si>
  <si>
    <t>8CG9295ZG0</t>
  </si>
  <si>
    <t>GENSUS310323</t>
  </si>
  <si>
    <t>7.34.148.45</t>
  </si>
  <si>
    <t>C46516310323</t>
  </si>
  <si>
    <t>8CG9295ZH4</t>
  </si>
  <si>
    <t>GENSUS31032E</t>
  </si>
  <si>
    <t>7.135.68.238</t>
  </si>
  <si>
    <t>C4651631032E</t>
  </si>
  <si>
    <t>8CG9295ZFX</t>
  </si>
  <si>
    <t>GENSUS310337</t>
  </si>
  <si>
    <t>7.146.116.148</t>
  </si>
  <si>
    <t>C46516310337</t>
  </si>
  <si>
    <t>8CG9295ZFQ</t>
  </si>
  <si>
    <t>GENSUS31033D</t>
  </si>
  <si>
    <t>7.79.20.102</t>
  </si>
  <si>
    <t>C4651631033D</t>
  </si>
  <si>
    <t>8CG9295ZKH</t>
  </si>
  <si>
    <t>GENSUS31033F</t>
  </si>
  <si>
    <t>7.150.196.162</t>
  </si>
  <si>
    <t>C4651631033F</t>
  </si>
  <si>
    <t>8CG9295ZD7</t>
  </si>
  <si>
    <t>GENSUS310344</t>
  </si>
  <si>
    <t>7.69.84.148</t>
  </si>
  <si>
    <t>C46516310344</t>
  </si>
  <si>
    <t>8CG9295ZGZ</t>
  </si>
  <si>
    <t>GENSUS310349</t>
  </si>
  <si>
    <t>7.118.108.42</t>
  </si>
  <si>
    <t>C46516310349</t>
  </si>
  <si>
    <t>8CG9295ZFB</t>
  </si>
  <si>
    <t>GENSUS310364</t>
  </si>
  <si>
    <t>7.23.236.199</t>
  </si>
  <si>
    <t>C46516310364</t>
  </si>
  <si>
    <t>8CG9295ZF0</t>
  </si>
  <si>
    <t>GENSUS31036A</t>
  </si>
  <si>
    <t>7.21.180.204</t>
  </si>
  <si>
    <t>C4651631036A</t>
  </si>
  <si>
    <t>8CG9295ZDZ</t>
  </si>
  <si>
    <t>GENSUS310390</t>
  </si>
  <si>
    <t>7.75.244.162</t>
  </si>
  <si>
    <t>C46516310390</t>
  </si>
  <si>
    <t>8CG9303ZGZ</t>
  </si>
  <si>
    <t>GENSUS3103AC</t>
  </si>
  <si>
    <t>7.24.20.148</t>
  </si>
  <si>
    <t>C465163103AC</t>
  </si>
  <si>
    <t>8CG92960D6</t>
  </si>
  <si>
    <t>GENSUS3103B1</t>
  </si>
  <si>
    <t>7.4.76.116</t>
  </si>
  <si>
    <t>C465163103B1</t>
  </si>
  <si>
    <t>8CG92960D3</t>
  </si>
  <si>
    <t>GENSUS3103C8</t>
  </si>
  <si>
    <t>7.156.244.21</t>
  </si>
  <si>
    <t>C465163103C8</t>
  </si>
  <si>
    <t>8CG92960CW</t>
  </si>
  <si>
    <t>GENSUS3103CD</t>
  </si>
  <si>
    <t>7.21.156.112</t>
  </si>
  <si>
    <t>C465163103CD</t>
  </si>
  <si>
    <t>8CG92960DK</t>
  </si>
  <si>
    <t>GENSUS3103D8</t>
  </si>
  <si>
    <t>7.133.220.106</t>
  </si>
  <si>
    <t>C465163103D8</t>
  </si>
  <si>
    <t>8CG9296H3W</t>
  </si>
  <si>
    <t>GENSUS3103DB</t>
  </si>
  <si>
    <t>7.79.20.191</t>
  </si>
  <si>
    <t>C465163103DB</t>
  </si>
  <si>
    <t>8CG92962FG</t>
  </si>
  <si>
    <t>GENSUS3103E3</t>
  </si>
  <si>
    <t>7.212.236.210</t>
  </si>
  <si>
    <t>C465163103E3</t>
  </si>
  <si>
    <t>8CG9296GWX</t>
  </si>
  <si>
    <t>GENSUS3103EB</t>
  </si>
  <si>
    <t>7.36.52.152</t>
  </si>
  <si>
    <t>C465163103EB</t>
  </si>
  <si>
    <t>8CG9296281</t>
  </si>
  <si>
    <t>GENSUS3103FA</t>
  </si>
  <si>
    <t>7.125.132.119</t>
  </si>
  <si>
    <t>C465163103FA</t>
  </si>
  <si>
    <t>8CG9295ZKQ</t>
  </si>
  <si>
    <t>GENSUS310405</t>
  </si>
  <si>
    <t>7.14.204.217</t>
  </si>
  <si>
    <t>C46516310405</t>
  </si>
  <si>
    <t>8CG9295ZJK</t>
  </si>
  <si>
    <t>GENSUS310406</t>
  </si>
  <si>
    <t>7.161.252.133</t>
  </si>
  <si>
    <t>C46516310406</t>
  </si>
  <si>
    <t>8CG92962DL</t>
  </si>
  <si>
    <t>GENSUS310408</t>
  </si>
  <si>
    <t>7.5.140.165</t>
  </si>
  <si>
    <t>C46516310408</t>
  </si>
  <si>
    <t>8CG92962DF</t>
  </si>
  <si>
    <t>GENSUS31040D</t>
  </si>
  <si>
    <t>7.26.108.172</t>
  </si>
  <si>
    <t>C4651631040D</t>
  </si>
  <si>
    <t>8CG929628N</t>
  </si>
  <si>
    <t>GENSUS310416</t>
  </si>
  <si>
    <t>7.13.60.18</t>
  </si>
  <si>
    <t>C46516310416</t>
  </si>
  <si>
    <t>8CG92962GQ</t>
  </si>
  <si>
    <t>GENSUS310423</t>
  </si>
  <si>
    <t>7.43.180.166</t>
  </si>
  <si>
    <t>C46516310423</t>
  </si>
  <si>
    <t>8CG9295YNF</t>
  </si>
  <si>
    <t>GENSUS31043B</t>
  </si>
  <si>
    <t>55.36.55.175</t>
  </si>
  <si>
    <t>C4651631043B</t>
  </si>
  <si>
    <t>8CG9296290</t>
  </si>
  <si>
    <t>GENSUS31044D</t>
  </si>
  <si>
    <t>7.164.244.185</t>
  </si>
  <si>
    <t>C4651631044D</t>
  </si>
  <si>
    <t>8CG9295YRZ</t>
  </si>
  <si>
    <t>GENSUS310452</t>
  </si>
  <si>
    <t>7.21.156.51</t>
  </si>
  <si>
    <t>C46516310452</t>
  </si>
  <si>
    <t>8CG92960B9</t>
  </si>
  <si>
    <t>GENSUS310454</t>
  </si>
  <si>
    <t>7.188.244.52</t>
  </si>
  <si>
    <t>C46516310454</t>
  </si>
  <si>
    <t>8CG92960D9</t>
  </si>
  <si>
    <t>GENSUS310466</t>
  </si>
  <si>
    <t>7.153.52.16</t>
  </si>
  <si>
    <t>C46516310466</t>
  </si>
  <si>
    <t>8CG92960C6</t>
  </si>
  <si>
    <t>GENSUS310469</t>
  </si>
  <si>
    <t>7.66.188.101</t>
  </si>
  <si>
    <t>C46516310469</t>
  </si>
  <si>
    <t>8CG92960DZ</t>
  </si>
  <si>
    <t>GENSUS31046C</t>
  </si>
  <si>
    <t>7.144.212.220</t>
  </si>
  <si>
    <t>C4651631046C</t>
  </si>
  <si>
    <t>8CG92960BT</t>
  </si>
  <si>
    <t>GENSUS310475</t>
  </si>
  <si>
    <t>7.124.84.25</t>
  </si>
  <si>
    <t>C46516310475</t>
  </si>
  <si>
    <t>8CG92960DD</t>
  </si>
  <si>
    <t>GENSUS31047D</t>
  </si>
  <si>
    <t>7.53.20.54</t>
  </si>
  <si>
    <t>C4651631047D</t>
  </si>
  <si>
    <t>8CG92960DP</t>
  </si>
  <si>
    <t>GENSUS31047F</t>
  </si>
  <si>
    <t>7.76.244.133</t>
  </si>
  <si>
    <t>C4651631047F</t>
  </si>
  <si>
    <t>8CG92960F3</t>
  </si>
  <si>
    <t>GENSUS310486</t>
  </si>
  <si>
    <t>7.84.180.101</t>
  </si>
  <si>
    <t>C46516310486</t>
  </si>
  <si>
    <t>8CG92960FF</t>
  </si>
  <si>
    <t>GENSUS31048B</t>
  </si>
  <si>
    <t>55.146.103.181</t>
  </si>
  <si>
    <t>C4651631048B</t>
  </si>
  <si>
    <t>8CG92960FJ</t>
  </si>
  <si>
    <t>GENSUS31048D</t>
  </si>
  <si>
    <t>7.53.12.86</t>
  </si>
  <si>
    <t>C4651631048D</t>
  </si>
  <si>
    <t>8CG92960FK</t>
  </si>
  <si>
    <t>GENSUS310495</t>
  </si>
  <si>
    <t>7.23.236.29</t>
  </si>
  <si>
    <t>C46516310495</t>
  </si>
  <si>
    <t>8CG92960DR</t>
  </si>
  <si>
    <t>GENSUS31049B</t>
  </si>
  <si>
    <t>7.28.212.160</t>
  </si>
  <si>
    <t>C4651631049B</t>
  </si>
  <si>
    <t>8CG929510X</t>
  </si>
  <si>
    <t>GENSUS31049F</t>
  </si>
  <si>
    <t>7.21.172.180</t>
  </si>
  <si>
    <t>C4651631049F</t>
  </si>
  <si>
    <t>8CG929511H</t>
  </si>
  <si>
    <t>GENSUS3104A3</t>
  </si>
  <si>
    <t>55.164.247.170</t>
  </si>
  <si>
    <t>C465163104A3</t>
  </si>
  <si>
    <t>8CG92960DN</t>
  </si>
  <si>
    <t>GENSUS3104A5</t>
  </si>
  <si>
    <t>7.77.244.128</t>
  </si>
  <si>
    <t>C465163104A5</t>
  </si>
  <si>
    <t>8CG92960F9</t>
  </si>
  <si>
    <t>GENSUS3104A6</t>
  </si>
  <si>
    <t>7.92.20.199</t>
  </si>
  <si>
    <t>C465163104A6</t>
  </si>
  <si>
    <t>8CG92960F7</t>
  </si>
  <si>
    <t>GENSUS3104AE</t>
  </si>
  <si>
    <t>7.53.204.91</t>
  </si>
  <si>
    <t>C465163104AE</t>
  </si>
  <si>
    <t>8CG929511V</t>
  </si>
  <si>
    <t>GENSUS3104BD</t>
  </si>
  <si>
    <t>7.216.156.206</t>
  </si>
  <si>
    <t>C465163104BD</t>
  </si>
  <si>
    <t>8CG9295YS3</t>
  </si>
  <si>
    <t>GENSUS3104CF</t>
  </si>
  <si>
    <t>7.148.100.163</t>
  </si>
  <si>
    <t>C465163104CF</t>
  </si>
  <si>
    <t>8CG9295YT1</t>
  </si>
  <si>
    <t>GENSUS3104DF</t>
  </si>
  <si>
    <t>7.113.140.82</t>
  </si>
  <si>
    <t>C465163104DF</t>
  </si>
  <si>
    <t>8CG9295160</t>
  </si>
  <si>
    <t>GENSUS310506</t>
  </si>
  <si>
    <t>7.113.140.15</t>
  </si>
  <si>
    <t>C46516310506</t>
  </si>
  <si>
    <t>8CG9295159</t>
  </si>
  <si>
    <t>GENSUS31050C</t>
  </si>
  <si>
    <t>7.64.212.103</t>
  </si>
  <si>
    <t>C4651631050C</t>
  </si>
  <si>
    <t>8CG92960GG</t>
  </si>
  <si>
    <t>GENSUS310510</t>
  </si>
  <si>
    <t>7.77.244.191</t>
  </si>
  <si>
    <t>C46516310510</t>
  </si>
  <si>
    <t>8CG92960GN</t>
  </si>
  <si>
    <t>GENSUS310518</t>
  </si>
  <si>
    <t>7.148.100.105</t>
  </si>
  <si>
    <t>C46516310518</t>
  </si>
  <si>
    <t>8CG929514K</t>
  </si>
  <si>
    <t>GENSUS310519</t>
  </si>
  <si>
    <t>7.188.244.101</t>
  </si>
  <si>
    <t>C46516310519</t>
  </si>
  <si>
    <t>8CG92960HN</t>
  </si>
  <si>
    <t>GENSUS31051A</t>
  </si>
  <si>
    <t>55.158.151.166</t>
  </si>
  <si>
    <t>C4651631051A</t>
  </si>
  <si>
    <t>8CG92960HM</t>
  </si>
  <si>
    <t>GENSUS31051E</t>
  </si>
  <si>
    <t>7.181.220.115</t>
  </si>
  <si>
    <t>C4651631051E</t>
  </si>
  <si>
    <t>8CG92960G6</t>
  </si>
  <si>
    <t>GENSUS310524</t>
  </si>
  <si>
    <t>7.24.68.207</t>
  </si>
  <si>
    <t>C46516310524</t>
  </si>
  <si>
    <t>8CG92960GB</t>
  </si>
  <si>
    <t>GENSUS310527</t>
  </si>
  <si>
    <t>7.77.148.182</t>
  </si>
  <si>
    <t>C46516310527</t>
  </si>
  <si>
    <t>8CG92960GM</t>
  </si>
  <si>
    <t>GENSUS310528</t>
  </si>
  <si>
    <t>7.158.148.216</t>
  </si>
  <si>
    <t>C46516310528</t>
  </si>
  <si>
    <t>8CG92960GK</t>
  </si>
  <si>
    <t>GENSUS310530</t>
  </si>
  <si>
    <t>7.52.92.73</t>
  </si>
  <si>
    <t>C46516310530</t>
  </si>
  <si>
    <t>8CG92960FN</t>
  </si>
  <si>
    <t>GENSUS310532</t>
  </si>
  <si>
    <t>7.66.12.100</t>
  </si>
  <si>
    <t>C46516310532</t>
  </si>
  <si>
    <t>8CG92960FX</t>
  </si>
  <si>
    <t>GENSUS310534</t>
  </si>
  <si>
    <t>7.15.4.85</t>
  </si>
  <si>
    <t>C46516310534</t>
  </si>
  <si>
    <t>8CG92960FT</t>
  </si>
  <si>
    <t>GENSUS31053A</t>
  </si>
  <si>
    <t>7.172.52.195</t>
  </si>
  <si>
    <t>C4651631053A</t>
  </si>
  <si>
    <t>8CG92960G3</t>
  </si>
  <si>
    <t>GENSUS310591</t>
  </si>
  <si>
    <t>7.70.180.217</t>
  </si>
  <si>
    <t>C46516310591</t>
  </si>
  <si>
    <t>8CG929515S</t>
  </si>
  <si>
    <t>GENSUS310592</t>
  </si>
  <si>
    <t>7.113.140.16</t>
  </si>
  <si>
    <t>C46516310592</t>
  </si>
  <si>
    <t>8CG929515Q</t>
  </si>
  <si>
    <t>GENSUS3105A1</t>
  </si>
  <si>
    <t>7.11.60.156</t>
  </si>
  <si>
    <t>C465163105A1</t>
  </si>
  <si>
    <t>8CG929512P</t>
  </si>
  <si>
    <t>GENSUS3105C5</t>
  </si>
  <si>
    <t>7.178.212.223</t>
  </si>
  <si>
    <t>C465163105C5</t>
  </si>
  <si>
    <t>8CG9295109</t>
  </si>
  <si>
    <t>GENSUS3105CF</t>
  </si>
  <si>
    <t>7.139.76.40</t>
  </si>
  <si>
    <t>C465163105CF</t>
  </si>
  <si>
    <t>8CG929510L</t>
  </si>
  <si>
    <t>GENSUS3105DB</t>
  </si>
  <si>
    <t>7.52.180.193</t>
  </si>
  <si>
    <t>C465163105DB</t>
  </si>
  <si>
    <t>8CG92950ZZ</t>
  </si>
  <si>
    <t>GENSUS3105E1</t>
  </si>
  <si>
    <t>7.76.28.64</t>
  </si>
  <si>
    <t>C465163105E1</t>
  </si>
  <si>
    <t>8CG929511B</t>
  </si>
  <si>
    <t>GENSUS3105E5</t>
  </si>
  <si>
    <t>7.178.212.121</t>
  </si>
  <si>
    <t>C465163105E5</t>
  </si>
  <si>
    <t>8CG929510Q</t>
  </si>
  <si>
    <t>GENSUS310614</t>
  </si>
  <si>
    <t>7.131.36.64</t>
  </si>
  <si>
    <t>C46516310614</t>
  </si>
  <si>
    <t>8CG929542W</t>
  </si>
  <si>
    <t>GENSUS31061C</t>
  </si>
  <si>
    <t>7.78.236.57</t>
  </si>
  <si>
    <t>C4651631061C</t>
  </si>
  <si>
    <t>8CG9294ZSN</t>
  </si>
  <si>
    <t>GENSUS310621</t>
  </si>
  <si>
    <t>7.78.244.51</t>
  </si>
  <si>
    <t>C46516310621</t>
  </si>
  <si>
    <t>8CG9294ZSC</t>
  </si>
  <si>
    <t>GENSUS310624</t>
  </si>
  <si>
    <t>7.78.196.170</t>
  </si>
  <si>
    <t>C46516310624</t>
  </si>
  <si>
    <t>8CG929542X</t>
  </si>
  <si>
    <t>GENSUS31062A</t>
  </si>
  <si>
    <t>7.20.156.170</t>
  </si>
  <si>
    <t>C4651631062A</t>
  </si>
  <si>
    <t>8CG9295430</t>
  </si>
  <si>
    <t>GENSUS31062C</t>
  </si>
  <si>
    <t>7.76.60.166</t>
  </si>
  <si>
    <t>C4651631062C</t>
  </si>
  <si>
    <t>8CG9295433</t>
  </si>
  <si>
    <t>GENSUS310631</t>
  </si>
  <si>
    <t>7.11.244.150</t>
  </si>
  <si>
    <t>C46516310631</t>
  </si>
  <si>
    <t>8CG9295010</t>
  </si>
  <si>
    <t>GENSUS310632</t>
  </si>
  <si>
    <t>7.81.12.110</t>
  </si>
  <si>
    <t>C46516310632</t>
  </si>
  <si>
    <t>8CG929500Z</t>
  </si>
  <si>
    <t>GENSUS310640</t>
  </si>
  <si>
    <t>7.20.156.48</t>
  </si>
  <si>
    <t>C46516310640</t>
  </si>
  <si>
    <t>8CG929543V</t>
  </si>
  <si>
    <t>GENSUS310648</t>
  </si>
  <si>
    <t>7.136.108.176</t>
  </si>
  <si>
    <t>C46516310648</t>
  </si>
  <si>
    <t>8CG9295014</t>
  </si>
  <si>
    <t>GENSUS31064B</t>
  </si>
  <si>
    <t>7.69.84.132</t>
  </si>
  <si>
    <t>C4651631064B</t>
  </si>
  <si>
    <t>8CG92950ZP</t>
  </si>
  <si>
    <t>GENSUS31065B</t>
  </si>
  <si>
    <t>7.53.156.229</t>
  </si>
  <si>
    <t>C4651631065B</t>
  </si>
  <si>
    <t>8CG92950ZQ</t>
  </si>
  <si>
    <t>GENSUS310660</t>
  </si>
  <si>
    <t>7.13.244.124</t>
  </si>
  <si>
    <t>C46516310660</t>
  </si>
  <si>
    <t>8CG929500P</t>
  </si>
  <si>
    <t>GENSUS310662</t>
  </si>
  <si>
    <t>7.4.76.125</t>
  </si>
  <si>
    <t>C46516310662</t>
  </si>
  <si>
    <t>8CG92960G0</t>
  </si>
  <si>
    <t>GENSUS310664</t>
  </si>
  <si>
    <t>7.76.28.129</t>
  </si>
  <si>
    <t>C46516310664</t>
  </si>
  <si>
    <t>8CG9294ZZ1</t>
  </si>
  <si>
    <t>GENSUS31066C</t>
  </si>
  <si>
    <t>7.53.204.63</t>
  </si>
  <si>
    <t>C4651631066C</t>
  </si>
  <si>
    <t>8CG9294ZZB</t>
  </si>
  <si>
    <t>GENSUS310677</t>
  </si>
  <si>
    <t>7.150.12.23</t>
  </si>
  <si>
    <t>C46516310677</t>
  </si>
  <si>
    <t>8CG9294ZYZ</t>
  </si>
  <si>
    <t>GENSUS310678</t>
  </si>
  <si>
    <t>7.4.132.83</t>
  </si>
  <si>
    <t>C46516310678</t>
  </si>
  <si>
    <t>8CG9295016</t>
  </si>
  <si>
    <t>GENSUS31068A</t>
  </si>
  <si>
    <t>7.150.36.182</t>
  </si>
  <si>
    <t>C4651631068A</t>
  </si>
  <si>
    <t>8CG9294ZW6</t>
  </si>
  <si>
    <t>GENSUS31068B</t>
  </si>
  <si>
    <t>7.5.132.85</t>
  </si>
  <si>
    <t>C4651631068B</t>
  </si>
  <si>
    <t>8CG9294ZVS</t>
  </si>
  <si>
    <t>GENSUS31068D</t>
  </si>
  <si>
    <t>7.66.20.202</t>
  </si>
  <si>
    <t>C4651631068D</t>
  </si>
  <si>
    <t>8CG9294ZWC</t>
  </si>
  <si>
    <t>GENSUS310692</t>
  </si>
  <si>
    <t>7.14.204.121</t>
  </si>
  <si>
    <t>C46516310692</t>
  </si>
  <si>
    <t>8CG9294ZWK</t>
  </si>
  <si>
    <t>GENSUS310695</t>
  </si>
  <si>
    <t>7.8.156.111</t>
  </si>
  <si>
    <t>C46516310695</t>
  </si>
  <si>
    <t>8CG9294ZVG</t>
  </si>
  <si>
    <t>GENSUS310696</t>
  </si>
  <si>
    <t>7.158.28.140</t>
  </si>
  <si>
    <t>C46516310696</t>
  </si>
  <si>
    <t>8CG9294ZVF</t>
  </si>
  <si>
    <t>GENSUS310697</t>
  </si>
  <si>
    <t>7.138.116.121</t>
  </si>
  <si>
    <t>C46516310697</t>
  </si>
  <si>
    <t>8CG9294ZVH</t>
  </si>
  <si>
    <t>GENSUS31069C</t>
  </si>
  <si>
    <t>7.140.20.127</t>
  </si>
  <si>
    <t>C4651631069C</t>
  </si>
  <si>
    <t>8CG9294ZVK</t>
  </si>
  <si>
    <t>GENSUS31069E</t>
  </si>
  <si>
    <t>7.13.244.50</t>
  </si>
  <si>
    <t>C4651631069E</t>
  </si>
  <si>
    <t>8CG9294ZVP</t>
  </si>
  <si>
    <t>GENSUS3106B8</t>
  </si>
  <si>
    <t>55.150.7.156</t>
  </si>
  <si>
    <t>C465163106B8</t>
  </si>
  <si>
    <t>8CG9295ZYS</t>
  </si>
  <si>
    <t>GENSUS3106BE</t>
  </si>
  <si>
    <t>7.75.148.154</t>
  </si>
  <si>
    <t>C465163106BE</t>
  </si>
  <si>
    <t>8CG9294ZWD</t>
  </si>
  <si>
    <t>GENSUS3106DC</t>
  </si>
  <si>
    <t>7.66.196.99</t>
  </si>
  <si>
    <t>C465163106DC</t>
  </si>
  <si>
    <t>8CG929543B</t>
  </si>
  <si>
    <t>GENSUS3106E2</t>
  </si>
  <si>
    <t>7.128.212.46</t>
  </si>
  <si>
    <t>C465163106E2</t>
  </si>
  <si>
    <t>8CG9294ZSR</t>
  </si>
  <si>
    <t>GENSUS3106E6</t>
  </si>
  <si>
    <t>7.66.68.65</t>
  </si>
  <si>
    <t>C465163106E6</t>
  </si>
  <si>
    <t>8CG9295436</t>
  </si>
  <si>
    <t>GENSUS3106F1</t>
  </si>
  <si>
    <t>7.20.156.28</t>
  </si>
  <si>
    <t>C465163106F1</t>
  </si>
  <si>
    <t>8CG9294ZSL</t>
  </si>
  <si>
    <t>GENSUS31070E</t>
  </si>
  <si>
    <t>7.17.212.141</t>
  </si>
  <si>
    <t>C4651631070E</t>
  </si>
  <si>
    <t>8CG9295Z7W</t>
  </si>
  <si>
    <t>GENSUS310746</t>
  </si>
  <si>
    <t>7.181.220.112</t>
  </si>
  <si>
    <t>C46516310746</t>
  </si>
  <si>
    <t>8CG92960JT</t>
  </si>
  <si>
    <t>GENSUS31074A</t>
  </si>
  <si>
    <t>7.37.228.24</t>
  </si>
  <si>
    <t>C4651631074A</t>
  </si>
  <si>
    <t>8CG92960HP</t>
  </si>
  <si>
    <t>GENSUS31074C</t>
  </si>
  <si>
    <t>7.168.60.17</t>
  </si>
  <si>
    <t>C4651631074C</t>
  </si>
  <si>
    <t>8CG92960JM</t>
  </si>
  <si>
    <t>GENSUS310753</t>
  </si>
  <si>
    <t>7.65.44.46</t>
  </si>
  <si>
    <t>C46516310753</t>
  </si>
  <si>
    <t>8CG92960H4</t>
  </si>
  <si>
    <t>GENSUS310754</t>
  </si>
  <si>
    <t>7.118.108.160</t>
  </si>
  <si>
    <t>C46516310754</t>
  </si>
  <si>
    <t>8CG92960H2</t>
  </si>
  <si>
    <t>GENSUS31075D</t>
  </si>
  <si>
    <t>7.159.44.197</t>
  </si>
  <si>
    <t>C4651631075D</t>
  </si>
  <si>
    <t>8CG92960HB</t>
  </si>
  <si>
    <t>GENSUS31075E</t>
  </si>
  <si>
    <t>7.52.180.205</t>
  </si>
  <si>
    <t>C4651631075E</t>
  </si>
  <si>
    <t>8CG92960HD</t>
  </si>
  <si>
    <t>GENSUS31075F</t>
  </si>
  <si>
    <t>7.37.228.73</t>
  </si>
  <si>
    <t>C4651631075F</t>
  </si>
  <si>
    <t>8CG92960HF</t>
  </si>
  <si>
    <t>GENSUS310762</t>
  </si>
  <si>
    <t>7.24.68.234</t>
  </si>
  <si>
    <t>C46516310762</t>
  </si>
  <si>
    <t>8CG92960HJ</t>
  </si>
  <si>
    <t>GENSUS31076A</t>
  </si>
  <si>
    <t>7.53.12.90</t>
  </si>
  <si>
    <t>C4651631076A</t>
  </si>
  <si>
    <t>8CG92960H5</t>
  </si>
  <si>
    <t>GENSUS310784</t>
  </si>
  <si>
    <t>7.73.148.197</t>
  </si>
  <si>
    <t>C46516310784</t>
  </si>
  <si>
    <t>8CG9295ZB7</t>
  </si>
  <si>
    <t>GENSUS310794</t>
  </si>
  <si>
    <t>7.70.188.29</t>
  </si>
  <si>
    <t>C46516310794</t>
  </si>
  <si>
    <t>8CG929601H</t>
  </si>
  <si>
    <t>GENSUS31079D</t>
  </si>
  <si>
    <t>7.52.20.53</t>
  </si>
  <si>
    <t>C4651631079D</t>
  </si>
  <si>
    <t>8CG9294ZW1</t>
  </si>
  <si>
    <t>GENSUS31079E</t>
  </si>
  <si>
    <t>7.53.220.35</t>
  </si>
  <si>
    <t>C4651631079E</t>
  </si>
  <si>
    <t>8CG9294ZVZ</t>
  </si>
  <si>
    <t>GENSUS3107B1</t>
  </si>
  <si>
    <t>7.8.156.76</t>
  </si>
  <si>
    <t>C465163107B1</t>
  </si>
  <si>
    <t>8CG9294ZW0</t>
  </si>
  <si>
    <t>GENSUS3107B4</t>
  </si>
  <si>
    <t>7.150.44.111</t>
  </si>
  <si>
    <t>C465163107B4</t>
  </si>
  <si>
    <t>8CG9294ZTW</t>
  </si>
  <si>
    <t>GENSUS3107BA</t>
  </si>
  <si>
    <t>7.49.204.109</t>
  </si>
  <si>
    <t>C465163107BA</t>
  </si>
  <si>
    <t>8CG9294ZTF</t>
  </si>
  <si>
    <t>GENSUS3107BC</t>
  </si>
  <si>
    <t>7.84.180.172</t>
  </si>
  <si>
    <t>C465163107BC</t>
  </si>
  <si>
    <t>8CG9294ZV3</t>
  </si>
  <si>
    <t>GENSUS3107BE</t>
  </si>
  <si>
    <t>7.213.124.33</t>
  </si>
  <si>
    <t>C465163107BE</t>
  </si>
  <si>
    <t>8CG9294ZTR</t>
  </si>
  <si>
    <t>GENSUS3107BF</t>
  </si>
  <si>
    <t>7.16.164.34</t>
  </si>
  <si>
    <t>C465163107BF</t>
  </si>
  <si>
    <t>S08270</t>
  </si>
  <si>
    <t>8CG9294ZV4</t>
  </si>
  <si>
    <t>S08270.US-2016</t>
  </si>
  <si>
    <t>GENSUS3107C7</t>
  </si>
  <si>
    <t>7.36.44.159</t>
  </si>
  <si>
    <t>C465163107C7</t>
  </si>
  <si>
    <t>8CG9294ZVD</t>
  </si>
  <si>
    <t>GENSUS3107CC</t>
  </si>
  <si>
    <t>7.151.116.48</t>
  </si>
  <si>
    <t>C465163107CC</t>
  </si>
  <si>
    <t>8CG9294ZTH</t>
  </si>
  <si>
    <t>GENSUS3107D3</t>
  </si>
  <si>
    <t>7.49.204.131</t>
  </si>
  <si>
    <t>C465163107D3</t>
  </si>
  <si>
    <t>8CG9294ZTK</t>
  </si>
  <si>
    <t>GENSUS3107D4</t>
  </si>
  <si>
    <t>7.181.44.111</t>
  </si>
  <si>
    <t>C465163107D4</t>
  </si>
  <si>
    <t>8CG9294ZTL</t>
  </si>
  <si>
    <t>GENSUS3107D8</t>
  </si>
  <si>
    <t>7.188.68.235</t>
  </si>
  <si>
    <t>C465163107D8</t>
  </si>
  <si>
    <t>S04998</t>
  </si>
  <si>
    <t>8CG929541N</t>
  </si>
  <si>
    <t>S04998.US-2016</t>
  </si>
  <si>
    <t>GENSUS3107DD</t>
  </si>
  <si>
    <t>7.150.180.19</t>
  </si>
  <si>
    <t>C465163107DD</t>
  </si>
  <si>
    <t>8CG9295428</t>
  </si>
  <si>
    <t>GENSUS3107E7</t>
  </si>
  <si>
    <t>7.78.196.163</t>
  </si>
  <si>
    <t>C465163107E7</t>
  </si>
  <si>
    <t>8CG929500Y</t>
  </si>
  <si>
    <t>GENSUS3107F4</t>
  </si>
  <si>
    <t>7.74.124.174</t>
  </si>
  <si>
    <t>C465163107F4</t>
  </si>
  <si>
    <t>8CG929541V</t>
  </si>
  <si>
    <t>GENSUS3107F8</t>
  </si>
  <si>
    <t>7.66.68.68</t>
  </si>
  <si>
    <t>C465163107F8</t>
  </si>
  <si>
    <t>8CG929541Z</t>
  </si>
  <si>
    <t>GENSUS3107FE</t>
  </si>
  <si>
    <t>7.150.36.10</t>
  </si>
  <si>
    <t>C465163107FE</t>
  </si>
  <si>
    <t>8CG9294ZW9</t>
  </si>
  <si>
    <t>GENSUS3107FF</t>
  </si>
  <si>
    <t>7.118.108.43</t>
  </si>
  <si>
    <t>C465163107FF</t>
  </si>
  <si>
    <t>8CG92960J1</t>
  </si>
  <si>
    <t>GENSUS310816</t>
  </si>
  <si>
    <t>7.138.116.136</t>
  </si>
  <si>
    <t>C46516310816</t>
  </si>
  <si>
    <t>8CG9294ZY0</t>
  </si>
  <si>
    <t>GENSUS31081C</t>
  </si>
  <si>
    <t>7.158.28.197</t>
  </si>
  <si>
    <t>C4651631081C</t>
  </si>
  <si>
    <t>8CG9294ZY7</t>
  </si>
  <si>
    <t>GENSUS310824</t>
  </si>
  <si>
    <t>7.66.20.52</t>
  </si>
  <si>
    <t>C46516310824</t>
  </si>
  <si>
    <t>8CG9294ZXR</t>
  </si>
  <si>
    <t>GENSUS310825</t>
  </si>
  <si>
    <t>7.77.132.161</t>
  </si>
  <si>
    <t>C46516310825</t>
  </si>
  <si>
    <t>8CG9294ZXT</t>
  </si>
  <si>
    <t>GENSUS31082F</t>
  </si>
  <si>
    <t>7.66.20.168</t>
  </si>
  <si>
    <t>C4651631082F</t>
  </si>
  <si>
    <t>8CG9294ZXY</t>
  </si>
  <si>
    <t>GENSUS310830</t>
  </si>
  <si>
    <t>7.57.156.161</t>
  </si>
  <si>
    <t>C46516310830</t>
  </si>
  <si>
    <t>8CG9294ZXW</t>
  </si>
  <si>
    <t>GENSUS310835</t>
  </si>
  <si>
    <t>7.148.100.69</t>
  </si>
  <si>
    <t>C46516310835</t>
  </si>
  <si>
    <t>8CG9294ZY4</t>
  </si>
  <si>
    <t>GENSUS310836</t>
  </si>
  <si>
    <t>7.76.28.24</t>
  </si>
  <si>
    <t>C46516310836</t>
  </si>
  <si>
    <t>8CG9294ZY6</t>
  </si>
  <si>
    <t>GENSUS310839</t>
  </si>
  <si>
    <t>7.43.180.150</t>
  </si>
  <si>
    <t>C46516310839</t>
  </si>
  <si>
    <t>8CG9294ZY9</t>
  </si>
  <si>
    <t>GENSUS31083A</t>
  </si>
  <si>
    <t>7.179.212.17</t>
  </si>
  <si>
    <t>C4651631083A</t>
  </si>
  <si>
    <t>8CG9294ZYC</t>
  </si>
  <si>
    <t>GENSUS31083F</t>
  </si>
  <si>
    <t>7.5.132.222</t>
  </si>
  <si>
    <t>C4651631083F</t>
  </si>
  <si>
    <t>8CG9294ZYL</t>
  </si>
  <si>
    <t>GENSUS310847</t>
  </si>
  <si>
    <t>7.76.244.83</t>
  </si>
  <si>
    <t>C46516310847</t>
  </si>
  <si>
    <t>8CG9295413</t>
  </si>
  <si>
    <t>GENSUS310848</t>
  </si>
  <si>
    <t>7.35.124.168</t>
  </si>
  <si>
    <t>C46516310848</t>
  </si>
  <si>
    <t>8CG9295415</t>
  </si>
  <si>
    <t>GENSUS31084D</t>
  </si>
  <si>
    <t>7.11.84.219</t>
  </si>
  <si>
    <t>C4651631084D</t>
  </si>
  <si>
    <t>8CG9294ZWN</t>
  </si>
  <si>
    <t>GENSUS310859</t>
  </si>
  <si>
    <t>55.150.39.157</t>
  </si>
  <si>
    <t>C46516310859</t>
  </si>
  <si>
    <t>8CG929541C</t>
  </si>
  <si>
    <t>GENSUS31086C</t>
  </si>
  <si>
    <t>7.88.12.53</t>
  </si>
  <si>
    <t>C4651631086C</t>
  </si>
  <si>
    <t>8CG929602W</t>
  </si>
  <si>
    <t>GENSUS3108AB</t>
  </si>
  <si>
    <t>7.91.108.41</t>
  </si>
  <si>
    <t>C465163108AB</t>
  </si>
  <si>
    <t>8CG9295Z9N</t>
  </si>
  <si>
    <t>GENSUS3108DB</t>
  </si>
  <si>
    <t>7.4.76.103</t>
  </si>
  <si>
    <t>C465163108DB</t>
  </si>
  <si>
    <t>8CG9295ZVV</t>
  </si>
  <si>
    <t>GENSUS3108E4</t>
  </si>
  <si>
    <t>7.215.12.180</t>
  </si>
  <si>
    <t>C465163108E4</t>
  </si>
  <si>
    <t>8CG92960F0</t>
  </si>
  <si>
    <t>GENSUS3108EF</t>
  </si>
  <si>
    <t>7.64.212.66</t>
  </si>
  <si>
    <t>C465163108EF</t>
  </si>
  <si>
    <t>8CG92953W1</t>
  </si>
  <si>
    <t>GENSUS31090D</t>
  </si>
  <si>
    <t>7.179.212.64</t>
  </si>
  <si>
    <t>C4651631090D</t>
  </si>
  <si>
    <t>8CG9294ZX7</t>
  </si>
  <si>
    <t>GENSUS31090F</t>
  </si>
  <si>
    <t>7.81.12.111</t>
  </si>
  <si>
    <t>C4651631090F</t>
  </si>
  <si>
    <t>8CG9294ZXD</t>
  </si>
  <si>
    <t>GENSUS310926</t>
  </si>
  <si>
    <t>7.159.44.215</t>
  </si>
  <si>
    <t>C46516310926</t>
  </si>
  <si>
    <t>8CG9294ZX1</t>
  </si>
  <si>
    <t>GENSUS310928</t>
  </si>
  <si>
    <t>7.213.124.50</t>
  </si>
  <si>
    <t>C46516310928</t>
  </si>
  <si>
    <t>8CG9294ZX5</t>
  </si>
  <si>
    <t>GENSUS31092D</t>
  </si>
  <si>
    <t>7.178.212.107</t>
  </si>
  <si>
    <t>C4651631092D</t>
  </si>
  <si>
    <t>8CG9294ZXG</t>
  </si>
  <si>
    <t>GENSUS31092E</t>
  </si>
  <si>
    <t>7.8.156.110</t>
  </si>
  <si>
    <t>C4651631092E</t>
  </si>
  <si>
    <t>8CG9294ZXF</t>
  </si>
  <si>
    <t>GENSUS31092F</t>
  </si>
  <si>
    <t>7.178.212.58</t>
  </si>
  <si>
    <t>C4651631092F</t>
  </si>
  <si>
    <t>8CG9294ZXK</t>
  </si>
  <si>
    <t>GENSUS310934</t>
  </si>
  <si>
    <t>7.78.236.104</t>
  </si>
  <si>
    <t>C46516310934</t>
  </si>
  <si>
    <t>8CG9294ZXJ</t>
  </si>
  <si>
    <t>GENSUS31093A</t>
  </si>
  <si>
    <t>7.52.20.62</t>
  </si>
  <si>
    <t>C4651631093A</t>
  </si>
  <si>
    <t>8CG9294ZWV</t>
  </si>
  <si>
    <t>GENSUS310940</t>
  </si>
  <si>
    <t>7.128.212.68</t>
  </si>
  <si>
    <t>C46516310940</t>
  </si>
  <si>
    <t>8CG9294ZX0</t>
  </si>
  <si>
    <t>GENSUS310941</t>
  </si>
  <si>
    <t>7.57.156.162</t>
  </si>
  <si>
    <t>C46516310941</t>
  </si>
  <si>
    <t>8CG9294ZXP</t>
  </si>
  <si>
    <t>GENSUS310943</t>
  </si>
  <si>
    <t>7.53.220.217</t>
  </si>
  <si>
    <t>C46516310943</t>
  </si>
  <si>
    <t>8CG92953ZH</t>
  </si>
  <si>
    <t>GENSUS310944</t>
  </si>
  <si>
    <t>7.28.20.112</t>
  </si>
  <si>
    <t>C46516310944</t>
  </si>
  <si>
    <t>8CG92953ZJ</t>
  </si>
  <si>
    <t>GENSUS31094C</t>
  </si>
  <si>
    <t>7.87.52.104</t>
  </si>
  <si>
    <t>C4651631094C</t>
  </si>
  <si>
    <t>8CG929542K</t>
  </si>
  <si>
    <t>GENSUS310953</t>
  </si>
  <si>
    <t>7.25.124.49</t>
  </si>
  <si>
    <t>C46516310953</t>
  </si>
  <si>
    <t>8CG92953XV</t>
  </si>
  <si>
    <t>GENSUS310966</t>
  </si>
  <si>
    <t>7.172.52.133</t>
  </si>
  <si>
    <t>C46516310966</t>
  </si>
  <si>
    <t>8CG92953YL</t>
  </si>
  <si>
    <t>GENSUS31096C</t>
  </si>
  <si>
    <t>7.4.132.128</t>
  </si>
  <si>
    <t>C4651631096C</t>
  </si>
  <si>
    <t>8CG92953XN</t>
  </si>
  <si>
    <t>GENSUS31096D</t>
  </si>
  <si>
    <t>7.66.68.167</t>
  </si>
  <si>
    <t>C4651631096D</t>
  </si>
  <si>
    <t>8CG92953XG</t>
  </si>
  <si>
    <t>GENSUS31097E</t>
  </si>
  <si>
    <t>7.53.20.231</t>
  </si>
  <si>
    <t>C4651631097E</t>
  </si>
  <si>
    <t>8CG92953W4</t>
  </si>
  <si>
    <t>GENSUS31098E</t>
  </si>
  <si>
    <t>7.21.196.171</t>
  </si>
  <si>
    <t>C4651631098E</t>
  </si>
  <si>
    <t>8CG92953ZF</t>
  </si>
  <si>
    <t>GENSUS31099D</t>
  </si>
  <si>
    <t>7.81.12.114</t>
  </si>
  <si>
    <t>C4651631099D</t>
  </si>
  <si>
    <t>8CG92953YW</t>
  </si>
  <si>
    <t>GENSUS31099E</t>
  </si>
  <si>
    <t>7.138.116.135</t>
  </si>
  <si>
    <t>C4651631099E</t>
  </si>
  <si>
    <t>8CG92953YT</t>
  </si>
  <si>
    <t>GENSUS3109A9</t>
  </si>
  <si>
    <t>7.5.132.182</t>
  </si>
  <si>
    <t>C465163109A9</t>
  </si>
  <si>
    <t>8CG9295409</t>
  </si>
  <si>
    <t>GENSUS3109B6</t>
  </si>
  <si>
    <t>7.78.196.141</t>
  </si>
  <si>
    <t>C465163109B6</t>
  </si>
  <si>
    <t>8CG9294ZZH</t>
  </si>
  <si>
    <t>GENSUS3109BB</t>
  </si>
  <si>
    <t>7.21.172.179</t>
  </si>
  <si>
    <t>C465163109BB</t>
  </si>
  <si>
    <t>8CG9295101</t>
  </si>
  <si>
    <t>GENSUS3109D7</t>
  </si>
  <si>
    <t>7.76.60.43</t>
  </si>
  <si>
    <t>C465163109D7</t>
  </si>
  <si>
    <t>8CG9294ZTJ</t>
  </si>
  <si>
    <t>GENSUS3109E8</t>
  </si>
  <si>
    <t>7.24.4.173</t>
  </si>
  <si>
    <t>C465163109E8</t>
  </si>
  <si>
    <t>8CG9295Y1P</t>
  </si>
  <si>
    <t>GENSUS310A05</t>
  </si>
  <si>
    <t>7.189.68.136</t>
  </si>
  <si>
    <t>C46516310A05</t>
  </si>
  <si>
    <t>8CG9295XZC</t>
  </si>
  <si>
    <t>GENSUS310A0A</t>
  </si>
  <si>
    <t>7.65.236.65</t>
  </si>
  <si>
    <t>C46516310A0A</t>
  </si>
  <si>
    <t>8CG9295Y0R</t>
  </si>
  <si>
    <t>GENSUS310A47</t>
  </si>
  <si>
    <t>55.21.127.155</t>
  </si>
  <si>
    <t>C46516310A47</t>
  </si>
  <si>
    <t>8CG9295XZK</t>
  </si>
  <si>
    <t>GENSUS310A48</t>
  </si>
  <si>
    <t>7.65.220.15</t>
  </si>
  <si>
    <t>C46516310A48</t>
  </si>
  <si>
    <t>8CG929541K</t>
  </si>
  <si>
    <t>GENSUS310A6A</t>
  </si>
  <si>
    <t>7.89.212.153</t>
  </si>
  <si>
    <t>C46516310A6A</t>
  </si>
  <si>
    <t>8CG9295Y03</t>
  </si>
  <si>
    <t>GENSUS310A76</t>
  </si>
  <si>
    <t>55.87.63.162</t>
  </si>
  <si>
    <t>C46516310A76</t>
  </si>
  <si>
    <t>8CG929606H</t>
  </si>
  <si>
    <t>GENSUS317427</t>
  </si>
  <si>
    <t>7.189.124.34</t>
  </si>
  <si>
    <t>C46516317427</t>
  </si>
  <si>
    <t>8CG930436G</t>
  </si>
  <si>
    <t>GENSUS317458</t>
  </si>
  <si>
    <t>7.159.4.47</t>
  </si>
  <si>
    <t>C46516317458</t>
  </si>
  <si>
    <t>8CG9304333</t>
  </si>
  <si>
    <t>GENSUS317463</t>
  </si>
  <si>
    <t>7.159.4.10</t>
  </si>
  <si>
    <t>C46516317463</t>
  </si>
  <si>
    <t>8CG9303ZL9</t>
  </si>
  <si>
    <t>GENSUS317494</t>
  </si>
  <si>
    <t>7.65.44.181</t>
  </si>
  <si>
    <t>C46516317494</t>
  </si>
  <si>
    <t>8CG9302XYR</t>
  </si>
  <si>
    <t>GENSUS3174AE</t>
  </si>
  <si>
    <t>7.21.44.169</t>
  </si>
  <si>
    <t>C465163174AE</t>
  </si>
  <si>
    <t>8CG9303ZD1</t>
  </si>
  <si>
    <t>GENSUS3174B1</t>
  </si>
  <si>
    <t>7.11.156.182</t>
  </si>
  <si>
    <t>C465163174B1</t>
  </si>
  <si>
    <t>8CG9303ZCY</t>
  </si>
  <si>
    <t>GENSUS3174D5</t>
  </si>
  <si>
    <t>7.133.220.114</t>
  </si>
  <si>
    <t>C465163174D5</t>
  </si>
  <si>
    <t>8CG9302XSB</t>
  </si>
  <si>
    <t>GENSUS3174F4</t>
  </si>
  <si>
    <t>7.28.20.175</t>
  </si>
  <si>
    <t>C465163174F4</t>
  </si>
  <si>
    <t>8CG9303ZC5</t>
  </si>
  <si>
    <t>GENSUS317501</t>
  </si>
  <si>
    <t>7.215.236.11</t>
  </si>
  <si>
    <t>C46516317501</t>
  </si>
  <si>
    <t>8CG9303ZC2</t>
  </si>
  <si>
    <t>GENSUS31751D</t>
  </si>
  <si>
    <t>7.21.100.33</t>
  </si>
  <si>
    <t>C4651631751D</t>
  </si>
  <si>
    <t>8CG9302XVC</t>
  </si>
  <si>
    <t>GENSUS31753A</t>
  </si>
  <si>
    <t>7.172.52.168</t>
  </si>
  <si>
    <t>C4651631753A</t>
  </si>
  <si>
    <t>8CG9302XZQ</t>
  </si>
  <si>
    <t>GENSUS317540</t>
  </si>
  <si>
    <t>7.159.100.42</t>
  </si>
  <si>
    <t>C46516317540</t>
  </si>
  <si>
    <t>8CG9302XZ8</t>
  </si>
  <si>
    <t>GENSUS31755F</t>
  </si>
  <si>
    <t>7.113.28.74</t>
  </si>
  <si>
    <t>C4651631755F</t>
  </si>
  <si>
    <t>8CG930433S</t>
  </si>
  <si>
    <t>GENSUS317586</t>
  </si>
  <si>
    <t>7.5.116.240</t>
  </si>
  <si>
    <t>C46516317586</t>
  </si>
  <si>
    <t>8CG9302Y0V</t>
  </si>
  <si>
    <t>GENSUS317599</t>
  </si>
  <si>
    <t>7.137.180.26</t>
  </si>
  <si>
    <t>C46516317599</t>
  </si>
  <si>
    <t>8CG9302XY5</t>
  </si>
  <si>
    <t>GENSUS3175B0</t>
  </si>
  <si>
    <t>7.81.12.112</t>
  </si>
  <si>
    <t>C465163175B0</t>
  </si>
  <si>
    <t>8CG9303ZKG</t>
  </si>
  <si>
    <t>GENSUS3175F1</t>
  </si>
  <si>
    <t>7.11.156.117</t>
  </si>
  <si>
    <t>C465163175F1</t>
  </si>
  <si>
    <t>8CG9304353</t>
  </si>
  <si>
    <t>GENSUS317631</t>
  </si>
  <si>
    <t>7.11.156.18</t>
  </si>
  <si>
    <t>C46516317631</t>
  </si>
  <si>
    <t>8CG9302XYM</t>
  </si>
  <si>
    <t>GENSUS317635</t>
  </si>
  <si>
    <t>7.182.116.25</t>
  </si>
  <si>
    <t>C46516317635</t>
  </si>
  <si>
    <t>8CG9302XV5</t>
  </si>
  <si>
    <t>GENSUS31763D</t>
  </si>
  <si>
    <t>7.67.164.139</t>
  </si>
  <si>
    <t>C4651631763D</t>
  </si>
  <si>
    <t>8CG9302XWW</t>
  </si>
  <si>
    <t>GENSUS317657</t>
  </si>
  <si>
    <t>7.21.100.48</t>
  </si>
  <si>
    <t>C46516317657</t>
  </si>
  <si>
    <t>8CG9302XTW</t>
  </si>
  <si>
    <t>GENSUS317660</t>
  </si>
  <si>
    <t>7.182.116.172</t>
  </si>
  <si>
    <t>C46516317660</t>
  </si>
  <si>
    <t>8CG9302XWX</t>
  </si>
  <si>
    <t>GENSUS317664</t>
  </si>
  <si>
    <t>7.12.124.71</t>
  </si>
  <si>
    <t>C46516317664</t>
  </si>
  <si>
    <t>8CG9302XZZ</t>
  </si>
  <si>
    <t>GENSUS317673</t>
  </si>
  <si>
    <t>7.16.60.200</t>
  </si>
  <si>
    <t>C46516317673</t>
  </si>
  <si>
    <t>8CG930434G</t>
  </si>
  <si>
    <t>GENSUS32BE6C</t>
  </si>
  <si>
    <t>7.35.124.171</t>
  </si>
  <si>
    <t>040E3C32BE6C</t>
  </si>
  <si>
    <t>8CG0282WG8</t>
  </si>
  <si>
    <t>GENSUS32BE7A</t>
  </si>
  <si>
    <t>7.53.68.114</t>
  </si>
  <si>
    <t>040E3C32BE7A</t>
  </si>
  <si>
    <t>8CG0282WF1</t>
  </si>
  <si>
    <t>GENSUS32BE8E</t>
  </si>
  <si>
    <t>7.77.252.116</t>
  </si>
  <si>
    <t>040E3C32BE8E</t>
  </si>
  <si>
    <t>8CG0282WDV</t>
  </si>
  <si>
    <t>GENSUS32BEDF</t>
  </si>
  <si>
    <t>7.186.100.47</t>
  </si>
  <si>
    <t>040E3C32BEDF</t>
  </si>
  <si>
    <t>8CG030292W</t>
  </si>
  <si>
    <t>GENSUS32BFC5</t>
  </si>
  <si>
    <t>7.126.60.162</t>
  </si>
  <si>
    <t>040E3C32BFC5</t>
  </si>
  <si>
    <t>8CG0282WFK</t>
  </si>
  <si>
    <t>GENSUS32BFF6</t>
  </si>
  <si>
    <t>7.69.20.155</t>
  </si>
  <si>
    <t>040E3C32BFF6</t>
  </si>
  <si>
    <t>8CG0282W88</t>
  </si>
  <si>
    <t>GENSUS32CCBE</t>
  </si>
  <si>
    <t>7.34.148.162</t>
  </si>
  <si>
    <t>C4651632CCBE</t>
  </si>
  <si>
    <t>8CG9308LFT</t>
  </si>
  <si>
    <t>GENSUS32CCC5</t>
  </si>
  <si>
    <t>7.138.36.104</t>
  </si>
  <si>
    <t>C4651632CCC5</t>
  </si>
  <si>
    <t>8CG9308LF9</t>
  </si>
  <si>
    <t>GENSUS32CCCF</t>
  </si>
  <si>
    <t>7.53.100.158</t>
  </si>
  <si>
    <t>C4651632CCCF</t>
  </si>
  <si>
    <t>8CG9308LDW</t>
  </si>
  <si>
    <t>GENSUS32CD63</t>
  </si>
  <si>
    <t>7.17.212.133</t>
  </si>
  <si>
    <t>C4651632CD63</t>
  </si>
  <si>
    <t>8CG9308JVR</t>
  </si>
  <si>
    <t>GENSUS32CD6C</t>
  </si>
  <si>
    <t>7.5.140.179</t>
  </si>
  <si>
    <t>C4651632CD6C</t>
  </si>
  <si>
    <t>8CG9308JTW</t>
  </si>
  <si>
    <t>GENSUS32CD6D</t>
  </si>
  <si>
    <t>7.165.244.59</t>
  </si>
  <si>
    <t>C4651632CD6D</t>
  </si>
  <si>
    <t>8CG9308JTM</t>
  </si>
  <si>
    <t>GENSUS32CDC1</t>
  </si>
  <si>
    <t>7.87.156.14</t>
  </si>
  <si>
    <t>C4651632CDC1</t>
  </si>
  <si>
    <t>8CG9308JT2</t>
  </si>
  <si>
    <t>GENSUS32CDC2</t>
  </si>
  <si>
    <t>7.4.100.122</t>
  </si>
  <si>
    <t>C4651632CDC2</t>
  </si>
  <si>
    <t>8CG9308JT5</t>
  </si>
  <si>
    <t>GENSUS32CDCE</t>
  </si>
  <si>
    <t>7.92.108.113</t>
  </si>
  <si>
    <t>C4651632CDCE</t>
  </si>
  <si>
    <t>8CG9308JX2</t>
  </si>
  <si>
    <t>GENSUS32CDE5</t>
  </si>
  <si>
    <t>7.92.108.111</t>
  </si>
  <si>
    <t>C4651632CDE5</t>
  </si>
  <si>
    <t>8CG9308JTX</t>
  </si>
  <si>
    <t>GENSUS32CE10</t>
  </si>
  <si>
    <t>7.139.76.37</t>
  </si>
  <si>
    <t>C4651632CE10</t>
  </si>
  <si>
    <t>8CG9308JQJ</t>
  </si>
  <si>
    <t>GENSUS32CE22</t>
  </si>
  <si>
    <t>7.152.92.89</t>
  </si>
  <si>
    <t>C4651632CE22</t>
  </si>
  <si>
    <t>S04958</t>
  </si>
  <si>
    <t>8CG9308JRJ</t>
  </si>
  <si>
    <t>S04958.US-2016</t>
  </si>
  <si>
    <t>GENSUS32CE25</t>
  </si>
  <si>
    <t>7.32.36.38</t>
  </si>
  <si>
    <t>C4651632CE25</t>
  </si>
  <si>
    <t>8CG9308LJF</t>
  </si>
  <si>
    <t>GENSUS32CE26</t>
  </si>
  <si>
    <t>7.75.148.114</t>
  </si>
  <si>
    <t>C4651632CE26</t>
  </si>
  <si>
    <t>8CG9308LJD</t>
  </si>
  <si>
    <t>GENSUS32CE27</t>
  </si>
  <si>
    <t>7.139.76.43</t>
  </si>
  <si>
    <t>C4651632CE27</t>
  </si>
  <si>
    <t>8CG9308LJG</t>
  </si>
  <si>
    <t>GENSUS32CE30</t>
  </si>
  <si>
    <t>7.159.4.198</t>
  </si>
  <si>
    <t>C4651632CE30</t>
  </si>
  <si>
    <t>8CG9308JR2</t>
  </si>
  <si>
    <t>GENSUS32CE3D</t>
  </si>
  <si>
    <t>7.87.92.167</t>
  </si>
  <si>
    <t>C4651632CE3D</t>
  </si>
  <si>
    <t>8CG9308JXR</t>
  </si>
  <si>
    <t>GENSUS32CE42</t>
  </si>
  <si>
    <t>7.52.212.43</t>
  </si>
  <si>
    <t>C4651632CE42</t>
  </si>
  <si>
    <t>8CG9308LJ7</t>
  </si>
  <si>
    <t>GENSUS32CE4D</t>
  </si>
  <si>
    <t>7.78.180.86</t>
  </si>
  <si>
    <t>C4651632CE4D</t>
  </si>
  <si>
    <t>8CG9308JR0</t>
  </si>
  <si>
    <t>GENSUS32CE5E</t>
  </si>
  <si>
    <t>7.67.20.93</t>
  </si>
  <si>
    <t>C4651632CE5E</t>
  </si>
  <si>
    <t>8CG9308LC7</t>
  </si>
  <si>
    <t>GENSUS32CFAF</t>
  </si>
  <si>
    <t>7.67.180.20</t>
  </si>
  <si>
    <t>C4651632CFAF</t>
  </si>
  <si>
    <t>8CG9308LDK</t>
  </si>
  <si>
    <t>GENSUS32CFC2</t>
  </si>
  <si>
    <t>7.52.244.98</t>
  </si>
  <si>
    <t>C4651632CFC2</t>
  </si>
  <si>
    <t>8CG9308JSF</t>
  </si>
  <si>
    <t>GENSUS32CFC8</t>
  </si>
  <si>
    <t>7.52.212.41</t>
  </si>
  <si>
    <t>C4651632CFC8</t>
  </si>
  <si>
    <t>8CG9308JQ7</t>
  </si>
  <si>
    <t>GENSUS32CFD4</t>
  </si>
  <si>
    <t>7.151.124.170</t>
  </si>
  <si>
    <t>C4651632CFD4</t>
  </si>
  <si>
    <t>8CG9308LLK</t>
  </si>
  <si>
    <t>GENSUS32CFF8</t>
  </si>
  <si>
    <t>7.67.180.19</t>
  </si>
  <si>
    <t>C4651632CFF8</t>
  </si>
  <si>
    <t>8CG9308JVQ</t>
  </si>
  <si>
    <t>GENSUS32CFFA</t>
  </si>
  <si>
    <t>7.152.92.134</t>
  </si>
  <si>
    <t>C4651632CFFA</t>
  </si>
  <si>
    <t>8CG9308JTJ</t>
  </si>
  <si>
    <t>GENSUS32D00A</t>
  </si>
  <si>
    <t>7.52.212.177</t>
  </si>
  <si>
    <t>C4651632D00A</t>
  </si>
  <si>
    <t>8CG9308JTK</t>
  </si>
  <si>
    <t>GENSUS32D00B</t>
  </si>
  <si>
    <t>7.49.132.95</t>
  </si>
  <si>
    <t>C4651632D00B</t>
  </si>
  <si>
    <t>8CG9308JZ1</t>
  </si>
  <si>
    <t>GENSUS32D024</t>
  </si>
  <si>
    <t>7.17.212.176</t>
  </si>
  <si>
    <t>C4651632D024</t>
  </si>
  <si>
    <t>8CG9308JR8</t>
  </si>
  <si>
    <t>GENSUS32D040</t>
  </si>
  <si>
    <t>7.152.92.185</t>
  </si>
  <si>
    <t>C4651632D040</t>
  </si>
  <si>
    <t>8CG9308JV3</t>
  </si>
  <si>
    <t>GENSUS32D05D</t>
  </si>
  <si>
    <t>7.153.228.172</t>
  </si>
  <si>
    <t>C4651632D05D</t>
  </si>
  <si>
    <t>8CG9308JT7</t>
  </si>
  <si>
    <t>GENSUS32D05E</t>
  </si>
  <si>
    <t>7.87.156.136</t>
  </si>
  <si>
    <t>C4651632D05E</t>
  </si>
  <si>
    <t>8CG9308JT9</t>
  </si>
  <si>
    <t>GENSUS32D068</t>
  </si>
  <si>
    <t>7.67.20.58</t>
  </si>
  <si>
    <t>C4651632D068</t>
  </si>
  <si>
    <t>8CG9308LHX</t>
  </si>
  <si>
    <t>GENSUS32D0A5</t>
  </si>
  <si>
    <t>7.57.156.57</t>
  </si>
  <si>
    <t>C4651632D0A5</t>
  </si>
  <si>
    <t>8CG9308LCH</t>
  </si>
  <si>
    <t>GENSUS32D13E</t>
  </si>
  <si>
    <t>7.123.164.160</t>
  </si>
  <si>
    <t>C4651632D13E</t>
  </si>
  <si>
    <t>8CG9308HNX</t>
  </si>
  <si>
    <t>GENSUS32D13F</t>
  </si>
  <si>
    <t>7.136.204.18</t>
  </si>
  <si>
    <t>C4651632D13F</t>
  </si>
  <si>
    <t>8CG9308HNV</t>
  </si>
  <si>
    <t>GENSUS32D14D</t>
  </si>
  <si>
    <t>7.157.196.89</t>
  </si>
  <si>
    <t>C4651632D14D</t>
  </si>
  <si>
    <t>8CG9308HQR</t>
  </si>
  <si>
    <t>GENSUS32D152</t>
  </si>
  <si>
    <t>7.174.108.175</t>
  </si>
  <si>
    <t>C4651632D152</t>
  </si>
  <si>
    <t>8CG9308HRB</t>
  </si>
  <si>
    <t>GENSUS32D160</t>
  </si>
  <si>
    <t>7.74.36.15</t>
  </si>
  <si>
    <t>C4651632D160</t>
  </si>
  <si>
    <t>8CG9308HKN</t>
  </si>
  <si>
    <t>GENSUS32D166</t>
  </si>
  <si>
    <t>7.66.68.151</t>
  </si>
  <si>
    <t>C4651632D166</t>
  </si>
  <si>
    <t>8CG9308HKD</t>
  </si>
  <si>
    <t>GENSUS32D185</t>
  </si>
  <si>
    <t>7.21.172.162</t>
  </si>
  <si>
    <t>C4651632D185</t>
  </si>
  <si>
    <t>8CG9308HKX</t>
  </si>
  <si>
    <t>GENSUS32D18F</t>
  </si>
  <si>
    <t>7.52.180.116</t>
  </si>
  <si>
    <t>C4651632D18F</t>
  </si>
  <si>
    <t>8CG9308HJY</t>
  </si>
  <si>
    <t>GENSUS32D191</t>
  </si>
  <si>
    <t>7.28.36.144</t>
  </si>
  <si>
    <t>C4651632D191</t>
  </si>
  <si>
    <t>8CG9308HL6</t>
  </si>
  <si>
    <t>GENSUS32D23A</t>
  </si>
  <si>
    <t>7.213.180.111</t>
  </si>
  <si>
    <t>C4651632D23A</t>
  </si>
  <si>
    <t>8CG9308K2R</t>
  </si>
  <si>
    <t>GENSUS32D244</t>
  </si>
  <si>
    <t>7.152.92.16</t>
  </si>
  <si>
    <t>C4651632D244</t>
  </si>
  <si>
    <t>8CG9308K2K</t>
  </si>
  <si>
    <t>GENSUS32D25D</t>
  </si>
  <si>
    <t>7.190.52.65</t>
  </si>
  <si>
    <t>C4651632D25D</t>
  </si>
  <si>
    <t>8CG9308K2H</t>
  </si>
  <si>
    <t>GENSUS32D266</t>
  </si>
  <si>
    <t>7.168.60.163</t>
  </si>
  <si>
    <t>C4651632D266</t>
  </si>
  <si>
    <t>8CG9308K44</t>
  </si>
  <si>
    <t>GENSUS32D267</t>
  </si>
  <si>
    <t>7.137.180.213</t>
  </si>
  <si>
    <t>C4651632D267</t>
  </si>
  <si>
    <t>8CG9308K45</t>
  </si>
  <si>
    <t>GENSUS32D272</t>
  </si>
  <si>
    <t>7.21.124.142</t>
  </si>
  <si>
    <t>C4651632D272</t>
  </si>
  <si>
    <t>8CG9308K14</t>
  </si>
  <si>
    <t>GENSUS32D27A</t>
  </si>
  <si>
    <t>7.61.252.10</t>
  </si>
  <si>
    <t>C4651632D27A</t>
  </si>
  <si>
    <t>8CG9308K1N</t>
  </si>
  <si>
    <t>GENSUS32D29C</t>
  </si>
  <si>
    <t>7.87.156.202</t>
  </si>
  <si>
    <t>C4651632D29C</t>
  </si>
  <si>
    <t>8CG9308K3F</t>
  </si>
  <si>
    <t>GENSUS32D2CB</t>
  </si>
  <si>
    <t>7.139.52.62</t>
  </si>
  <si>
    <t>C4651632D2CB</t>
  </si>
  <si>
    <t>8CG9308K3V</t>
  </si>
  <si>
    <t>GENSUS32D2CF</t>
  </si>
  <si>
    <t>7.77.148.51</t>
  </si>
  <si>
    <t>C4651632D2CF</t>
  </si>
  <si>
    <t>8CG9308HNP</t>
  </si>
  <si>
    <t>GENSUS32D2DF</t>
  </si>
  <si>
    <t>7.56.196.181</t>
  </si>
  <si>
    <t>C4651632D2DF</t>
  </si>
  <si>
    <t>8CG9308HJC</t>
  </si>
  <si>
    <t>GENSUS32D2E8</t>
  </si>
  <si>
    <t>7.53.12.29</t>
  </si>
  <si>
    <t>C4651632D2E8</t>
  </si>
  <si>
    <t>8CG9308HH3</t>
  </si>
  <si>
    <t>GENSUS32D2EC</t>
  </si>
  <si>
    <t>7.71.60.153</t>
  </si>
  <si>
    <t>C4651632D2EC</t>
  </si>
  <si>
    <t>8CG9308HGC</t>
  </si>
  <si>
    <t>GENSUS32D2ED</t>
  </si>
  <si>
    <t>7.159.44.216</t>
  </si>
  <si>
    <t>C4651632D2ED</t>
  </si>
  <si>
    <t>8CG9308HGZ</t>
  </si>
  <si>
    <t>GENSUS32D2EE</t>
  </si>
  <si>
    <t>7.7.164.152</t>
  </si>
  <si>
    <t>C4651632D2EE</t>
  </si>
  <si>
    <t>8CG9308HJ1</t>
  </si>
  <si>
    <t>GENSUS32D2EF</t>
  </si>
  <si>
    <t>7.12.84.29</t>
  </si>
  <si>
    <t>C4651632D2EF</t>
  </si>
  <si>
    <t>8CG9308HJ4</t>
  </si>
  <si>
    <t>GENSUS32D2FF</t>
  </si>
  <si>
    <t>7.7.164.40</t>
  </si>
  <si>
    <t>C4651632D2FF</t>
  </si>
  <si>
    <t>8CG9308HGF</t>
  </si>
  <si>
    <t>GENSUS32D301</t>
  </si>
  <si>
    <t>7.71.60.63</t>
  </si>
  <si>
    <t>C4651632D301</t>
  </si>
  <si>
    <t>8CG9308HHZ</t>
  </si>
  <si>
    <t>GENSUS32D304</t>
  </si>
  <si>
    <t>7.84.180.23</t>
  </si>
  <si>
    <t>C4651632D304</t>
  </si>
  <si>
    <t>8CG9308HGV</t>
  </si>
  <si>
    <t>GENSUS32D307</t>
  </si>
  <si>
    <t>7.151.124.169</t>
  </si>
  <si>
    <t>C4651632D307</t>
  </si>
  <si>
    <t>8CG9308HHR</t>
  </si>
  <si>
    <t>GENSUS32D309</t>
  </si>
  <si>
    <t>7.12.124.37</t>
  </si>
  <si>
    <t>C4651632D309</t>
  </si>
  <si>
    <t>8CG9308HHQ</t>
  </si>
  <si>
    <t>GENSUS32D30E</t>
  </si>
  <si>
    <t>7.21.76.35</t>
  </si>
  <si>
    <t>C4651632D30E</t>
  </si>
  <si>
    <t>8CG9308HHY</t>
  </si>
  <si>
    <t>GENSUS32D31F</t>
  </si>
  <si>
    <t>7.91.196.75</t>
  </si>
  <si>
    <t>C4651632D31F</t>
  </si>
  <si>
    <t>8CG9308HGS</t>
  </si>
  <si>
    <t>GENSUS32D323</t>
  </si>
  <si>
    <t>7.77.172.127</t>
  </si>
  <si>
    <t>C4651632D323</t>
  </si>
  <si>
    <t>8CG9308HGY</t>
  </si>
  <si>
    <t>GENSUS32D34E</t>
  </si>
  <si>
    <t>7.112.116.199</t>
  </si>
  <si>
    <t>C4651632D34E</t>
  </si>
  <si>
    <t>8CG9308K1K</t>
  </si>
  <si>
    <t>GENSUS32D385</t>
  </si>
  <si>
    <t>7.150.36.179</t>
  </si>
  <si>
    <t>C4651632D385</t>
  </si>
  <si>
    <t>8CG9308HM9</t>
  </si>
  <si>
    <t>GENSUS32D3BA</t>
  </si>
  <si>
    <t>7.53.4.116</t>
  </si>
  <si>
    <t>C4651632D3BA</t>
  </si>
  <si>
    <t>8CG9308HMN</t>
  </si>
  <si>
    <t>GENSUS32D3BF</t>
  </si>
  <si>
    <t>7.123.164.232</t>
  </si>
  <si>
    <t>C4651632D3BF</t>
  </si>
  <si>
    <t>8CG9308HP9</t>
  </si>
  <si>
    <t>GENSUS32D3C3</t>
  </si>
  <si>
    <t>7.74.36.11</t>
  </si>
  <si>
    <t>C4651632D3C3</t>
  </si>
  <si>
    <t>8CG9308HMG</t>
  </si>
  <si>
    <t>GENSUS32D3E0</t>
  </si>
  <si>
    <t>7.49.196.107</t>
  </si>
  <si>
    <t>C4651632D3E0</t>
  </si>
  <si>
    <t>8CG9308HN0</t>
  </si>
  <si>
    <t>GENSUS32D408</t>
  </si>
  <si>
    <t>7.13.244.123</t>
  </si>
  <si>
    <t>C4651632D408</t>
  </si>
  <si>
    <t>8CG9308HNS</t>
  </si>
  <si>
    <t>GENSUS32D424</t>
  </si>
  <si>
    <t>7.71.60.57</t>
  </si>
  <si>
    <t>C4651632D424</t>
  </si>
  <si>
    <t>8CG9308HH2</t>
  </si>
  <si>
    <t>GENSUS32D437</t>
  </si>
  <si>
    <t>7.89.220.11</t>
  </si>
  <si>
    <t>C4651632D437</t>
  </si>
  <si>
    <t>8CG9308HGK</t>
  </si>
  <si>
    <t>GENSUS32D438</t>
  </si>
  <si>
    <t>7.178.116.175</t>
  </si>
  <si>
    <t>C4651632D438</t>
  </si>
  <si>
    <t>8CG9308HGR</t>
  </si>
  <si>
    <t>GENSUS32D447</t>
  </si>
  <si>
    <t>7.155.164.222</t>
  </si>
  <si>
    <t>C4651632D447</t>
  </si>
  <si>
    <t>8CG9308HHV</t>
  </si>
  <si>
    <t>GENSUS32D490</t>
  </si>
  <si>
    <t>7.66.12.102</t>
  </si>
  <si>
    <t>C4651632D490</t>
  </si>
  <si>
    <t>8CG9308JKF</t>
  </si>
  <si>
    <t>GENSUS32D4A6</t>
  </si>
  <si>
    <t>7.88.12.57</t>
  </si>
  <si>
    <t>C4651632D4A6</t>
  </si>
  <si>
    <t>8CG9308JPM</t>
  </si>
  <si>
    <t>GENSUS32D4A7</t>
  </si>
  <si>
    <t>7.71.60.59</t>
  </si>
  <si>
    <t>C4651632D4A7</t>
  </si>
  <si>
    <t>8CG9308JPP</t>
  </si>
  <si>
    <t>GENSUS32D4AA</t>
  </si>
  <si>
    <t>7.66.12.58</t>
  </si>
  <si>
    <t>C4651632D4AA</t>
  </si>
  <si>
    <t>8CG9308JPQ</t>
  </si>
  <si>
    <t>GENSUS32D4AD</t>
  </si>
  <si>
    <t>7.64.212.55</t>
  </si>
  <si>
    <t>C4651632D4AD</t>
  </si>
  <si>
    <t>8CG9308JPS</t>
  </si>
  <si>
    <t>GENSUS32D4AE</t>
  </si>
  <si>
    <t>7.188.244.50</t>
  </si>
  <si>
    <t>C4651632D4AE</t>
  </si>
  <si>
    <t>8CG9308JJW</t>
  </si>
  <si>
    <t>GENSUS32D4BB</t>
  </si>
  <si>
    <t>7.67.180.199</t>
  </si>
  <si>
    <t>C4651632D4BB</t>
  </si>
  <si>
    <t>8CG9308JK3</t>
  </si>
  <si>
    <t>GENSUS32D4C6</t>
  </si>
  <si>
    <t>7.66.188.167</t>
  </si>
  <si>
    <t>C4651632D4C6</t>
  </si>
  <si>
    <t>8CG9308HH0</t>
  </si>
  <si>
    <t>GENSUS32D4C7</t>
  </si>
  <si>
    <t>7.73.52.36</t>
  </si>
  <si>
    <t>C4651632D4C7</t>
  </si>
  <si>
    <t>8CG9308HH7</t>
  </si>
  <si>
    <t>GENSUS32D4CD</t>
  </si>
  <si>
    <t>7.188.244.28</t>
  </si>
  <si>
    <t>C4651632D4CD</t>
  </si>
  <si>
    <t>8CG9308JH9</t>
  </si>
  <si>
    <t>GENSUS32D4D2</t>
  </si>
  <si>
    <t>7.48.196.22</t>
  </si>
  <si>
    <t>C4651632D4D2</t>
  </si>
  <si>
    <t>8CG9308JND</t>
  </si>
  <si>
    <t>GENSUS32D4F1</t>
  </si>
  <si>
    <t>7.65.236.42</t>
  </si>
  <si>
    <t>C4651632D4F1</t>
  </si>
  <si>
    <t>8CG9308JP2</t>
  </si>
  <si>
    <t>GENSUS32D4F2</t>
  </si>
  <si>
    <t>7.64.212.58</t>
  </si>
  <si>
    <t>C4651632D4F2</t>
  </si>
  <si>
    <t>8CG9308JPH</t>
  </si>
  <si>
    <t>GENSUS32D4F4</t>
  </si>
  <si>
    <t>7.167.148.128</t>
  </si>
  <si>
    <t>C4651632D4F4</t>
  </si>
  <si>
    <t>8CG9308HB1</t>
  </si>
  <si>
    <t>GENSUS32D4F5</t>
  </si>
  <si>
    <t>7.21.180.209</t>
  </si>
  <si>
    <t>C4651632D4F5</t>
  </si>
  <si>
    <t>8CG9308HCZ</t>
  </si>
  <si>
    <t>GENSUS32D4F8</t>
  </si>
  <si>
    <t>7.77.244.126</t>
  </si>
  <si>
    <t>C4651632D4F8</t>
  </si>
  <si>
    <t>8CG9308HB0</t>
  </si>
  <si>
    <t>GENSUS32D504</t>
  </si>
  <si>
    <t>7.24.68.205</t>
  </si>
  <si>
    <t>C4651632D504</t>
  </si>
  <si>
    <t>8CG9308HQ4</t>
  </si>
  <si>
    <t>GENSUS32D507</t>
  </si>
  <si>
    <t>7.21.172.43</t>
  </si>
  <si>
    <t>C4651632D507</t>
  </si>
  <si>
    <t>8CG9308HQ6</t>
  </si>
  <si>
    <t>GENSUS32D509</t>
  </si>
  <si>
    <t>7.76.244.71</t>
  </si>
  <si>
    <t>C4651632D509</t>
  </si>
  <si>
    <t>8CG9308HCP</t>
  </si>
  <si>
    <t>GENSUS32D50A</t>
  </si>
  <si>
    <t>7.66.12.18</t>
  </si>
  <si>
    <t>C4651632D50A</t>
  </si>
  <si>
    <t>8CG9308HPC</t>
  </si>
  <si>
    <t>GENSUS32D50F</t>
  </si>
  <si>
    <t>7.77.172.126</t>
  </si>
  <si>
    <t>C4651632D50F</t>
  </si>
  <si>
    <t>8CG9308HC1</t>
  </si>
  <si>
    <t>GENSUS32D510</t>
  </si>
  <si>
    <t>7.188.244.158</t>
  </si>
  <si>
    <t>C4651632D510</t>
  </si>
  <si>
    <t>8CG9308HC4</t>
  </si>
  <si>
    <t>GENSUS32D513</t>
  </si>
  <si>
    <t>7.167.148.178</t>
  </si>
  <si>
    <t>C4651632D513</t>
  </si>
  <si>
    <t>8CG9308HC2</t>
  </si>
  <si>
    <t>GENSUS32D519</t>
  </si>
  <si>
    <t>7.91.196.52</t>
  </si>
  <si>
    <t>C4651632D519</t>
  </si>
  <si>
    <t>8CG9308HPT</t>
  </si>
  <si>
    <t>GENSUS32D51A</t>
  </si>
  <si>
    <t>7.53.220.218</t>
  </si>
  <si>
    <t>C4651632D51A</t>
  </si>
  <si>
    <t>8CG9308HPQ</t>
  </si>
  <si>
    <t>GENSUS32D51C</t>
  </si>
  <si>
    <t>7.12.44.46</t>
  </si>
  <si>
    <t>C4651632D51C</t>
  </si>
  <si>
    <t>8CG9308HC8</t>
  </si>
  <si>
    <t>GENSUS32D51D</t>
  </si>
  <si>
    <t>7.120.60.91</t>
  </si>
  <si>
    <t>C4651632D51D</t>
  </si>
  <si>
    <t>8CG9308HC9</t>
  </si>
  <si>
    <t>GENSUS32D520</t>
  </si>
  <si>
    <t>7.24.20.23</t>
  </si>
  <si>
    <t>C4651632D520</t>
  </si>
  <si>
    <t>8CG9308HQ8</t>
  </si>
  <si>
    <t>GENSUS32D52B</t>
  </si>
  <si>
    <t>7.66.196.60</t>
  </si>
  <si>
    <t>C4651632D52B</t>
  </si>
  <si>
    <t>8CG9308HQG</t>
  </si>
  <si>
    <t>GENSUS32D52D</t>
  </si>
  <si>
    <t>7.77.244.206</t>
  </si>
  <si>
    <t>C4651632D52D</t>
  </si>
  <si>
    <t>8CG9308HCG</t>
  </si>
  <si>
    <t>S06434.US</t>
  </si>
  <si>
    <t>GENSUS32D52E</t>
  </si>
  <si>
    <t>7.69.108.91</t>
  </si>
  <si>
    <t>C4651632D52E</t>
  </si>
  <si>
    <t>8CG9308HCD</t>
  </si>
  <si>
    <t>GENSUS32D530</t>
  </si>
  <si>
    <t>7.92.20.72</t>
  </si>
  <si>
    <t>C4651632D530</t>
  </si>
  <si>
    <t>8CG9308HCS</t>
  </si>
  <si>
    <t>GENSUS32D531</t>
  </si>
  <si>
    <t>7.24.20.12</t>
  </si>
  <si>
    <t>C4651632D531</t>
  </si>
  <si>
    <t>8CG9308HCR</t>
  </si>
  <si>
    <t>GENSUS32D533</t>
  </si>
  <si>
    <t>7.77.148.122</t>
  </si>
  <si>
    <t>C4651632D533</t>
  </si>
  <si>
    <t>8CG9308HCQ</t>
  </si>
  <si>
    <t>GENSUS32D534</t>
  </si>
  <si>
    <t>7.53.220.80</t>
  </si>
  <si>
    <t>C4651632D534</t>
  </si>
  <si>
    <t>8CG9308JHM</t>
  </si>
  <si>
    <t>GENSUS32D539</t>
  </si>
  <si>
    <t>7.120.60.83</t>
  </si>
  <si>
    <t>C4651632D539</t>
  </si>
  <si>
    <t>8CG9308HCV</t>
  </si>
  <si>
    <t>GENSUS32D543</t>
  </si>
  <si>
    <t>7.178.116.55</t>
  </si>
  <si>
    <t>C4651632D543</t>
  </si>
  <si>
    <t>8CG9308KZ9</t>
  </si>
  <si>
    <t>GENSUS32D569</t>
  </si>
  <si>
    <t>7.34.204.178</t>
  </si>
  <si>
    <t>C4651632D569</t>
  </si>
  <si>
    <t>8CG9308KZS</t>
  </si>
  <si>
    <t>GENSUS32D576</t>
  </si>
  <si>
    <t>7.24.20.47</t>
  </si>
  <si>
    <t>C4651632D576</t>
  </si>
  <si>
    <t>8CG9308JPW</t>
  </si>
  <si>
    <t>GENSUS32D57D</t>
  </si>
  <si>
    <t>7.90.100.143</t>
  </si>
  <si>
    <t>C4651632D57D</t>
  </si>
  <si>
    <t>8CG9308H9Q</t>
  </si>
  <si>
    <t>GENSUS32D582</t>
  </si>
  <si>
    <t>7.91.172.100</t>
  </si>
  <si>
    <t>C4651632D582</t>
  </si>
  <si>
    <t>8CG9308JNR</t>
  </si>
  <si>
    <t>GENSUS32D589</t>
  </si>
  <si>
    <t>7.66.236.111</t>
  </si>
  <si>
    <t>C4651632D589</t>
  </si>
  <si>
    <t>8CG9308JNY</t>
  </si>
  <si>
    <t>GENSUS32D58F</t>
  </si>
  <si>
    <t>7.181.220.111</t>
  </si>
  <si>
    <t>C4651632D58F</t>
  </si>
  <si>
    <t>8CG9308H9R</t>
  </si>
  <si>
    <t>GENSUS32D59B</t>
  </si>
  <si>
    <t>55.49.135.185</t>
  </si>
  <si>
    <t>C4651632D59B</t>
  </si>
  <si>
    <t>8CG9308JNV</t>
  </si>
  <si>
    <t>GENSUS32D5A7</t>
  </si>
  <si>
    <t>7.114.188.214</t>
  </si>
  <si>
    <t>C4651632D5A7</t>
  </si>
  <si>
    <t>8CG9308JP9</t>
  </si>
  <si>
    <t>GENSUS32D5AF</t>
  </si>
  <si>
    <t>7.151.108.39</t>
  </si>
  <si>
    <t>C4651632D5AF</t>
  </si>
  <si>
    <t>8CG9308KT6</t>
  </si>
  <si>
    <t>GENSUS32D5B7</t>
  </si>
  <si>
    <t>7.87.92.151</t>
  </si>
  <si>
    <t>C4651632D5B7</t>
  </si>
  <si>
    <t>8CG9308KXF</t>
  </si>
  <si>
    <t>GENSUS32D5C2</t>
  </si>
  <si>
    <t>7.52.92.129</t>
  </si>
  <si>
    <t>C4651632D5C2</t>
  </si>
  <si>
    <t>8CG9308KXZ</t>
  </si>
  <si>
    <t>GENSUS32D5C3</t>
  </si>
  <si>
    <t>7.21.124.144</t>
  </si>
  <si>
    <t>C4651632D5C3</t>
  </si>
  <si>
    <t>8CG9308KY2</t>
  </si>
  <si>
    <t>GENSUS32D5DD</t>
  </si>
  <si>
    <t>55.67.183.162</t>
  </si>
  <si>
    <t>C4651632D5DD</t>
  </si>
  <si>
    <t>8CG9308KXX</t>
  </si>
  <si>
    <t>GENSUS32D612</t>
  </si>
  <si>
    <t>7.10.164.141</t>
  </si>
  <si>
    <t>C4651632D612</t>
  </si>
  <si>
    <t>8CG9308JHP</t>
  </si>
  <si>
    <t>GENSUS32D65C</t>
  </si>
  <si>
    <t>7.67.180.61</t>
  </si>
  <si>
    <t>C4651632D65C</t>
  </si>
  <si>
    <t>8CG9308JGG</t>
  </si>
  <si>
    <t>GENSUS32D66C</t>
  </si>
  <si>
    <t>7.157.196.11</t>
  </si>
  <si>
    <t>C4651632D66C</t>
  </si>
  <si>
    <t>8CG9308HC3</t>
  </si>
  <si>
    <t>GENSUS32D6CC</t>
  </si>
  <si>
    <t>7.82.180.53</t>
  </si>
  <si>
    <t>C4651632D6CC</t>
  </si>
  <si>
    <t>8CG9308KTD</t>
  </si>
  <si>
    <t>GENSUS32D6EF</t>
  </si>
  <si>
    <t>7.91.172.175</t>
  </si>
  <si>
    <t>C4651632D6EF</t>
  </si>
  <si>
    <t>8CG9308H9M</t>
  </si>
  <si>
    <t>GENSUS32D79A</t>
  </si>
  <si>
    <t>7.133.220.31</t>
  </si>
  <si>
    <t>C4651632D79A</t>
  </si>
  <si>
    <t>8CG9308JP3</t>
  </si>
  <si>
    <t>GENSUS32D7AD</t>
  </si>
  <si>
    <t>7.66.12.20</t>
  </si>
  <si>
    <t>C4651632D7AD</t>
  </si>
  <si>
    <t>8CG9308HCN</t>
  </si>
  <si>
    <t>GENSUS32D7F7</t>
  </si>
  <si>
    <t>7.36.28.42</t>
  </si>
  <si>
    <t>C4651632D7F7</t>
  </si>
  <si>
    <t>8CG9308HSC</t>
  </si>
  <si>
    <t>GENSUS32D846</t>
  </si>
  <si>
    <t>7.12.84.113</t>
  </si>
  <si>
    <t>C4651632D846</t>
  </si>
  <si>
    <t>8CG9308KK1</t>
  </si>
  <si>
    <t>GENSUS32D84D</t>
  </si>
  <si>
    <t>7.49.132.60</t>
  </si>
  <si>
    <t>C4651632D84D</t>
  </si>
  <si>
    <t>8CG9308KGN</t>
  </si>
  <si>
    <t>GENSUS32D868</t>
  </si>
  <si>
    <t>7.49.196.37</t>
  </si>
  <si>
    <t>C4651632D868</t>
  </si>
  <si>
    <t>8CG9308KJW</t>
  </si>
  <si>
    <t>GENSUS32D870</t>
  </si>
  <si>
    <t>7.65.44.12</t>
  </si>
  <si>
    <t>C4651632D870</t>
  </si>
  <si>
    <t>8CG9308KG5</t>
  </si>
  <si>
    <t>GENSUS32D876</t>
  </si>
  <si>
    <t>7.174.108.74</t>
  </si>
  <si>
    <t>C4651632D876</t>
  </si>
  <si>
    <t>8CG9308HT6</t>
  </si>
  <si>
    <t>GENSUS32D88A</t>
  </si>
  <si>
    <t>7.35.20.195</t>
  </si>
  <si>
    <t>C4651632D88A</t>
  </si>
  <si>
    <t>8CG9308KD4</t>
  </si>
  <si>
    <t>GENSUS32D898</t>
  </si>
  <si>
    <t>7.89.220.13</t>
  </si>
  <si>
    <t>C4651632D898</t>
  </si>
  <si>
    <t>8CG9308HTF</t>
  </si>
  <si>
    <t>GENSUS32D89C</t>
  </si>
  <si>
    <t>7.53.4.211</t>
  </si>
  <si>
    <t>C4651632D89C</t>
  </si>
  <si>
    <t>8CG9308HTJ</t>
  </si>
  <si>
    <t>GENSUS32D8AD</t>
  </si>
  <si>
    <t>7.74.36.91</t>
  </si>
  <si>
    <t>C4651632D8AD</t>
  </si>
  <si>
    <t>8CG9308HSZ</t>
  </si>
  <si>
    <t>GENSUS32D8B1</t>
  </si>
  <si>
    <t>7.52.212.199</t>
  </si>
  <si>
    <t>C4651632D8B1</t>
  </si>
  <si>
    <t>8CG9308HT3</t>
  </si>
  <si>
    <t>GENSUS32D8CE</t>
  </si>
  <si>
    <t>7.77.148.73</t>
  </si>
  <si>
    <t>C4651632D8CE</t>
  </si>
  <si>
    <t>8CG9308KDK</t>
  </si>
  <si>
    <t>GENSUS32D8DA</t>
  </si>
  <si>
    <t>7.66.28.25</t>
  </si>
  <si>
    <t>C4651632D8DA</t>
  </si>
  <si>
    <t>8CG9308KDD</t>
  </si>
  <si>
    <t>GENSUS32D8EC</t>
  </si>
  <si>
    <t>7.73.52.14</t>
  </si>
  <si>
    <t>C4651632D8EC</t>
  </si>
  <si>
    <t>8CG9308HG9</t>
  </si>
  <si>
    <t>GENSUS32D8EF</t>
  </si>
  <si>
    <t>7.28.36.145</t>
  </si>
  <si>
    <t>C4651632D8EF</t>
  </si>
  <si>
    <t>8CG9308KDW</t>
  </si>
  <si>
    <t>GENSUS32D8F0</t>
  </si>
  <si>
    <t>7.76.244.136</t>
  </si>
  <si>
    <t>C4651632D8F0</t>
  </si>
  <si>
    <t>8CG9308HFP</t>
  </si>
  <si>
    <t>GENSUS32D8F9</t>
  </si>
  <si>
    <t>7.112.132.184</t>
  </si>
  <si>
    <t>C4651632D8F9</t>
  </si>
  <si>
    <t>8CG9308HFD</t>
  </si>
  <si>
    <t>GENSUS32D8FB</t>
  </si>
  <si>
    <t>7.12.124.74</t>
  </si>
  <si>
    <t>C4651632D8FB</t>
  </si>
  <si>
    <t>8CG9308HFZ</t>
  </si>
  <si>
    <t>GENSUS32D8FF</t>
  </si>
  <si>
    <t>7.173.172.42</t>
  </si>
  <si>
    <t>C4651632D8FF</t>
  </si>
  <si>
    <t>8CG9308HG3</t>
  </si>
  <si>
    <t>GENSUS32D903</t>
  </si>
  <si>
    <t>7.172.52.12</t>
  </si>
  <si>
    <t>C4651632D903</t>
  </si>
  <si>
    <t>8CG9308HG8</t>
  </si>
  <si>
    <t>GENSUS32D90A</t>
  </si>
  <si>
    <t>7.144.172.90</t>
  </si>
  <si>
    <t>C4651632D90A</t>
  </si>
  <si>
    <t>8CG9308HFN</t>
  </si>
  <si>
    <t>GENSUS32D90C</t>
  </si>
  <si>
    <t>7.181.220.30</t>
  </si>
  <si>
    <t>C4651632D90C</t>
  </si>
  <si>
    <t>8CG9308HFG</t>
  </si>
  <si>
    <t>GENSUS32D90D</t>
  </si>
  <si>
    <t>7.178.116.174</t>
  </si>
  <si>
    <t>C4651632D90D</t>
  </si>
  <si>
    <t>8CG9308HFF</t>
  </si>
  <si>
    <t>GENSUS32D910</t>
  </si>
  <si>
    <t>7.76.244.164</t>
  </si>
  <si>
    <t>C4651632D910</t>
  </si>
  <si>
    <t>8CG9308HG5</t>
  </si>
  <si>
    <t>GENSUS32D915</t>
  </si>
  <si>
    <t>7.112.132.38</t>
  </si>
  <si>
    <t>C4651632D915</t>
  </si>
  <si>
    <t>8CG9308HFJ</t>
  </si>
  <si>
    <t>GENSUS32D918</t>
  </si>
  <si>
    <t>7.173.172.49</t>
  </si>
  <si>
    <t>C4651632D918</t>
  </si>
  <si>
    <t>8CG9308HFT</t>
  </si>
  <si>
    <t>GENSUS32D947</t>
  </si>
  <si>
    <t>7.90.100.171</t>
  </si>
  <si>
    <t>C4651632D947</t>
  </si>
  <si>
    <t>8CG9308HFB</t>
  </si>
  <si>
    <t>GENSUS32D953</t>
  </si>
  <si>
    <t>7.66.188.216</t>
  </si>
  <si>
    <t>C4651632D953</t>
  </si>
  <si>
    <t>8CG9308HF7</t>
  </si>
  <si>
    <t>GENSUS32D956</t>
  </si>
  <si>
    <t>7.21.180.203</t>
  </si>
  <si>
    <t>C4651632D956</t>
  </si>
  <si>
    <t>8CG9308HD3</t>
  </si>
  <si>
    <t>GENSUS32D957</t>
  </si>
  <si>
    <t>7.52.92.127</t>
  </si>
  <si>
    <t>C4651632D957</t>
  </si>
  <si>
    <t>8CG9308HD5</t>
  </si>
  <si>
    <t>GENSUS32D969</t>
  </si>
  <si>
    <t>7.56.196.129</t>
  </si>
  <si>
    <t>C4651632D969</t>
  </si>
  <si>
    <t>8CG9308HDK</t>
  </si>
  <si>
    <t>GENSUS32D97C</t>
  </si>
  <si>
    <t>7.138.36.207</t>
  </si>
  <si>
    <t>C4651632D97C</t>
  </si>
  <si>
    <t>8CG9308HDH</t>
  </si>
  <si>
    <t>GENSUS32D986</t>
  </si>
  <si>
    <t>7.151.108.119</t>
  </si>
  <si>
    <t>C4651632D986</t>
  </si>
  <si>
    <t>8CG9308JNB</t>
  </si>
  <si>
    <t>GENSUS32D99A</t>
  </si>
  <si>
    <t>7.64.212.104</t>
  </si>
  <si>
    <t>C4651632D99A</t>
  </si>
  <si>
    <t>8CG9308HBT</t>
  </si>
  <si>
    <t>GENSUS32D99E</t>
  </si>
  <si>
    <t>7.120.60.158</t>
  </si>
  <si>
    <t>C4651632D99E</t>
  </si>
  <si>
    <t>8CG9308HBY</t>
  </si>
  <si>
    <t>GENSUS32D99F</t>
  </si>
  <si>
    <t>7.162.140.65</t>
  </si>
  <si>
    <t>C4651632D99F</t>
  </si>
  <si>
    <t>8CG9308HBW</t>
  </si>
  <si>
    <t>GENSUS32D9A5</t>
  </si>
  <si>
    <t>7.151.108.18</t>
  </si>
  <si>
    <t>C4651632D9A5</t>
  </si>
  <si>
    <t>8CG9308JMH</t>
  </si>
  <si>
    <t>GENSUS32D9AB</t>
  </si>
  <si>
    <t>7.48.196.220</t>
  </si>
  <si>
    <t>C4651632D9AB</t>
  </si>
  <si>
    <t>8CG9308HB6</t>
  </si>
  <si>
    <t>GENSUS32D9AC</t>
  </si>
  <si>
    <t>7.178.116.177</t>
  </si>
  <si>
    <t>C4651632D9AC</t>
  </si>
  <si>
    <t>8CG9308HDX</t>
  </si>
  <si>
    <t>GENSUS32D9B1</t>
  </si>
  <si>
    <t>7.66.188.70</t>
  </si>
  <si>
    <t>C4651632D9B1</t>
  </si>
  <si>
    <t>8CG9308HBQ</t>
  </si>
  <si>
    <t>GENSUS32D9BA</t>
  </si>
  <si>
    <t>7.91.172.176</t>
  </si>
  <si>
    <t>C4651632D9BA</t>
  </si>
  <si>
    <t>8CG9308H9W</t>
  </si>
  <si>
    <t>GENSUS32D9BF</t>
  </si>
  <si>
    <t>7.181.220.113</t>
  </si>
  <si>
    <t>C4651632D9BF</t>
  </si>
  <si>
    <t>8CG9308HB3</t>
  </si>
  <si>
    <t>GENSUS32D9C6</t>
  </si>
  <si>
    <t>7.162.140.81</t>
  </si>
  <si>
    <t>C4651632D9C6</t>
  </si>
  <si>
    <t>8CG9308HCK</t>
  </si>
  <si>
    <t>GENSUS32D9C7</t>
  </si>
  <si>
    <t>7.191.92.31</t>
  </si>
  <si>
    <t>C4651632D9C7</t>
  </si>
  <si>
    <t>8CG9308HCH</t>
  </si>
  <si>
    <t>GENSUS32D9CC</t>
  </si>
  <si>
    <t>55.158.151.164</t>
  </si>
  <si>
    <t>C4651632D9CC</t>
  </si>
  <si>
    <t>8CG9308HBL</t>
  </si>
  <si>
    <t>GENSUS32D9D3</t>
  </si>
  <si>
    <t>7.65.236.122</t>
  </si>
  <si>
    <t>C4651632D9D3</t>
  </si>
  <si>
    <t>8CG9308HBM</t>
  </si>
  <si>
    <t>GENSUS32DA1A</t>
  </si>
  <si>
    <t>7.36.28.161</t>
  </si>
  <si>
    <t>C4651632DA1A</t>
  </si>
  <si>
    <t>8CG9308KFD</t>
  </si>
  <si>
    <t>GENSUS32DA2D</t>
  </si>
  <si>
    <t>7.77.28.38</t>
  </si>
  <si>
    <t>C4651632DA2D</t>
  </si>
  <si>
    <t>8CG9308K7Z</t>
  </si>
  <si>
    <t>GENSUS32DA37</t>
  </si>
  <si>
    <t>7.48.196.160</t>
  </si>
  <si>
    <t>C4651632DA37</t>
  </si>
  <si>
    <t>8CG9308K85</t>
  </si>
  <si>
    <t>GENSUS32DA39</t>
  </si>
  <si>
    <t>7.123.164.85</t>
  </si>
  <si>
    <t>C4651632DA39</t>
  </si>
  <si>
    <t>8CG9308K88</t>
  </si>
  <si>
    <t>GENSUS32DA47</t>
  </si>
  <si>
    <t>55.77.247.151</t>
  </si>
  <si>
    <t>C4651632DA47</t>
  </si>
  <si>
    <t>8CG9308K7H</t>
  </si>
  <si>
    <t>GENSUS32DA4D</t>
  </si>
  <si>
    <t>7.24.20.152</t>
  </si>
  <si>
    <t>C4651632DA4D</t>
  </si>
  <si>
    <t>8CG9308K7R</t>
  </si>
  <si>
    <t>GENSUS32DA6F</t>
  </si>
  <si>
    <t>7.190.252.171</t>
  </si>
  <si>
    <t>C4651632DA6F</t>
  </si>
  <si>
    <t>8CG9308K6T</t>
  </si>
  <si>
    <t>GENSUS32DA78</t>
  </si>
  <si>
    <t>7.124.84.112</t>
  </si>
  <si>
    <t>C4651632DA78</t>
  </si>
  <si>
    <t>8CG9308K7D</t>
  </si>
  <si>
    <t>GENSUS32DA84</t>
  </si>
  <si>
    <t>7.52.172.65</t>
  </si>
  <si>
    <t>C4651632DA84</t>
  </si>
  <si>
    <t>8CG9308K6S</t>
  </si>
  <si>
    <t>GENSUS32DA92</t>
  </si>
  <si>
    <t>7.77.28.225</t>
  </si>
  <si>
    <t>C4651632DA92</t>
  </si>
  <si>
    <t>8CG9308K6G</t>
  </si>
  <si>
    <t>GENSUS32DA97</t>
  </si>
  <si>
    <t>7.24.20.20</t>
  </si>
  <si>
    <t>C4651632DA97</t>
  </si>
  <si>
    <t>8CG9308K5S</t>
  </si>
  <si>
    <t>GENSUS32DA9D</t>
  </si>
  <si>
    <t>7.71.60.76</t>
  </si>
  <si>
    <t>C4651632DA9D</t>
  </si>
  <si>
    <t>8CG9308K4K</t>
  </si>
  <si>
    <t>GENSUS32DA9E</t>
  </si>
  <si>
    <t>7.52.172.110</t>
  </si>
  <si>
    <t>C4651632DA9E</t>
  </si>
  <si>
    <t>8CG9308K62</t>
  </si>
  <si>
    <t>GENSUS32DABC</t>
  </si>
  <si>
    <t>7.137.180.37</t>
  </si>
  <si>
    <t>C4651632DABC</t>
  </si>
  <si>
    <t>8CG9308KWQ</t>
  </si>
  <si>
    <t>GENSUS32DACC</t>
  </si>
  <si>
    <t>7.20.188.179</t>
  </si>
  <si>
    <t>C4651632DACC</t>
  </si>
  <si>
    <t>8CG9308K59</t>
  </si>
  <si>
    <t>GENSUS32DADE</t>
  </si>
  <si>
    <t>7.32.36.57</t>
  </si>
  <si>
    <t>C4651632DADE</t>
  </si>
  <si>
    <t>8CG9308K5L</t>
  </si>
  <si>
    <t>GENSUS32DADF</t>
  </si>
  <si>
    <t>7.190.252.174</t>
  </si>
  <si>
    <t>C4651632DADF</t>
  </si>
  <si>
    <t>8CG9308K5M</t>
  </si>
  <si>
    <t>GENSUS32DAE7</t>
  </si>
  <si>
    <t>55.66.15.167</t>
  </si>
  <si>
    <t>C4651632DAE7</t>
  </si>
  <si>
    <t>8CG9308K5N</t>
  </si>
  <si>
    <t>GENSUS32DAEB</t>
  </si>
  <si>
    <t>7.65.236.39</t>
  </si>
  <si>
    <t>C4651632DAEB</t>
  </si>
  <si>
    <t>8CG9308KWW</t>
  </si>
  <si>
    <t>GENSUS32DAEE</t>
  </si>
  <si>
    <t>7.7.164.182</t>
  </si>
  <si>
    <t>C4651632DAEE</t>
  </si>
  <si>
    <t>8CG9308KWK</t>
  </si>
  <si>
    <t>GENSUS334908</t>
  </si>
  <si>
    <t>7.21.100.72</t>
  </si>
  <si>
    <t>C46516334908</t>
  </si>
  <si>
    <t>8CG932345M</t>
  </si>
  <si>
    <t>GENSUS334B05</t>
  </si>
  <si>
    <t>7.215.116.41</t>
  </si>
  <si>
    <t>C46516334B05</t>
  </si>
  <si>
    <t>8CG9323409</t>
  </si>
  <si>
    <t>GENSUS334CBB</t>
  </si>
  <si>
    <t>7.21.124.151</t>
  </si>
  <si>
    <t>C46516334CBB</t>
  </si>
  <si>
    <t>8CG932344P</t>
  </si>
  <si>
    <t>GENSUS334F55</t>
  </si>
  <si>
    <t>7.78.180.158</t>
  </si>
  <si>
    <t>C46516334F55</t>
  </si>
  <si>
    <t>8CG9321B2X</t>
  </si>
  <si>
    <t>GENSUS337164</t>
  </si>
  <si>
    <t>7.70.212.70</t>
  </si>
  <si>
    <t>040E3C337164</t>
  </si>
  <si>
    <t>8CG03028TY</t>
  </si>
  <si>
    <t>GENSUS337191</t>
  </si>
  <si>
    <t>7.87.28.52</t>
  </si>
  <si>
    <t>040E3C337191</t>
  </si>
  <si>
    <t>8CG03028TS</t>
  </si>
  <si>
    <t>GENSUS337259</t>
  </si>
  <si>
    <t>7.188.68.123</t>
  </si>
  <si>
    <t>040E3C337259</t>
  </si>
  <si>
    <t>8CG03028V6</t>
  </si>
  <si>
    <t>GENSUS3372C9</t>
  </si>
  <si>
    <t>7.76.44.36</t>
  </si>
  <si>
    <t>040E3C3372C9</t>
  </si>
  <si>
    <t>8CG0302GFG</t>
  </si>
  <si>
    <t>GENSUS3372CC</t>
  </si>
  <si>
    <t>7.57.164.225</t>
  </si>
  <si>
    <t>040E3C3372CC</t>
  </si>
  <si>
    <t>8CG03028TN</t>
  </si>
  <si>
    <t>GENSUS337312</t>
  </si>
  <si>
    <t>7.35.12.114</t>
  </si>
  <si>
    <t>040E3C337312</t>
  </si>
  <si>
    <t>8CG03028TJ</t>
  </si>
  <si>
    <t>GENSUS3373A3</t>
  </si>
  <si>
    <t>7.70.212.68</t>
  </si>
  <si>
    <t>040E3C3373A3</t>
  </si>
  <si>
    <t>8CG03028T9</t>
  </si>
  <si>
    <t>GENSUS339CC2</t>
  </si>
  <si>
    <t>7.139.52.176</t>
  </si>
  <si>
    <t>040E3C339CC2</t>
  </si>
  <si>
    <t>8CG030291V</t>
  </si>
  <si>
    <t>GENSUS339CC3</t>
  </si>
  <si>
    <t>55.128.207.156</t>
  </si>
  <si>
    <t>040E3C339CC3</t>
  </si>
  <si>
    <t>8CG030291W</t>
  </si>
  <si>
    <t>GENSUS339CDA</t>
  </si>
  <si>
    <t>7.124.52.67</t>
  </si>
  <si>
    <t>040E3C339CDA</t>
  </si>
  <si>
    <t>8CG030292M</t>
  </si>
  <si>
    <t>GENSUS339CE3</t>
  </si>
  <si>
    <t>7.173.172.155</t>
  </si>
  <si>
    <t>040E3C339CE3</t>
  </si>
  <si>
    <t>8CG030293Q</t>
  </si>
  <si>
    <t>GENSUS339CF5</t>
  </si>
  <si>
    <t>7.21.100.45</t>
  </si>
  <si>
    <t>040E3C339CF5</t>
  </si>
  <si>
    <t>8CG030292B</t>
  </si>
  <si>
    <t>GENSUS339CFE</t>
  </si>
  <si>
    <t>7.31.196.134</t>
  </si>
  <si>
    <t>040E3C339CFE</t>
  </si>
  <si>
    <t>8CG030293J</t>
  </si>
  <si>
    <t>GENSUS339D20</t>
  </si>
  <si>
    <t>7.84.180.11</t>
  </si>
  <si>
    <t>040E3C339D20</t>
  </si>
  <si>
    <t>8CG030296M</t>
  </si>
  <si>
    <t>GENSUS339D2D</t>
  </si>
  <si>
    <t>7.34.204.214</t>
  </si>
  <si>
    <t>040E3C339D2D</t>
  </si>
  <si>
    <t>8CG0302GC1</t>
  </si>
  <si>
    <t>GENSUS339D36</t>
  </si>
  <si>
    <t>7.53.212.237</t>
  </si>
  <si>
    <t>040E3C339D36</t>
  </si>
  <si>
    <t>8CG030294Y</t>
  </si>
  <si>
    <t>GENSUS339D37</t>
  </si>
  <si>
    <t>7.187.100.140</t>
  </si>
  <si>
    <t>040E3C339D37</t>
  </si>
  <si>
    <t>8CG03028VM</t>
  </si>
  <si>
    <t>GENSUS339D59</t>
  </si>
  <si>
    <t>7.87.156.17</t>
  </si>
  <si>
    <t>040E3C339D59</t>
  </si>
  <si>
    <t>8CG03028VT</t>
  </si>
  <si>
    <t>GENSUS339D65</t>
  </si>
  <si>
    <t>7.65.44.209</t>
  </si>
  <si>
    <t>040E3C339D65</t>
  </si>
  <si>
    <t>8CG0302915</t>
  </si>
  <si>
    <t>GENSUS339D67</t>
  </si>
  <si>
    <t>7.74.156.135</t>
  </si>
  <si>
    <t>040E3C339D67</t>
  </si>
  <si>
    <t>8CG030291J</t>
  </si>
  <si>
    <t>GENSUS339D6C</t>
  </si>
  <si>
    <t>7.34.204.87</t>
  </si>
  <si>
    <t>040E3C339D6C</t>
  </si>
  <si>
    <t>8CG03028VN</t>
  </si>
  <si>
    <t>GENSUS339D6E</t>
  </si>
  <si>
    <t>7.151.100.182</t>
  </si>
  <si>
    <t>040E3C339D6E</t>
  </si>
  <si>
    <t>8CG030291K</t>
  </si>
  <si>
    <t>GENSUS339DD8</t>
  </si>
  <si>
    <t>7.37.236.66</t>
  </si>
  <si>
    <t>040E3C339DD8</t>
  </si>
  <si>
    <t>8CG030294B</t>
  </si>
  <si>
    <t>GENSUS339E03</t>
  </si>
  <si>
    <t>7.215.116.57</t>
  </si>
  <si>
    <t>040E3C339E03</t>
  </si>
  <si>
    <t>8CG0302946</t>
  </si>
  <si>
    <t>GENSUS339E1D</t>
  </si>
  <si>
    <t>7.7.212.109</t>
  </si>
  <si>
    <t>040E3C339E1D</t>
  </si>
  <si>
    <t>8CG030294W</t>
  </si>
  <si>
    <t>GENSUS339E30</t>
  </si>
  <si>
    <t>7.64.244.119</t>
  </si>
  <si>
    <t>040E3C339E30</t>
  </si>
  <si>
    <t>8CG03028Z5</t>
  </si>
  <si>
    <t>GENSUS339E8E</t>
  </si>
  <si>
    <t>7.188.68.231</t>
  </si>
  <si>
    <t>040E3C339E8E</t>
  </si>
  <si>
    <t>8CG03028ZF</t>
  </si>
  <si>
    <t>GENSUS339E96</t>
  </si>
  <si>
    <t>7.188.68.233</t>
  </si>
  <si>
    <t>040E3C339E96</t>
  </si>
  <si>
    <t>8CG03028X1</t>
  </si>
  <si>
    <t>GENSUS339EB8</t>
  </si>
  <si>
    <t>7.167.132.79</t>
  </si>
  <si>
    <t>040E3C339EB8</t>
  </si>
  <si>
    <t>8CG0302955</t>
  </si>
  <si>
    <t>GENSUS339EBD</t>
  </si>
  <si>
    <t>7.136.108.146</t>
  </si>
  <si>
    <t>040E3C339EBD</t>
  </si>
  <si>
    <t>8CG0302H53</t>
  </si>
  <si>
    <t>GENSUS339EC9</t>
  </si>
  <si>
    <t>7.70.212.91</t>
  </si>
  <si>
    <t>040E3C339EC9</t>
  </si>
  <si>
    <t>8CG03028Y3</t>
  </si>
  <si>
    <t>GENSUS339EE7</t>
  </si>
  <si>
    <t>7.11.68.175</t>
  </si>
  <si>
    <t>040E3C339EE7</t>
  </si>
  <si>
    <t>8CG03028XC</t>
  </si>
  <si>
    <t>GENSUS339EFA</t>
  </si>
  <si>
    <t>7.11.156.12</t>
  </si>
  <si>
    <t>040E3C339EFA</t>
  </si>
  <si>
    <t>8CG0302958</t>
  </si>
  <si>
    <t>GENSUS339F04</t>
  </si>
  <si>
    <t>7.21.76.80</t>
  </si>
  <si>
    <t>040E3C339F04</t>
  </si>
  <si>
    <t>8CG0302H8D</t>
  </si>
  <si>
    <t>GENSUS339F1B</t>
  </si>
  <si>
    <t>7.64.188.64</t>
  </si>
  <si>
    <t>040E3C339F1B</t>
  </si>
  <si>
    <t>8CG0302H81</t>
  </si>
  <si>
    <t>GENSUS339F1E</t>
  </si>
  <si>
    <t>7.146.124.32</t>
  </si>
  <si>
    <t>040E3C339F1E</t>
  </si>
  <si>
    <t>8CG0302H8B</t>
  </si>
  <si>
    <t>GENSUS339F26</t>
  </si>
  <si>
    <t>55.215.15.189</t>
  </si>
  <si>
    <t>040E3C339F26</t>
  </si>
  <si>
    <t>8CG0302CN4</t>
  </si>
  <si>
    <t>GENSUS339F3E</t>
  </si>
  <si>
    <t>7.16.60.52</t>
  </si>
  <si>
    <t>040E3C339F3E</t>
  </si>
  <si>
    <t>8CG030294Z</t>
  </si>
  <si>
    <t>GENSUS339F56</t>
  </si>
  <si>
    <t>7.72.28.171</t>
  </si>
  <si>
    <t>040E3C339F56</t>
  </si>
  <si>
    <t>8CG03028VR</t>
  </si>
  <si>
    <t>GENSUS339F7C</t>
  </si>
  <si>
    <t>7.188.68.45</t>
  </si>
  <si>
    <t>040E3C339F7C</t>
  </si>
  <si>
    <t>8CG03028YZ</t>
  </si>
  <si>
    <t>GENSUS339F8B</t>
  </si>
  <si>
    <t>7.7.212.70</t>
  </si>
  <si>
    <t>040E3C339F8B</t>
  </si>
  <si>
    <t>8CG0302989</t>
  </si>
  <si>
    <t>GENSUS339F94</t>
  </si>
  <si>
    <t>7.187.100.21</t>
  </si>
  <si>
    <t>040E3C339F94</t>
  </si>
  <si>
    <t>8CG03028W3</t>
  </si>
  <si>
    <t>GENSUS339FD3</t>
  </si>
  <si>
    <t>7.52.196.183</t>
  </si>
  <si>
    <t>040E3C339FD3</t>
  </si>
  <si>
    <t>8CG0302H6Y</t>
  </si>
  <si>
    <t>GENSUS339FF4</t>
  </si>
  <si>
    <t>7.52.148.117</t>
  </si>
  <si>
    <t>040E3C339FF4</t>
  </si>
  <si>
    <t>8CG0302CN0</t>
  </si>
  <si>
    <t>GENSUS339FF6</t>
  </si>
  <si>
    <t>7.64.204.106</t>
  </si>
  <si>
    <t>040E3C339FF6</t>
  </si>
  <si>
    <t>8CG03028XG</t>
  </si>
  <si>
    <t>GENSUS33A012</t>
  </si>
  <si>
    <t>7.16.60.128</t>
  </si>
  <si>
    <t>040E3C33A012</t>
  </si>
  <si>
    <t>8CG030295Q</t>
  </si>
  <si>
    <t>GENSUS33A013</t>
  </si>
  <si>
    <t>7.31.188.173</t>
  </si>
  <si>
    <t>040E3C33A013</t>
  </si>
  <si>
    <t>8CG0302H98</t>
  </si>
  <si>
    <t>GENSUS33A026</t>
  </si>
  <si>
    <t>7.16.60.177</t>
  </si>
  <si>
    <t>040E3C33A026</t>
  </si>
  <si>
    <t>8CG030297H</t>
  </si>
  <si>
    <t>GENSUS33A02D</t>
  </si>
  <si>
    <t>7.190.116.116</t>
  </si>
  <si>
    <t>040E3C33A02D</t>
  </si>
  <si>
    <t>8CG0302H4T</t>
  </si>
  <si>
    <t>GENSUS33A046</t>
  </si>
  <si>
    <t>7.186.100.162</t>
  </si>
  <si>
    <t>040E3C33A046</t>
  </si>
  <si>
    <t>8CG030295K</t>
  </si>
  <si>
    <t>GENSUS33A05E</t>
  </si>
  <si>
    <t>7.213.124.19</t>
  </si>
  <si>
    <t>040E3C33A05E</t>
  </si>
  <si>
    <t>8CG0302CNK</t>
  </si>
  <si>
    <t>GENSUS33A06E</t>
  </si>
  <si>
    <t>7.215.12.156</t>
  </si>
  <si>
    <t>040E3C33A06E</t>
  </si>
  <si>
    <t>8CG0302CN8</t>
  </si>
  <si>
    <t>GENSUS33A072</t>
  </si>
  <si>
    <t>7.31.188.214</t>
  </si>
  <si>
    <t>040E3C33A072</t>
  </si>
  <si>
    <t>8CG0302H7R</t>
  </si>
  <si>
    <t>GENSUS33A087</t>
  </si>
  <si>
    <t>7.39.252.42</t>
  </si>
  <si>
    <t>040E3C33A087</t>
  </si>
  <si>
    <t>8CG0302H57</t>
  </si>
  <si>
    <t>GENSUS33B63A</t>
  </si>
  <si>
    <t>7.139.52.226</t>
  </si>
  <si>
    <t>040E3C33B63A</t>
  </si>
  <si>
    <t>8CG0316M69</t>
  </si>
  <si>
    <t>GENSUS3439E4</t>
  </si>
  <si>
    <t>7.189.124.118</t>
  </si>
  <si>
    <t>C465163439E4</t>
  </si>
  <si>
    <t>8CG9330138</t>
  </si>
  <si>
    <t>GENSUS343A2F</t>
  </si>
  <si>
    <t>7.126.52.217</t>
  </si>
  <si>
    <t>C46516343A2F</t>
  </si>
  <si>
    <t>8CG93303P1</t>
  </si>
  <si>
    <t>GENSUS343A32</t>
  </si>
  <si>
    <t>7.20.236.119</t>
  </si>
  <si>
    <t>C46516343A32</t>
  </si>
  <si>
    <t>8CG93303P2</t>
  </si>
  <si>
    <t>GENSUS343AEC</t>
  </si>
  <si>
    <t>7.75.148.102</t>
  </si>
  <si>
    <t>C46516343AEC</t>
  </si>
  <si>
    <t>8CG93304VX</t>
  </si>
  <si>
    <t>GENSUS343B9D</t>
  </si>
  <si>
    <t>7.21.100.30</t>
  </si>
  <si>
    <t>C46516343B9D</t>
  </si>
  <si>
    <t>8CG93307CN</t>
  </si>
  <si>
    <t>GENSUS343BC8</t>
  </si>
  <si>
    <t>7.34.148.40</t>
  </si>
  <si>
    <t>C46516343BC8</t>
  </si>
  <si>
    <t>8CG93307CF</t>
  </si>
  <si>
    <t>GENSUS343C30</t>
  </si>
  <si>
    <t>7.139.76.41</t>
  </si>
  <si>
    <t>C46516343C30</t>
  </si>
  <si>
    <t>8CG93306VD</t>
  </si>
  <si>
    <t>GENSUS347BFA</t>
  </si>
  <si>
    <t>7.20.164.11</t>
  </si>
  <si>
    <t>C46516347BFA</t>
  </si>
  <si>
    <t>8CG9322W7V</t>
  </si>
  <si>
    <t>GENSUS347BFC</t>
  </si>
  <si>
    <t>7.56.180.148</t>
  </si>
  <si>
    <t>C46516347BFC</t>
  </si>
  <si>
    <t>8CG9322WF7</t>
  </si>
  <si>
    <t>GENSUS347C02</t>
  </si>
  <si>
    <t>7.70.188.34</t>
  </si>
  <si>
    <t>C46516347C02</t>
  </si>
  <si>
    <t>8CG9322WDP</t>
  </si>
  <si>
    <t>GENSUS347C0A</t>
  </si>
  <si>
    <t>7.131.36.166</t>
  </si>
  <si>
    <t>C46516347C0A</t>
  </si>
  <si>
    <t>8CG9322WF8</t>
  </si>
  <si>
    <t>GENSUS347C31</t>
  </si>
  <si>
    <t>7.20.236.188</t>
  </si>
  <si>
    <t>C46516347C31</t>
  </si>
  <si>
    <t>8CG93303L4</t>
  </si>
  <si>
    <t>GENSUS347CA1</t>
  </si>
  <si>
    <t>7.231.20.181</t>
  </si>
  <si>
    <t>C46516347CA1</t>
  </si>
  <si>
    <t>8CG93306JG</t>
  </si>
  <si>
    <t>GENSUS347CA7</t>
  </si>
  <si>
    <t>7.21.100.66</t>
  </si>
  <si>
    <t>C46516347CA7</t>
  </si>
  <si>
    <t>8CG93303Q3</t>
  </si>
  <si>
    <t>S08207.US</t>
  </si>
  <si>
    <t>GENSUS347CBD</t>
  </si>
  <si>
    <t>7.20.236.209</t>
  </si>
  <si>
    <t>C46516347CBD</t>
  </si>
  <si>
    <t>8CG93303JS</t>
  </si>
  <si>
    <t>GENSUS347DA2</t>
  </si>
  <si>
    <t>7.4.100.106</t>
  </si>
  <si>
    <t>C46516347DA2</t>
  </si>
  <si>
    <t>8CG9330180</t>
  </si>
  <si>
    <t>GENSUS347DBF</t>
  </si>
  <si>
    <t>7.20.236.149</t>
  </si>
  <si>
    <t>C46516347DBF</t>
  </si>
  <si>
    <t>8CG93303LM</t>
  </si>
  <si>
    <t>GENSUS347E50</t>
  </si>
  <si>
    <t>7.150.36.220</t>
  </si>
  <si>
    <t>C46516347E50</t>
  </si>
  <si>
    <t>8CG93306P4</t>
  </si>
  <si>
    <t>GENSUS347E5C</t>
  </si>
  <si>
    <t>7.123.44.52</t>
  </si>
  <si>
    <t>C46516347E5C</t>
  </si>
  <si>
    <t>8CG93303MH</t>
  </si>
  <si>
    <t>GENSUS347E8B</t>
  </si>
  <si>
    <t>7.126.52.117</t>
  </si>
  <si>
    <t>C46516347E8B</t>
  </si>
  <si>
    <t>8CG93303M8</t>
  </si>
  <si>
    <t>GENSUS347E8D</t>
  </si>
  <si>
    <t>7.70.180.41</t>
  </si>
  <si>
    <t>C46516347E8D</t>
  </si>
  <si>
    <t>8CG93303M7</t>
  </si>
  <si>
    <t>GENSUS347EA2</t>
  </si>
  <si>
    <t>7.20.236.193</t>
  </si>
  <si>
    <t>C46516347EA2</t>
  </si>
  <si>
    <t>8CG93303M3</t>
  </si>
  <si>
    <t>GENSUS347EA8</t>
  </si>
  <si>
    <t>7.135.124.144</t>
  </si>
  <si>
    <t>C46516347EA8</t>
  </si>
  <si>
    <t>8CG93306TD</t>
  </si>
  <si>
    <t>GENSUS347EA9</t>
  </si>
  <si>
    <t>7.137.180.162</t>
  </si>
  <si>
    <t>C46516347EA9</t>
  </si>
  <si>
    <t>8CG9322W8J</t>
  </si>
  <si>
    <t>GENSUS348A79</t>
  </si>
  <si>
    <t>7.75.148.60</t>
  </si>
  <si>
    <t>C46516348A79</t>
  </si>
  <si>
    <t>8CG9322WBM</t>
  </si>
  <si>
    <t>GENSUS348A81</t>
  </si>
  <si>
    <t>7.20.188.177</t>
  </si>
  <si>
    <t>C46516348A81</t>
  </si>
  <si>
    <t>8CG9322WDN</t>
  </si>
  <si>
    <t>GENSUS348A87</t>
  </si>
  <si>
    <t>7.155.164.170</t>
  </si>
  <si>
    <t>C46516348A87</t>
  </si>
  <si>
    <t>8CG9322WDX</t>
  </si>
  <si>
    <t>GENSUS348A8A</t>
  </si>
  <si>
    <t>7.159.44.231</t>
  </si>
  <si>
    <t>C46516348A8A</t>
  </si>
  <si>
    <t>8CG9322WF3</t>
  </si>
  <si>
    <t>GENSUS348A92</t>
  </si>
  <si>
    <t>7.24.76.23</t>
  </si>
  <si>
    <t>C46516348A92</t>
  </si>
  <si>
    <t>8CG9322W8L</t>
  </si>
  <si>
    <t>GENSUS348A9C</t>
  </si>
  <si>
    <t>7.21.180.59</t>
  </si>
  <si>
    <t>C46516348A9C</t>
  </si>
  <si>
    <t>8CG9322WDK</t>
  </si>
  <si>
    <t>GENSUS348AA0</t>
  </si>
  <si>
    <t>7.20.164.114</t>
  </si>
  <si>
    <t>C46516348AA0</t>
  </si>
  <si>
    <t>8CG9322W96</t>
  </si>
  <si>
    <t>GENSUS348AA6</t>
  </si>
  <si>
    <t>7.23.236.13</t>
  </si>
  <si>
    <t>C46516348AA6</t>
  </si>
  <si>
    <t>8CG9322W6G</t>
  </si>
  <si>
    <t>GENSUS348AAF</t>
  </si>
  <si>
    <t>7.68.156.133</t>
  </si>
  <si>
    <t>C46516348AAF</t>
  </si>
  <si>
    <t>8CG9322W5S</t>
  </si>
  <si>
    <t>GENSUS348ABC</t>
  </si>
  <si>
    <t>7.17.108.142</t>
  </si>
  <si>
    <t>C46516348ABC</t>
  </si>
  <si>
    <t>8CG9322WBW</t>
  </si>
  <si>
    <t>GENSUS348ABD</t>
  </si>
  <si>
    <t>7.88.12.59</t>
  </si>
  <si>
    <t>C46516348ABD</t>
  </si>
  <si>
    <t>8CG9322W5V</t>
  </si>
  <si>
    <t>GENSUS348AC2</t>
  </si>
  <si>
    <t>7.14.204.120</t>
  </si>
  <si>
    <t>C46516348AC2</t>
  </si>
  <si>
    <t>8CG9322WC3</t>
  </si>
  <si>
    <t>GENSUS348AC5</t>
  </si>
  <si>
    <t>7.150.4.52</t>
  </si>
  <si>
    <t>C46516348AC5</t>
  </si>
  <si>
    <t>8CG9322WC4</t>
  </si>
  <si>
    <t>GENSUS348AC7</t>
  </si>
  <si>
    <t>7.43.180.163</t>
  </si>
  <si>
    <t>C46516348AC7</t>
  </si>
  <si>
    <t>8CG9322WB0</t>
  </si>
  <si>
    <t>GENSUS348ACA</t>
  </si>
  <si>
    <t>7.24.76.93</t>
  </si>
  <si>
    <t>C46516348ACA</t>
  </si>
  <si>
    <t>8CG9322WB5</t>
  </si>
  <si>
    <t>GENSUS348ACD</t>
  </si>
  <si>
    <t>7.79.20.105</t>
  </si>
  <si>
    <t>C46516348ACD</t>
  </si>
  <si>
    <t>8CG9322WB9</t>
  </si>
  <si>
    <t>GENSUS348AD5</t>
  </si>
  <si>
    <t>7.158.28.53</t>
  </si>
  <si>
    <t>C46516348AD5</t>
  </si>
  <si>
    <t>8CG9322W90</t>
  </si>
  <si>
    <t>GENSUS348AE2</t>
  </si>
  <si>
    <t>7.20.228.124</t>
  </si>
  <si>
    <t>C46516348AE2</t>
  </si>
  <si>
    <t>8CG9322WBS</t>
  </si>
  <si>
    <t>GENSUS348AE8</t>
  </si>
  <si>
    <t>7.53.204.64</t>
  </si>
  <si>
    <t>C46516348AE8</t>
  </si>
  <si>
    <t>8CG9322WDJ</t>
  </si>
  <si>
    <t>GENSUS348AEC</t>
  </si>
  <si>
    <t>7.26.196.27</t>
  </si>
  <si>
    <t>C46516348AEC</t>
  </si>
  <si>
    <t>8CG9322W74</t>
  </si>
  <si>
    <t>GENSUS348AF7</t>
  </si>
  <si>
    <t>7.4.76.51</t>
  </si>
  <si>
    <t>C46516348AF7</t>
  </si>
  <si>
    <t>8CG9322WCF</t>
  </si>
  <si>
    <t>GENSUS348AF8</t>
  </si>
  <si>
    <t>7.153.52.14</t>
  </si>
  <si>
    <t>C46516348AF8</t>
  </si>
  <si>
    <t>8CG9322WCG</t>
  </si>
  <si>
    <t>GENSUS348AFA</t>
  </si>
  <si>
    <t>7.131.36.81</t>
  </si>
  <si>
    <t>C46516348AFA</t>
  </si>
  <si>
    <t>8CG9322WC8</t>
  </si>
  <si>
    <t>GENSUS348B00</t>
  </si>
  <si>
    <t>7.151.108.234</t>
  </si>
  <si>
    <t>C46516348B00</t>
  </si>
  <si>
    <t>8CG9322WCT</t>
  </si>
  <si>
    <t>GENSUS348B03</t>
  </si>
  <si>
    <t>7.53.132.166</t>
  </si>
  <si>
    <t>C46516348B03</t>
  </si>
  <si>
    <t>8CG9322WCZ</t>
  </si>
  <si>
    <t>GENSUS348B40</t>
  </si>
  <si>
    <t>7.136.108.58</t>
  </si>
  <si>
    <t>C46516348B40</t>
  </si>
  <si>
    <t>8CG9322WC0</t>
  </si>
  <si>
    <t>GENSUS348B41</t>
  </si>
  <si>
    <t>7.49.140.143</t>
  </si>
  <si>
    <t>C46516348B41</t>
  </si>
  <si>
    <t>8CG9322WCN</t>
  </si>
  <si>
    <t>GENSUS348B42</t>
  </si>
  <si>
    <t>7.164.244.84</t>
  </si>
  <si>
    <t>C46516348B42</t>
  </si>
  <si>
    <t>8CG9322WCM</t>
  </si>
  <si>
    <t>GENSUS348B45</t>
  </si>
  <si>
    <t>7.77.188.43</t>
  </si>
  <si>
    <t>C46516348B45</t>
  </si>
  <si>
    <t>8CG9322W6V</t>
  </si>
  <si>
    <t>GENSUS348B47</t>
  </si>
  <si>
    <t>7.118.108.33</t>
  </si>
  <si>
    <t>C46516348B47</t>
  </si>
  <si>
    <t>8CG9322WDT</t>
  </si>
  <si>
    <t>GENSUS348B48</t>
  </si>
  <si>
    <t>7.20.188.183</t>
  </si>
  <si>
    <t>C46516348B48</t>
  </si>
  <si>
    <t>8CG9322WDD</t>
  </si>
  <si>
    <t>GENSUS348B4A</t>
  </si>
  <si>
    <t>7.125.132.37</t>
  </si>
  <si>
    <t>C46516348B4A</t>
  </si>
  <si>
    <t>8CG9322W8V</t>
  </si>
  <si>
    <t>GENSUS348B4B</t>
  </si>
  <si>
    <t>7.18.12.127</t>
  </si>
  <si>
    <t>C46516348B4B</t>
  </si>
  <si>
    <t>8CG9322W6X</t>
  </si>
  <si>
    <t>GENSUS348B4D</t>
  </si>
  <si>
    <t>55.49.143.174</t>
  </si>
  <si>
    <t>C46516348B4D</t>
  </si>
  <si>
    <t>8CG9322WBQ</t>
  </si>
  <si>
    <t>GENSUS348B55</t>
  </si>
  <si>
    <t>7.37.228.76</t>
  </si>
  <si>
    <t>C46516348B55</t>
  </si>
  <si>
    <t>8CG9322W9Y</t>
  </si>
  <si>
    <t>GENSUS348B56</t>
  </si>
  <si>
    <t>7.43.180.149</t>
  </si>
  <si>
    <t>C46516348B56</t>
  </si>
  <si>
    <t>8CG9322W9X</t>
  </si>
  <si>
    <t>GENSUS348B61</t>
  </si>
  <si>
    <t>7.15.4.114</t>
  </si>
  <si>
    <t>C46516348B61</t>
  </si>
  <si>
    <t>8CG9322WDV</t>
  </si>
  <si>
    <t>GENSUS348B65</t>
  </si>
  <si>
    <t>7.20.188.93</t>
  </si>
  <si>
    <t>C46516348B65</t>
  </si>
  <si>
    <t>8CG9322WD7</t>
  </si>
  <si>
    <t>GENSUS348B6A</t>
  </si>
  <si>
    <t>7.49.140.33</t>
  </si>
  <si>
    <t>C46516348B6A</t>
  </si>
  <si>
    <t>8CG9322W5N</t>
  </si>
  <si>
    <t>GENSUS348B72</t>
  </si>
  <si>
    <t>7.53.148.174</t>
  </si>
  <si>
    <t>C46516348B72</t>
  </si>
  <si>
    <t>8CG9322WF4</t>
  </si>
  <si>
    <t>GENSUS348B7C</t>
  </si>
  <si>
    <t>7.49.140.91</t>
  </si>
  <si>
    <t>C46516348B7C</t>
  </si>
  <si>
    <t>8CG9322WD6</t>
  </si>
  <si>
    <t>GENSUS348B81</t>
  </si>
  <si>
    <t>7.150.4.27</t>
  </si>
  <si>
    <t>C46516348B81</t>
  </si>
  <si>
    <t>8CG9322WD5</t>
  </si>
  <si>
    <t>GENSUS348B82</t>
  </si>
  <si>
    <t>7.77.132.163</t>
  </si>
  <si>
    <t>C46516348B82</t>
  </si>
  <si>
    <t>8CG9322WD4</t>
  </si>
  <si>
    <t>GENSUS349EF7</t>
  </si>
  <si>
    <t>7.56.204.95</t>
  </si>
  <si>
    <t>40B034349EF7</t>
  </si>
  <si>
    <t>9CG74019LY</t>
  </si>
  <si>
    <t>HP_t420</t>
  </si>
  <si>
    <t>GENSUS34F7D7</t>
  </si>
  <si>
    <t>7.20.236.212</t>
  </si>
  <si>
    <t>C4651634F7D7</t>
  </si>
  <si>
    <t>8CG93302GR</t>
  </si>
  <si>
    <t>GENSUS34F7F5</t>
  </si>
  <si>
    <t>7.17.212.99</t>
  </si>
  <si>
    <t>C4651634F7F5</t>
  </si>
  <si>
    <t>8CG9330ZYT</t>
  </si>
  <si>
    <t>GENSUS34F8F9</t>
  </si>
  <si>
    <t>7.34.148.175</t>
  </si>
  <si>
    <t>C4651634F8F9</t>
  </si>
  <si>
    <t>8CG93303R1</t>
  </si>
  <si>
    <t>GENSUS34F901</t>
  </si>
  <si>
    <t>7.92.108.194</t>
  </si>
  <si>
    <t>C4651634F901</t>
  </si>
  <si>
    <t>8CG93303R8</t>
  </si>
  <si>
    <t>GENSUS34F927</t>
  </si>
  <si>
    <t>55.146.119.188</t>
  </si>
  <si>
    <t>C4651634F927</t>
  </si>
  <si>
    <t>8CG93303QV</t>
  </si>
  <si>
    <t>GENSUS34F92A</t>
  </si>
  <si>
    <t>7.138.36.88</t>
  </si>
  <si>
    <t>C4651634F92A</t>
  </si>
  <si>
    <t>8CG93303CP</t>
  </si>
  <si>
    <t>GENSUS34FBFB</t>
  </si>
  <si>
    <t>7.146.116.150</t>
  </si>
  <si>
    <t>C4651634FBFB</t>
  </si>
  <si>
    <t>8CG93302JV</t>
  </si>
  <si>
    <t>GENSUS34FEE1</t>
  </si>
  <si>
    <t>7.92.108.193</t>
  </si>
  <si>
    <t>C4651634FEE1</t>
  </si>
  <si>
    <t>8CG93302MH</t>
  </si>
  <si>
    <t>GENSUS34FF9F</t>
  </si>
  <si>
    <t>7.20.236.18</t>
  </si>
  <si>
    <t>C4651634FF9F</t>
  </si>
  <si>
    <t>8CG93307CV</t>
  </si>
  <si>
    <t>GENSUS34FFDE</t>
  </si>
  <si>
    <t>7.67.20.83</t>
  </si>
  <si>
    <t>C4651634FFDE</t>
  </si>
  <si>
    <t>8CG93307GD</t>
  </si>
  <si>
    <t>GENSUS35002A</t>
  </si>
  <si>
    <t>7.76.28.51</t>
  </si>
  <si>
    <t>C4651635002A</t>
  </si>
  <si>
    <t>8CG933053M</t>
  </si>
  <si>
    <t>GENSUS35A040</t>
  </si>
  <si>
    <t>7.1.76.127</t>
  </si>
  <si>
    <t>C4651635A040</t>
  </si>
  <si>
    <t>S04808</t>
  </si>
  <si>
    <t>8CG9335S9K</t>
  </si>
  <si>
    <t>S04808.US-2016</t>
  </si>
  <si>
    <t>GENSUS35A0A7</t>
  </si>
  <si>
    <t>7.21.148.122</t>
  </si>
  <si>
    <t>C4651635A0A7</t>
  </si>
  <si>
    <t>8CG9335RSD</t>
  </si>
  <si>
    <t>GENSUS35A1FA</t>
  </si>
  <si>
    <t>7.5.140.148</t>
  </si>
  <si>
    <t>C4651635A1FA</t>
  </si>
  <si>
    <t>8CG93348G7</t>
  </si>
  <si>
    <t>GENSUS35A21A</t>
  </si>
  <si>
    <t>7.136.108.206</t>
  </si>
  <si>
    <t>C4651635A21A</t>
  </si>
  <si>
    <t>8CG93348HN</t>
  </si>
  <si>
    <t>GENSUS35A29D</t>
  </si>
  <si>
    <t>7.8.12.132</t>
  </si>
  <si>
    <t>C4651635A29D</t>
  </si>
  <si>
    <t>8CG93348LC</t>
  </si>
  <si>
    <t>GENSUS35A325</t>
  </si>
  <si>
    <t>7.21.68.158</t>
  </si>
  <si>
    <t>C4651635A325</t>
  </si>
  <si>
    <t>8CG9330ZZK</t>
  </si>
  <si>
    <t>GENSUS35A4BE</t>
  </si>
  <si>
    <t>7.20.164.117</t>
  </si>
  <si>
    <t>C4651635A4BE</t>
  </si>
  <si>
    <t>8CG9335RF4</t>
  </si>
  <si>
    <t>GENSUS362FD5</t>
  </si>
  <si>
    <t>7.52.228.225</t>
  </si>
  <si>
    <t>40B034362FD5</t>
  </si>
  <si>
    <t>9CG7181S7P</t>
  </si>
  <si>
    <t>GENSUS3631FC</t>
  </si>
  <si>
    <t>7.150.12.66</t>
  </si>
  <si>
    <t>40B0343631FC</t>
  </si>
  <si>
    <t>9CG7181S5J</t>
  </si>
  <si>
    <t>GENSUS368BBE</t>
  </si>
  <si>
    <t>7.1.76.128</t>
  </si>
  <si>
    <t>C46516368BBE</t>
  </si>
  <si>
    <t>8CG9335SX0</t>
  </si>
  <si>
    <t>GENSUS36D326</t>
  </si>
  <si>
    <t>7.190.116.190</t>
  </si>
  <si>
    <t>040E3C36D326</t>
  </si>
  <si>
    <t>8CG0392BH6</t>
  </si>
  <si>
    <t>GENSUS36D32E</t>
  </si>
  <si>
    <t>7.142.140.225</t>
  </si>
  <si>
    <t>040E3C36D32E</t>
  </si>
  <si>
    <t>8CG0392BHJ</t>
  </si>
  <si>
    <t>GENSUS36D3C8</t>
  </si>
  <si>
    <t>7.67.196.90</t>
  </si>
  <si>
    <t>040E3C36D3C8</t>
  </si>
  <si>
    <t>8CG0392BG9</t>
  </si>
  <si>
    <t>GENSUS36D450</t>
  </si>
  <si>
    <t>7.164.148.21</t>
  </si>
  <si>
    <t>040E3C36D450</t>
  </si>
  <si>
    <t>8CG0392BKW</t>
  </si>
  <si>
    <t>GENSUS374BB1</t>
  </si>
  <si>
    <t>7.189.252.58</t>
  </si>
  <si>
    <t>040E3C374BB1</t>
  </si>
  <si>
    <t>8CG0392BJX</t>
  </si>
  <si>
    <t>GENSUS374C29</t>
  </si>
  <si>
    <t>7.126.52.116</t>
  </si>
  <si>
    <t>040E3C374C29</t>
  </si>
  <si>
    <t>8CG0397K5S</t>
  </si>
  <si>
    <t>GENSUS374C46</t>
  </si>
  <si>
    <t>7.164.148.39</t>
  </si>
  <si>
    <t>040E3C374C46</t>
  </si>
  <si>
    <t>8CG0392BJS</t>
  </si>
  <si>
    <t>GENSUS374CFC</t>
  </si>
  <si>
    <t>7.77.132.210</t>
  </si>
  <si>
    <t>040E3C374CFC</t>
  </si>
  <si>
    <t>8CG0397K55</t>
  </si>
  <si>
    <t>GENSUS374D39</t>
  </si>
  <si>
    <t>7.2.148.126</t>
  </si>
  <si>
    <t>040E3C374D39</t>
  </si>
  <si>
    <t>8CG0397K8D</t>
  </si>
  <si>
    <t>GENSUS374D9A</t>
  </si>
  <si>
    <t>7.168.4.98</t>
  </si>
  <si>
    <t>040E3C374D9A</t>
  </si>
  <si>
    <t>8CG0397K7G</t>
  </si>
  <si>
    <t>GENSUS374DDA</t>
  </si>
  <si>
    <t>7.67.124.59</t>
  </si>
  <si>
    <t>040E3C374DDA</t>
  </si>
  <si>
    <t>8CG0397K8N</t>
  </si>
  <si>
    <t>GENSUS374E03</t>
  </si>
  <si>
    <t>7.53.204.179</t>
  </si>
  <si>
    <t>040E3C374E03</t>
  </si>
  <si>
    <t>8CG0397K9G</t>
  </si>
  <si>
    <t>GENSUS382DB3</t>
  </si>
  <si>
    <t>7.25.140.173</t>
  </si>
  <si>
    <t>040E3C382DB3</t>
  </si>
  <si>
    <t>8CG0424Q08</t>
  </si>
  <si>
    <t>GENSUS38352F</t>
  </si>
  <si>
    <t>7.52.140.55</t>
  </si>
  <si>
    <t>C4651638352F</t>
  </si>
  <si>
    <t>8CG9344LZC</t>
  </si>
  <si>
    <t>GENSUS384760</t>
  </si>
  <si>
    <t>7.181.44.171</t>
  </si>
  <si>
    <t>040E3C384760</t>
  </si>
  <si>
    <t>8CG0441QKP</t>
  </si>
  <si>
    <t>GENSUS384819</t>
  </si>
  <si>
    <t>7.128.220.88</t>
  </si>
  <si>
    <t>040E3C384819</t>
  </si>
  <si>
    <t>8CG0441Q90</t>
  </si>
  <si>
    <t>GENSUS392365</t>
  </si>
  <si>
    <t>7.155.164.102</t>
  </si>
  <si>
    <t>040E3C392365</t>
  </si>
  <si>
    <t>8CG0452YJL</t>
  </si>
  <si>
    <t>GENSUS3923F6</t>
  </si>
  <si>
    <t>7.146.108.74</t>
  </si>
  <si>
    <t>040E3C3923F6</t>
  </si>
  <si>
    <t>8CG0452YDF</t>
  </si>
  <si>
    <t>GENSUS39248F</t>
  </si>
  <si>
    <t>55.73.63.198</t>
  </si>
  <si>
    <t>040E3C39248F</t>
  </si>
  <si>
    <t>8CG0452YGZ</t>
  </si>
  <si>
    <t>GENSUS392518</t>
  </si>
  <si>
    <t>7.67.124.157</t>
  </si>
  <si>
    <t>040E3C392518</t>
  </si>
  <si>
    <t>8CG0452YHG</t>
  </si>
  <si>
    <t>GENSUS396196</t>
  </si>
  <si>
    <t>7.126.52.192</t>
  </si>
  <si>
    <t>C46516396196</t>
  </si>
  <si>
    <t>8CG9353SZF</t>
  </si>
  <si>
    <t>GENSUS4EE4D0</t>
  </si>
  <si>
    <t>55.20.159.164</t>
  </si>
  <si>
    <t>B07B254EE4D0</t>
  </si>
  <si>
    <t>7ZGZJ93</t>
  </si>
  <si>
    <t>GENSUS501AAB</t>
  </si>
  <si>
    <t>7.8.172.155</t>
  </si>
  <si>
    <t>8CEC4B501AAB</t>
  </si>
  <si>
    <t>JXS53L2</t>
  </si>
  <si>
    <t>GENSUS552D7E</t>
  </si>
  <si>
    <t>7.57.84.212</t>
  </si>
  <si>
    <t>8CEC4B552D7E</t>
  </si>
  <si>
    <t>5H0Q3L2</t>
  </si>
  <si>
    <t>GENSUS58C9BA</t>
  </si>
  <si>
    <t>7.112.132.123</t>
  </si>
  <si>
    <t>B07B2558C9BA</t>
  </si>
  <si>
    <t>2WV5K93</t>
  </si>
  <si>
    <t>GENSUS58C9C2</t>
  </si>
  <si>
    <t>7.189.60.176</t>
  </si>
  <si>
    <t>B07B2558C9C2</t>
  </si>
  <si>
    <t>3246K93</t>
  </si>
  <si>
    <t>GENSUS58C9D7</t>
  </si>
  <si>
    <t>7.53.108.35</t>
  </si>
  <si>
    <t>B07B2558C9D7</t>
  </si>
  <si>
    <t>2X56K93</t>
  </si>
  <si>
    <t>GENSUS58C9E3</t>
  </si>
  <si>
    <t>7.53.108.148</t>
  </si>
  <si>
    <t>B07B2558C9E3</t>
  </si>
  <si>
    <t>3365K93</t>
  </si>
  <si>
    <t>GENSUS58C9E9</t>
  </si>
  <si>
    <t>55.1.15.180</t>
  </si>
  <si>
    <t>B07B2558C9E9</t>
  </si>
  <si>
    <t>31H5K93</t>
  </si>
  <si>
    <t>GENSUS5FC4A6</t>
  </si>
  <si>
    <t>55.5.127.156</t>
  </si>
  <si>
    <t>8CEC4B5FC4A6</t>
  </si>
  <si>
    <t>9X1GXN2</t>
  </si>
  <si>
    <t>GENSUS63550F</t>
  </si>
  <si>
    <t>7.21.52.139</t>
  </si>
  <si>
    <t>8CEC4B63550F</t>
  </si>
  <si>
    <t>J8CNYN2</t>
  </si>
  <si>
    <t>GENSUS636139</t>
  </si>
  <si>
    <t>7.4.132.215</t>
  </si>
  <si>
    <t>B07B25636139</t>
  </si>
  <si>
    <t>7ZJVJ93</t>
  </si>
  <si>
    <t>GENSUS6619BE</t>
  </si>
  <si>
    <t>55.29.159.154</t>
  </si>
  <si>
    <t>8CEC4B6619BE</t>
  </si>
  <si>
    <t>9GBNYN2</t>
  </si>
  <si>
    <t>GENSUS664D42</t>
  </si>
  <si>
    <t>7.17.132.18</t>
  </si>
  <si>
    <t>B07B25664D42</t>
  </si>
  <si>
    <t>S04992</t>
  </si>
  <si>
    <t>35R4K93</t>
  </si>
  <si>
    <t>S04992.US-2016</t>
  </si>
  <si>
    <t>GENSUS6650DB</t>
  </si>
  <si>
    <t>7.32.76.69</t>
  </si>
  <si>
    <t>B07B256650DB</t>
  </si>
  <si>
    <t>3846K93</t>
  </si>
  <si>
    <t>GENSUS67BCC3</t>
  </si>
  <si>
    <t>7.11.252.182</t>
  </si>
  <si>
    <t>B07B2567BCC3</t>
  </si>
  <si>
    <t>2WQ3K93</t>
  </si>
  <si>
    <t>GENSUS67BCE4</t>
  </si>
  <si>
    <t>7.20.172.216</t>
  </si>
  <si>
    <t>B07B2567BCE4</t>
  </si>
  <si>
    <t>32L4K93</t>
  </si>
  <si>
    <t>GENSUS67BD5D</t>
  </si>
  <si>
    <t>7.91.172.169</t>
  </si>
  <si>
    <t>B07B2567BD5D</t>
  </si>
  <si>
    <t>3543K93</t>
  </si>
  <si>
    <t>GENSUS67BEE7</t>
  </si>
  <si>
    <t>7.74.124.189</t>
  </si>
  <si>
    <t>B07B2567BEE7</t>
  </si>
  <si>
    <t>31V4K93</t>
  </si>
  <si>
    <t>GENSUS67BEFD</t>
  </si>
  <si>
    <t>7.49.140.50</t>
  </si>
  <si>
    <t>B07B2567BEFD</t>
  </si>
  <si>
    <t>2X75K93</t>
  </si>
  <si>
    <t>GENSUS67BF47</t>
  </si>
  <si>
    <t>7.112.132.75</t>
  </si>
  <si>
    <t>B07B2567BF47</t>
  </si>
  <si>
    <t>37M3K93</t>
  </si>
  <si>
    <t>GENSUS67C0F1</t>
  </si>
  <si>
    <t>7.189.4.63</t>
  </si>
  <si>
    <t>B07B2567C0F1</t>
  </si>
  <si>
    <t>3113K93</t>
  </si>
  <si>
    <t>GENSUS67C137</t>
  </si>
  <si>
    <t>7.74.4.179</t>
  </si>
  <si>
    <t>B07B2567C137</t>
  </si>
  <si>
    <t>3463K93</t>
  </si>
  <si>
    <t>GENSUS67C7D7</t>
  </si>
  <si>
    <t>7.69.84.51</t>
  </si>
  <si>
    <t>B07B2567C7D7</t>
  </si>
  <si>
    <t>2WP5K93</t>
  </si>
  <si>
    <t>GENSUS67C80A</t>
  </si>
  <si>
    <t>7.13.44.70</t>
  </si>
  <si>
    <t>B07B2567C80A</t>
  </si>
  <si>
    <t>31X3K93</t>
  </si>
  <si>
    <t>GENSUS67C80E</t>
  </si>
  <si>
    <t>7.52.124.62</t>
  </si>
  <si>
    <t>B07B2567C80E</t>
  </si>
  <si>
    <t>32G4K93</t>
  </si>
  <si>
    <t>GENSUS67C832</t>
  </si>
  <si>
    <t>7.57.164.226</t>
  </si>
  <si>
    <t>B07B2567C832</t>
  </si>
  <si>
    <t>2X34K93</t>
  </si>
  <si>
    <t>GENSUS67C8A9</t>
  </si>
  <si>
    <t>7.212.236.18</t>
  </si>
  <si>
    <t>B07B2567C8A9</t>
  </si>
  <si>
    <t>32D3K93</t>
  </si>
  <si>
    <t>GENSUS67C8E8</t>
  </si>
  <si>
    <t>7.25.132.132</t>
  </si>
  <si>
    <t>B07B2567C8E8</t>
  </si>
  <si>
    <t>31W3K93</t>
  </si>
  <si>
    <t>GENSUS67CA07</t>
  </si>
  <si>
    <t>7.150.44.56</t>
  </si>
  <si>
    <t>B07B2567CA07</t>
  </si>
  <si>
    <t>2X14K93</t>
  </si>
  <si>
    <t>GENSUS67CA16</t>
  </si>
  <si>
    <t>7.189.60.70</t>
  </si>
  <si>
    <t>B07B2567CA16</t>
  </si>
  <si>
    <t>32T3K93</t>
  </si>
  <si>
    <t>GENSUS67CE83</t>
  </si>
  <si>
    <t>7.17.132.187</t>
  </si>
  <si>
    <t>B07B2567CE83</t>
  </si>
  <si>
    <t>33V4K93</t>
  </si>
  <si>
    <t>GENSUS67CF65</t>
  </si>
  <si>
    <t>7.78.220.81</t>
  </si>
  <si>
    <t>B07B2567CF65</t>
  </si>
  <si>
    <t>38K3K93</t>
  </si>
  <si>
    <t>GENSUS6E38FD</t>
  </si>
  <si>
    <t>55.66.231.180</t>
  </si>
  <si>
    <t>1860246E38FD</t>
  </si>
  <si>
    <t>9CG8211K8G</t>
  </si>
  <si>
    <t>IGELST080591</t>
  </si>
  <si>
    <t>7.52.244.55</t>
  </si>
  <si>
    <t>842AFD080591</t>
  </si>
  <si>
    <t>8CG1079SS6</t>
  </si>
  <si>
    <t>IGELST081057</t>
  </si>
  <si>
    <t>7.67.172.108</t>
  </si>
  <si>
    <t>842AFD081057</t>
  </si>
  <si>
    <t>8CG107B4VC</t>
  </si>
  <si>
    <t>IGELST081B01</t>
  </si>
  <si>
    <t>7.74.36.58</t>
  </si>
  <si>
    <t>842AFD081B01</t>
  </si>
  <si>
    <t>8CG1132DD4</t>
  </si>
  <si>
    <t>IGELST081FBE</t>
  </si>
  <si>
    <t>7.135.116.189</t>
  </si>
  <si>
    <t>842AFD081FBE</t>
  </si>
  <si>
    <t>8CG1140G40</t>
  </si>
  <si>
    <t>IGELST0823A8</t>
  </si>
  <si>
    <t>7.66.60.230</t>
  </si>
  <si>
    <t>842AFD0823A8</t>
  </si>
  <si>
    <t>8CG1132DCL</t>
  </si>
  <si>
    <t>IGELST082B76</t>
  </si>
  <si>
    <t>7.167.188.235</t>
  </si>
  <si>
    <t>842AFD082B76</t>
  </si>
  <si>
    <t>8CG12274S1</t>
  </si>
  <si>
    <t>IGELST082E1A</t>
  </si>
  <si>
    <t>7.125.132.171</t>
  </si>
  <si>
    <t>842AFD082E1A</t>
  </si>
  <si>
    <t>8CG12274P5</t>
  </si>
  <si>
    <t>IGELST083419</t>
  </si>
  <si>
    <t>7.191.4.53</t>
  </si>
  <si>
    <t>842AFD083419</t>
  </si>
  <si>
    <t>8CG12904TS</t>
  </si>
  <si>
    <t>IGELST0837D1</t>
  </si>
  <si>
    <t>7.128.196.29</t>
  </si>
  <si>
    <t>842AFD0837D1</t>
  </si>
  <si>
    <t>S04795</t>
  </si>
  <si>
    <t>8CG12904VF</t>
  </si>
  <si>
    <t>S04795.US-2016</t>
  </si>
  <si>
    <t>IGELST083BD3</t>
  </si>
  <si>
    <t>7.128.196.52</t>
  </si>
  <si>
    <t>842AFD083BD3</t>
  </si>
  <si>
    <t>8CG12909BR</t>
  </si>
  <si>
    <t>IGELST083D5D</t>
  </si>
  <si>
    <t>7.135.116.164</t>
  </si>
  <si>
    <t>842AFD083D5D</t>
  </si>
  <si>
    <t>8CG1282JJ9</t>
  </si>
  <si>
    <t>IGELST083EA3</t>
  </si>
  <si>
    <t>7.44.44.12</t>
  </si>
  <si>
    <t>842AFD083EA3</t>
  </si>
  <si>
    <t>S07673</t>
  </si>
  <si>
    <t>8CG12909JF</t>
  </si>
  <si>
    <t>S07673.US-2016</t>
  </si>
  <si>
    <t>IGELST083FC6</t>
  </si>
  <si>
    <t>7.41.12.78</t>
  </si>
  <si>
    <t>842AFD083FC6</t>
  </si>
  <si>
    <t>S04956</t>
  </si>
  <si>
    <t>8CG1283H1C</t>
  </si>
  <si>
    <t>S04956.US-2016</t>
  </si>
  <si>
    <t>IGELST083FC9</t>
  </si>
  <si>
    <t>7.41.12.128</t>
  </si>
  <si>
    <t>842AFD083FC9</t>
  </si>
  <si>
    <t>8CG1283JC2</t>
  </si>
  <si>
    <t>IGELST084006</t>
  </si>
  <si>
    <t>7.164.156.175</t>
  </si>
  <si>
    <t>842AFD084006</t>
  </si>
  <si>
    <t>8CG1283JLT</t>
  </si>
  <si>
    <t>IGELST0840DF</t>
  </si>
  <si>
    <t>7.65.44.45</t>
  </si>
  <si>
    <t>842AFD0840DF</t>
  </si>
  <si>
    <t>8CG1290071</t>
  </si>
  <si>
    <t>IGELST084ADC</t>
  </si>
  <si>
    <t>7.35.36.87</t>
  </si>
  <si>
    <t>842AFD084ADC</t>
  </si>
  <si>
    <t>8CG13319CG</t>
  </si>
  <si>
    <t>IGELST084B67</t>
  </si>
  <si>
    <t>7.166.204.217</t>
  </si>
  <si>
    <t>842AFD084B67</t>
  </si>
  <si>
    <t>8CG13319LH</t>
  </si>
  <si>
    <t>IGELST084D31</t>
  </si>
  <si>
    <t>7.17.220.104</t>
  </si>
  <si>
    <t>842AFD084D31</t>
  </si>
  <si>
    <t>8CG1331L5D</t>
  </si>
  <si>
    <t>IGELST167E49</t>
  </si>
  <si>
    <t>7.21.52.204</t>
  </si>
  <si>
    <t>040E3C167E49</t>
  </si>
  <si>
    <t>8CG942F3H9</t>
  </si>
  <si>
    <t>IGELST168174</t>
  </si>
  <si>
    <t>7.29.156.106</t>
  </si>
  <si>
    <t>040E3C168174</t>
  </si>
  <si>
    <t>8CG942BFL7</t>
  </si>
  <si>
    <t>IGELST16818B</t>
  </si>
  <si>
    <t>7.11.180.209</t>
  </si>
  <si>
    <t>040E3C16818B</t>
  </si>
  <si>
    <t>8CG942F31R</t>
  </si>
  <si>
    <t>IGELST16826E</t>
  </si>
  <si>
    <t>7.150.20.107</t>
  </si>
  <si>
    <t>040E3C16826E</t>
  </si>
  <si>
    <t>8CG942F36D</t>
  </si>
  <si>
    <t>IGELST2BE3BE</t>
  </si>
  <si>
    <t>7.181.220.174</t>
  </si>
  <si>
    <t>040E3C2BE3BE</t>
  </si>
  <si>
    <t>8CG0172KL0</t>
  </si>
  <si>
    <t>IGELST2BE959</t>
  </si>
  <si>
    <t>7.42.164.197</t>
  </si>
  <si>
    <t>040E3C2BE959</t>
  </si>
  <si>
    <t>8CG0172JMT</t>
  </si>
  <si>
    <t>IGELST2BE9F5</t>
  </si>
  <si>
    <t>7.77.28.62</t>
  </si>
  <si>
    <t>040E3C2BE9F5</t>
  </si>
  <si>
    <t>8CG0172GLY</t>
  </si>
  <si>
    <t>IGELST2CBA87</t>
  </si>
  <si>
    <t>7.78.236.103</t>
  </si>
  <si>
    <t>040E3C2CBA87</t>
  </si>
  <si>
    <t>8CG019375W</t>
  </si>
  <si>
    <t>IGELST30BE34</t>
  </si>
  <si>
    <t>55.213.183.174</t>
  </si>
  <si>
    <t>C4651630BE34</t>
  </si>
  <si>
    <t>8CG9294ZJ1</t>
  </si>
  <si>
    <t>IGELST30FAD0</t>
  </si>
  <si>
    <t>55.49.135.154</t>
  </si>
  <si>
    <t>C4651630FAD0</t>
  </si>
  <si>
    <t>8CG9301T34</t>
  </si>
  <si>
    <t>IGELST310071</t>
  </si>
  <si>
    <t>7.128.204.93</t>
  </si>
  <si>
    <t>C46516310071</t>
  </si>
  <si>
    <t>8CG9295ZQ5</t>
  </si>
  <si>
    <t>IGELST3100C3</t>
  </si>
  <si>
    <t>7.5.116.82</t>
  </si>
  <si>
    <t>C465163100C3</t>
  </si>
  <si>
    <t>8CG92962D8</t>
  </si>
  <si>
    <t>IGELST31754C</t>
  </si>
  <si>
    <t>7.156.164.131</t>
  </si>
  <si>
    <t>C4651631754C</t>
  </si>
  <si>
    <t>8CG9302XZ2</t>
  </si>
  <si>
    <t>IGELST32D8CD</t>
  </si>
  <si>
    <t>7.66.28.190</t>
  </si>
  <si>
    <t>C4651632D8CD</t>
  </si>
  <si>
    <t>8CG9308KDG</t>
  </si>
  <si>
    <t>IGELST33B741</t>
  </si>
  <si>
    <t>7.87.156.208</t>
  </si>
  <si>
    <t>040E3C33B741</t>
  </si>
  <si>
    <t>8CG0316KSP</t>
  </si>
  <si>
    <t>IGELST33F861</t>
  </si>
  <si>
    <t>7.152.92.47</t>
  </si>
  <si>
    <t>040E3C33F861</t>
  </si>
  <si>
    <t>8CG03210PY</t>
  </si>
  <si>
    <t>IGELST347CB6</t>
  </si>
  <si>
    <t>7.14.196.94</t>
  </si>
  <si>
    <t>C46516347CB6</t>
  </si>
  <si>
    <t>8CG93306KT</t>
  </si>
  <si>
    <t>IGELST34F903</t>
  </si>
  <si>
    <t>7.140.28.13</t>
  </si>
  <si>
    <t>C4651634F903</t>
  </si>
  <si>
    <t>8CG93303R9</t>
  </si>
  <si>
    <t>IGELST34F9FC</t>
  </si>
  <si>
    <t>7.15.4.165</t>
  </si>
  <si>
    <t>C4651634F9FC</t>
  </si>
  <si>
    <t>8CG93310P6</t>
  </si>
  <si>
    <t>IGELST350054</t>
  </si>
  <si>
    <t>7.112.84.217</t>
  </si>
  <si>
    <t>C46516350054</t>
  </si>
  <si>
    <t>8CG93307FN</t>
  </si>
  <si>
    <t>IGELST359E0F</t>
  </si>
  <si>
    <t>7.29.156.231</t>
  </si>
  <si>
    <t>C46516359E0F</t>
  </si>
  <si>
    <t>8CG9335T23</t>
  </si>
  <si>
    <t>IGELST35A42E</t>
  </si>
  <si>
    <t>7.23.236.177</t>
  </si>
  <si>
    <t>C4651635A42E</t>
  </si>
  <si>
    <t>8CG9335RJG</t>
  </si>
  <si>
    <t>IGELST3834C6</t>
  </si>
  <si>
    <t>7.2.148.71</t>
  </si>
  <si>
    <t>C465163834C6</t>
  </si>
  <si>
    <t>8CG9344LZ0</t>
  </si>
  <si>
    <t>IGELST384664</t>
  </si>
  <si>
    <t>7.162.140.221</t>
  </si>
  <si>
    <t>040E3C384664</t>
  </si>
  <si>
    <t>8CG0451V6B</t>
  </si>
  <si>
    <t>IGELST391F9E</t>
  </si>
  <si>
    <t>7.135.116.176</t>
  </si>
  <si>
    <t>040E3C391F9E</t>
  </si>
  <si>
    <t>8CG0452Y9G</t>
  </si>
  <si>
    <t>IGELST3922E9</t>
  </si>
  <si>
    <t>7.125.92.122</t>
  </si>
  <si>
    <t>040E3C3922E9</t>
  </si>
  <si>
    <t>8CG0452YFQ</t>
  </si>
  <si>
    <t>IGELST392499</t>
  </si>
  <si>
    <t>7.124.68.146</t>
  </si>
  <si>
    <t>040E3C392499</t>
  </si>
  <si>
    <t>8CG0451TM4</t>
  </si>
  <si>
    <t>IGELST39257A</t>
  </si>
  <si>
    <t>7.52.84.109</t>
  </si>
  <si>
    <t>040E3C39257A</t>
  </si>
  <si>
    <t>8CG0452XQH</t>
  </si>
  <si>
    <t>IGELST3925EC</t>
  </si>
  <si>
    <t>7.53.44.88</t>
  </si>
  <si>
    <t>040E3C3925EC</t>
  </si>
  <si>
    <t>8CG0451VFV</t>
  </si>
  <si>
    <t>IGELST39263E</t>
  </si>
  <si>
    <t>7.14.44.52</t>
  </si>
  <si>
    <t>040E3C39263E</t>
  </si>
  <si>
    <t>8CG0451VCM</t>
  </si>
  <si>
    <t>IGELST392657</t>
  </si>
  <si>
    <t>7.79.4.115</t>
  </si>
  <si>
    <t>040E3C392657</t>
  </si>
  <si>
    <t>8CG0451SR0</t>
  </si>
  <si>
    <t>IGELST3B862D</t>
  </si>
  <si>
    <t>55.53.143.173</t>
  </si>
  <si>
    <t>F439093B862D</t>
  </si>
  <si>
    <t>8CG8517S8Y</t>
  </si>
  <si>
    <t>IGELST473A1E</t>
  </si>
  <si>
    <t>7.28.20.184</t>
  </si>
  <si>
    <t>8CEC4B473A1E</t>
  </si>
  <si>
    <t>7017VJ2</t>
  </si>
  <si>
    <t>IGELST62F321</t>
  </si>
  <si>
    <t>7.17.132.221</t>
  </si>
  <si>
    <t>8CEC4B62F321</t>
  </si>
  <si>
    <t>9YJMYN2</t>
  </si>
  <si>
    <t>IGELST664DB4</t>
  </si>
  <si>
    <t>7.151.100.75</t>
  </si>
  <si>
    <t>B07B25664DB4</t>
  </si>
  <si>
    <t>34F3K93</t>
  </si>
  <si>
    <t>IGELSTF4A18A</t>
  </si>
  <si>
    <t>7.142.140.150</t>
  </si>
  <si>
    <t>34735AF4A18A</t>
  </si>
  <si>
    <t>4VVGKD3</t>
  </si>
  <si>
    <t>ITC040E3C167EED</t>
  </si>
  <si>
    <t>7.142.204.156</t>
  </si>
  <si>
    <t>040E3C167EED</t>
  </si>
  <si>
    <t>8CG942F59Q</t>
  </si>
  <si>
    <t>ITC040E3C1686FC</t>
  </si>
  <si>
    <t>7.23.124.137</t>
  </si>
  <si>
    <t>040E3C1686FC</t>
  </si>
  <si>
    <t>8CG942F3ZF</t>
  </si>
  <si>
    <t>ITC040E3C2B6004</t>
  </si>
  <si>
    <t>7.161.76.44</t>
  </si>
  <si>
    <t>040E3C2B6004</t>
  </si>
  <si>
    <t>8CG0172GF4</t>
  </si>
  <si>
    <t>ITC040E3C2BE9E9</t>
  </si>
  <si>
    <t>7.153.228.92</t>
  </si>
  <si>
    <t>040E3C2BE9E9</t>
  </si>
  <si>
    <t>8CG0172GLQ</t>
  </si>
  <si>
    <t>ITC40B03434A9ED</t>
  </si>
  <si>
    <t>55.12.87.174</t>
  </si>
  <si>
    <t>40B03434A9ED</t>
  </si>
  <si>
    <t>9CG74019M6</t>
  </si>
  <si>
    <t>ITC40B034367C2C</t>
  </si>
  <si>
    <t>7.84.180.20</t>
  </si>
  <si>
    <t>40B034367C2C</t>
  </si>
  <si>
    <t>9CG71929J6</t>
  </si>
  <si>
    <t>ITC842AFD082559</t>
  </si>
  <si>
    <t>7.14.236.227</t>
  </si>
  <si>
    <t>842AFD082559</t>
  </si>
  <si>
    <t>8CG1140FY4</t>
  </si>
  <si>
    <t>ITC842AFD083B0A</t>
  </si>
  <si>
    <t>7.44.212.10</t>
  </si>
  <si>
    <t>842AFD083B0A</t>
  </si>
  <si>
    <t>S07684</t>
  </si>
  <si>
    <t>8CG12909F5</t>
  </si>
  <si>
    <t>ITC842AFD083B35</t>
  </si>
  <si>
    <t>7.41.12.223</t>
  </si>
  <si>
    <t>842AFD083B35</t>
  </si>
  <si>
    <t>8CG129019N</t>
  </si>
  <si>
    <t>ITC842AFD083B7A</t>
  </si>
  <si>
    <t>7.32.20.239</t>
  </si>
  <si>
    <t>842AFD083B7A</t>
  </si>
  <si>
    <t>8CG12909CN</t>
  </si>
  <si>
    <t>ITC842AFD083D2B</t>
  </si>
  <si>
    <t>7.77.132.152</t>
  </si>
  <si>
    <t>842AFD083D2B</t>
  </si>
  <si>
    <t>8CG1282JY8</t>
  </si>
  <si>
    <t>ITC842AFD084534</t>
  </si>
  <si>
    <t>7.190.68.188</t>
  </si>
  <si>
    <t>842AFD084534</t>
  </si>
  <si>
    <t>8CG1283HFH</t>
  </si>
  <si>
    <t>ITC842AFD08483D</t>
  </si>
  <si>
    <t>7.44.212.125</t>
  </si>
  <si>
    <t>842AFD08483D</t>
  </si>
  <si>
    <t>8CG12909GR</t>
  </si>
  <si>
    <t>ITC842AFD084B22</t>
  </si>
  <si>
    <t>7.41.12.97</t>
  </si>
  <si>
    <t>842AFD084B22</t>
  </si>
  <si>
    <t>8CG13300SG</t>
  </si>
  <si>
    <t>ITCB07B2558C998</t>
  </si>
  <si>
    <t>7.20.156.137</t>
  </si>
  <si>
    <t>B07B2558C998</t>
  </si>
  <si>
    <t>3343K93</t>
  </si>
  <si>
    <t>ITCC4651630B7B0</t>
  </si>
  <si>
    <t>7.153.228.99</t>
  </si>
  <si>
    <t>C4651630B7B0</t>
  </si>
  <si>
    <t>8CG92950XL</t>
  </si>
  <si>
    <t>ITCC4651630B8A7</t>
  </si>
  <si>
    <t>7.133.220.73</t>
  </si>
  <si>
    <t>C4651630B8A7</t>
  </si>
  <si>
    <t>8CG929536Z</t>
  </si>
  <si>
    <t>ITCC4651630B8D5</t>
  </si>
  <si>
    <t>7.52.84.129</t>
  </si>
  <si>
    <t>C4651630B8D5</t>
  </si>
  <si>
    <t>8CG9294ZGF</t>
  </si>
  <si>
    <t>ITCC4651630F657</t>
  </si>
  <si>
    <t>7.52.84.104</t>
  </si>
  <si>
    <t>C4651630F657</t>
  </si>
  <si>
    <t>8CG929525F</t>
  </si>
  <si>
    <t>ITCC4651630F65E</t>
  </si>
  <si>
    <t>7.163.148.206</t>
  </si>
  <si>
    <t>C4651630F65E</t>
  </si>
  <si>
    <t>8CG9295274</t>
  </si>
  <si>
    <t>ITCC46516310004</t>
  </si>
  <si>
    <t>7.125.92.59</t>
  </si>
  <si>
    <t>C46516310004</t>
  </si>
  <si>
    <t>8CG9295ZN8</t>
  </si>
  <si>
    <t>ITCC46516310611</t>
  </si>
  <si>
    <t>7.76.60.105</t>
  </si>
  <si>
    <t>C46516310611</t>
  </si>
  <si>
    <t>8CG9295Z5L</t>
  </si>
  <si>
    <t>ITCC4651632D31E</t>
  </si>
  <si>
    <t>7.73.52.13</t>
  </si>
  <si>
    <t>C4651632D31E</t>
  </si>
  <si>
    <t>8CG9308HGQ</t>
  </si>
  <si>
    <t>ITCC4651632D512</t>
  </si>
  <si>
    <t>7.133.220.65</t>
  </si>
  <si>
    <t>C4651632D512</t>
  </si>
  <si>
    <t>8CG9308HBZ</t>
  </si>
  <si>
    <t>ITCC4651634F7B8</t>
  </si>
  <si>
    <t>7.8.12.217</t>
  </si>
  <si>
    <t>C4651634F7B8</t>
  </si>
  <si>
    <t>8CG933104J</t>
  </si>
  <si>
    <t>ITCF439093B872A</t>
  </si>
  <si>
    <t>7.36.28.155</t>
  </si>
  <si>
    <t>F439093B872A</t>
  </si>
  <si>
    <t>8CG8517S9C</t>
  </si>
  <si>
    <t>ITCF4390945BFA8</t>
  </si>
  <si>
    <t>7.20.252.153</t>
  </si>
  <si>
    <t>F4390945BFA8</t>
  </si>
  <si>
    <t>8CG9037SKG</t>
  </si>
  <si>
    <t>TCUPC01</t>
  </si>
  <si>
    <t>55.144.176.11</t>
  </si>
  <si>
    <t>B07B2567C9F2</t>
  </si>
  <si>
    <t>31S5K93</t>
  </si>
  <si>
    <t>TCVC02</t>
  </si>
  <si>
    <t>156.87.180.27</t>
  </si>
  <si>
    <t>2CEA7F2832FF</t>
  </si>
  <si>
    <t>62KKQ53</t>
  </si>
  <si>
    <t>Location Number</t>
  </si>
  <si>
    <t>Banner Desc</t>
  </si>
  <si>
    <t>Physical Address Line 1</t>
  </si>
  <si>
    <t>Physical City</t>
  </si>
  <si>
    <t>Physical State</t>
  </si>
  <si>
    <t>Physical Zip Code</t>
  </si>
  <si>
    <t>Primary Phone</t>
  </si>
  <si>
    <t>Sam's Club</t>
  </si>
  <si>
    <t>1900 EAST LINDEN AVENUE</t>
  </si>
  <si>
    <t>LINDEN</t>
  </si>
  <si>
    <t>NJ</t>
  </si>
  <si>
    <t>07036-1133</t>
  </si>
  <si>
    <t>2861 BEENE BLVD</t>
  </si>
  <si>
    <t>BOSSIER CITY</t>
  </si>
  <si>
    <t>LA</t>
  </si>
  <si>
    <t>71111-0000</t>
  </si>
  <si>
    <t>155 W EL DORADO BLVD</t>
  </si>
  <si>
    <t>FRIENDSWOOD</t>
  </si>
  <si>
    <t>TX</t>
  </si>
  <si>
    <t>77546-6502</t>
  </si>
  <si>
    <t>10600 COORS BLVD BYPASS NW</t>
  </si>
  <si>
    <t>ALBUQUERQUE</t>
  </si>
  <si>
    <t>NM</t>
  </si>
  <si>
    <t>87114-3930</t>
  </si>
  <si>
    <t>7663 N BLACKSTONE AVE</t>
  </si>
  <si>
    <t>FRESNO</t>
  </si>
  <si>
    <t>CA</t>
  </si>
  <si>
    <t>93720-4306</t>
  </si>
  <si>
    <t>8300 W 135TH ST</t>
  </si>
  <si>
    <t>OVERLAND PARK</t>
  </si>
  <si>
    <t>KS</t>
  </si>
  <si>
    <t>66223-1143</t>
  </si>
  <si>
    <t>1375 E ONTARIO AVE</t>
  </si>
  <si>
    <t>CORONA</t>
  </si>
  <si>
    <t>92881-6604</t>
  </si>
  <si>
    <t>2444 CHESAPEAKE SQUARE RING RD</t>
  </si>
  <si>
    <t>CHESAPEAKE</t>
  </si>
  <si>
    <t>VA</t>
  </si>
  <si>
    <t>23321-2173</t>
  </si>
  <si>
    <t>3345 VIRGINIA BEACH BLVD</t>
  </si>
  <si>
    <t>VIRGINIA BEACH</t>
  </si>
  <si>
    <t>23452-5616</t>
  </si>
  <si>
    <t>10488 KATY FWY</t>
  </si>
  <si>
    <t>HOUSTON</t>
  </si>
  <si>
    <t>77043-5106</t>
  </si>
  <si>
    <t>19091 INTERSTATE 45 S</t>
  </si>
  <si>
    <t>SHENANDOAH</t>
  </si>
  <si>
    <t>77385-8748</t>
  </si>
  <si>
    <t>11278 S JORDAN GTWY</t>
  </si>
  <si>
    <t>SOUTH JORDAN</t>
  </si>
  <si>
    <t>UT</t>
  </si>
  <si>
    <t>84095-4111</t>
  </si>
  <si>
    <t>4970 W HIGHWAY 290</t>
  </si>
  <si>
    <t>AUSTIN</t>
  </si>
  <si>
    <t>78735-6748</t>
  </si>
  <si>
    <t>7950 FM 1960 W</t>
  </si>
  <si>
    <t>77070-5708</t>
  </si>
  <si>
    <t>2080 NO. BLACKHORSE PIKE</t>
  </si>
  <si>
    <t>WILLIAMSTOWN</t>
  </si>
  <si>
    <t>08094-9128</t>
  </si>
  <si>
    <t>3053 JOHN HAWKINS PKWY</t>
  </si>
  <si>
    <t>HOOVER</t>
  </si>
  <si>
    <t>AL</t>
  </si>
  <si>
    <t>35244-1028</t>
  </si>
  <si>
    <t>103 BRYANT DRIVE</t>
  </si>
  <si>
    <t>NICHOLASVILLE</t>
  </si>
  <si>
    <t>KY</t>
  </si>
  <si>
    <t>40356-9225</t>
  </si>
  <si>
    <t>45425 DULLES CROSSING PLZ</t>
  </si>
  <si>
    <t>STERLING</t>
  </si>
  <si>
    <t>20166-8921</t>
  </si>
  <si>
    <t>7571 S 3800 W</t>
  </si>
  <si>
    <t>WEST JORDAN</t>
  </si>
  <si>
    <t>84084-4319</t>
  </si>
  <si>
    <t>9000 NW PASSAGE</t>
  </si>
  <si>
    <t>OKLAHOMA CITY</t>
  </si>
  <si>
    <t>OK</t>
  </si>
  <si>
    <t>73132-3414</t>
  </si>
  <si>
    <t>18501 N 83RD AVE</t>
  </si>
  <si>
    <t>GLENDALE</t>
  </si>
  <si>
    <t>AZ</t>
  </si>
  <si>
    <t>85308-0501</t>
  </si>
  <si>
    <t>1390 S BEACH BLVD</t>
  </si>
  <si>
    <t>LA HABRA</t>
  </si>
  <si>
    <t>90631-6374</t>
  </si>
  <si>
    <t>14940 FLORENCE TRL</t>
  </si>
  <si>
    <t>APPLE VALLEY</t>
  </si>
  <si>
    <t>MN</t>
  </si>
  <si>
    <t>55124-4628</t>
  </si>
  <si>
    <t>3035 DENMARK AVE</t>
  </si>
  <si>
    <t>EAGAN</t>
  </si>
  <si>
    <t>55121-2257</t>
  </si>
  <si>
    <t>1520 SCENIC HWY N</t>
  </si>
  <si>
    <t>SNELLVILLE</t>
  </si>
  <si>
    <t>GA</t>
  </si>
  <si>
    <t>30078-2130</t>
  </si>
  <si>
    <t>465 GOODMAN RD E</t>
  </si>
  <si>
    <t>SOUTHAVEN</t>
  </si>
  <si>
    <t>MS</t>
  </si>
  <si>
    <t>38671-9525</t>
  </si>
  <si>
    <t>10248 BIG BEND RD</t>
  </si>
  <si>
    <t>SAINT LOUIS</t>
  </si>
  <si>
    <t>MO</t>
  </si>
  <si>
    <t>63122-6426</t>
  </si>
  <si>
    <t>4400 BRYANT IRVIN RD</t>
  </si>
  <si>
    <t>FORT WORTH</t>
  </si>
  <si>
    <t>76132-1064</t>
  </si>
  <si>
    <t>1200 E SPRING CREEK PKWY</t>
  </si>
  <si>
    <t>PLANO</t>
  </si>
  <si>
    <t>75074-3023</t>
  </si>
  <si>
    <t>9601 GRANT ST</t>
  </si>
  <si>
    <t>THORNTON</t>
  </si>
  <si>
    <t>CO</t>
  </si>
  <si>
    <t>80229-2155</t>
  </si>
  <si>
    <t>1250 SOUTH AMITY RD</t>
  </si>
  <si>
    <t>CONWAY</t>
  </si>
  <si>
    <t>AR</t>
  </si>
  <si>
    <t>72032-0000</t>
  </si>
  <si>
    <t>1189 BUCHHOLZER BLVD</t>
  </si>
  <si>
    <t>CUYAHOGA FALLS</t>
  </si>
  <si>
    <t>OH</t>
  </si>
  <si>
    <t>44221-5145</t>
  </si>
  <si>
    <t>3075 N HIGHWAY 112</t>
  </si>
  <si>
    <t>FAYETTEVILLE</t>
  </si>
  <si>
    <t>72704-7436</t>
  </si>
  <si>
    <t>750 KEEAUMOKU ST</t>
  </si>
  <si>
    <t>HONOLULU</t>
  </si>
  <si>
    <t>HI</t>
  </si>
  <si>
    <t>96814-3014</t>
  </si>
  <si>
    <t>3400 W MAIN ST</t>
  </si>
  <si>
    <t>NORMAN</t>
  </si>
  <si>
    <t>73072-4808</t>
  </si>
  <si>
    <t>351 HIGHWAY 6</t>
  </si>
  <si>
    <t>SUGAR LAND</t>
  </si>
  <si>
    <t>77478-4933</t>
  </si>
  <si>
    <t>20424 KATY FWY</t>
  </si>
  <si>
    <t>KATY</t>
  </si>
  <si>
    <t>77449-7636</t>
  </si>
  <si>
    <t>39940 10TH ST W</t>
  </si>
  <si>
    <t>PALMDALE</t>
  </si>
  <si>
    <t>93551-3002</t>
  </si>
  <si>
    <t>4835 KIETZKE LN</t>
  </si>
  <si>
    <t>RENO</t>
  </si>
  <si>
    <t>NV</t>
  </si>
  <si>
    <t>89509-6549</t>
  </si>
  <si>
    <t>5310 S RICE AVE</t>
  </si>
  <si>
    <t>77081-2112</t>
  </si>
  <si>
    <t>3247 23RD AVE</t>
  </si>
  <si>
    <t>EVANS</t>
  </si>
  <si>
    <t>80620-1733</t>
  </si>
  <si>
    <t>424 GEORGE CLAUS BLVD</t>
  </si>
  <si>
    <t>SEVERN</t>
  </si>
  <si>
    <t>MD</t>
  </si>
  <si>
    <t>21144-1300</t>
  </si>
  <si>
    <t>300 N CATTLEMEN RD</t>
  </si>
  <si>
    <t>SARASOTA</t>
  </si>
  <si>
    <t>FL</t>
  </si>
  <si>
    <t>34232-6426</t>
  </si>
  <si>
    <t>300 PARK PL</t>
  </si>
  <si>
    <t>SECAUCUS</t>
  </si>
  <si>
    <t>07094-3653</t>
  </si>
  <si>
    <t>3900 AIRLINE DR</t>
  </si>
  <si>
    <t>METAIRIE</t>
  </si>
  <si>
    <t>70001-5704</t>
  </si>
  <si>
    <t>5651 HOLMES AVE NW</t>
  </si>
  <si>
    <t>HUNTSVILLE</t>
  </si>
  <si>
    <t>35816-1817</t>
  </si>
  <si>
    <t>7805 E 35TH AVE</t>
  </si>
  <si>
    <t>DENVER</t>
  </si>
  <si>
    <t>80238-2458</t>
  </si>
  <si>
    <t>4350 JOSLYN RD</t>
  </si>
  <si>
    <t>AUBURN HILLS</t>
  </si>
  <si>
    <t>MI</t>
  </si>
  <si>
    <t>48326-1329</t>
  </si>
  <si>
    <t>3383 BUFORD DR</t>
  </si>
  <si>
    <t>BUFORD</t>
  </si>
  <si>
    <t>30519-4985</t>
  </si>
  <si>
    <t>2925 TOWNE CENTRE BLVD</t>
  </si>
  <si>
    <t>LANSING</t>
  </si>
  <si>
    <t>48912-5650</t>
  </si>
  <si>
    <t>4763 WEST IRLO BRONSON MEM HWY</t>
  </si>
  <si>
    <t>KISSIMMEE</t>
  </si>
  <si>
    <t>34746-0000</t>
  </si>
  <si>
    <t>5150 N GARLAND AVE</t>
  </si>
  <si>
    <t>GARLAND</t>
  </si>
  <si>
    <t>75040-2711</t>
  </si>
  <si>
    <t>2711 N TELSHOR BLVD</t>
  </si>
  <si>
    <t>LAS CRUCES</t>
  </si>
  <si>
    <t>88011-8202</t>
  </si>
  <si>
    <t>1101 RINEHART RD</t>
  </si>
  <si>
    <t>SANFORD</t>
  </si>
  <si>
    <t>32771-7390</t>
  </si>
  <si>
    <t>145 W CACHE VALLEY BLVD</t>
  </si>
  <si>
    <t>LOGAN</t>
  </si>
  <si>
    <t>84341-8473</t>
  </si>
  <si>
    <t>200 WEST AMERICAN BLVD</t>
  </si>
  <si>
    <t>BLOOMINGTON</t>
  </si>
  <si>
    <t>55420-1120</t>
  </si>
  <si>
    <t>310 FISCHER RD</t>
  </si>
  <si>
    <t>SHARPSBURG</t>
  </si>
  <si>
    <t>30277-2084</t>
  </si>
  <si>
    <t>90 BASS PRO DR</t>
  </si>
  <si>
    <t>PEARL</t>
  </si>
  <si>
    <t>39208-9242</t>
  </si>
  <si>
    <t>3010 LARUE ST</t>
  </si>
  <si>
    <t>GARDEN CITY</t>
  </si>
  <si>
    <t>67846-7072</t>
  </si>
  <si>
    <t>3530 LAKELAND HIGHLANDS RD</t>
  </si>
  <si>
    <t>LAKELAND</t>
  </si>
  <si>
    <t>33803-4313</t>
  </si>
  <si>
    <t>1701 W STATE HIGHWAY 114</t>
  </si>
  <si>
    <t>GRAPEVINE</t>
  </si>
  <si>
    <t>76051-8652</t>
  </si>
  <si>
    <t>TBD</t>
  </si>
  <si>
    <t>WAUKEE</t>
  </si>
  <si>
    <t>IA</t>
  </si>
  <si>
    <t>50263-0000</t>
  </si>
  <si>
    <t>2421 SUPERCENTER DR NE</t>
  </si>
  <si>
    <t>KANNAPOLIS</t>
  </si>
  <si>
    <t>NC</t>
  </si>
  <si>
    <t>28083-6426</t>
  </si>
  <si>
    <t>284 SUMMIT SQUARE BLVD</t>
  </si>
  <si>
    <t>WINSTON SALEM</t>
  </si>
  <si>
    <t>27105-1461</t>
  </si>
  <si>
    <t>7147 GREENBACK LN</t>
  </si>
  <si>
    <t>CITRUS HEIGHTS</t>
  </si>
  <si>
    <t>95621-5526</t>
  </si>
  <si>
    <t>10385 BIG BEND RD</t>
  </si>
  <si>
    <t>RIVERVIEW</t>
  </si>
  <si>
    <t>33578-7414</t>
  </si>
  <si>
    <t>4798 JIMMY LEE SMITH PKWY</t>
  </si>
  <si>
    <t>HIRAM</t>
  </si>
  <si>
    <t>30141-2729</t>
  </si>
  <si>
    <t>1765 JONESBORO RD</t>
  </si>
  <si>
    <t>MCDONOUGH</t>
  </si>
  <si>
    <t>30253-5969</t>
  </si>
  <si>
    <t>4420 KING AVE E</t>
  </si>
  <si>
    <t>BILLINGS</t>
  </si>
  <si>
    <t>MT</t>
  </si>
  <si>
    <t>59101-4913</t>
  </si>
  <si>
    <t>1517 S. GENE GEORGE BLVD.</t>
  </si>
  <si>
    <t>SPRINGDALE</t>
  </si>
  <si>
    <t>72762-0000</t>
  </si>
  <si>
    <t>MESA</t>
  </si>
  <si>
    <t>85215-0000</t>
  </si>
  <si>
    <t>417 N FM 1015</t>
  </si>
  <si>
    <t>WESLACO</t>
  </si>
  <si>
    <t>78596-0000</t>
  </si>
  <si>
    <t>2151 SHEPARD RD</t>
  </si>
  <si>
    <t>NORMAL</t>
  </si>
  <si>
    <t>IL</t>
  </si>
  <si>
    <t>61761-6414</t>
  </si>
  <si>
    <t>6201 S AURORA PKWY</t>
  </si>
  <si>
    <t>AURORA</t>
  </si>
  <si>
    <t>80016-5849</t>
  </si>
  <si>
    <t>5940 TRUSSVILLE CROSSINGS PKWY</t>
  </si>
  <si>
    <t>TRUSSVILLE</t>
  </si>
  <si>
    <t>35235-8607</t>
  </si>
  <si>
    <t>13360 CORTEZ BLVD</t>
  </si>
  <si>
    <t>BROOKSVILLE</t>
  </si>
  <si>
    <t>34613-4887</t>
  </si>
  <si>
    <t>5625 GOSFORD RD</t>
  </si>
  <si>
    <t>BAKERSFIELD</t>
  </si>
  <si>
    <t>93313-4999</t>
  </si>
  <si>
    <t>15 MILL CREEK CIR</t>
  </si>
  <si>
    <t>POOLER</t>
  </si>
  <si>
    <t>31322-2151</t>
  </si>
  <si>
    <t>40500 MURRIETA HOT SPRINGS RD</t>
  </si>
  <si>
    <t>MURRIETA</t>
  </si>
  <si>
    <t>92563-6403</t>
  </si>
  <si>
    <t>26468 CARL BOYER DR</t>
  </si>
  <si>
    <t>SANTA CLARITA</t>
  </si>
  <si>
    <t>91350-2995</t>
  </si>
  <si>
    <t>1368 HIGDON FERRY RD</t>
  </si>
  <si>
    <t>HOT SPRINGS</t>
  </si>
  <si>
    <t>71913-6411</t>
  </si>
  <si>
    <t>11920 NARCOOSSEE RD</t>
  </si>
  <si>
    <t>ORLANDO</t>
  </si>
  <si>
    <t>32832-0000</t>
  </si>
  <si>
    <t>2621 S MARKET ST</t>
  </si>
  <si>
    <t>GILBERT</t>
  </si>
  <si>
    <t>85295-1301</t>
  </si>
  <si>
    <t>1459 N DYSART RD</t>
  </si>
  <si>
    <t>AVONDALE</t>
  </si>
  <si>
    <t>85323-1515</t>
  </si>
  <si>
    <t>4005 DURHAM CHAPEL HILL BLVD</t>
  </si>
  <si>
    <t>DURHAM</t>
  </si>
  <si>
    <t>27707-2516</t>
  </si>
  <si>
    <t>1900 OXFORD EXCHANGE BLVD</t>
  </si>
  <si>
    <t>OXFORD</t>
  </si>
  <si>
    <t>36203-3487</t>
  </si>
  <si>
    <t>201 BASS PRO BLVD</t>
  </si>
  <si>
    <t>DENHAM SPRINGS</t>
  </si>
  <si>
    <t>70726-5570</t>
  </si>
  <si>
    <t>7757 S OLYMPIA AVENUE W</t>
  </si>
  <si>
    <t>TULSA</t>
  </si>
  <si>
    <t>74132-1862</t>
  </si>
  <si>
    <t>3900 DEERFIELD DR</t>
  </si>
  <si>
    <t>JANESVILLE</t>
  </si>
  <si>
    <t>WI</t>
  </si>
  <si>
    <t>53546-4431</t>
  </si>
  <si>
    <t>15800 SOUTH FWY</t>
  </si>
  <si>
    <t>PEARLAND</t>
  </si>
  <si>
    <t>77584-1834</t>
  </si>
  <si>
    <t>5600 EMERALD CT</t>
  </si>
  <si>
    <t>MENTOR</t>
  </si>
  <si>
    <t>44060-1869</t>
  </si>
  <si>
    <t>6211 STATE ROUTE 30</t>
  </si>
  <si>
    <t>GREENSBURG</t>
  </si>
  <si>
    <t>PA</t>
  </si>
  <si>
    <t>15601-7288</t>
  </si>
  <si>
    <t>7601 N 10TH ST</t>
  </si>
  <si>
    <t>MCALLEN</t>
  </si>
  <si>
    <t>78504-0000</t>
  </si>
  <si>
    <t>1301 VETERANS PKWY</t>
  </si>
  <si>
    <t>CLARKSVILLE</t>
  </si>
  <si>
    <t>IN</t>
  </si>
  <si>
    <t>47129-7747</t>
  </si>
  <si>
    <t>27727 STATE ROAD 56</t>
  </si>
  <si>
    <t>WESLEY CHAPEL</t>
  </si>
  <si>
    <t>33544-8833</t>
  </si>
  <si>
    <t>5940 PROMENADE PARKWAY</t>
  </si>
  <si>
    <t>CASTLE ROCK</t>
  </si>
  <si>
    <t>80108-0000</t>
  </si>
  <si>
    <t>261 WILSON AVE</t>
  </si>
  <si>
    <t>HANOVER</t>
  </si>
  <si>
    <t>17331-0000</t>
  </si>
  <si>
    <t>301 SW PINE ISLAND ROAD</t>
  </si>
  <si>
    <t>CAPE CORAL</t>
  </si>
  <si>
    <t>33991-0000</t>
  </si>
  <si>
    <t>WAXAHACHIE</t>
  </si>
  <si>
    <t>75165-0000</t>
  </si>
  <si>
    <t>200 MORAINE POINTE PLZ</t>
  </si>
  <si>
    <t>BUTLER</t>
  </si>
  <si>
    <t>16001-2412</t>
  </si>
  <si>
    <t>1220 N EISENHOWER DR</t>
  </si>
  <si>
    <t>BECKLEY</t>
  </si>
  <si>
    <t>WV</t>
  </si>
  <si>
    <t>25801-3120</t>
  </si>
  <si>
    <t>1725 34TH ST N</t>
  </si>
  <si>
    <t>ST PETERSBURG</t>
  </si>
  <si>
    <t>33713-3601</t>
  </si>
  <si>
    <t>6611 GARTH RD</t>
  </si>
  <si>
    <t>BAYTOWN</t>
  </si>
  <si>
    <t>77521-8624</t>
  </si>
  <si>
    <t>13255 N. GRAND PKWY</t>
  </si>
  <si>
    <t>TOMBALL</t>
  </si>
  <si>
    <t>77375-0000</t>
  </si>
  <si>
    <t>10510 PARALLEL PKWY</t>
  </si>
  <si>
    <t>KANSAS CITY</t>
  </si>
  <si>
    <t>66109-0000</t>
  </si>
  <si>
    <t>715 BONITA DR</t>
  </si>
  <si>
    <t>MERIDIAN</t>
  </si>
  <si>
    <t>39301-4603</t>
  </si>
  <si>
    <t>733 FASHION DRIVE</t>
  </si>
  <si>
    <t>COLUMBIA</t>
  </si>
  <si>
    <t>SC</t>
  </si>
  <si>
    <t>29229-0000</t>
  </si>
  <si>
    <t>8480 ANDERMATT DR</t>
  </si>
  <si>
    <t>LINCOLN</t>
  </si>
  <si>
    <t>NE</t>
  </si>
  <si>
    <t>68526-0000</t>
  </si>
  <si>
    <t>69630 STIRLING BLVD</t>
  </si>
  <si>
    <t>COVINGTON</t>
  </si>
  <si>
    <t>70433-0000</t>
  </si>
  <si>
    <t>3055 BEAR CREEK DR</t>
  </si>
  <si>
    <t>WENTZVILLE</t>
  </si>
  <si>
    <t>63385-3502</t>
  </si>
  <si>
    <t>3200 KEN BALE BLVD</t>
  </si>
  <si>
    <t>BOWLING GREEN</t>
  </si>
  <si>
    <t>42103-6025</t>
  </si>
  <si>
    <t>5 ILLINI DR</t>
  </si>
  <si>
    <t>GLEN CARBON</t>
  </si>
  <si>
    <t>62034-0000</t>
  </si>
  <si>
    <t>220 JEFFERSON DAVIS HWY</t>
  </si>
  <si>
    <t>AIKEN</t>
  </si>
  <si>
    <t>29801-0000</t>
  </si>
  <si>
    <t>309 ROLLING HILLS CIR</t>
  </si>
  <si>
    <t>EASLEY</t>
  </si>
  <si>
    <t>29640-0000</t>
  </si>
  <si>
    <t>2850 W UNIVERSITY DR</t>
  </si>
  <si>
    <t>DENTON</t>
  </si>
  <si>
    <t>76201-1601</t>
  </si>
  <si>
    <t>1670 W UNIVERSITY DR</t>
  </si>
  <si>
    <t>MCKINNEY</t>
  </si>
  <si>
    <t>75069-3444</t>
  </si>
  <si>
    <t>5240 FREDERICA ST</t>
  </si>
  <si>
    <t>OWENSBORO</t>
  </si>
  <si>
    <t>42301-7420</t>
  </si>
  <si>
    <t>1740 NORTH FM 157</t>
  </si>
  <si>
    <t>MANSFIELD</t>
  </si>
  <si>
    <t>76063-0000</t>
  </si>
  <si>
    <t>29153 KATY FWY</t>
  </si>
  <si>
    <t>77494-0000</t>
  </si>
  <si>
    <t>2530 MARSHALL ROAD</t>
  </si>
  <si>
    <t>SAN ANTONIO</t>
  </si>
  <si>
    <t>78259-0000</t>
  </si>
  <si>
    <t>600 HIGHWAY 95 STE 200</t>
  </si>
  <si>
    <t>BULLHEAD CITY</t>
  </si>
  <si>
    <t>86429-5005</t>
  </si>
  <si>
    <t>646 RIVER HWY</t>
  </si>
  <si>
    <t>MOORESVILLE</t>
  </si>
  <si>
    <t>28117-0000</t>
  </si>
  <si>
    <t>5201 N BELT HWY STE A</t>
  </si>
  <si>
    <t>SAINT JOSEPH</t>
  </si>
  <si>
    <t>64506-1297</t>
  </si>
  <si>
    <t>CYPRESS</t>
  </si>
  <si>
    <t>77493-0000</t>
  </si>
  <si>
    <t>2218 GREENVILLE, AVE</t>
  </si>
  <si>
    <t>DALLAS</t>
  </si>
  <si>
    <t>75206-7122</t>
  </si>
  <si>
    <t>2715 MERCHANT MILE</t>
  </si>
  <si>
    <t>COLUMBUS</t>
  </si>
  <si>
    <t>47201-1573</t>
  </si>
  <si>
    <t>1177 SAMS ST</t>
  </si>
  <si>
    <t>COOKEVILLE</t>
  </si>
  <si>
    <t>TN</t>
  </si>
  <si>
    <t>38506-4007</t>
  </si>
  <si>
    <t>2821 ROCK ISLAND PL</t>
  </si>
  <si>
    <t>BISMARCK</t>
  </si>
  <si>
    <t>ND</t>
  </si>
  <si>
    <t>58504-7720</t>
  </si>
  <si>
    <t>5045 UNIVERSITY TOWN CENTER DRIVE</t>
  </si>
  <si>
    <t>GRANVILLE</t>
  </si>
  <si>
    <t>26501-2292</t>
  </si>
  <si>
    <t>1421 N RENAISSANCE BLVD NE</t>
  </si>
  <si>
    <t>87107-7018</t>
  </si>
  <si>
    <t>3239 GOLIAD RD</t>
  </si>
  <si>
    <t>78223-0000</t>
  </si>
  <si>
    <t>1000 S RANDALL RD</t>
  </si>
  <si>
    <t>ELGIN</t>
  </si>
  <si>
    <t>60123-4108</t>
  </si>
  <si>
    <t>3500 SE CLUB BLVD</t>
  </si>
  <si>
    <t>BENTONVILLE</t>
  </si>
  <si>
    <t>72712-5182</t>
  </si>
  <si>
    <t>6160 S SAGINAW RD</t>
  </si>
  <si>
    <t>GRAND BLANC</t>
  </si>
  <si>
    <t>48439-7026</t>
  </si>
  <si>
    <t>300 TARRYTOWN CTR</t>
  </si>
  <si>
    <t>ROCKY MOUNT</t>
  </si>
  <si>
    <t>27804-1780</t>
  </si>
  <si>
    <t>3724 NORTHPOINTE DR</t>
  </si>
  <si>
    <t>ZANESVILLE</t>
  </si>
  <si>
    <t>43701-1768</t>
  </si>
  <si>
    <t>5749 SHERWOOD WAY</t>
  </si>
  <si>
    <t>SAN ANGELO</t>
  </si>
  <si>
    <t>76901-5643</t>
  </si>
  <si>
    <t>300 HIGHLANDS SQUARE DR</t>
  </si>
  <si>
    <t>HENDERSONVILLE</t>
  </si>
  <si>
    <t>28792-5732</t>
  </si>
  <si>
    <t>2000 VILLAGE CENTER DR</t>
  </si>
  <si>
    <t>TARENTUM</t>
  </si>
  <si>
    <t>15084-3844</t>
  </si>
  <si>
    <t>16573 W BELL RD</t>
  </si>
  <si>
    <t>SURPRISE</t>
  </si>
  <si>
    <t>85374-9892</t>
  </si>
  <si>
    <t>2080 E RIO SALADO PKWY</t>
  </si>
  <si>
    <t>TEMPE</t>
  </si>
  <si>
    <t>85288-4840</t>
  </si>
  <si>
    <t>1350 LEAH AVE</t>
  </si>
  <si>
    <t>SAN MARCOS</t>
  </si>
  <si>
    <t>78666-7691</t>
  </si>
  <si>
    <t>4400 N MAIN ST</t>
  </si>
  <si>
    <t>ROSWELL</t>
  </si>
  <si>
    <t>88201-0314</t>
  </si>
  <si>
    <t>614 CROSSINGS RD</t>
  </si>
  <si>
    <t>SANDUSKY</t>
  </si>
  <si>
    <t>44870-8909</t>
  </si>
  <si>
    <t>1270 N BRIDGE ST</t>
  </si>
  <si>
    <t>CHILLICOTHE</t>
  </si>
  <si>
    <t>45601-1852</t>
  </si>
  <si>
    <t>1750 SW GATLIN BLVD</t>
  </si>
  <si>
    <t>PORT ST LUCIE</t>
  </si>
  <si>
    <t>34953-2777</t>
  </si>
  <si>
    <t>4400 ASBURY RD</t>
  </si>
  <si>
    <t>DUBUQUE</t>
  </si>
  <si>
    <t>52002-0406</t>
  </si>
  <si>
    <t>2650 E CRAIG RD</t>
  </si>
  <si>
    <t>NORTH LAS VEGAS</t>
  </si>
  <si>
    <t>89030-3399</t>
  </si>
  <si>
    <t>4850 ENCORE BLVD</t>
  </si>
  <si>
    <t>MOUNT PLEASANT</t>
  </si>
  <si>
    <t>48858-6013</t>
  </si>
  <si>
    <t>7100 ARROYO CROSSING PKWY</t>
  </si>
  <si>
    <t>LAS VEGAS</t>
  </si>
  <si>
    <t>89113-4057</t>
  </si>
  <si>
    <t>745 W EL CAMINO ALTO ST</t>
  </si>
  <si>
    <t>SPRINGFIELD</t>
  </si>
  <si>
    <t>65810-1800</t>
  </si>
  <si>
    <t>1200 SOUTH HOVER</t>
  </si>
  <si>
    <t>LONGMONT</t>
  </si>
  <si>
    <t>80501-0000</t>
  </si>
  <si>
    <t>2335 BENT CREEK RD</t>
  </si>
  <si>
    <t>AUBURN</t>
  </si>
  <si>
    <t>36830-6434</t>
  </si>
  <si>
    <t>29683 FREDERICK BLVD</t>
  </si>
  <si>
    <t>DAPHNE</t>
  </si>
  <si>
    <t>36526-9571</t>
  </si>
  <si>
    <t>450 TOWNSEND RD</t>
  </si>
  <si>
    <t>COCOA</t>
  </si>
  <si>
    <t>32926-3308</t>
  </si>
  <si>
    <t>1500 RING RD</t>
  </si>
  <si>
    <t>ELIZABETHTOWN</t>
  </si>
  <si>
    <t>42701-7984</t>
  </si>
  <si>
    <t>6520 CARLISLE PIKE STE 250</t>
  </si>
  <si>
    <t>MECHANICSBURG</t>
  </si>
  <si>
    <t>17050-0000</t>
  </si>
  <si>
    <t>215 PIEDMONT PL</t>
  </si>
  <si>
    <t>DANVILLE</t>
  </si>
  <si>
    <t>24541-4176</t>
  </si>
  <si>
    <t>755 N. HWY 27/441</t>
  </si>
  <si>
    <t>LADY LAKE</t>
  </si>
  <si>
    <t>32159-3196</t>
  </si>
  <si>
    <t>700 N 54TH ST</t>
  </si>
  <si>
    <t>QUINCY</t>
  </si>
  <si>
    <t>62305-7909</t>
  </si>
  <si>
    <t>9851 S. 71ST PLAZA</t>
  </si>
  <si>
    <t>PAPILLION</t>
  </si>
  <si>
    <t>68133-0000</t>
  </si>
  <si>
    <t>10901 LAKELINE MALL DR</t>
  </si>
  <si>
    <t>78717-0000</t>
  </si>
  <si>
    <t>1500 S. ORANGE BLOSSOM TRAIL</t>
  </si>
  <si>
    <t>APOPKA</t>
  </si>
  <si>
    <t>32703-0000</t>
  </si>
  <si>
    <t>801 FRANK SOTTILE BLVD</t>
  </si>
  <si>
    <t>KINGSTON</t>
  </si>
  <si>
    <t>NY</t>
  </si>
  <si>
    <t>12401-1554</t>
  </si>
  <si>
    <t>407 N BRENTWOOD</t>
  </si>
  <si>
    <t>LUFKIN</t>
  </si>
  <si>
    <t>75904-7126</t>
  </si>
  <si>
    <t>350 HARBISON BLVD</t>
  </si>
  <si>
    <t>29212-2248</t>
  </si>
  <si>
    <t>450 NORMAN DR</t>
  </si>
  <si>
    <t>VALDOSTA</t>
  </si>
  <si>
    <t>31601-7708</t>
  </si>
  <si>
    <t>1462 S PACIFIC AVE</t>
  </si>
  <si>
    <t>YUMA</t>
  </si>
  <si>
    <t>85365-1733</t>
  </si>
  <si>
    <t>7701 E COLONIAL DR</t>
  </si>
  <si>
    <t>32807-8421</t>
  </si>
  <si>
    <t>CHANDLER</t>
  </si>
  <si>
    <t>85226-1502</t>
  </si>
  <si>
    <t>2101 SE SIMPLE SAVINGS DR</t>
  </si>
  <si>
    <t>72712-4304</t>
  </si>
  <si>
    <t>4240 WINTERVILLE PKWY</t>
  </si>
  <si>
    <t>WINTERVILLE</t>
  </si>
  <si>
    <t>28590-0000</t>
  </si>
  <si>
    <t>8425 NW 13TH TER</t>
  </si>
  <si>
    <t>MIAMI</t>
  </si>
  <si>
    <t>33126-1509</t>
  </si>
  <si>
    <t>7810 W COLONIAL DR</t>
  </si>
  <si>
    <t>32818-6674</t>
  </si>
  <si>
    <t>1850 E WOODMEN RD</t>
  </si>
  <si>
    <t>COLORADO SPRINGS</t>
  </si>
  <si>
    <t>80920-3326</t>
  </si>
  <si>
    <t>181 NORTHSHORE BLVD</t>
  </si>
  <si>
    <t>SLIDELL</t>
  </si>
  <si>
    <t>70460-6821</t>
  </si>
  <si>
    <t>335 N MILWAUKEE AVE</t>
  </si>
  <si>
    <t>VERNON HILLS</t>
  </si>
  <si>
    <t>60061-1561</t>
  </si>
  <si>
    <t>6336 COLLEGE GROVE WAY</t>
  </si>
  <si>
    <t>SAN DIEGO</t>
  </si>
  <si>
    <t>92115-7244</t>
  </si>
  <si>
    <t>2474 CROSS POINTE DRIVE</t>
  </si>
  <si>
    <t>ROCK HILL</t>
  </si>
  <si>
    <t>29730-8185</t>
  </si>
  <si>
    <t>12905 EAST 96TH STREET NORTH</t>
  </si>
  <si>
    <t>OWASSO</t>
  </si>
  <si>
    <t>74055-0000</t>
  </si>
  <si>
    <t>15 TEXAS STATION CT</t>
  </si>
  <si>
    <t>TIMONIUM</t>
  </si>
  <si>
    <t>21093-8263</t>
  </si>
  <si>
    <t>1301 S LONE HILL AVE</t>
  </si>
  <si>
    <t>GLENDORA</t>
  </si>
  <si>
    <t>91740-5348</t>
  </si>
  <si>
    <t>5870 SAWMILL RD</t>
  </si>
  <si>
    <t>DUBLIN</t>
  </si>
  <si>
    <t>43017-1589</t>
  </si>
  <si>
    <t>8351 ANDERSON BLVD</t>
  </si>
  <si>
    <t>76120-3625</t>
  </si>
  <si>
    <t>600 W CENTRAL TEXAS EXPRESSWAY</t>
  </si>
  <si>
    <t>HARKER HEIGHTS</t>
  </si>
  <si>
    <t>76548-0000</t>
  </si>
  <si>
    <t>9498 GATEWAY NORTH</t>
  </si>
  <si>
    <t>EL PASO</t>
  </si>
  <si>
    <t>79924-0000</t>
  </si>
  <si>
    <t>8130 N. CHURCH ROAD</t>
  </si>
  <si>
    <t>64158-0000</t>
  </si>
  <si>
    <t>3070 MALLORY LN</t>
  </si>
  <si>
    <t>FRANKLIN</t>
  </si>
  <si>
    <t>37067-8304</t>
  </si>
  <si>
    <t>80 TRINITY POINT DR</t>
  </si>
  <si>
    <t>WASHINGTON</t>
  </si>
  <si>
    <t>15301-2974</t>
  </si>
  <si>
    <t>196 THF BLVD</t>
  </si>
  <si>
    <t>CHESTERFIELD</t>
  </si>
  <si>
    <t>63005-1141</t>
  </si>
  <si>
    <t>16701 94TH AVE N</t>
  </si>
  <si>
    <t>MAPLE GROVE</t>
  </si>
  <si>
    <t>55311-5448</t>
  </si>
  <si>
    <t>8621 OHIO DR</t>
  </si>
  <si>
    <t>75024-2264</t>
  </si>
  <si>
    <t>7475 WINCHESTER RD</t>
  </si>
  <si>
    <t>MEMPHIS</t>
  </si>
  <si>
    <t>38125-2202</t>
  </si>
  <si>
    <t>8080 W TROPICAL PKWY</t>
  </si>
  <si>
    <t>89149-4529</t>
  </si>
  <si>
    <t>130 SUNDANCE PKWY STE 300</t>
  </si>
  <si>
    <t>ROUND ROCK</t>
  </si>
  <si>
    <t>78681-7935</t>
  </si>
  <si>
    <t>8480 HWY 64</t>
  </si>
  <si>
    <t>BARTLETT</t>
  </si>
  <si>
    <t>38133-4187</t>
  </si>
  <si>
    <t>1910 E SERENE AVE</t>
  </si>
  <si>
    <t>89123-3227</t>
  </si>
  <si>
    <t>5565 DE ZAVALA RD</t>
  </si>
  <si>
    <t>78249-1735</t>
  </si>
  <si>
    <t>1213 MARKET PLACE BLVD</t>
  </si>
  <si>
    <t>IRVING</t>
  </si>
  <si>
    <t>75063-7235</t>
  </si>
  <si>
    <t>1117 WEST I-35 FRONTAGE ROAD</t>
  </si>
  <si>
    <t>EDMOND</t>
  </si>
  <si>
    <t>73034-0000</t>
  </si>
  <si>
    <t>621 N EXPRESSWAY 77</t>
  </si>
  <si>
    <t>HARLINGEN</t>
  </si>
  <si>
    <t>78552-5202</t>
  </si>
  <si>
    <t>3084 N. MAIZE ROAD</t>
  </si>
  <si>
    <t>WICHITA</t>
  </si>
  <si>
    <t>67205-0000</t>
  </si>
  <si>
    <t>78245-2087</t>
  </si>
  <si>
    <t>23300 BROADWAY AVE</t>
  </si>
  <si>
    <t>OAKWOOD VILLAGE</t>
  </si>
  <si>
    <t>44146-6016</t>
  </si>
  <si>
    <t>5805 ROCKVILLE RD</t>
  </si>
  <si>
    <t>INDIANAPOLIS</t>
  </si>
  <si>
    <t>46224-9120</t>
  </si>
  <si>
    <t>10250 BROOKPARK RD</t>
  </si>
  <si>
    <t>BROOKLYN</t>
  </si>
  <si>
    <t>44130-1106</t>
  </si>
  <si>
    <t>3950 MORSE RD</t>
  </si>
  <si>
    <t>43219-3016</t>
  </si>
  <si>
    <t>1755 HILLIARD ROME RD EAST</t>
  </si>
  <si>
    <t>43228-0000</t>
  </si>
  <si>
    <t>1850 BUERKLE RD</t>
  </si>
  <si>
    <t>WHITE BEAR LAKE</t>
  </si>
  <si>
    <t>55110-5245</t>
  </si>
  <si>
    <t>8150 UNIVERSITY AVE NE</t>
  </si>
  <si>
    <t>FRIDLEY</t>
  </si>
  <si>
    <t>55432-1864</t>
  </si>
  <si>
    <t>8201 OLD CARRIAGE CT</t>
  </si>
  <si>
    <t>SHAKOPEE</t>
  </si>
  <si>
    <t>55379-3154</t>
  </si>
  <si>
    <t>9925 HUDSON RD</t>
  </si>
  <si>
    <t>WOODBURY</t>
  </si>
  <si>
    <t>55125-0000</t>
  </si>
  <si>
    <t>6736 LIMA RD</t>
  </si>
  <si>
    <t>FORT WAYNE</t>
  </si>
  <si>
    <t>46818-1118</t>
  </si>
  <si>
    <t>5225 COBBLESTONE RD</t>
  </si>
  <si>
    <t>SHEFFIELD VILLAGE</t>
  </si>
  <si>
    <t>44035-1489</t>
  </si>
  <si>
    <t>120 INDIAN RIDGE BLVD</t>
  </si>
  <si>
    <t>MISHAWAKA</t>
  </si>
  <si>
    <t>46545-9033</t>
  </si>
  <si>
    <t>4790 PORTAGE ST NW</t>
  </si>
  <si>
    <t>CANTON</t>
  </si>
  <si>
    <t>44720-7245</t>
  </si>
  <si>
    <t>4326 28TH ST SE</t>
  </si>
  <si>
    <t>KENTWOOD</t>
  </si>
  <si>
    <t>49512-1908</t>
  </si>
  <si>
    <t>4743 MAPLE GROVE RD</t>
  </si>
  <si>
    <t>HERMANTOWN</t>
  </si>
  <si>
    <t>55811-3920</t>
  </si>
  <si>
    <t>1000 N WESTHILL BLVD</t>
  </si>
  <si>
    <t>APPLETON</t>
  </si>
  <si>
    <t>54914-5792</t>
  </si>
  <si>
    <t>6361 SOUTH AVE</t>
  </si>
  <si>
    <t>BOARDMAN</t>
  </si>
  <si>
    <t>44512-3619</t>
  </si>
  <si>
    <t>8050 N 124TH STREET</t>
  </si>
  <si>
    <t>MILWAUKEE</t>
  </si>
  <si>
    <t>53224-4200</t>
  </si>
  <si>
    <t>1101 WINDHORST WAY</t>
  </si>
  <si>
    <t>GREENWOOD</t>
  </si>
  <si>
    <t>46143-9067</t>
  </si>
  <si>
    <t>2675 TAYLOR ROAD EXT</t>
  </si>
  <si>
    <t>REYNOLDSBURG</t>
  </si>
  <si>
    <t>43068-9543</t>
  </si>
  <si>
    <t>1040 NILES CORTLAND RD SE</t>
  </si>
  <si>
    <t>WARREN</t>
  </si>
  <si>
    <t>44484-2539</t>
  </si>
  <si>
    <t>2601 S CICERO AVE</t>
  </si>
  <si>
    <t>CICERO</t>
  </si>
  <si>
    <t>60804-3644</t>
  </si>
  <si>
    <t>3833 N GLOSTER ST</t>
  </si>
  <si>
    <t>TUPELO</t>
  </si>
  <si>
    <t>38804-0914</t>
  </si>
  <si>
    <t>1572 N DUPONT HWY</t>
  </si>
  <si>
    <t>DOVER</t>
  </si>
  <si>
    <t>DE</t>
  </si>
  <si>
    <t>19901-2215</t>
  </si>
  <si>
    <t>3300 BRUMBACK BLVD</t>
  </si>
  <si>
    <t>KENOSHA</t>
  </si>
  <si>
    <t>53144-4815</t>
  </si>
  <si>
    <t>1000 FRANKLIN MILLS CIR</t>
  </si>
  <si>
    <t>PHILADELPHIA</t>
  </si>
  <si>
    <t>19154-3115</t>
  </si>
  <si>
    <t>47 HASKELL RD</t>
  </si>
  <si>
    <t>BANGOR</t>
  </si>
  <si>
    <t>ME</t>
  </si>
  <si>
    <t>04401-4229</t>
  </si>
  <si>
    <t>4334 N PROSPECT ST</t>
  </si>
  <si>
    <t>DECATUR</t>
  </si>
  <si>
    <t>62526-6109</t>
  </si>
  <si>
    <t>3921 SW COLLEGE RD</t>
  </si>
  <si>
    <t>OCALA</t>
  </si>
  <si>
    <t>34474-5713</t>
  </si>
  <si>
    <t>1414 MARLANDWOOD RD</t>
  </si>
  <si>
    <t>TEMPLE</t>
  </si>
  <si>
    <t>76502-3309</t>
  </si>
  <si>
    <t>1405 EARL RUDDER FWY S</t>
  </si>
  <si>
    <t>COLLEGE STATION</t>
  </si>
  <si>
    <t>77845-6033</t>
  </si>
  <si>
    <t>5670 NORTHWEST HWY</t>
  </si>
  <si>
    <t>CRYSTAL LAKE</t>
  </si>
  <si>
    <t>60014-8017</t>
  </si>
  <si>
    <t>13550 W SUNRISE BLVD</t>
  </si>
  <si>
    <t>SUNRISE</t>
  </si>
  <si>
    <t>33323-3902</t>
  </si>
  <si>
    <t>6922 S MINGO RD</t>
  </si>
  <si>
    <t>74133-3216</t>
  </si>
  <si>
    <t>9440 W BROAD ST</t>
  </si>
  <si>
    <t>RICHMOND</t>
  </si>
  <si>
    <t>23294-5330</t>
  </si>
  <si>
    <t>1101 73RD ST</t>
  </si>
  <si>
    <t>DES MOINES</t>
  </si>
  <si>
    <t>50324-1313</t>
  </si>
  <si>
    <t>700 E 17TH ST</t>
  </si>
  <si>
    <t>IDAHO FALLS</t>
  </si>
  <si>
    <t>ID</t>
  </si>
  <si>
    <t>83404-6152</t>
  </si>
  <si>
    <t>4500 E MAIN ST</t>
  </si>
  <si>
    <t>FARMINGTON</t>
  </si>
  <si>
    <t>87402-8665</t>
  </si>
  <si>
    <t>11425 CAROLINA PLACE PKWY</t>
  </si>
  <si>
    <t>PINEVILLE</t>
  </si>
  <si>
    <t>28134-8816</t>
  </si>
  <si>
    <t>9400 SOUTHWESTERN AVE</t>
  </si>
  <si>
    <t>EVERGREEN PARK</t>
  </si>
  <si>
    <t>60805-2509</t>
  </si>
  <si>
    <t>3333 N US HIGHWAY 75</t>
  </si>
  <si>
    <t>SHERMAN</t>
  </si>
  <si>
    <t>75090-2525</t>
  </si>
  <si>
    <t>12407 JEFFERSON AVE</t>
  </si>
  <si>
    <t>NEWPORT NEWS</t>
  </si>
  <si>
    <t>23602-4311</t>
  </si>
  <si>
    <t>7 WALMART BLVD</t>
  </si>
  <si>
    <t>HUDSON</t>
  </si>
  <si>
    <t>NH</t>
  </si>
  <si>
    <t>03051-5248</t>
  </si>
  <si>
    <t>1946 10TH AVE N</t>
  </si>
  <si>
    <t>MYRTLE BEACH</t>
  </si>
  <si>
    <t>29577-5624</t>
  </si>
  <si>
    <t>901 WALMART WAY</t>
  </si>
  <si>
    <t>MIDLOTHIAN</t>
  </si>
  <si>
    <t>23113-2600</t>
  </si>
  <si>
    <t>2435 US HIGHWAY 70 SE</t>
  </si>
  <si>
    <t>HICKORY</t>
  </si>
  <si>
    <t>28602-8301</t>
  </si>
  <si>
    <t>56 W MERRITT BLVD</t>
  </si>
  <si>
    <t>FISHKILL</t>
  </si>
  <si>
    <t>12524-2243</t>
  </si>
  <si>
    <t>2100 GENERALS HWY</t>
  </si>
  <si>
    <t>ANNAPOLIS</t>
  </si>
  <si>
    <t>21401-6723</t>
  </si>
  <si>
    <t>141 W NORTH AVE</t>
  </si>
  <si>
    <t>NORTHLAKE</t>
  </si>
  <si>
    <t>60164-2322</t>
  </si>
  <si>
    <t>3901 ALPINE AVE NW</t>
  </si>
  <si>
    <t>COMSTOCK PARK</t>
  </si>
  <si>
    <t>49321-8350</t>
  </si>
  <si>
    <t>1040 INDEPENDENT AVE</t>
  </si>
  <si>
    <t>GRAND JUNCTION</t>
  </si>
  <si>
    <t>81505-7133</t>
  </si>
  <si>
    <t>740 BEAL PKWY NW</t>
  </si>
  <si>
    <t>FORT WALTON BEACH</t>
  </si>
  <si>
    <t>32547-3002</t>
  </si>
  <si>
    <t>6373 YOUNGERMAN CIR</t>
  </si>
  <si>
    <t>JACKSONVILLE</t>
  </si>
  <si>
    <t>32244-6609</t>
  </si>
  <si>
    <t>2550 IMMOKALEE RD</t>
  </si>
  <si>
    <t>NAPLES</t>
  </si>
  <si>
    <t>34110-1410</t>
  </si>
  <si>
    <t>970 HILTON HEIGHTS RD</t>
  </si>
  <si>
    <t>CHARLOTTESVILLE</t>
  </si>
  <si>
    <t>22901-8393</t>
  </si>
  <si>
    <t>2441 VESTAL PKWY E</t>
  </si>
  <si>
    <t>VESTAL</t>
  </si>
  <si>
    <t>13850-2018</t>
  </si>
  <si>
    <t>9665 FM 1960 BYPASS</t>
  </si>
  <si>
    <t>HUMBLE</t>
  </si>
  <si>
    <t>77338-4043</t>
  </si>
  <si>
    <t>1501 SAMS CIR</t>
  </si>
  <si>
    <t>23320-4694</t>
  </si>
  <si>
    <t>883 US ROUTE 1</t>
  </si>
  <si>
    <t>EDISON</t>
  </si>
  <si>
    <t>08817-4677</t>
  </si>
  <si>
    <t>14050 WORTH AVE</t>
  </si>
  <si>
    <t>WOODBRIDGE</t>
  </si>
  <si>
    <t>22192-4121</t>
  </si>
  <si>
    <t>6185 RETAIL RD STE 100</t>
  </si>
  <si>
    <t>75231-6023</t>
  </si>
  <si>
    <t>1100 GRAND CENTRAL AVE</t>
  </si>
  <si>
    <t>VIENNA</t>
  </si>
  <si>
    <t>26105-1049</t>
  </si>
  <si>
    <t>1150 GREELY CHAPEL RD</t>
  </si>
  <si>
    <t>LIMA</t>
  </si>
  <si>
    <t>45804-4162</t>
  </si>
  <si>
    <t>4062 LBJ FREEWAY</t>
  </si>
  <si>
    <t>75244-5701</t>
  </si>
  <si>
    <t>2405 S CARAWAY RD</t>
  </si>
  <si>
    <t>JONESBORO</t>
  </si>
  <si>
    <t>72401-6208</t>
  </si>
  <si>
    <t>6363 VALLEY SPRINGS PKWY</t>
  </si>
  <si>
    <t>RIVERSIDE</t>
  </si>
  <si>
    <t>92507-0905</t>
  </si>
  <si>
    <t>401 NORTHWEST BYP</t>
  </si>
  <si>
    <t>GREAT FALLS</t>
  </si>
  <si>
    <t>59404-4124</t>
  </si>
  <si>
    <t>6955 MILLER LN</t>
  </si>
  <si>
    <t>DAYTON</t>
  </si>
  <si>
    <t>45414-2658</t>
  </si>
  <si>
    <t>751 W MAIN ST</t>
  </si>
  <si>
    <t>LEWISVILLE</t>
  </si>
  <si>
    <t>75067-3513</t>
  </si>
  <si>
    <t>7175 SPRING MOUNTAIN RD</t>
  </si>
  <si>
    <t>89117-3819</t>
  </si>
  <si>
    <t>2700 N SALISBURY BLVD</t>
  </si>
  <si>
    <t>SALISBURY</t>
  </si>
  <si>
    <t>21801-2143</t>
  </si>
  <si>
    <t>9500 JOLIET RD</t>
  </si>
  <si>
    <t>HODGKINS</t>
  </si>
  <si>
    <t>60525-4137</t>
  </si>
  <si>
    <t>2501- 32ND AVE. SOUTH</t>
  </si>
  <si>
    <t>GRAND FORKS</t>
  </si>
  <si>
    <t>58201-6542</t>
  </si>
  <si>
    <t>304 SHEEP DAVIS RD</t>
  </si>
  <si>
    <t>CONCORD</t>
  </si>
  <si>
    <t>03301-5736</t>
  </si>
  <si>
    <t>7001 PARK BLVD</t>
  </si>
  <si>
    <t>PINELLAS PARK</t>
  </si>
  <si>
    <t>33781-3032</t>
  </si>
  <si>
    <t>1050 OGDEN AVE.</t>
  </si>
  <si>
    <t>MONTGOMERY</t>
  </si>
  <si>
    <t>60538-0000</t>
  </si>
  <si>
    <t>15835 NORTH DALE MABRY</t>
  </si>
  <si>
    <t>TAMPA</t>
  </si>
  <si>
    <t>33618-1646</t>
  </si>
  <si>
    <t>4418 W WENDOVER AVE</t>
  </si>
  <si>
    <t>GREENSBORO</t>
  </si>
  <si>
    <t>27407-2600</t>
  </si>
  <si>
    <t>2021 W BRANDON BLVD</t>
  </si>
  <si>
    <t>BRANDON</t>
  </si>
  <si>
    <t>33511-4701</t>
  </si>
  <si>
    <t>3750 W MARKET ST UNIT J</t>
  </si>
  <si>
    <t>FAIRLAWN</t>
  </si>
  <si>
    <t>44333-4802</t>
  </si>
  <si>
    <t>900 N WALTON AVE</t>
  </si>
  <si>
    <t>YUBA CITY</t>
  </si>
  <si>
    <t>95993-8634</t>
  </si>
  <si>
    <t>1580 MILITARY ROAD</t>
  </si>
  <si>
    <t>NIAGARA FALLS</t>
  </si>
  <si>
    <t>14304-1521</t>
  </si>
  <si>
    <t>1070 N LEXINGTON SPRINGMILL RD</t>
  </si>
  <si>
    <t>ONTARIO</t>
  </si>
  <si>
    <t>44906-1121</t>
  </si>
  <si>
    <t>4201 RODEO RD</t>
  </si>
  <si>
    <t>SANTA FE</t>
  </si>
  <si>
    <t>87507-4837</t>
  </si>
  <si>
    <t>1940 MOUNTAIN INDUSTRIAL BLVD</t>
  </si>
  <si>
    <t>TUCKER</t>
  </si>
  <si>
    <t>30084-6619</t>
  </si>
  <si>
    <t>1000 KAMEHAMEHA HWY STE 100</t>
  </si>
  <si>
    <t>PEARL CITY</t>
  </si>
  <si>
    <t>96782-2596</t>
  </si>
  <si>
    <t>15700 NORTHLINE RD</t>
  </si>
  <si>
    <t>SOUTHGATE</t>
  </si>
  <si>
    <t>48195-2378</t>
  </si>
  <si>
    <t>4900 N 27TH ST</t>
  </si>
  <si>
    <t>68521-1194</t>
  </si>
  <si>
    <t>3540 E FRANKLIN BLVD</t>
  </si>
  <si>
    <t>GASTONIA</t>
  </si>
  <si>
    <t>28056-6297</t>
  </si>
  <si>
    <t>3536 HAMMONS BLVD</t>
  </si>
  <si>
    <t>JOPLIN</t>
  </si>
  <si>
    <t>64804-4451</t>
  </si>
  <si>
    <t>2190 N PARK DR</t>
  </si>
  <si>
    <t>HOLLAND</t>
  </si>
  <si>
    <t>49424-9595</t>
  </si>
  <si>
    <t>3415 N ROCK RD</t>
  </si>
  <si>
    <t>67226-1325</t>
  </si>
  <si>
    <t>2401 N US HIGHWAY 31 S</t>
  </si>
  <si>
    <t>TRAVERSE CITY</t>
  </si>
  <si>
    <t>49684-4520</t>
  </si>
  <si>
    <t>2575 GULF TO BAY BLVD</t>
  </si>
  <si>
    <t>CLEARWATER</t>
  </si>
  <si>
    <t>33765-4433</t>
  </si>
  <si>
    <t>2000 WESTVIEW BLVD</t>
  </si>
  <si>
    <t>CONROE</t>
  </si>
  <si>
    <t>77304-3561</t>
  </si>
  <si>
    <t>3310 N 4TH ST</t>
  </si>
  <si>
    <t>LONGVIEW</t>
  </si>
  <si>
    <t>75605-7954</t>
  </si>
  <si>
    <t>300 N GALLERIA DR</t>
  </si>
  <si>
    <t>MIDDLETOWN</t>
  </si>
  <si>
    <t>10941-3036</t>
  </si>
  <si>
    <t>1917 E MARKLAND AVE</t>
  </si>
  <si>
    <t>KOKOMO</t>
  </si>
  <si>
    <t>46901-6237</t>
  </si>
  <si>
    <t>4600 E 2ND ST</t>
  </si>
  <si>
    <t>CASPER</t>
  </si>
  <si>
    <t>WY</t>
  </si>
  <si>
    <t>82609-4224</t>
  </si>
  <si>
    <t>2919 MARKET PL</t>
  </si>
  <si>
    <t>SALINA</t>
  </si>
  <si>
    <t>67401-8598</t>
  </si>
  <si>
    <t>3410 55TH ST NW</t>
  </si>
  <si>
    <t>ROCHESTER</t>
  </si>
  <si>
    <t>55901-0123</t>
  </si>
  <si>
    <t>2950 HORSEBLOCK RD</t>
  </si>
  <si>
    <t>MEDFORD</t>
  </si>
  <si>
    <t>11763-2525</t>
  </si>
  <si>
    <t>12737 6 MILE RD</t>
  </si>
  <si>
    <t>BATTLE CREEK</t>
  </si>
  <si>
    <t>49014-8368</t>
  </si>
  <si>
    <t>1948 DELL RANGE BLVD</t>
  </si>
  <si>
    <t>CHEYENNE</t>
  </si>
  <si>
    <t>82009-4917</t>
  </si>
  <si>
    <t>830 COUNTY ROAD 64 STE 2</t>
  </si>
  <si>
    <t>ELMIRA</t>
  </si>
  <si>
    <t>14903-9716</t>
  </si>
  <si>
    <t>4201 S YORK ST</t>
  </si>
  <si>
    <t>SIOUX CITY</t>
  </si>
  <si>
    <t>51106-5126</t>
  </si>
  <si>
    <t>1500 HELEN POWER DR</t>
  </si>
  <si>
    <t>VACAVILLE</t>
  </si>
  <si>
    <t>95687-3506</t>
  </si>
  <si>
    <t>3535 RUSSETT GRN</t>
  </si>
  <si>
    <t>LAUREL</t>
  </si>
  <si>
    <t>20724-1810</t>
  </si>
  <si>
    <t>1401 SKYLAND BLVD E</t>
  </si>
  <si>
    <t>TUSCALOOSA</t>
  </si>
  <si>
    <t>35405-4229</t>
  </si>
  <si>
    <t>1211 CROSSING MEADOWS DR</t>
  </si>
  <si>
    <t>ONALASKA</t>
  </si>
  <si>
    <t>54650-8560</t>
  </si>
  <si>
    <t>3205 W STATE ROAD 45</t>
  </si>
  <si>
    <t>47403-5107</t>
  </si>
  <si>
    <t>4230 JOHN BEN SHEPPERD PKWY</t>
  </si>
  <si>
    <t>ODESSA</t>
  </si>
  <si>
    <t>79762-8153</t>
  </si>
  <si>
    <t>579 TROY SCHENECTADY RD</t>
  </si>
  <si>
    <t>LATHAM</t>
  </si>
  <si>
    <t>12110-2806</t>
  </si>
  <si>
    <t>4600 US HIGHWAY 98 N</t>
  </si>
  <si>
    <t>33809-3603</t>
  </si>
  <si>
    <t>2811 N PARK DR</t>
  </si>
  <si>
    <t>GOLDSBORO</t>
  </si>
  <si>
    <t>27534-7485</t>
  </si>
  <si>
    <t>2450 MAIN ST</t>
  </si>
  <si>
    <t>EVANSTON</t>
  </si>
  <si>
    <t>60202-1548</t>
  </si>
  <si>
    <t>17700 MURDOCK CIR</t>
  </si>
  <si>
    <t>PORT CHARLOTTE</t>
  </si>
  <si>
    <t>33948-1054</t>
  </si>
  <si>
    <t>4330 US 19</t>
  </si>
  <si>
    <t>NEW PORT RICHEY</t>
  </si>
  <si>
    <t>34652-5441</t>
  </si>
  <si>
    <t>3550 JAMES SANDERS BLVD</t>
  </si>
  <si>
    <t>PADUCAH</t>
  </si>
  <si>
    <t>42001-9159</t>
  </si>
  <si>
    <t>5375 N BEND RD</t>
  </si>
  <si>
    <t>CINCINNATI</t>
  </si>
  <si>
    <t>45247-7601</t>
  </si>
  <si>
    <t>645 PATTON AVE</t>
  </si>
  <si>
    <t>ASHEVILLE</t>
  </si>
  <si>
    <t>28806-3834</t>
  </si>
  <si>
    <t>9700 N CAPITAL OF TX HWY</t>
  </si>
  <si>
    <t>78759-5819</t>
  </si>
  <si>
    <t>22500 W 8 MILE RD</t>
  </si>
  <si>
    <t>SOUTHFIELD</t>
  </si>
  <si>
    <t>48033-4365</t>
  </si>
  <si>
    <t>2401 N ROSE AVE</t>
  </si>
  <si>
    <t>OXNARD</t>
  </si>
  <si>
    <t>93036-0602</t>
  </si>
  <si>
    <t>7 CONSUMER SQ</t>
  </si>
  <si>
    <t>PLATTSBURGH</t>
  </si>
  <si>
    <t>12901-6508</t>
  </si>
  <si>
    <t>2500 MOUNTAINEER BLVD</t>
  </si>
  <si>
    <t>SOUTH CHARLESTON</t>
  </si>
  <si>
    <t>25309-9438</t>
  </si>
  <si>
    <t>3912 WARDS RD</t>
  </si>
  <si>
    <t>LYNCHBURG</t>
  </si>
  <si>
    <t>24502-2942</t>
  </si>
  <si>
    <t>2500 PLANK ROAD COMMONS</t>
  </si>
  <si>
    <t>ALTOONA</t>
  </si>
  <si>
    <t>16601-9327</t>
  </si>
  <si>
    <t>1510 N DIERS AVE</t>
  </si>
  <si>
    <t>GRAND ISLAND</t>
  </si>
  <si>
    <t>68803-1231</t>
  </si>
  <si>
    <t>45 MARKETPLACE DR</t>
  </si>
  <si>
    <t>AUGUSTA</t>
  </si>
  <si>
    <t>04330-8037</t>
  </si>
  <si>
    <t>3812 LIBERTY HWY STE 6</t>
  </si>
  <si>
    <t>ANDERSON</t>
  </si>
  <si>
    <t>29621-1344</t>
  </si>
  <si>
    <t>101 W OAKTON ST</t>
  </si>
  <si>
    <t>DES PLAINES</t>
  </si>
  <si>
    <t>60018-1834</t>
  </si>
  <si>
    <t>9202 N NAVARRO ST</t>
  </si>
  <si>
    <t>VICTORIA</t>
  </si>
  <si>
    <t>77904-1435</t>
  </si>
  <si>
    <t>3221 MANAWA CENTRE DRIVE</t>
  </si>
  <si>
    <t>COUNCIL BLUFFS</t>
  </si>
  <si>
    <t>51501-7672</t>
  </si>
  <si>
    <t>2100 MAPLEWOOD COMMONS DR</t>
  </si>
  <si>
    <t>MAPLEWOOD</t>
  </si>
  <si>
    <t>63143-1015</t>
  </si>
  <si>
    <t>232 SHIRLEY DR</t>
  </si>
  <si>
    <t>CAPE GIRARDEAU</t>
  </si>
  <si>
    <t>63701-8478</t>
  </si>
  <si>
    <t>5555 S BUCKNER BLVD</t>
  </si>
  <si>
    <t>75228-6101</t>
  </si>
  <si>
    <t>16100 HARLEM AVE</t>
  </si>
  <si>
    <t>TINLEY PARK</t>
  </si>
  <si>
    <t>60477-1614</t>
  </si>
  <si>
    <t>1006 ROHLWING RD</t>
  </si>
  <si>
    <t>ADDISON</t>
  </si>
  <si>
    <t>60101-1034</t>
  </si>
  <si>
    <t>603 RIVER OAKS W</t>
  </si>
  <si>
    <t>CALUMET CITY</t>
  </si>
  <si>
    <t>60409-5408</t>
  </si>
  <si>
    <t>125 JOHN R RICE BLVD</t>
  </si>
  <si>
    <t>MURFREESBORO</t>
  </si>
  <si>
    <t>37129-4165</t>
  </si>
  <si>
    <t>7001 GATEWAY BLVD W</t>
  </si>
  <si>
    <t>79925-5603</t>
  </si>
  <si>
    <t>6080 U S HIGHWAY 98</t>
  </si>
  <si>
    <t>HATTIESBURG</t>
  </si>
  <si>
    <t>39402-8854</t>
  </si>
  <si>
    <t>849 STONERIDGE PARKWAY</t>
  </si>
  <si>
    <t>JEFFERSON CITY</t>
  </si>
  <si>
    <t>65109-0000</t>
  </si>
  <si>
    <t>1201 N WESTOVER BLVD</t>
  </si>
  <si>
    <t>ALBANY</t>
  </si>
  <si>
    <t>31707-6600</t>
  </si>
  <si>
    <t>2120 EMPORIUM DR</t>
  </si>
  <si>
    <t>JACKSON</t>
  </si>
  <si>
    <t>38305-6004</t>
  </si>
  <si>
    <t>2550 REDMOND CIR NW</t>
  </si>
  <si>
    <t>ROME</t>
  </si>
  <si>
    <t>30165-1913</t>
  </si>
  <si>
    <t>1831 E MADISON AVE</t>
  </si>
  <si>
    <t>MANKATO</t>
  </si>
  <si>
    <t>56001-5449</t>
  </si>
  <si>
    <t>3315 LG HIGHWAY</t>
  </si>
  <si>
    <t>37040-5507</t>
  </si>
  <si>
    <t>210 E TOWER PARK DR</t>
  </si>
  <si>
    <t>WATERLOO</t>
  </si>
  <si>
    <t>50701-9320</t>
  </si>
  <si>
    <t>3446 PENTAGON BLVD</t>
  </si>
  <si>
    <t>BEAVERCREEK</t>
  </si>
  <si>
    <t>45431-1704</t>
  </si>
  <si>
    <t>21483 MARKET CENTER</t>
  </si>
  <si>
    <t>BRISTOL</t>
  </si>
  <si>
    <t>24202-5963</t>
  </si>
  <si>
    <t>5565 20TH ST</t>
  </si>
  <si>
    <t>VERO BEACH</t>
  </si>
  <si>
    <t>32966-4632</t>
  </si>
  <si>
    <t>2174 MARTIN LUTHER KING JR BLVD</t>
  </si>
  <si>
    <t>HOUMA</t>
  </si>
  <si>
    <t>70360-2275</t>
  </si>
  <si>
    <t>15100 S SAN PEDRO ST</t>
  </si>
  <si>
    <t>GARDENA</t>
  </si>
  <si>
    <t>90248-2316</t>
  </si>
  <si>
    <t>735 SOUTHPARK BLVD</t>
  </si>
  <si>
    <t>COLONIAL HEIGHTS</t>
  </si>
  <si>
    <t>23834-3605</t>
  </si>
  <si>
    <t>10444 N MALL DR</t>
  </si>
  <si>
    <t>BATON ROUGE</t>
  </si>
  <si>
    <t>70809-4835</t>
  </si>
  <si>
    <t>815 CLEPPER LN</t>
  </si>
  <si>
    <t>45245-1535</t>
  </si>
  <si>
    <t>381 BENNER PIKE</t>
  </si>
  <si>
    <t>STATE COLLEGE</t>
  </si>
  <si>
    <t>16801-7304</t>
  </si>
  <si>
    <t>226200 RIB MOUNTAIN DR</t>
  </si>
  <si>
    <t>WAUSAU</t>
  </si>
  <si>
    <t>54401-7483</t>
  </si>
  <si>
    <t>901 AIRPORT CENTER DR</t>
  </si>
  <si>
    <t>ALLENTOWN</t>
  </si>
  <si>
    <t>18109-9384</t>
  </si>
  <si>
    <t>21341 SAM'S DR</t>
  </si>
  <si>
    <t>WATERTOWN</t>
  </si>
  <si>
    <t>13601-5508</t>
  </si>
  <si>
    <t>8909 JW CLAY BLVD</t>
  </si>
  <si>
    <t>CHARLOTTE</t>
  </si>
  <si>
    <t>28262-5415</t>
  </si>
  <si>
    <t>611 LYCOMING MALL CIR</t>
  </si>
  <si>
    <t>MUNCY</t>
  </si>
  <si>
    <t>17756-1826</t>
  </si>
  <si>
    <t>412 EAGLERIDGE BLVD</t>
  </si>
  <si>
    <t>PUEBLO</t>
  </si>
  <si>
    <t>81008-2100</t>
  </si>
  <si>
    <t>50555 VALLEY PLAZA DR</t>
  </si>
  <si>
    <t>SAINT CLAIRSVILLE</t>
  </si>
  <si>
    <t>43950-1757</t>
  </si>
  <si>
    <t>1707 E SHERMAN BLVD</t>
  </si>
  <si>
    <t>MUSKEGON</t>
  </si>
  <si>
    <t>49444-1862</t>
  </si>
  <si>
    <t>925 EGLIN ST</t>
  </si>
  <si>
    <t>RAPID CITY</t>
  </si>
  <si>
    <t>SD</t>
  </si>
  <si>
    <t>57701-6962</t>
  </si>
  <si>
    <t>3796 EASTON NAZARETH HWY</t>
  </si>
  <si>
    <t>EASTON</t>
  </si>
  <si>
    <t>18045-8340</t>
  </si>
  <si>
    <t>305 AIRPORT RD</t>
  </si>
  <si>
    <t>AMES</t>
  </si>
  <si>
    <t>50010-8205</t>
  </si>
  <si>
    <t>601 COMMERCE DR</t>
  </si>
  <si>
    <t>BLUEFIELD</t>
  </si>
  <si>
    <t>24605-9221</t>
  </si>
  <si>
    <t>3001 CALVARY DR</t>
  </si>
  <si>
    <t>RALEIGH</t>
  </si>
  <si>
    <t>27604-2801</t>
  </si>
  <si>
    <t>200 N BELTLINE DR</t>
  </si>
  <si>
    <t>FLORENCE</t>
  </si>
  <si>
    <t>29501-7403</t>
  </si>
  <si>
    <t>2920 KNOXVILLE CENTER DR</t>
  </si>
  <si>
    <t>KNOXVILLE</t>
  </si>
  <si>
    <t>37924-2013</t>
  </si>
  <si>
    <t>1170 WESTERN BLVD</t>
  </si>
  <si>
    <t>28546-6651</t>
  </si>
  <si>
    <t>249 SUMMIT PARK DR</t>
  </si>
  <si>
    <t>PITTSBURGH</t>
  </si>
  <si>
    <t>15275-1221</t>
  </si>
  <si>
    <t>921 VIEWMONT DR</t>
  </si>
  <si>
    <t>SCRANTON DICKSON CITY</t>
  </si>
  <si>
    <t>18519-1663</t>
  </si>
  <si>
    <t>14 BLUFFTON ROAD</t>
  </si>
  <si>
    <t>BLUFFTON</t>
  </si>
  <si>
    <t>29910-7621</t>
  </si>
  <si>
    <t>1851 E BUTLER AVE</t>
  </si>
  <si>
    <t>FLAGSTAFF</t>
  </si>
  <si>
    <t>86001-5911</t>
  </si>
  <si>
    <t>1225 N GILBERT RD</t>
  </si>
  <si>
    <t>85234-2306</t>
  </si>
  <si>
    <t>8340 W MCDOWELL RD</t>
  </si>
  <si>
    <t>PHOENIX</t>
  </si>
  <si>
    <t>85037-4101</t>
  </si>
  <si>
    <t>1525 W BELL RD</t>
  </si>
  <si>
    <t>85023-3411</t>
  </si>
  <si>
    <t>34220 MONTEREY AVE</t>
  </si>
  <si>
    <t>PALM DESERT</t>
  </si>
  <si>
    <t>92211-2096</t>
  </si>
  <si>
    <t>3951 GRAND AVE</t>
  </si>
  <si>
    <t>CHINO</t>
  </si>
  <si>
    <t>91710-5429</t>
  </si>
  <si>
    <t>1225 CONCORD AVE</t>
  </si>
  <si>
    <t>94520-4940</t>
  </si>
  <si>
    <t>7480 CARSON BLVD</t>
  </si>
  <si>
    <t>LONG BEACH</t>
  </si>
  <si>
    <t>90808-2362</t>
  </si>
  <si>
    <t>4901 SANTA ANITA AVE</t>
  </si>
  <si>
    <t>EL MONTE</t>
  </si>
  <si>
    <t>91731-1415</t>
  </si>
  <si>
    <t>17099 BROOKHURST ST</t>
  </si>
  <si>
    <t>FOUNTAIN VALLEY</t>
  </si>
  <si>
    <t>92708-3601</t>
  </si>
  <si>
    <t>603 S PLACENTIA AVE</t>
  </si>
  <si>
    <t>FULLERTON</t>
  </si>
  <si>
    <t>92831-5112</t>
  </si>
  <si>
    <t>1399 W ARTESIA BLVD</t>
  </si>
  <si>
    <t>90248-3363</t>
  </si>
  <si>
    <t>951 N MILLIKEN AVE</t>
  </si>
  <si>
    <t>91764-5008</t>
  </si>
  <si>
    <t>2495 IRON PT RD 11</t>
  </si>
  <si>
    <t>FOLSOM</t>
  </si>
  <si>
    <t>95630-8710</t>
  </si>
  <si>
    <t>904 PLEASANT GROVE BLVD</t>
  </si>
  <si>
    <t>ROSEVILLE</t>
  </si>
  <si>
    <t>95678-6126</t>
  </si>
  <si>
    <t>8250 POWER INN RD</t>
  </si>
  <si>
    <t>SACRAMENTO</t>
  </si>
  <si>
    <t>95828-6760</t>
  </si>
  <si>
    <t>1055 HARRIMAN PL</t>
  </si>
  <si>
    <t>SAN BERNARDINO</t>
  </si>
  <si>
    <t>92408-4203</t>
  </si>
  <si>
    <t>5871 FIRESTONE BLVD</t>
  </si>
  <si>
    <t>SOUTH GATE</t>
  </si>
  <si>
    <t>90280-3705</t>
  </si>
  <si>
    <t>2601 SKYPARK DR</t>
  </si>
  <si>
    <t>TORRANCE</t>
  </si>
  <si>
    <t>90505-5313</t>
  </si>
  <si>
    <t>7370 W 52ND AVE</t>
  </si>
  <si>
    <t>ARVADA</t>
  </si>
  <si>
    <t>80002-3708</t>
  </si>
  <si>
    <t>880 S ABILENE ST</t>
  </si>
  <si>
    <t>80012-3684</t>
  </si>
  <si>
    <t>505 S BROADWAY</t>
  </si>
  <si>
    <t>80209-4093</t>
  </si>
  <si>
    <t>4700 BOARDWALK DR</t>
  </si>
  <si>
    <t>FORT COLLINS</t>
  </si>
  <si>
    <t>80525-3729</t>
  </si>
  <si>
    <t>7817 PARK MEADOWS DR</t>
  </si>
  <si>
    <t>LONE TREE</t>
  </si>
  <si>
    <t>80124-2547</t>
  </si>
  <si>
    <t>4827 S WADSWORTH WAY</t>
  </si>
  <si>
    <t>LITTLETON</t>
  </si>
  <si>
    <t>80123-1846</t>
  </si>
  <si>
    <t>3465 BERLIN TURN PIKE</t>
  </si>
  <si>
    <t>NEWINGTON</t>
  </si>
  <si>
    <t>CT</t>
  </si>
  <si>
    <t>06111-5106</t>
  </si>
  <si>
    <t>950 N UNIVERSITY DR</t>
  </si>
  <si>
    <t>CORAL SPRINGS</t>
  </si>
  <si>
    <t>33071-7029</t>
  </si>
  <si>
    <t>2901 CLAIRMONT RD NE</t>
  </si>
  <si>
    <t>ATLANTA</t>
  </si>
  <si>
    <t>30329-1639</t>
  </si>
  <si>
    <t>3839 MUNDY MILL RD</t>
  </si>
  <si>
    <t>OAKWOOD</t>
  </si>
  <si>
    <t>30566-3415</t>
  </si>
  <si>
    <t>10600 DAVIS DR</t>
  </si>
  <si>
    <t>ALPHARETTA</t>
  </si>
  <si>
    <t>30009-4746</t>
  </si>
  <si>
    <t>6410 PETRIE WAY</t>
  </si>
  <si>
    <t>BALTIMORE</t>
  </si>
  <si>
    <t>21237-3034</t>
  </si>
  <si>
    <t>5702 BALT NATNL PIKE</t>
  </si>
  <si>
    <t>CATONSVILLE</t>
  </si>
  <si>
    <t>21228-1306</t>
  </si>
  <si>
    <t>5604 BUCKEYSTOWN PIKE</t>
  </si>
  <si>
    <t>FREDERICK</t>
  </si>
  <si>
    <t>21704-8312</t>
  </si>
  <si>
    <t>610 N FREDERICK AVE</t>
  </si>
  <si>
    <t>GAITHERSBURG</t>
  </si>
  <si>
    <t>20877-2527</t>
  </si>
  <si>
    <t>2365 CRAIN HWY</t>
  </si>
  <si>
    <t>WALDORF</t>
  </si>
  <si>
    <t>20601-3167</t>
  </si>
  <si>
    <t>27300 WIXOM RD</t>
  </si>
  <si>
    <t>NOVI</t>
  </si>
  <si>
    <t>48374-1120</t>
  </si>
  <si>
    <t>3600 ONEIL DR</t>
  </si>
  <si>
    <t>49202-1857</t>
  </si>
  <si>
    <t>31020 JOHN R RD</t>
  </si>
  <si>
    <t>MADISON HEIGHTS</t>
  </si>
  <si>
    <t>48071-1908</t>
  </si>
  <si>
    <t>1237 32ND ST</t>
  </si>
  <si>
    <t>PORT HURON</t>
  </si>
  <si>
    <t>48060-7323</t>
  </si>
  <si>
    <t>7021 S WESTNEDGE AVE</t>
  </si>
  <si>
    <t>PORTAGE</t>
  </si>
  <si>
    <t>49002-4206</t>
  </si>
  <si>
    <t>31720 GRATIOT AVE</t>
  </si>
  <si>
    <t>48066-4554</t>
  </si>
  <si>
    <t>5656 BAY RD</t>
  </si>
  <si>
    <t>SAGINAW</t>
  </si>
  <si>
    <t>48604-2510</t>
  </si>
  <si>
    <t>45600 UTICA PARK BLVD</t>
  </si>
  <si>
    <t>UTICA</t>
  </si>
  <si>
    <t>48315-5917</t>
  </si>
  <si>
    <t>39800 FORD RD</t>
  </si>
  <si>
    <t>48187-4312</t>
  </si>
  <si>
    <t>5450 CARPENTER RD</t>
  </si>
  <si>
    <t>YPSILANTI</t>
  </si>
  <si>
    <t>48197-9019</t>
  </si>
  <si>
    <t>2000 CLEMENTS BRG RD STE 116</t>
  </si>
  <si>
    <t>DEPTFORD</t>
  </si>
  <si>
    <t>08096-2016</t>
  </si>
  <si>
    <t>320 W MAIN ST</t>
  </si>
  <si>
    <t>FREEHOLD</t>
  </si>
  <si>
    <t>07728-2524</t>
  </si>
  <si>
    <t>300 EUBANK BLVD NE</t>
  </si>
  <si>
    <t>87123-2755</t>
  </si>
  <si>
    <t>3735 UNION RD</t>
  </si>
  <si>
    <t>CHEEKTOWAGA</t>
  </si>
  <si>
    <t>14225-4200</t>
  </si>
  <si>
    <t>333 SAW MILL RIVER RD</t>
  </si>
  <si>
    <t>ELMSFORD</t>
  </si>
  <si>
    <t>10523-1516</t>
  </si>
  <si>
    <t>7200 PEACH ST</t>
  </si>
  <si>
    <t>ERIE</t>
  </si>
  <si>
    <t>16509-4754</t>
  </si>
  <si>
    <t>3925 WELSH RD</t>
  </si>
  <si>
    <t>WILLOW GROVE</t>
  </si>
  <si>
    <t>19090-2900</t>
  </si>
  <si>
    <t>3621 WILLIAM PENN HWY</t>
  </si>
  <si>
    <t>MONROEVILLE</t>
  </si>
  <si>
    <t>15146-2123</t>
  </si>
  <si>
    <t>289 MT. NEBO POINT DRIVE</t>
  </si>
  <si>
    <t>15237-1313</t>
  </si>
  <si>
    <t>2251 CENTURY DR</t>
  </si>
  <si>
    <t>WEST MIFFLIN</t>
  </si>
  <si>
    <t>15122-2465</t>
  </si>
  <si>
    <t>1055 W HILL FIELD RD</t>
  </si>
  <si>
    <t>LAYTON</t>
  </si>
  <si>
    <t>84041-4614</t>
  </si>
  <si>
    <t>6525 S STATE ST</t>
  </si>
  <si>
    <t>MURRAY</t>
  </si>
  <si>
    <t>84107-7218</t>
  </si>
  <si>
    <t>4949 S 900 W</t>
  </si>
  <si>
    <t>RIVERDALE</t>
  </si>
  <si>
    <t>84405-3777</t>
  </si>
  <si>
    <t>1313 S UNIVERSITY AVE</t>
  </si>
  <si>
    <t>PROVO</t>
  </si>
  <si>
    <t>84601-5943</t>
  </si>
  <si>
    <t>1905 SOUTH 300 WEST</t>
  </si>
  <si>
    <t>SALT LAKE CITY</t>
  </si>
  <si>
    <t>84115-1806</t>
  </si>
  <si>
    <t>4701 N STONE AVE</t>
  </si>
  <si>
    <t>TUCSON</t>
  </si>
  <si>
    <t>85704-5700</t>
  </si>
  <si>
    <t>1717 E LINCOLN HWY</t>
  </si>
  <si>
    <t>LANGHORNE</t>
  </si>
  <si>
    <t>19047-3043</t>
  </si>
  <si>
    <t>1705 SOUTH BROADWAY AVENUE</t>
  </si>
  <si>
    <t>MOORE</t>
  </si>
  <si>
    <t>73160-0000</t>
  </si>
  <si>
    <t>201 GOLDEN TRIANGLE BLVD</t>
  </si>
  <si>
    <t>KELLER</t>
  </si>
  <si>
    <t>76248-4484</t>
  </si>
  <si>
    <t>22402 BELLAIRE BLVD</t>
  </si>
  <si>
    <t>77407-0000</t>
  </si>
  <si>
    <t>11460 ROYALL COTTON ROAD</t>
  </si>
  <si>
    <t>WAKE FOREST</t>
  </si>
  <si>
    <t>27587-0000</t>
  </si>
  <si>
    <t>4625 SE DELAWARE AVENUE</t>
  </si>
  <si>
    <t>ANKENY</t>
  </si>
  <si>
    <t>50021-0000</t>
  </si>
  <si>
    <t>4101 NORTH MAY AVENUE</t>
  </si>
  <si>
    <t>73112-0000</t>
  </si>
  <si>
    <t>11700 MIRAMAR PARKWAY</t>
  </si>
  <si>
    <t>MIRAMAR</t>
  </si>
  <si>
    <t>33025-0000</t>
  </si>
  <si>
    <t>10100 CANAL CROSSING</t>
  </si>
  <si>
    <t>BRUNSWICK</t>
  </si>
  <si>
    <t>31525-0000</t>
  </si>
  <si>
    <t>600 WILLARD HAGAN DR</t>
  </si>
  <si>
    <t>LEBANON</t>
  </si>
  <si>
    <t>37090-0000</t>
  </si>
  <si>
    <t>8952 WESTGATE PARKWAY WEST</t>
  </si>
  <si>
    <t>AMARILLO</t>
  </si>
  <si>
    <t>79124-0000</t>
  </si>
  <si>
    <t>16150 GOLDEN VLY PKWY</t>
  </si>
  <si>
    <t>LATHROP</t>
  </si>
  <si>
    <t>95330-0000</t>
  </si>
  <si>
    <t>11000 COLONIAL BLVD</t>
  </si>
  <si>
    <t>FORT MYERS</t>
  </si>
  <si>
    <t>33913-0000</t>
  </si>
  <si>
    <t>4545 S MOONEY BLVD</t>
  </si>
  <si>
    <t>VISALIA</t>
  </si>
  <si>
    <t>93277-0000</t>
  </si>
  <si>
    <t>601 E I65 SERVICE RD S</t>
  </si>
  <si>
    <t>MOBILE</t>
  </si>
  <si>
    <t>36606-3901</t>
  </si>
  <si>
    <t>900 S BOWMAN RD</t>
  </si>
  <si>
    <t>LITTLE ROCK</t>
  </si>
  <si>
    <t>72211-3617</t>
  </si>
  <si>
    <t>1080 EASTERN BLVD</t>
  </si>
  <si>
    <t>36117-1919</t>
  </si>
  <si>
    <t>2235 NATIONAL BLVD SW</t>
  </si>
  <si>
    <t>35803-2197</t>
  </si>
  <si>
    <t>1401 ALLIANT AVE</t>
  </si>
  <si>
    <t>JEFFERSONTOWN</t>
  </si>
  <si>
    <t>40299-6372</t>
  </si>
  <si>
    <t>6101 LEE HWY</t>
  </si>
  <si>
    <t>CHATTANOOGA</t>
  </si>
  <si>
    <t>37421-2932</t>
  </si>
  <si>
    <t>3222 AMBASSADOR CAFFERY PKWY</t>
  </si>
  <si>
    <t>LAFAYETTE</t>
  </si>
  <si>
    <t>70506-7208</t>
  </si>
  <si>
    <t>280 BOBBY JONES EXPY</t>
  </si>
  <si>
    <t>30907-2433</t>
  </si>
  <si>
    <t>10690 BEACH BLVD</t>
  </si>
  <si>
    <t>32246-3655</t>
  </si>
  <si>
    <t>1900 W MEMORIAL RD</t>
  </si>
  <si>
    <t>73134-6504</t>
  </si>
  <si>
    <t>1250 AIRPORT BLVD</t>
  </si>
  <si>
    <t>PENSACOLA</t>
  </si>
  <si>
    <t>32504-8610</t>
  </si>
  <si>
    <t>3122 DICK WILSON BLVD</t>
  </si>
  <si>
    <t>TALLAHASSEE</t>
  </si>
  <si>
    <t>32301-5137</t>
  </si>
  <si>
    <t>6700 E VIRGINIA ST</t>
  </si>
  <si>
    <t>EVANSVILLE</t>
  </si>
  <si>
    <t>47715-4034</t>
  </si>
  <si>
    <t>10735 W FLORISSANT AVE</t>
  </si>
  <si>
    <t>63136-2403</t>
  </si>
  <si>
    <t>3570 W ALTON GLOOR BLVD</t>
  </si>
  <si>
    <t>BROWNSVILLE</t>
  </si>
  <si>
    <t>78520-9286</t>
  </si>
  <si>
    <t>4100 W WILLOW KNOLLS DR</t>
  </si>
  <si>
    <t>PEORIA</t>
  </si>
  <si>
    <t>61615-4405</t>
  </si>
  <si>
    <t>412 S COLLEGE RD</t>
  </si>
  <si>
    <t>WILMINGTON</t>
  </si>
  <si>
    <t>28403-1715</t>
  </si>
  <si>
    <t>5170 S CLEVELAND AVE</t>
  </si>
  <si>
    <t>33907-2142</t>
  </si>
  <si>
    <t>800 KEMPER COMMONS CIR</t>
  </si>
  <si>
    <t>45246-2544</t>
  </si>
  <si>
    <t>4949 HOUSTON RD</t>
  </si>
  <si>
    <t>41042-1365</t>
  </si>
  <si>
    <t>7700 ROGERS AVE</t>
  </si>
  <si>
    <t>FORT SMITH</t>
  </si>
  <si>
    <t>72903-5542</t>
  </si>
  <si>
    <t>4350 S US HIGHWAY 41</t>
  </si>
  <si>
    <t>TERRE HAUTE</t>
  </si>
  <si>
    <t>47802-4407</t>
  </si>
  <si>
    <t>1111 MIAMISBURG CENTERVILLE RD</t>
  </si>
  <si>
    <t>WASHINGTON TOWNSHIP</t>
  </si>
  <si>
    <t>45459-6713</t>
  </si>
  <si>
    <t>1460 CORNERSTONE BLVD.</t>
  </si>
  <si>
    <t>DAYTONA BEACH</t>
  </si>
  <si>
    <t>32117-7104</t>
  </si>
  <si>
    <t>1300 E MALL DR</t>
  </si>
  <si>
    <t>43528-8467</t>
  </si>
  <si>
    <t>4255 W NEW HAVEN AVE</t>
  </si>
  <si>
    <t>MELBOURNE</t>
  </si>
  <si>
    <t>32904-3317</t>
  </si>
  <si>
    <t>200 PEACHWOOD CENTRE DR</t>
  </si>
  <si>
    <t>SPARTANBURG</t>
  </si>
  <si>
    <t>29301-2586</t>
  </si>
  <si>
    <t>1025 BLACK HORSE PIKE</t>
  </si>
  <si>
    <t>PLEASANTVILLE</t>
  </si>
  <si>
    <t>08232-4103</t>
  </si>
  <si>
    <t>2521 ROUTE 130 S</t>
  </si>
  <si>
    <t>CINNAMINSON</t>
  </si>
  <si>
    <t>08077-3018</t>
  </si>
  <si>
    <t>13130 L ST</t>
  </si>
  <si>
    <t>OMAHA</t>
  </si>
  <si>
    <t>68137-1866</t>
  </si>
  <si>
    <t>1200 E EISENHOWER BLVD</t>
  </si>
  <si>
    <t>LOVELAND</t>
  </si>
  <si>
    <t>80537-3924</t>
  </si>
  <si>
    <t>2470 W MASON ST</t>
  </si>
  <si>
    <t>GREEN BAY</t>
  </si>
  <si>
    <t>54303-4711</t>
  </si>
  <si>
    <t>10900 S US HIGHWAY 1</t>
  </si>
  <si>
    <t>34952-6406</t>
  </si>
  <si>
    <t>1707 W 23RD ST</t>
  </si>
  <si>
    <t>PANAMA CITY</t>
  </si>
  <si>
    <t>32405-2916</t>
  </si>
  <si>
    <t>432 PRIVATE DRIVE 288</t>
  </si>
  <si>
    <t>SOUTH POINT</t>
  </si>
  <si>
    <t>45680-7900</t>
  </si>
  <si>
    <t>7970 N MESA ST</t>
  </si>
  <si>
    <t>79932-1626</t>
  </si>
  <si>
    <t>4001 SW 30TH PL</t>
  </si>
  <si>
    <t>GAINESVILLE</t>
  </si>
  <si>
    <t>32608-1907</t>
  </si>
  <si>
    <t>4810 SAN BERNARDO AVE</t>
  </si>
  <si>
    <t>LAREDO</t>
  </si>
  <si>
    <t>78041-5710</t>
  </si>
  <si>
    <t>4295 45TH ST</t>
  </si>
  <si>
    <t>WEST PALM BEACH</t>
  </si>
  <si>
    <t>33407-1859</t>
  </si>
  <si>
    <t>9464 MAIN STREET</t>
  </si>
  <si>
    <t>WOODSTOCK</t>
  </si>
  <si>
    <t>30188-0000</t>
  </si>
  <si>
    <t>5314 ALLENTOWN PIKE</t>
  </si>
  <si>
    <t>19560-1249</t>
  </si>
  <si>
    <t>2801 E MARKET ST</t>
  </si>
  <si>
    <t>YORK</t>
  </si>
  <si>
    <t>17402-2406</t>
  </si>
  <si>
    <t>2605 BLAIRS FERRY RD NE</t>
  </si>
  <si>
    <t>CEDAR RAPIDS</t>
  </si>
  <si>
    <t>52402-1802</t>
  </si>
  <si>
    <t>101 CONLEY RD</t>
  </si>
  <si>
    <t>65201-6465</t>
  </si>
  <si>
    <t>600 N SPRINGDALE RD</t>
  </si>
  <si>
    <t>WAUKESHA</t>
  </si>
  <si>
    <t>53186-1815</t>
  </si>
  <si>
    <t>3201 S LOUISE AVE</t>
  </si>
  <si>
    <t>SIOUX FALLS</t>
  </si>
  <si>
    <t>57106-0704</t>
  </si>
  <si>
    <t>3450 STEVE REYNOLDS BLVD</t>
  </si>
  <si>
    <t>DULUTH</t>
  </si>
  <si>
    <t>30096-4510</t>
  </si>
  <si>
    <t>6705 S 27TH ST</t>
  </si>
  <si>
    <t>53132-9430</t>
  </si>
  <si>
    <t>7245 E 96TH STREET</t>
  </si>
  <si>
    <t>46250-3308</t>
  </si>
  <si>
    <t>3819 SOUTH STREET</t>
  </si>
  <si>
    <t>47905-4872</t>
  </si>
  <si>
    <t>4831 13TH AVE S</t>
  </si>
  <si>
    <t>FARGO</t>
  </si>
  <si>
    <t>58103-7206</t>
  </si>
  <si>
    <t>1900 S UNIVERSITY DR</t>
  </si>
  <si>
    <t>33025-2230</t>
  </si>
  <si>
    <t>3134 E 79TH AVE</t>
  </si>
  <si>
    <t>MERRILLVILLE</t>
  </si>
  <si>
    <t>46410-5738</t>
  </si>
  <si>
    <t>6781 GRAYSON RD</t>
  </si>
  <si>
    <t>HARRISBURG</t>
  </si>
  <si>
    <t>17111-5138</t>
  </si>
  <si>
    <t>1401 SW WANAMAKER RD</t>
  </si>
  <si>
    <t>TOPEKA</t>
  </si>
  <si>
    <t>66604-3869</t>
  </si>
  <si>
    <t>5101 S PECOS RD</t>
  </si>
  <si>
    <t>89120-1269</t>
  </si>
  <si>
    <t>2709 WALTON WAY</t>
  </si>
  <si>
    <t>MARION</t>
  </si>
  <si>
    <t>62959-4901</t>
  </si>
  <si>
    <t>3805 NORTH BLVD</t>
  </si>
  <si>
    <t>ALEXANDRIA</t>
  </si>
  <si>
    <t>71301-3563</t>
  </si>
  <si>
    <t>13455 MANCHESTER RD</t>
  </si>
  <si>
    <t>63131-1711</t>
  </si>
  <si>
    <t>207 COUNTY ROAD 120</t>
  </si>
  <si>
    <t>SAINT CLOUD</t>
  </si>
  <si>
    <t>56303-4872</t>
  </si>
  <si>
    <t>6570 GRAND AVE</t>
  </si>
  <si>
    <t>GURNEE</t>
  </si>
  <si>
    <t>60031-1621</t>
  </si>
  <si>
    <t>4001 GATEWAY DR</t>
  </si>
  <si>
    <t>EAU CLAIRE</t>
  </si>
  <si>
    <t>54701-8134</t>
  </si>
  <si>
    <t>440 PAYNE RD</t>
  </si>
  <si>
    <t>SCARBOROUGH</t>
  </si>
  <si>
    <t>04074-8928</t>
  </si>
  <si>
    <t>TBA.</t>
  </si>
  <si>
    <t>DAVENPORT</t>
  </si>
  <si>
    <t>33837-0000</t>
  </si>
  <si>
    <t>1063 E NEW CIRCLE RD</t>
  </si>
  <si>
    <t>LEXINGTON</t>
  </si>
  <si>
    <t>40505-4116</t>
  </si>
  <si>
    <t>200 EMILY DR</t>
  </si>
  <si>
    <t>CLARKSBURG</t>
  </si>
  <si>
    <t>26301-5500</t>
  </si>
  <si>
    <t>6614 GULF FREEWAY</t>
  </si>
  <si>
    <t>LA MARQUE</t>
  </si>
  <si>
    <t>77568-3096</t>
  </si>
  <si>
    <t>441 WILKES BARRE TOWNSHIP BLVD</t>
  </si>
  <si>
    <t>WILKES BARRE</t>
  </si>
  <si>
    <t>18702-6603</t>
  </si>
  <si>
    <t>3440 ROSS CLARK CIR</t>
  </si>
  <si>
    <t>DOTHAN</t>
  </si>
  <si>
    <t>36303-2525</t>
  </si>
  <si>
    <t>1700 WESEL BLVD</t>
  </si>
  <si>
    <t>HAGERSTOWN</t>
  </si>
  <si>
    <t>21740-5389</t>
  </si>
  <si>
    <t>4365 ATLANTA HWY</t>
  </si>
  <si>
    <t>ATHENS</t>
  </si>
  <si>
    <t>30606-0808</t>
  </si>
  <si>
    <t>364 COX CREEK PKWY</t>
  </si>
  <si>
    <t>35630-1540</t>
  </si>
  <si>
    <t>915 W MARKETVIEW DR</t>
  </si>
  <si>
    <t>CHAMPAIGN</t>
  </si>
  <si>
    <t>61822-1221</t>
  </si>
  <si>
    <t>5300 30TH ST E</t>
  </si>
  <si>
    <t>BRADENTON</t>
  </si>
  <si>
    <t>34203-8400</t>
  </si>
  <si>
    <t>1975 E MONTGOMERY XRD</t>
  </si>
  <si>
    <t>SAVANNAH</t>
  </si>
  <si>
    <t>31406-5036</t>
  </si>
  <si>
    <t>150 COBB PKWY S</t>
  </si>
  <si>
    <t>MARIETTA</t>
  </si>
  <si>
    <t>30060-9209</t>
  </si>
  <si>
    <t>4512 LEMAY FERRY RD</t>
  </si>
  <si>
    <t>63129-1614</t>
  </si>
  <si>
    <t>5110 N OAK TRFY</t>
  </si>
  <si>
    <t>64118-4621</t>
  </si>
  <si>
    <t>12200 W 95TH ST</t>
  </si>
  <si>
    <t>LENEXA</t>
  </si>
  <si>
    <t>66215-3806</t>
  </si>
  <si>
    <t>3081 N HIGHWAY 112</t>
  </si>
  <si>
    <t>600 N BURLESON BLVD</t>
  </si>
  <si>
    <t>BURLESON</t>
  </si>
  <si>
    <t>76028-2901</t>
  </si>
  <si>
    <t>6995 CONCOURSE PKWY</t>
  </si>
  <si>
    <t>DOUGLASVILLE</t>
  </si>
  <si>
    <t>30134-4551</t>
  </si>
  <si>
    <t>5448 A WHITTLESEY BLVD.</t>
  </si>
  <si>
    <t>31909-7298</t>
  </si>
  <si>
    <t>2300 W WHITE OAKS DR</t>
  </si>
  <si>
    <t>62704-6423</t>
  </si>
  <si>
    <t>1450 SKIBO RD</t>
  </si>
  <si>
    <t>28303-3411</t>
  </si>
  <si>
    <t>1801 WINDSOR SQUARE DR</t>
  </si>
  <si>
    <t>MATTHEWS</t>
  </si>
  <si>
    <t>28105-4662</t>
  </si>
  <si>
    <t>1455 TOWN SQUARE BLVD.</t>
  </si>
  <si>
    <t>ROANOKE</t>
  </si>
  <si>
    <t>24012-1612</t>
  </si>
  <si>
    <t>1527 MANHATTAN BLVD</t>
  </si>
  <si>
    <t>HARVEY</t>
  </si>
  <si>
    <t>70058-3405</t>
  </si>
  <si>
    <t>3060 FRANKLIN TERRACE DR</t>
  </si>
  <si>
    <t>JOHNSON CITY</t>
  </si>
  <si>
    <t>37604-4123</t>
  </si>
  <si>
    <t>2537 S SAUNDERS ST</t>
  </si>
  <si>
    <t>27603-2843</t>
  </si>
  <si>
    <t>3801 KELL BLVD</t>
  </si>
  <si>
    <t>WICHITA FALLS</t>
  </si>
  <si>
    <t>76308-1605</t>
  </si>
  <si>
    <t>4701 LOG CABIN DR</t>
  </si>
  <si>
    <t>MACON</t>
  </si>
  <si>
    <t>31204-6318</t>
  </si>
  <si>
    <t>5550 S. CLACK ST</t>
  </si>
  <si>
    <t>ABILENE</t>
  </si>
  <si>
    <t>79606-3708</t>
  </si>
  <si>
    <t>5055 NW LOOP 410</t>
  </si>
  <si>
    <t>78229-5313</t>
  </si>
  <si>
    <t>930 HANES MALL BLVD</t>
  </si>
  <si>
    <t>27103-5527</t>
  </si>
  <si>
    <t>10431 OLD HIGHWAY 49</t>
  </si>
  <si>
    <t>GULFPORT</t>
  </si>
  <si>
    <t>39503-4118</t>
  </si>
  <si>
    <t>5400 I20 FRONTAGE RD</t>
  </si>
  <si>
    <t>MONROE</t>
  </si>
  <si>
    <t>71202-4040</t>
  </si>
  <si>
    <t>3887 ELMORE AVE</t>
  </si>
  <si>
    <t>52807-2504</t>
  </si>
  <si>
    <t>802 NW SHERIDAN RD</t>
  </si>
  <si>
    <t>LAWTON</t>
  </si>
  <si>
    <t>73505-5204</t>
  </si>
  <si>
    <t>6521 SE 29TH ST</t>
  </si>
  <si>
    <t>MIDWEST CITY</t>
  </si>
  <si>
    <t>73110-3001</t>
  </si>
  <si>
    <t>12000 MCCREE RD</t>
  </si>
  <si>
    <t>75238-3275</t>
  </si>
  <si>
    <t>141 N. DEAN AVE</t>
  </si>
  <si>
    <t>RAYMORE</t>
  </si>
  <si>
    <t>64083-8398</t>
  </si>
  <si>
    <t>11101 FUQUA ST</t>
  </si>
  <si>
    <t>77089-2508</t>
  </si>
  <si>
    <t>325 E RICHEY RD</t>
  </si>
  <si>
    <t>77073-6038</t>
  </si>
  <si>
    <t>12300 S W FWY</t>
  </si>
  <si>
    <t>STAFFORD MEADOWS</t>
  </si>
  <si>
    <t>77477-3010</t>
  </si>
  <si>
    <t>201 LAKESHORE PKWY</t>
  </si>
  <si>
    <t>HOMEWOOD</t>
  </si>
  <si>
    <t>35209-7105</t>
  </si>
  <si>
    <t>9461 WEBB CHAPEL RD</t>
  </si>
  <si>
    <t>75220-4902</t>
  </si>
  <si>
    <t>1400 E JACKSON AVE</t>
  </si>
  <si>
    <t>78503-1601</t>
  </si>
  <si>
    <t>2855 VETERANS MEMORIAL PKWY</t>
  </si>
  <si>
    <t>SAINT CHARLES</t>
  </si>
  <si>
    <t>63303-3526</t>
  </si>
  <si>
    <t>4900 CENTRE POINTE DR</t>
  </si>
  <si>
    <t>NORTH CHARLESTON</t>
  </si>
  <si>
    <t>29418-6927</t>
  </si>
  <si>
    <t>300 BUSCH DR</t>
  </si>
  <si>
    <t>32218-5551</t>
  </si>
  <si>
    <t>6200 W KELLOGG DR</t>
  </si>
  <si>
    <t>67209-2352</t>
  </si>
  <si>
    <t>8435 WALBROOK DR</t>
  </si>
  <si>
    <t>37923-3115</t>
  </si>
  <si>
    <t>301 INDIAN LAKE BLVD</t>
  </si>
  <si>
    <t>37075-6218</t>
  </si>
  <si>
    <t>9900 S INTERSTATE 35</t>
  </si>
  <si>
    <t>78748-3885</t>
  </si>
  <si>
    <t>455 31ST ST</t>
  </si>
  <si>
    <t>KENNER</t>
  </si>
  <si>
    <t>70065-4101</t>
  </si>
  <si>
    <t>12349 N IH 35</t>
  </si>
  <si>
    <t>78233-3201</t>
  </si>
  <si>
    <t>4420 S SHERIDAN RD</t>
  </si>
  <si>
    <t>74145-1122</t>
  </si>
  <si>
    <t>3150 SW MILITARY DR</t>
  </si>
  <si>
    <t>78224-1038</t>
  </si>
  <si>
    <t>2025 SAMS WAY</t>
  </si>
  <si>
    <t>LAKE CHARLES</t>
  </si>
  <si>
    <t>70601-8783</t>
  </si>
  <si>
    <t>5600 LANDERS RD</t>
  </si>
  <si>
    <t>NORTH LITTLE ROCK</t>
  </si>
  <si>
    <t>72117-1903</t>
  </si>
  <si>
    <t>4833 S.P.I.D</t>
  </si>
  <si>
    <t>CORPUS CHRISTI</t>
  </si>
  <si>
    <t>78411-4201</t>
  </si>
  <si>
    <t>6375 NE LOOP 820</t>
  </si>
  <si>
    <t>NORTH RICHLAND HILLS</t>
  </si>
  <si>
    <t>76180-6035</t>
  </si>
  <si>
    <t>2325 W HWY I 20</t>
  </si>
  <si>
    <t>GRAND PRAIRIE</t>
  </si>
  <si>
    <t>75052-3927</t>
  </si>
  <si>
    <t>6016 MARSHA SHARP FWY</t>
  </si>
  <si>
    <t>LUBBOCK</t>
  </si>
  <si>
    <t>79407-3730</t>
  </si>
  <si>
    <t>257 GRANDVIEW BLVD</t>
  </si>
  <si>
    <t>MADISON</t>
  </si>
  <si>
    <t>39110-5514</t>
  </si>
  <si>
    <t>4385 VENETUCCI BOULEVARD</t>
  </si>
  <si>
    <t>80906-4049</t>
  </si>
  <si>
    <t>7400 YOUREE DR</t>
  </si>
  <si>
    <t>SHREVEPORT</t>
  </si>
  <si>
    <t>71105-5536</t>
  </si>
  <si>
    <t>12205 WEST RD</t>
  </si>
  <si>
    <t>77065-4522</t>
  </si>
  <si>
    <t>1615 INTERSTATE 10 S</t>
  </si>
  <si>
    <t>BEAUMONT</t>
  </si>
  <si>
    <t>77701-4759</t>
  </si>
  <si>
    <t>6622 PRESTON HWY</t>
  </si>
  <si>
    <t>LOUISVILLE</t>
  </si>
  <si>
    <t>40219-1822</t>
  </si>
  <si>
    <t>6760 WESTWORTH BLVD</t>
  </si>
  <si>
    <t>WESTWORTH VILLAGE</t>
  </si>
  <si>
    <t>76114-4002</t>
  </si>
  <si>
    <t>1211 WOODRUFF RD</t>
  </si>
  <si>
    <t>GREENVILLE</t>
  </si>
  <si>
    <t>29607-5737</t>
  </si>
  <si>
    <t>2201 ROSS OSAGE ST</t>
  </si>
  <si>
    <t>79103-2318</t>
  </si>
  <si>
    <t>11360 PELLICANO DR</t>
  </si>
  <si>
    <t>79936-5904</t>
  </si>
  <si>
    <t>13600 EAST FWY</t>
  </si>
  <si>
    <t>77015-5917</t>
  </si>
  <si>
    <t>2900 W WHEATLAND RD</t>
  </si>
  <si>
    <t>75237-3535</t>
  </si>
  <si>
    <t>5426 FOREST DR</t>
  </si>
  <si>
    <t>29206-5401</t>
  </si>
  <si>
    <t>2025 S SOUTHWEST LOOP 323</t>
  </si>
  <si>
    <t>TYLER</t>
  </si>
  <si>
    <t>75701-0763</t>
  </si>
  <si>
    <t>1350 W US HIGHWAY 50</t>
  </si>
  <si>
    <t>O FALLON</t>
  </si>
  <si>
    <t>62269-1615</t>
  </si>
  <si>
    <t>2301 E WACO DR</t>
  </si>
  <si>
    <t>WACO</t>
  </si>
  <si>
    <t>76705-3207</t>
  </si>
  <si>
    <t>7325 JONESBORO RD</t>
  </si>
  <si>
    <t>MORROW</t>
  </si>
  <si>
    <t>30260-2950</t>
  </si>
  <si>
    <t>1500 TRADEWINDS BLVD</t>
  </si>
  <si>
    <t>MIDLAND</t>
  </si>
  <si>
    <t>79706-2833</t>
  </si>
  <si>
    <t>5510 SW 5TH ST</t>
  </si>
  <si>
    <t>73128-1216</t>
  </si>
  <si>
    <t>9498 S ORANGE BLOSSOM TRL</t>
  </si>
  <si>
    <t>32837-8322</t>
  </si>
  <si>
    <t>4373 CORUNNA RD</t>
  </si>
  <si>
    <t>FLINT</t>
  </si>
  <si>
    <t>48532-4152</t>
  </si>
  <si>
    <t>2150 COVINGTON PIKE</t>
  </si>
  <si>
    <t>38128-6907</t>
  </si>
  <si>
    <t>4100 S BOLGER RD</t>
  </si>
  <si>
    <t>INDEPENDENCE</t>
  </si>
  <si>
    <t>64055-6772</t>
  </si>
  <si>
    <t>1300 ANTIOCH PIKE</t>
  </si>
  <si>
    <t>NASHVILLE</t>
  </si>
  <si>
    <t>37211-4102</t>
  </si>
  <si>
    <t>3610 SAINT MICHAEL DR</t>
  </si>
  <si>
    <t>TEXARKANA</t>
  </si>
  <si>
    <t>75503-2341</t>
  </si>
  <si>
    <t>3660 E SUNSHINE ST</t>
  </si>
  <si>
    <t>65809-2820</t>
  </si>
  <si>
    <t>7151 WALTON ST</t>
  </si>
  <si>
    <t>ROCKFORD</t>
  </si>
  <si>
    <t>61108-2600</t>
  </si>
  <si>
    <t>321 S LARKIN AVE</t>
  </si>
  <si>
    <t>JOLIET</t>
  </si>
  <si>
    <t>60436-1249</t>
  </si>
  <si>
    <t>301 COIT RD</t>
  </si>
  <si>
    <t>75075-5711</t>
  </si>
  <si>
    <t>501 S COLLEGE ST</t>
  </si>
  <si>
    <t>28202-1827</t>
  </si>
  <si>
    <t>Site Number</t>
  </si>
  <si>
    <t>Physical Address</t>
  </si>
  <si>
    <t>ITC040E3C168572</t>
  </si>
  <si>
    <t>7.189.100.199</t>
  </si>
  <si>
    <t>040E3C168572</t>
  </si>
  <si>
    <t>8CG942F93S</t>
  </si>
  <si>
    <t>TCPPL04</t>
  </si>
  <si>
    <t>7.5.140.43</t>
  </si>
  <si>
    <t>8CEC4B577611</t>
  </si>
  <si>
    <t>7S5GXN2</t>
  </si>
  <si>
    <t>TCCLMS01</t>
  </si>
  <si>
    <t>10.200.246.39</t>
  </si>
  <si>
    <t>40B034362CA8</t>
  </si>
  <si>
    <t>9CG71712SR</t>
  </si>
  <si>
    <t>55.144.184.27</t>
  </si>
  <si>
    <t>040E3C2B60B3</t>
  </si>
  <si>
    <t>8CG0172GGM</t>
  </si>
  <si>
    <t>TCVC01</t>
  </si>
  <si>
    <t>7.144.188.125</t>
  </si>
  <si>
    <t>040E3C2BE387</t>
  </si>
  <si>
    <t>8CG0172KLG</t>
  </si>
  <si>
    <t>TCVC04</t>
  </si>
  <si>
    <t>55.17.207.155</t>
  </si>
  <si>
    <t>40B03434A70B</t>
  </si>
  <si>
    <t>9CG7451MDY</t>
  </si>
  <si>
    <t>TCRCV02</t>
  </si>
  <si>
    <t>10.196.118.36</t>
  </si>
  <si>
    <t>40B034362FA7</t>
  </si>
  <si>
    <t>9CG7181RZ5</t>
  </si>
  <si>
    <t>GENWUS168799</t>
  </si>
  <si>
    <t>7.17.220.49</t>
  </si>
  <si>
    <t>040E3C168799</t>
  </si>
  <si>
    <t>8CG942F853</t>
  </si>
  <si>
    <t>MPCSUS083926</t>
  </si>
  <si>
    <t>7.153.44.56</t>
  </si>
  <si>
    <t>842AFD083926</t>
  </si>
  <si>
    <t>8CG12274M6</t>
  </si>
  <si>
    <t>ITCC4651630F4A8</t>
  </si>
  <si>
    <t>7.191.76.27</t>
  </si>
  <si>
    <t>C4651630F4A8</t>
  </si>
  <si>
    <t>8CG92952L4</t>
  </si>
  <si>
    <t>7.74.212.52</t>
  </si>
  <si>
    <t>40B0343631A0</t>
  </si>
  <si>
    <t>9CG7181S6Y</t>
  </si>
  <si>
    <t>MPCSUS30F791</t>
  </si>
  <si>
    <t>7.175.60.124</t>
  </si>
  <si>
    <t>C4651630F791</t>
  </si>
  <si>
    <t>8CG9294BNS</t>
  </si>
  <si>
    <t>55.18.15.153</t>
  </si>
  <si>
    <t>40B03436299D</t>
  </si>
  <si>
    <t>9CG71713WX</t>
  </si>
  <si>
    <t>TCSAMSSO01</t>
  </si>
  <si>
    <t>55.188.144.7</t>
  </si>
  <si>
    <t>10E7C603A7A5</t>
  </si>
  <si>
    <t>8CG80819R2</t>
  </si>
  <si>
    <t>TCRCV01</t>
  </si>
  <si>
    <t>55.188.144.35</t>
  </si>
  <si>
    <t>C46516133232</t>
  </si>
  <si>
    <t>8CG9124W67</t>
  </si>
  <si>
    <t>TCPPL01</t>
  </si>
  <si>
    <t>55.144.176.43</t>
  </si>
  <si>
    <t>1860246E33E8</t>
  </si>
  <si>
    <t>9CG8212NGK</t>
  </si>
  <si>
    <t>TCMGR03</t>
  </si>
  <si>
    <t>55.59.240.21</t>
  </si>
  <si>
    <t>8CEC4B60941C</t>
  </si>
  <si>
    <t>FWZFXN2</t>
  </si>
  <si>
    <t>GENWUS</t>
  </si>
  <si>
    <t>7.59.244.130</t>
  </si>
  <si>
    <t>040E3C1685FD</t>
  </si>
  <si>
    <t>8CG942F886</t>
  </si>
  <si>
    <t>MPCSUS0815C7</t>
  </si>
  <si>
    <t>7.179.108.141</t>
  </si>
  <si>
    <t>842AFD0815C7</t>
  </si>
  <si>
    <t>8CG1132DD2</t>
  </si>
  <si>
    <t>TCCLMS02</t>
  </si>
  <si>
    <t>55.135.120.40</t>
  </si>
  <si>
    <t>842AFD08184F</t>
  </si>
  <si>
    <t>8CG11300W2</t>
  </si>
  <si>
    <t>TCCO01</t>
  </si>
  <si>
    <t>55.23.232.15</t>
  </si>
  <si>
    <t>40B034362A84</t>
  </si>
  <si>
    <t>9CG71712TS</t>
  </si>
  <si>
    <t>CS1</t>
  </si>
  <si>
    <t>55.23.232.158</t>
  </si>
  <si>
    <t>40B034362B06</t>
  </si>
  <si>
    <t>9CG71712W2</t>
  </si>
  <si>
    <t>7.57.84.80</t>
  </si>
  <si>
    <t>2CEA7F282C43</t>
  </si>
  <si>
    <t>62NPQ53</t>
  </si>
  <si>
    <t>TCTLE01</t>
  </si>
  <si>
    <t>55.135.128.31</t>
  </si>
  <si>
    <t>40B03434A762</t>
  </si>
  <si>
    <t>9CG7381BQK</t>
  </si>
  <si>
    <t>TCBAK01</t>
  </si>
  <si>
    <t>55.144.216.34</t>
  </si>
  <si>
    <t>40B0343630F1</t>
  </si>
  <si>
    <t>9CG7181S0W</t>
  </si>
  <si>
    <t>MPCSUS080E96</t>
  </si>
  <si>
    <t>7.89.108.77</t>
  </si>
  <si>
    <t>842AFD080E96</t>
  </si>
  <si>
    <t>8CG107B4S9</t>
  </si>
  <si>
    <t>TCVC03</t>
  </si>
  <si>
    <t>7.144.76.203</t>
  </si>
  <si>
    <t>040E3C2BE337</t>
  </si>
  <si>
    <t>8CG0172KKD</t>
  </si>
  <si>
    <t>ITCC4651632D327</t>
  </si>
  <si>
    <t>7.90.100.142</t>
  </si>
  <si>
    <t>C4651632D327</t>
  </si>
  <si>
    <t>8CG9308HGT</t>
  </si>
  <si>
    <t>ITC842AFD081FD2</t>
  </si>
  <si>
    <t>7.231.20.149</t>
  </si>
  <si>
    <t>842AFD081FD2</t>
  </si>
  <si>
    <t>8CG11329FR</t>
  </si>
  <si>
    <t>GENWUS2BE667</t>
  </si>
  <si>
    <t>7.59.252.54</t>
  </si>
  <si>
    <t>040E3C2BE667</t>
  </si>
  <si>
    <t>8CG0172JQV</t>
  </si>
  <si>
    <t>GENWUS2BE654</t>
  </si>
  <si>
    <t>7.59.252.155</t>
  </si>
  <si>
    <t>040E3C2BE654</t>
  </si>
  <si>
    <t>8CG0172JTN</t>
  </si>
  <si>
    <t>GENWUS310699</t>
  </si>
  <si>
    <t>7.213.124.16</t>
  </si>
  <si>
    <t>C46516310699</t>
  </si>
  <si>
    <t>8CG9294ZVN</t>
  </si>
  <si>
    <t>ITC040E3C2BE4C3</t>
  </si>
  <si>
    <t>55.57.239.154</t>
  </si>
  <si>
    <t>040E3C2BE4C3</t>
  </si>
  <si>
    <t>8CG0172KFN</t>
  </si>
  <si>
    <t>GENWUS1684DA</t>
  </si>
  <si>
    <t>55.23.103.198</t>
  </si>
  <si>
    <t>040E3C1684DA</t>
  </si>
  <si>
    <t>8CG942BQDY</t>
  </si>
  <si>
    <t>55.213.176.15</t>
  </si>
  <si>
    <t>40B034367CAA</t>
  </si>
  <si>
    <t>9CG71929FY</t>
  </si>
  <si>
    <t>ITC040E3C2BE2FB</t>
  </si>
  <si>
    <t>7.150.44.87</t>
  </si>
  <si>
    <t>040E3C2BE2FB</t>
  </si>
  <si>
    <t>8CG0180Z1V</t>
  </si>
  <si>
    <t>55.24.208.28</t>
  </si>
  <si>
    <t>040E3C2112A4</t>
  </si>
  <si>
    <t>8CG00100JB</t>
  </si>
  <si>
    <t>ITC842AFD081A8E</t>
  </si>
  <si>
    <t>7.150.52.15</t>
  </si>
  <si>
    <t>842AFD081A8E</t>
  </si>
  <si>
    <t>8CG112CYMB</t>
  </si>
  <si>
    <t>IGELST080DEB</t>
  </si>
  <si>
    <t>7.162.36.35</t>
  </si>
  <si>
    <t>842AFD080DEB</t>
  </si>
  <si>
    <t>8CG1079XRY</t>
  </si>
  <si>
    <t>MPCSUS</t>
  </si>
  <si>
    <t>7.162.44.120</t>
  </si>
  <si>
    <t>040E3C2BE644</t>
  </si>
  <si>
    <t>8CG0172JVF</t>
  </si>
  <si>
    <t>7.167.132.124</t>
  </si>
  <si>
    <t>40B034362A02</t>
  </si>
  <si>
    <t>9CG71712RM</t>
  </si>
  <si>
    <t>7.167.132.74</t>
  </si>
  <si>
    <t>040E3C1683D2</t>
  </si>
  <si>
    <t>8CG942F83B</t>
  </si>
  <si>
    <t>GENWUS1682A5</t>
  </si>
  <si>
    <t>7.3.20.99</t>
  </si>
  <si>
    <t>040E3C1682A5</t>
  </si>
  <si>
    <t>8CG942F34C</t>
  </si>
  <si>
    <t>TCRCV04</t>
  </si>
  <si>
    <t>55.17.128.38</t>
  </si>
  <si>
    <t>40B03436319B</t>
  </si>
  <si>
    <t>9CG7181S86</t>
  </si>
  <si>
    <t>55.17.128.15</t>
  </si>
  <si>
    <t>40B034362FFC</t>
  </si>
  <si>
    <t>9CG7181S4R</t>
  </si>
  <si>
    <t>TCUPC04</t>
  </si>
  <si>
    <t>55.17.128.14</t>
  </si>
  <si>
    <t>40B03436313A</t>
  </si>
  <si>
    <t>9CG7181S4S</t>
  </si>
  <si>
    <t>ITC040E3C3371A6</t>
  </si>
  <si>
    <t>7.188.68.43</t>
  </si>
  <si>
    <t>040E3C3371A6</t>
  </si>
  <si>
    <t>8CG03028T7</t>
  </si>
  <si>
    <t>ITC040E3C339F21</t>
  </si>
  <si>
    <t>7.188.68.55</t>
  </si>
  <si>
    <t>040E3C339F21</t>
  </si>
  <si>
    <t>8CG03028XJ</t>
  </si>
  <si>
    <t>GENWUS081C66</t>
  </si>
  <si>
    <t>7.155.180.35</t>
  </si>
  <si>
    <t>842AFD081C66</t>
  </si>
  <si>
    <t>8CG112CYNB</t>
  </si>
  <si>
    <t>55.39.255.198</t>
  </si>
  <si>
    <t>40B034362B42</t>
  </si>
  <si>
    <t>9CG7181SHX</t>
  </si>
  <si>
    <t>ITC842AFD08205C</t>
  </si>
  <si>
    <t>55.39.255.188</t>
  </si>
  <si>
    <t>842AFD08205C</t>
  </si>
  <si>
    <t>8CG11329FG</t>
  </si>
  <si>
    <t>SUS</t>
  </si>
  <si>
    <t>7.117.52.90</t>
  </si>
  <si>
    <t>040E3C2BE631</t>
  </si>
  <si>
    <t>8CG0172JW3</t>
  </si>
  <si>
    <t>10.69.36.34</t>
  </si>
  <si>
    <t>40B034363026</t>
  </si>
  <si>
    <t>9CG7181S65</t>
  </si>
  <si>
    <t>ITCC4651630B78F</t>
  </si>
  <si>
    <t>7.25.132.174</t>
  </si>
  <si>
    <t>C4651630B78F</t>
  </si>
  <si>
    <t>8CG929522V</t>
  </si>
  <si>
    <t>GENWUS30F635</t>
  </si>
  <si>
    <t>7.112.84.12</t>
  </si>
  <si>
    <t>C4651630F635</t>
  </si>
  <si>
    <t>8CG929525W</t>
  </si>
  <si>
    <t>TCMGR02</t>
  </si>
  <si>
    <t>161.164.186.20</t>
  </si>
  <si>
    <t>842AFD08167E</t>
  </si>
  <si>
    <t>8CG112CZ78</t>
  </si>
  <si>
    <t>ITCC4651632D229</t>
  </si>
  <si>
    <t>7.77.28.52</t>
  </si>
  <si>
    <t>C4651632D229</t>
  </si>
  <si>
    <t>8CG9308HNZ</t>
  </si>
  <si>
    <t>10.71.240.39</t>
  </si>
  <si>
    <t>40B034367BC6</t>
  </si>
  <si>
    <t>9CG71929LN</t>
  </si>
  <si>
    <t>IGELST3107FD</t>
  </si>
  <si>
    <t>7.138.116.120</t>
  </si>
  <si>
    <t>C465163107FD</t>
  </si>
  <si>
    <t>8CG9294ZW7</t>
  </si>
  <si>
    <t>ITC842AFD081690</t>
  </si>
  <si>
    <t>7.136.100.82</t>
  </si>
  <si>
    <t>842AFD081690</t>
  </si>
  <si>
    <t>8CG112D6WV</t>
  </si>
  <si>
    <t>OPPR2</t>
  </si>
  <si>
    <t>55.212.248.162</t>
  </si>
  <si>
    <t>8CEC4B609503</t>
  </si>
  <si>
    <t>610GXN2</t>
  </si>
  <si>
    <t>55.212.248.27</t>
  </si>
  <si>
    <t>8CEC4B609091</t>
  </si>
  <si>
    <t>2R1GXN2</t>
  </si>
  <si>
    <t>10.71.180.39</t>
  </si>
  <si>
    <t>40B03436315F</t>
  </si>
  <si>
    <t>9CG7181S9V</t>
  </si>
  <si>
    <t>TCTLE03</t>
  </si>
  <si>
    <t>7.25.148.137</t>
  </si>
  <si>
    <t>842AFD081A83</t>
  </si>
  <si>
    <t>8CG112D6C1</t>
  </si>
  <si>
    <t>55.215.112.31</t>
  </si>
  <si>
    <t>1860246F8897</t>
  </si>
  <si>
    <t>9CG8392MSH</t>
  </si>
  <si>
    <t>10.201.0.15</t>
  </si>
  <si>
    <t>1860246E5604</t>
  </si>
  <si>
    <t>9CG82322XT</t>
  </si>
  <si>
    <t>ITCC4651630BD85</t>
  </si>
  <si>
    <t>7.35.140.87</t>
  </si>
  <si>
    <t>C4651630BD85</t>
  </si>
  <si>
    <t>8CG9294K1D</t>
  </si>
  <si>
    <t>7.142.108.133</t>
  </si>
  <si>
    <t>040E3C36D2EE</t>
  </si>
  <si>
    <t>8CG0392BHN</t>
  </si>
  <si>
    <t>MPCSUS08102B</t>
  </si>
  <si>
    <t>7.142.108.97</t>
  </si>
  <si>
    <t>842AFD08102B</t>
  </si>
  <si>
    <t>8CG107B4TN</t>
  </si>
  <si>
    <t>IGELST30B7A4</t>
  </si>
  <si>
    <t>7.140.52.109</t>
  </si>
  <si>
    <t>C4651630B7A4</t>
  </si>
  <si>
    <t>8CG9295262</t>
  </si>
  <si>
    <t>GENWUS082F0A</t>
  </si>
  <si>
    <t>7.140.52.99</t>
  </si>
  <si>
    <t>842AFD082F0A</t>
  </si>
  <si>
    <t>8CG122734Q</t>
  </si>
  <si>
    <t>ITC842AFD0810E2</t>
  </si>
  <si>
    <t>7.124.28.189</t>
  </si>
  <si>
    <t>842AFD0810E2</t>
  </si>
  <si>
    <t>8CG107B4WS</t>
  </si>
  <si>
    <t>55.212.216.26</t>
  </si>
  <si>
    <t>8CEC4B6093B9</t>
  </si>
  <si>
    <t>DC4GXN2</t>
  </si>
  <si>
    <t>55.212.216.27</t>
  </si>
  <si>
    <t>8CEC4B5FC53C</t>
  </si>
  <si>
    <t>2C2GXN2</t>
  </si>
  <si>
    <t>IGELST082D3E</t>
  </si>
  <si>
    <t>7.13.44.15</t>
  </si>
  <si>
    <t>842AFD082D3E</t>
  </si>
  <si>
    <t>8CG122754F</t>
  </si>
  <si>
    <t>156.91.160.27</t>
  </si>
  <si>
    <t>040E3C21136D</t>
  </si>
  <si>
    <t>8CG00100K0</t>
  </si>
  <si>
    <t>IGELST082B37</t>
  </si>
  <si>
    <t>7.128.204.184</t>
  </si>
  <si>
    <t>842AFD082B37</t>
  </si>
  <si>
    <t>8CG12272WS</t>
  </si>
  <si>
    <t>7.53.220.216</t>
  </si>
  <si>
    <t>40B034362B37</t>
  </si>
  <si>
    <t>9CG7181SHZ</t>
  </si>
  <si>
    <t>ITC842AFD0816AB</t>
  </si>
  <si>
    <t>7.56.196.223</t>
  </si>
  <si>
    <t>842AFD0816AB</t>
  </si>
  <si>
    <t>8CG112CZ86</t>
  </si>
  <si>
    <t>156.91.174.28</t>
  </si>
  <si>
    <t>40B03434A3D6</t>
  </si>
  <si>
    <t>9CG7451MG8</t>
  </si>
  <si>
    <t>TCUPC03</t>
  </si>
  <si>
    <t>10.206.100.13</t>
  </si>
  <si>
    <t>8CEC4B5FC5CD</t>
  </si>
  <si>
    <t>620GXN2</t>
  </si>
  <si>
    <t>SUS080FDC</t>
  </si>
  <si>
    <t>7.57.132.52</t>
  </si>
  <si>
    <t>842AFD080FDC</t>
  </si>
  <si>
    <t>8CG107B4S1</t>
  </si>
  <si>
    <t>IGELST2B6014</t>
  </si>
  <si>
    <t>7.131.4.120</t>
  </si>
  <si>
    <t>040E3C2B6014</t>
  </si>
  <si>
    <t>8CG0172GHF</t>
  </si>
  <si>
    <t>7.32.20.159</t>
  </si>
  <si>
    <t>842AFD083876</t>
  </si>
  <si>
    <t>8CG122757P</t>
  </si>
  <si>
    <t>7.144.84.47</t>
  </si>
  <si>
    <t>40B03436307E</t>
  </si>
  <si>
    <t>9CG7181S2Z</t>
  </si>
  <si>
    <t>ITCC4651632D9BE</t>
  </si>
  <si>
    <t>7.52.172.112</t>
  </si>
  <si>
    <t>C4651632D9BE</t>
  </si>
  <si>
    <t>8CG9308HB4</t>
  </si>
  <si>
    <t>156.91.155.34</t>
  </si>
  <si>
    <t>40B034367C8A</t>
  </si>
  <si>
    <t>9CG71929GB</t>
  </si>
  <si>
    <t>GENWUS167C18</t>
  </si>
  <si>
    <t>7.52.244.148</t>
  </si>
  <si>
    <t>040E3C167C18</t>
  </si>
  <si>
    <t>8CG942F7V2</t>
  </si>
  <si>
    <t>CS2</t>
  </si>
  <si>
    <t>156.94.202.159</t>
  </si>
  <si>
    <t>40B034362A86</t>
  </si>
  <si>
    <t>9CG71712RS</t>
  </si>
  <si>
    <t>ITC842AFD081C95</t>
  </si>
  <si>
    <t>7.64.228.140</t>
  </si>
  <si>
    <t>842AFD081C95</t>
  </si>
  <si>
    <t>8CG112CYKK</t>
  </si>
  <si>
    <t>7.53.20.226</t>
  </si>
  <si>
    <t>1860246DC1B0</t>
  </si>
  <si>
    <t>9CG815219N</t>
  </si>
  <si>
    <t>156.91.198.28</t>
  </si>
  <si>
    <t>1860246DB804</t>
  </si>
  <si>
    <t>9CG81521BV</t>
  </si>
  <si>
    <t>GENWUS080FD8</t>
  </si>
  <si>
    <t>7.53.20.15</t>
  </si>
  <si>
    <t>842AFD080FD8</t>
  </si>
  <si>
    <t>8CG107B4YS</t>
  </si>
  <si>
    <t>156.91.192.35</t>
  </si>
  <si>
    <t>B07B2567C7F1</t>
  </si>
  <si>
    <t>2XV5K93</t>
  </si>
  <si>
    <t>GENWUS31024B</t>
  </si>
  <si>
    <t>7.52.220.98</t>
  </si>
  <si>
    <t>C4651631024B</t>
  </si>
  <si>
    <t>8CG9295YL2</t>
  </si>
  <si>
    <t>GENWUS30B48A</t>
  </si>
  <si>
    <t>7.64.244.195</t>
  </si>
  <si>
    <t>C4651630B48A</t>
  </si>
  <si>
    <t>8CG92952DG</t>
  </si>
  <si>
    <t>7.65.44.179</t>
  </si>
  <si>
    <t>40B034367D17</t>
  </si>
  <si>
    <t>9CG71929HF</t>
  </si>
  <si>
    <t>156.94.223.159</t>
  </si>
  <si>
    <t>40B034363053</t>
  </si>
  <si>
    <t>9CG7181SB0</t>
  </si>
  <si>
    <t>TCPPL03</t>
  </si>
  <si>
    <t>156.94.223.45</t>
  </si>
  <si>
    <t>1860246F96B6</t>
  </si>
  <si>
    <t>9CG8431RQP</t>
  </si>
  <si>
    <t>TCJC01</t>
  </si>
  <si>
    <t>55.174.96.243</t>
  </si>
  <si>
    <t>8CEC4B5FC380</t>
  </si>
  <si>
    <t>43VR5L2</t>
  </si>
  <si>
    <t>ITC040E3C2BE3A7</t>
  </si>
  <si>
    <t>7.174.100.211</t>
  </si>
  <si>
    <t>040E3C2BE3A7</t>
  </si>
  <si>
    <t>8CG0172KL1</t>
  </si>
  <si>
    <t>GENWUS2BE45B</t>
  </si>
  <si>
    <t>7.174.100.234</t>
  </si>
  <si>
    <t>040E3C2BE45B</t>
  </si>
  <si>
    <t>8CG0172KM6</t>
  </si>
  <si>
    <t>ITC842AFD080DD4</t>
  </si>
  <si>
    <t>7.76.28.17</t>
  </si>
  <si>
    <t>842AFD080DD4</t>
  </si>
  <si>
    <t>8CG107B4RK</t>
  </si>
  <si>
    <t>IGELST083CB2</t>
  </si>
  <si>
    <t>7.52.84.143</t>
  </si>
  <si>
    <t>842AFD083CB2</t>
  </si>
  <si>
    <t>8CG1282JZ5</t>
  </si>
  <si>
    <t>GENWUS08152E</t>
  </si>
  <si>
    <t>7.76.36.175</t>
  </si>
  <si>
    <t>842AFD08152E</t>
  </si>
  <si>
    <t>8CG112DCXG</t>
  </si>
  <si>
    <t>TCCLMS03</t>
  </si>
  <si>
    <t>156.94.237.41</t>
  </si>
  <si>
    <t>842AFD081DD9</t>
  </si>
  <si>
    <t>8CG11300KN</t>
  </si>
  <si>
    <t>IGELST080522</t>
  </si>
  <si>
    <t>7.179.196.139</t>
  </si>
  <si>
    <t>842AFD080522</t>
  </si>
  <si>
    <t>8CG1079STS</t>
  </si>
  <si>
    <t>ITC040E3C167F55</t>
  </si>
  <si>
    <t>7.76.68.31</t>
  </si>
  <si>
    <t>040E3C167F55</t>
  </si>
  <si>
    <t>8CG942F4Y3</t>
  </si>
  <si>
    <t>161.170.5.15</t>
  </si>
  <si>
    <t>1860246F98BC</t>
  </si>
  <si>
    <t>9CG8431RPG</t>
  </si>
  <si>
    <t>ITCC4651630F5C3</t>
  </si>
  <si>
    <t>7.66.236.112</t>
  </si>
  <si>
    <t>C4651630F5C3</t>
  </si>
  <si>
    <t>8CG9303WZJ</t>
  </si>
  <si>
    <t>7.68.68.21</t>
  </si>
  <si>
    <t>40B03436309A</t>
  </si>
  <si>
    <t>9CG7181S47</t>
  </si>
  <si>
    <t>7.68.68.44</t>
  </si>
  <si>
    <t>40B034363185</t>
  </si>
  <si>
    <t>9CG7181S11</t>
  </si>
  <si>
    <t>GENWUS363127</t>
  </si>
  <si>
    <t>7.216.156.124</t>
  </si>
  <si>
    <t>40B034363127</t>
  </si>
  <si>
    <t>9CG7181SB8</t>
  </si>
  <si>
    <t>ITCC4651632CDCD</t>
  </si>
  <si>
    <t>7.68.156.134</t>
  </si>
  <si>
    <t>C4651632CDCD</t>
  </si>
  <si>
    <t>8CG9308JX4</t>
  </si>
  <si>
    <t>161.169.20.34</t>
  </si>
  <si>
    <t>40B034363110</t>
  </si>
  <si>
    <t>9CG7181S1S</t>
  </si>
  <si>
    <t>GENWUS168C07</t>
  </si>
  <si>
    <t>7.69.12.212</t>
  </si>
  <si>
    <t>040E3C168C07</t>
  </si>
  <si>
    <t>8CG942F5DH</t>
  </si>
  <si>
    <t>MPCSUS082D73</t>
  </si>
  <si>
    <t>7.13.244.56</t>
  </si>
  <si>
    <t>842AFD082D73</t>
  </si>
  <si>
    <t>8CG12274FF</t>
  </si>
  <si>
    <t>7.13.244.116</t>
  </si>
  <si>
    <t>842AFD083832</t>
  </si>
  <si>
    <t>8CG12900VG</t>
  </si>
  <si>
    <t>ITCC4651630F517</t>
  </si>
  <si>
    <t>7.15.4.86</t>
  </si>
  <si>
    <t>C4651630F517</t>
  </si>
  <si>
    <t>8CG9303WW1</t>
  </si>
  <si>
    <t>156.94.205.26</t>
  </si>
  <si>
    <t>040E3C32BF3E</t>
  </si>
  <si>
    <t>8CG0282W7W</t>
  </si>
  <si>
    <t>55.13.215.174</t>
  </si>
  <si>
    <t>40B03434AC44</t>
  </si>
  <si>
    <t>9CG7471F0M</t>
  </si>
  <si>
    <t>7.13.212.12</t>
  </si>
  <si>
    <t>040E3C1684F0</t>
  </si>
  <si>
    <t>8CG942F950</t>
  </si>
  <si>
    <t>ITCC4651630B88F</t>
  </si>
  <si>
    <t>7.69.108.97</t>
  </si>
  <si>
    <t>C4651630B88F</t>
  </si>
  <si>
    <t>8CG929532Z</t>
  </si>
  <si>
    <t>SUS2B608E</t>
  </si>
  <si>
    <t>7.69.124.26</t>
  </si>
  <si>
    <t>040E3C2B608E</t>
  </si>
  <si>
    <t>8CG0172GKN</t>
  </si>
  <si>
    <t>ITC842AFD080E5D</t>
  </si>
  <si>
    <t>7.20.148.193</t>
  </si>
  <si>
    <t>842AFD080E5D</t>
  </si>
  <si>
    <t>8CG1079XQ7</t>
  </si>
  <si>
    <t>ITCC4651630FEF6</t>
  </si>
  <si>
    <t>7.8.228.38</t>
  </si>
  <si>
    <t>C4651630FEF6</t>
  </si>
  <si>
    <t>8CG9295ZNK</t>
  </si>
  <si>
    <t>GENWUS1682C6</t>
  </si>
  <si>
    <t>7.69.140.169</t>
  </si>
  <si>
    <t>040E3C1682C6</t>
  </si>
  <si>
    <t>8CG942F36R</t>
  </si>
  <si>
    <t>ITC842AFD08232F</t>
  </si>
  <si>
    <t>7.13.204.72</t>
  </si>
  <si>
    <t>842AFD08232F</t>
  </si>
  <si>
    <t>8CG11329CP</t>
  </si>
  <si>
    <t>156.91.239.27</t>
  </si>
  <si>
    <t>1860246E4E55</t>
  </si>
  <si>
    <t>9CG82322XY</t>
  </si>
  <si>
    <t>7.8.188.27</t>
  </si>
  <si>
    <t>40B03436301A</t>
  </si>
  <si>
    <t>9CG7181S5B</t>
  </si>
  <si>
    <t>7.20.204.64</t>
  </si>
  <si>
    <t>40B034363186</t>
  </si>
  <si>
    <t>9CG7181SCY</t>
  </si>
  <si>
    <t>ITC842AFD081F57</t>
  </si>
  <si>
    <t>7.20.212.19</t>
  </si>
  <si>
    <t>842AFD081F57</t>
  </si>
  <si>
    <t>8CG1132D9J</t>
  </si>
  <si>
    <t>TCPPL02</t>
  </si>
  <si>
    <t>7.77.108.68</t>
  </si>
  <si>
    <t>40B03433275C</t>
  </si>
  <si>
    <t>9CG7271WGR</t>
  </si>
  <si>
    <t>161.164.72.41</t>
  </si>
  <si>
    <t>842AFD0821F4</t>
  </si>
  <si>
    <t>8CG1132DBC</t>
  </si>
  <si>
    <t>CLIENT-C4651630B91D</t>
  </si>
  <si>
    <t>7.77.148.184</t>
  </si>
  <si>
    <t>C4651630B91D</t>
  </si>
  <si>
    <t>8CG929534K</t>
  </si>
  <si>
    <t>161.171.102.36</t>
  </si>
  <si>
    <t>B07B2567C13F</t>
  </si>
  <si>
    <t>2Y43K93</t>
  </si>
  <si>
    <t>7.77.252.26</t>
  </si>
  <si>
    <t>040E3C2BE68B</t>
  </si>
  <si>
    <t>8CG0172JTY</t>
  </si>
  <si>
    <t>ITCC4651630BB0E</t>
  </si>
  <si>
    <t>7.153.228.82</t>
  </si>
  <si>
    <t>C4651630BB0E</t>
  </si>
  <si>
    <t>8CG9294NFQ</t>
  </si>
  <si>
    <t>MPCSUS084924</t>
  </si>
  <si>
    <t>7.112.100.184</t>
  </si>
  <si>
    <t>842AFD084924</t>
  </si>
  <si>
    <t>8CG1283H70</t>
  </si>
  <si>
    <t>MPCSUS0821CE</t>
  </si>
  <si>
    <t>7.77.188.131</t>
  </si>
  <si>
    <t>842AFD0821CE</t>
  </si>
  <si>
    <t>8CG1132D8J</t>
  </si>
  <si>
    <t>TCTLE02</t>
  </si>
  <si>
    <t>161.171.181.32</t>
  </si>
  <si>
    <t>8CEC4B63561C</t>
  </si>
  <si>
    <t>7SCNYN2</t>
  </si>
  <si>
    <t>161.171.181.34</t>
  </si>
  <si>
    <t>40B034363157</t>
  </si>
  <si>
    <t>9CG7181SB1</t>
  </si>
  <si>
    <t>GENWUS2BE639</t>
  </si>
  <si>
    <t>7.78.36.97</t>
  </si>
  <si>
    <t>040E3C2BE639</t>
  </si>
  <si>
    <t>8CG0172JS8</t>
  </si>
  <si>
    <t>161.164.73.158</t>
  </si>
  <si>
    <t>40B034362FA4</t>
  </si>
  <si>
    <t>9CG7181S2G</t>
  </si>
  <si>
    <t>7.159.60.54</t>
  </si>
  <si>
    <t>B07B2567C134</t>
  </si>
  <si>
    <t>37W5K93</t>
  </si>
  <si>
    <t>DELL WYSE 3040 THIN CLIENT</t>
  </si>
  <si>
    <t>161.176.142.20</t>
  </si>
  <si>
    <t>40B034362A75</t>
  </si>
  <si>
    <t>9CG71712W5</t>
  </si>
  <si>
    <t>ITC842AFD0816EF</t>
  </si>
  <si>
    <t>7.118.108.35</t>
  </si>
  <si>
    <t>842AFD0816EF</t>
  </si>
  <si>
    <t>8CG11300L7</t>
  </si>
  <si>
    <t>ITC842AFD0816F0</t>
  </si>
  <si>
    <t>55.118.111.151</t>
  </si>
  <si>
    <t>842AFD0816F0</t>
  </si>
  <si>
    <t>8CG112DCZ4</t>
  </si>
  <si>
    <t>MPCSUS279642</t>
  </si>
  <si>
    <t>7.78.220.15</t>
  </si>
  <si>
    <t>A4BB6D279642</t>
  </si>
  <si>
    <t>35XNF33</t>
  </si>
  <si>
    <t>GENSUS2B602D</t>
  </si>
  <si>
    <t>7.78.220.86</t>
  </si>
  <si>
    <t>040E3C2B602D</t>
  </si>
  <si>
    <t>8CG0172GK6</t>
  </si>
  <si>
    <t>GENWUS30BA16</t>
  </si>
  <si>
    <t>7.78.44.192</t>
  </si>
  <si>
    <t>C4651630BA16</t>
  </si>
  <si>
    <t>8CG9294G7Z</t>
  </si>
  <si>
    <t>GENWUS167F61</t>
  </si>
  <si>
    <t>7.78.52.132</t>
  </si>
  <si>
    <t>040E3C167F61</t>
  </si>
  <si>
    <t>8CG942F50R</t>
  </si>
  <si>
    <t>ITC40B034362AAD</t>
  </si>
  <si>
    <t>7.78.244.226</t>
  </si>
  <si>
    <t>40B034362AAD</t>
  </si>
  <si>
    <t>9CG71712YD</t>
  </si>
  <si>
    <t>55.172.216.34</t>
  </si>
  <si>
    <t>40B034362ABD</t>
  </si>
  <si>
    <t>9CG717130L</t>
  </si>
  <si>
    <t>55.131.8.26</t>
  </si>
  <si>
    <t>1860246E362D</t>
  </si>
  <si>
    <t>9CG8212NG6</t>
  </si>
  <si>
    <t>10.73.54.26</t>
  </si>
  <si>
    <t>40B03434A4E5</t>
  </si>
  <si>
    <t>9CG7451MGG</t>
  </si>
  <si>
    <t>55.73.39.179</t>
  </si>
  <si>
    <t>40B034362FC6</t>
  </si>
  <si>
    <t>9CG7181RYQ</t>
  </si>
  <si>
    <t>161.171.26.14</t>
  </si>
  <si>
    <t>C4651630BA0E</t>
  </si>
  <si>
    <t>8CG9294NGP</t>
  </si>
  <si>
    <t>GENWUS164EEE</t>
  </si>
  <si>
    <t>7.73.44.103</t>
  </si>
  <si>
    <t>040E3C164EEE</t>
  </si>
  <si>
    <t>8CG942F87B</t>
  </si>
  <si>
    <t>TCMGR01</t>
  </si>
  <si>
    <t>161.175.54.19</t>
  </si>
  <si>
    <t>40B03434A4A2</t>
  </si>
  <si>
    <t>9CG7451MDB</t>
  </si>
  <si>
    <t>GENWUS310509</t>
  </si>
  <si>
    <t>7.113.140.85</t>
  </si>
  <si>
    <t>C46516310509</t>
  </si>
  <si>
    <t>8CG929515F</t>
  </si>
  <si>
    <t>55.162.136.34</t>
  </si>
  <si>
    <t>40B0343629C6</t>
  </si>
  <si>
    <t>9CG71712VF</t>
  </si>
  <si>
    <t>GENWUS30B957</t>
  </si>
  <si>
    <t>7.162.140.189</t>
  </si>
  <si>
    <t>C4651630B957</t>
  </si>
  <si>
    <t>8CG9295344</t>
  </si>
  <si>
    <t>IGELST310526</t>
  </si>
  <si>
    <t>7.57.156.159</t>
  </si>
  <si>
    <t>C46516310526</t>
  </si>
  <si>
    <t>8CG92960GS</t>
  </si>
  <si>
    <t>GENWUS16848D</t>
  </si>
  <si>
    <t>7.74.60.24</t>
  </si>
  <si>
    <t>040E3C16848D</t>
  </si>
  <si>
    <t>8CG942F91C</t>
  </si>
  <si>
    <t>55.161.64.28</t>
  </si>
  <si>
    <t>40B03434A2FD</t>
  </si>
  <si>
    <t>9CG7381BR5</t>
  </si>
  <si>
    <t>55.161.64.40</t>
  </si>
  <si>
    <t>842AFD081187</t>
  </si>
  <si>
    <t>8CG107B4RJ</t>
  </si>
  <si>
    <t>161.171.52.34</t>
  </si>
  <si>
    <t>40B034362FE1</t>
  </si>
  <si>
    <t>9CG7181S3C</t>
  </si>
  <si>
    <t>SUS082080</t>
  </si>
  <si>
    <t>7.150.196.154</t>
  </si>
  <si>
    <t>842AFD082080</t>
  </si>
  <si>
    <t>8CG1132D5J</t>
  </si>
  <si>
    <t>WUS0815FE</t>
  </si>
  <si>
    <t>7.67.124.71</t>
  </si>
  <si>
    <t>842AFD0815FE</t>
  </si>
  <si>
    <t>8CG112CYP3</t>
  </si>
  <si>
    <t>ITC842AFD081C6E</t>
  </si>
  <si>
    <t>7.57.60.181</t>
  </si>
  <si>
    <t>842AFD081C6E</t>
  </si>
  <si>
    <t>8CG112CYN7</t>
  </si>
  <si>
    <t>10.199.52.19</t>
  </si>
  <si>
    <t>1860246E6354</t>
  </si>
  <si>
    <t>9CG8241TPL</t>
  </si>
  <si>
    <t>GENWUS32DA3E</t>
  </si>
  <si>
    <t>7.135.68.120</t>
  </si>
  <si>
    <t>C4651632DA3E</t>
  </si>
  <si>
    <t>8CG9308K86</t>
  </si>
  <si>
    <t>GENWUS2BE719</t>
  </si>
  <si>
    <t>7.150.148.58</t>
  </si>
  <si>
    <t>040E3C2BE719</t>
  </si>
  <si>
    <t>8CG0172FTH</t>
  </si>
  <si>
    <t>GENWUS2BE6B7</t>
  </si>
  <si>
    <t>7.150.148.113</t>
  </si>
  <si>
    <t>040E3C2BE6B7</t>
  </si>
  <si>
    <t>8CG0172FW7</t>
  </si>
  <si>
    <t>GENW084E79</t>
  </si>
  <si>
    <t>7.150.148.215</t>
  </si>
  <si>
    <t>842AFD084E79</t>
  </si>
  <si>
    <t>8CG1326VC0</t>
  </si>
  <si>
    <t>ITC842AFD08028B</t>
  </si>
  <si>
    <t>7.73.172.26</t>
  </si>
  <si>
    <t>842AFD08028B</t>
  </si>
  <si>
    <t>8CG1079SPK</t>
  </si>
  <si>
    <t>7.182.252.235</t>
  </si>
  <si>
    <t>C4651630BF90</t>
  </si>
  <si>
    <t>8CG9294KSF</t>
  </si>
  <si>
    <t>GENWUS167B7B</t>
  </si>
  <si>
    <t>7.182.252.66</t>
  </si>
  <si>
    <t>040E3C167B7B</t>
  </si>
  <si>
    <t>8CG942F445</t>
  </si>
  <si>
    <t>55.184.184.27</t>
  </si>
  <si>
    <t>8CEC4B6091DB</t>
  </si>
  <si>
    <t>4B2GXN2</t>
  </si>
  <si>
    <t>ITC842AFD0830E7</t>
  </si>
  <si>
    <t>7.183.52.76</t>
  </si>
  <si>
    <t>842AFD0830E7</t>
  </si>
  <si>
    <t>8CG12272YZ</t>
  </si>
  <si>
    <t>55.146.112.43</t>
  </si>
  <si>
    <t>1860246F6AA7</t>
  </si>
  <si>
    <t>9CG8392MVD</t>
  </si>
  <si>
    <t>ITCC46516310588</t>
  </si>
  <si>
    <t>7.56.180.151</t>
  </si>
  <si>
    <t>C46516310588</t>
  </si>
  <si>
    <t>8CG9295ZWP</t>
  </si>
  <si>
    <t>10.201.230.43</t>
  </si>
  <si>
    <t>C46516310441</t>
  </si>
  <si>
    <t>8CG9295ZDQ</t>
  </si>
  <si>
    <t>10.223.184.26</t>
  </si>
  <si>
    <t>8CEC4B577456</t>
  </si>
  <si>
    <t>1S5GXN2</t>
  </si>
  <si>
    <t>10.223.184.27</t>
  </si>
  <si>
    <t>8CEC4B5FC54B</t>
  </si>
  <si>
    <t>2VZFXN2</t>
  </si>
  <si>
    <t>7.43.172.113</t>
  </si>
  <si>
    <t>40B034362FE4</t>
  </si>
  <si>
    <t>9CG7181S3Z</t>
  </si>
  <si>
    <t>156.89.139.26</t>
  </si>
  <si>
    <t>1860246DB79D</t>
  </si>
  <si>
    <t>9CG81521C9</t>
  </si>
  <si>
    <t>ITC040E3C2BE9ED</t>
  </si>
  <si>
    <t>7.35.156.36</t>
  </si>
  <si>
    <t>040E3C2BE9ED</t>
  </si>
  <si>
    <t>8CG0172GNT</t>
  </si>
  <si>
    <t>156.84.232.34</t>
  </si>
  <si>
    <t>40B034362A91</t>
  </si>
  <si>
    <t>9CG71712RC</t>
  </si>
  <si>
    <t>TCCO04</t>
  </si>
  <si>
    <t>7.5.116.239</t>
  </si>
  <si>
    <t>040E3C167ECB</t>
  </si>
  <si>
    <t>8CG942F55J</t>
  </si>
  <si>
    <t>GENWUS2BE5D2</t>
  </si>
  <si>
    <t>7.89.228.70</t>
  </si>
  <si>
    <t>040E3C2BE5D2</t>
  </si>
  <si>
    <t>8CG0172FKK</t>
  </si>
  <si>
    <t>MPCSUS083807</t>
  </si>
  <si>
    <t>7.135.84.225</t>
  </si>
  <si>
    <t>842AFD083807</t>
  </si>
  <si>
    <t>8CG12272XW</t>
  </si>
  <si>
    <t>161.165.1.34</t>
  </si>
  <si>
    <t>40B0343631E6</t>
  </si>
  <si>
    <t>9CG7181SH1</t>
  </si>
  <si>
    <t>7.181.60.30</t>
  </si>
  <si>
    <t>842AFD0821F5</t>
  </si>
  <si>
    <t>8CG1132D9T</t>
  </si>
  <si>
    <t>ITC040E3C2BE6A2</t>
  </si>
  <si>
    <t>7.21.20.98</t>
  </si>
  <si>
    <t>040E3C2BE6A2</t>
  </si>
  <si>
    <t>8CG0172KG6</t>
  </si>
  <si>
    <t>156.87.210.31</t>
  </si>
  <si>
    <t>40B034349DBD</t>
  </si>
  <si>
    <t>9CG7471F0Q</t>
  </si>
  <si>
    <t>TCCO02</t>
  </si>
  <si>
    <t>156.84.241.16</t>
  </si>
  <si>
    <t>40B034362A6B</t>
  </si>
  <si>
    <t>9CG7181SHW</t>
  </si>
  <si>
    <t>7.32.76.91</t>
  </si>
  <si>
    <t>1860246E634E</t>
  </si>
  <si>
    <t>9CG8241TNZ</t>
  </si>
  <si>
    <t>156.87.207.27</t>
  </si>
  <si>
    <t>40B03434A802</t>
  </si>
  <si>
    <t>9CG7381BQR</t>
  </si>
  <si>
    <t>7.53.44.31</t>
  </si>
  <si>
    <t>40B034362B04</t>
  </si>
  <si>
    <t>9CG7181SGG</t>
  </si>
  <si>
    <t>ITCC4651630BDF6</t>
  </si>
  <si>
    <t>7.53.44.123</t>
  </si>
  <si>
    <t>C4651630BDF6</t>
  </si>
  <si>
    <t>8CG9294K4M</t>
  </si>
  <si>
    <t>TCUPC02</t>
  </si>
  <si>
    <t>156.91.229.12</t>
  </si>
  <si>
    <t>40B034363036</t>
  </si>
  <si>
    <t>9CG7181S6K</t>
  </si>
  <si>
    <t>MPCSUS30B96D</t>
  </si>
  <si>
    <t>7.53.180.163</t>
  </si>
  <si>
    <t>C4651630B96D</t>
  </si>
  <si>
    <t>8CG9294G91</t>
  </si>
  <si>
    <t>GENWUS30BE33</t>
  </si>
  <si>
    <t>7.53.4.113</t>
  </si>
  <si>
    <t>C4651630BE33</t>
  </si>
  <si>
    <t>8CG9294K4F</t>
  </si>
  <si>
    <t>ITCC4651631B92B</t>
  </si>
  <si>
    <t>7.29.84.47</t>
  </si>
  <si>
    <t>C4651631B92B</t>
  </si>
  <si>
    <t>8CG9302XWC</t>
  </si>
  <si>
    <t>GENWUS081C4E</t>
  </si>
  <si>
    <t>7.161.252.63</t>
  </si>
  <si>
    <t>842AFD081C4E</t>
  </si>
  <si>
    <t>8CG11300VH</t>
  </si>
  <si>
    <t>ITCC4651630F51B</t>
  </si>
  <si>
    <t>7.215.236.10</t>
  </si>
  <si>
    <t>C4651630F51B</t>
  </si>
  <si>
    <t>8CG9303WTT</t>
  </si>
  <si>
    <t>7.87.60.174</t>
  </si>
  <si>
    <t>8CEC4B4766D2</t>
  </si>
  <si>
    <t>BY77VJ2</t>
  </si>
  <si>
    <t>TCRCV03</t>
  </si>
  <si>
    <t>156.84.220.37</t>
  </si>
  <si>
    <t>842AFD0818F8</t>
  </si>
  <si>
    <t>8CG112CWSK</t>
  </si>
  <si>
    <t>ITC842AFD08191F</t>
  </si>
  <si>
    <t>7.153.52.95</t>
  </si>
  <si>
    <t>842AFD08191F</t>
  </si>
  <si>
    <t>8CG112D6DT</t>
  </si>
  <si>
    <t>156.87.185.159</t>
  </si>
  <si>
    <t>40B034340BAE</t>
  </si>
  <si>
    <t>9CG73017WD</t>
  </si>
  <si>
    <t>10.199.102.34</t>
  </si>
  <si>
    <t>40B034362A72</t>
  </si>
  <si>
    <t>9CG71713XM</t>
  </si>
  <si>
    <t>156.87.208.41</t>
  </si>
  <si>
    <t>40B03436302D</t>
  </si>
  <si>
    <t>9CG7181S5P</t>
  </si>
  <si>
    <t>ITCC4651630BBFF</t>
  </si>
  <si>
    <t>7.16.60.231</t>
  </si>
  <si>
    <t>C4651630BBFF</t>
  </si>
  <si>
    <t>8CG9294F2L</t>
  </si>
  <si>
    <t>156.90.189.34</t>
  </si>
  <si>
    <t>40B034368006</t>
  </si>
  <si>
    <t>9CG71929HQ</t>
  </si>
  <si>
    <t>TCBAY02</t>
  </si>
  <si>
    <t>156.90.193.102</t>
  </si>
  <si>
    <t>40B034367B6D</t>
  </si>
  <si>
    <t>9CG71929KR</t>
  </si>
  <si>
    <t>156.87.216.27</t>
  </si>
  <si>
    <t>2CEA7F282878</t>
  </si>
  <si>
    <t>695VQ53</t>
  </si>
  <si>
    <t>156.87.216.28</t>
  </si>
  <si>
    <t>2CEA7F282D2F</t>
  </si>
  <si>
    <t>62CQQ53</t>
  </si>
  <si>
    <t>ITC842AFD0829D2</t>
  </si>
  <si>
    <t>7.213.4.147</t>
  </si>
  <si>
    <t>842AFD0829D2</t>
  </si>
  <si>
    <t>8CG12274NS</t>
  </si>
  <si>
    <t>156.85.241.34</t>
  </si>
  <si>
    <t>40B034367C1E</t>
  </si>
  <si>
    <t>9CG71929KB</t>
  </si>
  <si>
    <t>156.90.198.28</t>
  </si>
  <si>
    <t>1860246F6AA5</t>
  </si>
  <si>
    <t>9CG8392MT6</t>
  </si>
  <si>
    <t>GENWUS3101BD</t>
  </si>
  <si>
    <t>7.11.252.129</t>
  </si>
  <si>
    <t>C465163101BD</t>
  </si>
  <si>
    <t>8CG9295YLS</t>
  </si>
  <si>
    <t>156.90.194.158</t>
  </si>
  <si>
    <t>40B034362AC9</t>
  </si>
  <si>
    <t>9CG7181SHK</t>
  </si>
  <si>
    <t>156.90.202.15</t>
  </si>
  <si>
    <t>C4651630B946</t>
  </si>
  <si>
    <t>8CG929534Y</t>
  </si>
  <si>
    <t>ITCC46516310009</t>
  </si>
  <si>
    <t>7.12.44.220</t>
  </si>
  <si>
    <t>C46516310009</t>
  </si>
  <si>
    <t>8CG9295ZQZ</t>
  </si>
  <si>
    <t>55.28.16.26</t>
  </si>
  <si>
    <t>8CEC4B635C52</t>
  </si>
  <si>
    <t>237QCL2</t>
  </si>
  <si>
    <t>156.87.181.26</t>
  </si>
  <si>
    <t>A4BB6D279D4B</t>
  </si>
  <si>
    <t>3X2LR33</t>
  </si>
  <si>
    <t>156.87.181.27</t>
  </si>
  <si>
    <t>2CEA7F282DA2</t>
  </si>
  <si>
    <t>646SQ53</t>
  </si>
  <si>
    <t>GENWUS081493</t>
  </si>
  <si>
    <t>7.87.68.77</t>
  </si>
  <si>
    <t>842AFD081493</t>
  </si>
  <si>
    <t>8CG112D6TS</t>
  </si>
  <si>
    <t>ITCC4651630F552</t>
  </si>
  <si>
    <t>7.140.28.59</t>
  </si>
  <si>
    <t>C4651630F552</t>
  </si>
  <si>
    <t>8CG9303WXL</t>
  </si>
  <si>
    <t>ITCC4651631084B</t>
  </si>
  <si>
    <t>7.16.164.30</t>
  </si>
  <si>
    <t>C4651631084B</t>
  </si>
  <si>
    <t>8CG9295419</t>
  </si>
  <si>
    <t>55.7.160.31</t>
  </si>
  <si>
    <t>40B03434A481</t>
  </si>
  <si>
    <t>9CG7451MGC</t>
  </si>
  <si>
    <t>ITCC4651632DA8D</t>
  </si>
  <si>
    <t>7.181.220.210</t>
  </si>
  <si>
    <t>C4651632DA8D</t>
  </si>
  <si>
    <t>8CG9308K68</t>
  </si>
  <si>
    <t>55.151.32.158</t>
  </si>
  <si>
    <t>40B03436801A</t>
  </si>
  <si>
    <t>9CG71929JG</t>
  </si>
  <si>
    <t>10.215.244.35</t>
  </si>
  <si>
    <t>1860246F86AF</t>
  </si>
  <si>
    <t>9CG8392MSK</t>
  </si>
  <si>
    <t>GENWUS30B56D</t>
  </si>
  <si>
    <t>7.11.244.146</t>
  </si>
  <si>
    <t>C4651630B56D</t>
  </si>
  <si>
    <t>8CG92952G0</t>
  </si>
  <si>
    <t>ITCC465163107D6</t>
  </si>
  <si>
    <t>7.11.244.160</t>
  </si>
  <si>
    <t>C465163107D6</t>
  </si>
  <si>
    <t>8CG929542R</t>
  </si>
  <si>
    <t>ITC842AFD0829D7</t>
  </si>
  <si>
    <t>55.1.62.195</t>
  </si>
  <si>
    <t>842AFD0829D7</t>
  </si>
  <si>
    <t>8CG12274PL</t>
  </si>
  <si>
    <t>161.164.10.34</t>
  </si>
  <si>
    <t>40B034367CE0</t>
  </si>
  <si>
    <t>9CG71929GH</t>
  </si>
  <si>
    <t>GENWUS167F73</t>
  </si>
  <si>
    <t>7.30.68.120</t>
  </si>
  <si>
    <t>040E3C167F73</t>
  </si>
  <si>
    <t>8CG942F5CR</t>
  </si>
  <si>
    <t>GENWUS167EC6</t>
  </si>
  <si>
    <t>7.30.68.208</t>
  </si>
  <si>
    <t>040E3C167EC6</t>
  </si>
  <si>
    <t>8CG942F598</t>
  </si>
  <si>
    <t>MPCSUS278E20</t>
  </si>
  <si>
    <t>7.189.68.107</t>
  </si>
  <si>
    <t>A4BB6D278E20</t>
  </si>
  <si>
    <t>35HLR33</t>
  </si>
  <si>
    <t>7.189.68.70</t>
  </si>
  <si>
    <t>1860246DB643</t>
  </si>
  <si>
    <t>9CG81521BK</t>
  </si>
  <si>
    <t>156.85.227.12</t>
  </si>
  <si>
    <t>1860246DB571</t>
  </si>
  <si>
    <t>9CG8161C7R</t>
  </si>
  <si>
    <t>GENWUS30B884</t>
  </si>
  <si>
    <t>7.189.68.14</t>
  </si>
  <si>
    <t>C4651630B884</t>
  </si>
  <si>
    <t>8CG929533L</t>
  </si>
  <si>
    <t>156.88.242.27</t>
  </si>
  <si>
    <t>1860246DB69F</t>
  </si>
  <si>
    <t>9CG81521BB</t>
  </si>
  <si>
    <t>156.88.242.15</t>
  </si>
  <si>
    <t>842AFD082D50</t>
  </si>
  <si>
    <t>8CG12272PZ</t>
  </si>
  <si>
    <t>MPCSUS08269B</t>
  </si>
  <si>
    <t>7.49.196.99</t>
  </si>
  <si>
    <t>842AFD08269B</t>
  </si>
  <si>
    <t>8CG1220CCR</t>
  </si>
  <si>
    <t>161.164.11.29</t>
  </si>
  <si>
    <t>2CEA7F282CC2</t>
  </si>
  <si>
    <t>62HTQ53</t>
  </si>
  <si>
    <t>156.84.245.32</t>
  </si>
  <si>
    <t>E454E83C9406</t>
  </si>
  <si>
    <t>FVMDSZ2</t>
  </si>
  <si>
    <t>ITC40B0343631D6</t>
  </si>
  <si>
    <t>55.12.111.167</t>
  </si>
  <si>
    <t>40B0343631D6</t>
  </si>
  <si>
    <t>9CG71929JP</t>
  </si>
  <si>
    <t>GENWUS30FE77</t>
  </si>
  <si>
    <t>7.35.124.80</t>
  </si>
  <si>
    <t>C4651630FE77</t>
  </si>
  <si>
    <t>8CG9295Y5R</t>
  </si>
  <si>
    <t>156.90.195.34</t>
  </si>
  <si>
    <t>40B034362AC7</t>
  </si>
  <si>
    <t>9CG7181SKJ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</si>
</sst>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231E1E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CD0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7383-2FE7-4CC9-9EF9-C8C5E1431AF8}">
  <dimension ref="A1:O3618"/>
  <sheetViews>
    <sheetView tabSelected="1" workbookViewId="0">
      <pane ySplit="1" topLeftCell="A2" activePane="bottomLeft" state="frozen"/>
      <selection pane="bottomLeft" activeCell="A2" sqref="A2:XFD37"/>
    </sheetView>
  </sheetViews>
  <sheetFormatPr defaultRowHeight="14.25" x14ac:dyDescent="0.45"/>
  <cols>
    <col min="1" max="1" width="16.33203125" bestFit="1" customWidth="1"/>
    <col min="2" max="2" width="18" bestFit="1" customWidth="1"/>
    <col min="3" max="3" width="13.796875" bestFit="1" customWidth="1"/>
    <col min="4" max="4" width="12.53125" bestFit="1" customWidth="1"/>
    <col min="5" max="5" width="13.86328125" bestFit="1" customWidth="1"/>
    <col min="6" max="6" width="14.59765625" bestFit="1" customWidth="1"/>
    <col min="7" max="7" width="17.6640625" bestFit="1" customWidth="1"/>
    <col min="8" max="8" width="26.19921875" bestFit="1" customWidth="1"/>
    <col min="9" max="9" width="14.1328125" bestFit="1" customWidth="1"/>
    <col min="10" max="10" width="10.3984375" bestFit="1" customWidth="1"/>
    <col min="11" max="11" width="31.796875" bestFit="1" customWidth="1"/>
    <col min="12" max="12" width="21.59765625" bestFit="1" customWidth="1"/>
    <col min="13" max="13" width="11.59765625" bestFit="1" customWidth="1"/>
    <col min="14" max="14" width="14.46484375" bestFit="1" customWidth="1"/>
    <col min="15" max="15" width="12.1328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16410</v>
      </c>
      <c r="K1" t="s">
        <v>16411</v>
      </c>
      <c r="L1" t="s">
        <v>14639</v>
      </c>
      <c r="M1" t="s">
        <v>14640</v>
      </c>
      <c r="N1" t="s">
        <v>14641</v>
      </c>
      <c r="O1" t="s">
        <v>14642</v>
      </c>
    </row>
    <row r="2" spans="1:15" x14ac:dyDescent="0.45">
      <c r="A2" t="s">
        <v>7765</v>
      </c>
      <c r="B2" t="s">
        <v>7766</v>
      </c>
      <c r="C2" t="s">
        <v>7767</v>
      </c>
      <c r="D2" t="s">
        <v>1507</v>
      </c>
      <c r="E2" s="1">
        <v>46152.621967592589</v>
      </c>
      <c r="F2">
        <v>1547</v>
      </c>
      <c r="G2" t="s">
        <v>7768</v>
      </c>
      <c r="H2" t="s">
        <v>15</v>
      </c>
      <c r="I2" t="s">
        <v>1509</v>
      </c>
      <c r="J2" t="str">
        <f>RIGHT(D2,4)</f>
        <v>6332</v>
      </c>
      <c r="K2" t="str">
        <f>IFERROR(VLOOKUP(VALUE(J2),'Site Info'!$A:$G,3,FALSE),"")</f>
        <v>1000 FRANKLIN MILLS CIR</v>
      </c>
      <c r="L2" t="str">
        <f>IFERROR(VLOOKUP(VALUE(J2),'Site Info'!$A:$G,4,FALSE),"")</f>
        <v>PHILADELPHIA</v>
      </c>
      <c r="M2" t="str">
        <f>IFERROR(VLOOKUP(VALUE(J2),'Site Info'!$A:$G,5,FALSE),"")</f>
        <v>PA</v>
      </c>
      <c r="N2" t="str">
        <f>IFERROR(VLOOKUP(VALUE(J2),'Site Info'!$A:$G,6,FALSE),"")</f>
        <v>19154-3115</v>
      </c>
      <c r="O2">
        <f>IFERROR(VLOOKUP(VALUE(J2),'Site Info'!$A:$G,7,FALSE),"")</f>
        <v>2156322299</v>
      </c>
    </row>
    <row r="3" spans="1:15" x14ac:dyDescent="0.45">
      <c r="A3" t="s">
        <v>13447</v>
      </c>
      <c r="B3" t="s">
        <v>13448</v>
      </c>
      <c r="C3" t="s">
        <v>13449</v>
      </c>
      <c r="D3" t="s">
        <v>1507</v>
      </c>
      <c r="E3" s="1">
        <v>46152.629745370374</v>
      </c>
      <c r="F3">
        <v>1547</v>
      </c>
      <c r="G3" t="s">
        <v>13450</v>
      </c>
      <c r="H3" t="s">
        <v>15</v>
      </c>
      <c r="I3" t="s">
        <v>1509</v>
      </c>
      <c r="J3" t="str">
        <f>RIGHT(D3,4)</f>
        <v>6332</v>
      </c>
      <c r="K3" t="str">
        <f>IFERROR(VLOOKUP(VALUE(J3),'Site Info'!$A:$G,3,FALSE),"")</f>
        <v>1000 FRANKLIN MILLS CIR</v>
      </c>
      <c r="L3" t="str">
        <f>IFERROR(VLOOKUP(VALUE(J3),'Site Info'!$A:$G,4,FALSE),"")</f>
        <v>PHILADELPHIA</v>
      </c>
      <c r="M3" t="str">
        <f>IFERROR(VLOOKUP(VALUE(J3),'Site Info'!$A:$G,5,FALSE),"")</f>
        <v>PA</v>
      </c>
      <c r="N3" t="str">
        <f>IFERROR(VLOOKUP(VALUE(J3),'Site Info'!$A:$G,6,FALSE),"")</f>
        <v>19154-3115</v>
      </c>
      <c r="O3">
        <f>IFERROR(VLOOKUP(VALUE(J3),'Site Info'!$A:$G,7,FALSE),"")</f>
        <v>2156322299</v>
      </c>
    </row>
    <row r="4" spans="1:15" x14ac:dyDescent="0.45">
      <c r="A4" t="s">
        <v>7166</v>
      </c>
      <c r="B4" t="s">
        <v>7167</v>
      </c>
      <c r="C4" t="s">
        <v>7168</v>
      </c>
      <c r="D4" t="s">
        <v>1507</v>
      </c>
      <c r="E4" s="1">
        <v>46153.311666666668</v>
      </c>
      <c r="F4">
        <v>1547</v>
      </c>
      <c r="G4" t="s">
        <v>7169</v>
      </c>
      <c r="H4" t="s">
        <v>15</v>
      </c>
      <c r="I4" t="s">
        <v>1509</v>
      </c>
      <c r="J4" t="str">
        <f>RIGHT(D4,4)</f>
        <v>6332</v>
      </c>
      <c r="K4" t="str">
        <f>IFERROR(VLOOKUP(VALUE(J4),'Site Info'!$A:$G,3,FALSE),"")</f>
        <v>1000 FRANKLIN MILLS CIR</v>
      </c>
      <c r="L4" t="str">
        <f>IFERROR(VLOOKUP(VALUE(J4),'Site Info'!$A:$G,4,FALSE),"")</f>
        <v>PHILADELPHIA</v>
      </c>
      <c r="M4" t="str">
        <f>IFERROR(VLOOKUP(VALUE(J4),'Site Info'!$A:$G,5,FALSE),"")</f>
        <v>PA</v>
      </c>
      <c r="N4" t="str">
        <f>IFERROR(VLOOKUP(VALUE(J4),'Site Info'!$A:$G,6,FALSE),"")</f>
        <v>19154-3115</v>
      </c>
      <c r="O4">
        <f>IFERROR(VLOOKUP(VALUE(J4),'Site Info'!$A:$G,7,FALSE),"")</f>
        <v>2156322299</v>
      </c>
    </row>
    <row r="5" spans="1:15" x14ac:dyDescent="0.45">
      <c r="A5" t="s">
        <v>7741</v>
      </c>
      <c r="B5" t="s">
        <v>7742</v>
      </c>
      <c r="C5" t="s">
        <v>7743</v>
      </c>
      <c r="D5" t="s">
        <v>1507</v>
      </c>
      <c r="E5" s="1">
        <v>46153.352731481478</v>
      </c>
      <c r="F5">
        <v>1547</v>
      </c>
      <c r="G5" t="s">
        <v>7744</v>
      </c>
      <c r="H5" t="s">
        <v>15</v>
      </c>
      <c r="I5" t="s">
        <v>1509</v>
      </c>
      <c r="J5" t="str">
        <f>RIGHT(D5,4)</f>
        <v>6332</v>
      </c>
      <c r="K5" t="str">
        <f>IFERROR(VLOOKUP(VALUE(J5),'Site Info'!$A:$G,3,FALSE),"")</f>
        <v>1000 FRANKLIN MILLS CIR</v>
      </c>
      <c r="L5" t="str">
        <f>IFERROR(VLOOKUP(VALUE(J5),'Site Info'!$A:$G,4,FALSE),"")</f>
        <v>PHILADELPHIA</v>
      </c>
      <c r="M5" t="str">
        <f>IFERROR(VLOOKUP(VALUE(J5),'Site Info'!$A:$G,5,FALSE),"")</f>
        <v>PA</v>
      </c>
      <c r="N5" t="str">
        <f>IFERROR(VLOOKUP(VALUE(J5),'Site Info'!$A:$G,6,FALSE),"")</f>
        <v>19154-3115</v>
      </c>
      <c r="O5">
        <f>IFERROR(VLOOKUP(VALUE(J5),'Site Info'!$A:$G,7,FALSE),"")</f>
        <v>2156322299</v>
      </c>
    </row>
    <row r="6" spans="1:15" x14ac:dyDescent="0.45">
      <c r="A6" t="s">
        <v>13431</v>
      </c>
      <c r="B6" t="s">
        <v>13432</v>
      </c>
      <c r="C6" t="s">
        <v>13433</v>
      </c>
      <c r="D6" t="s">
        <v>1507</v>
      </c>
      <c r="E6" s="1">
        <v>46153.371608796297</v>
      </c>
      <c r="F6">
        <v>1547</v>
      </c>
      <c r="G6" t="s">
        <v>13434</v>
      </c>
      <c r="H6" t="s">
        <v>15</v>
      </c>
      <c r="I6" t="s">
        <v>1509</v>
      </c>
      <c r="J6" t="str">
        <f>RIGHT(D6,4)</f>
        <v>6332</v>
      </c>
      <c r="K6" t="str">
        <f>IFERROR(VLOOKUP(VALUE(J6),'Site Info'!$A:$G,3,FALSE),"")</f>
        <v>1000 FRANKLIN MILLS CIR</v>
      </c>
      <c r="L6" t="str">
        <f>IFERROR(VLOOKUP(VALUE(J6),'Site Info'!$A:$G,4,FALSE),"")</f>
        <v>PHILADELPHIA</v>
      </c>
      <c r="M6" t="str">
        <f>IFERROR(VLOOKUP(VALUE(J6),'Site Info'!$A:$G,5,FALSE),"")</f>
        <v>PA</v>
      </c>
      <c r="N6" t="str">
        <f>IFERROR(VLOOKUP(VALUE(J6),'Site Info'!$A:$G,6,FALSE),"")</f>
        <v>19154-3115</v>
      </c>
      <c r="O6">
        <f>IFERROR(VLOOKUP(VALUE(J6),'Site Info'!$A:$G,7,FALSE),"")</f>
        <v>2156322299</v>
      </c>
    </row>
    <row r="7" spans="1:15" x14ac:dyDescent="0.45">
      <c r="A7" t="s">
        <v>1504</v>
      </c>
      <c r="B7" t="s">
        <v>1505</v>
      </c>
      <c r="C7" t="s">
        <v>1506</v>
      </c>
      <c r="D7" t="s">
        <v>1507</v>
      </c>
      <c r="E7" s="1">
        <v>46153.12841435185</v>
      </c>
      <c r="F7">
        <v>1481</v>
      </c>
      <c r="G7" t="s">
        <v>1508</v>
      </c>
      <c r="H7" t="s">
        <v>15</v>
      </c>
      <c r="I7" t="s">
        <v>1509</v>
      </c>
      <c r="J7" t="str">
        <f>RIGHT(D7,4)</f>
        <v>6332</v>
      </c>
      <c r="K7" t="str">
        <f>IFERROR(VLOOKUP(VALUE(J7),'Site Info'!$A:$G,3,FALSE),"")</f>
        <v>1000 FRANKLIN MILLS CIR</v>
      </c>
      <c r="L7" t="str">
        <f>IFERROR(VLOOKUP(VALUE(J7),'Site Info'!$A:$G,4,FALSE),"")</f>
        <v>PHILADELPHIA</v>
      </c>
      <c r="M7" t="str">
        <f>IFERROR(VLOOKUP(VALUE(J7),'Site Info'!$A:$G,5,FALSE),"")</f>
        <v>PA</v>
      </c>
      <c r="N7" t="str">
        <f>IFERROR(VLOOKUP(VALUE(J7),'Site Info'!$A:$G,6,FALSE),"")</f>
        <v>19154-3115</v>
      </c>
      <c r="O7">
        <f>IFERROR(VLOOKUP(VALUE(J7),'Site Info'!$A:$G,7,FALSE),"")</f>
        <v>2156322299</v>
      </c>
    </row>
    <row r="8" spans="1:15" x14ac:dyDescent="0.45">
      <c r="A8" t="s">
        <v>16728</v>
      </c>
      <c r="B8" t="s">
        <v>16729</v>
      </c>
      <c r="C8" t="s">
        <v>16730</v>
      </c>
      <c r="D8" t="s">
        <v>1507</v>
      </c>
      <c r="E8" s="1">
        <v>46152.608530092592</v>
      </c>
      <c r="F8">
        <v>1547</v>
      </c>
      <c r="G8" t="s">
        <v>16731</v>
      </c>
      <c r="H8" t="s">
        <v>15</v>
      </c>
      <c r="I8" t="s">
        <v>1509</v>
      </c>
      <c r="J8" t="str">
        <f>RIGHT(D8,4)</f>
        <v>6332</v>
      </c>
      <c r="K8" t="str">
        <f>IFERROR(VLOOKUP(VALUE(J8),'Site Info'!$A:$G,3,FALSE),"")</f>
        <v>1000 FRANKLIN MILLS CIR</v>
      </c>
      <c r="L8" t="str">
        <f>IFERROR(VLOOKUP(VALUE(J8),'Site Info'!$A:$G,4,FALSE),"")</f>
        <v>PHILADELPHIA</v>
      </c>
      <c r="M8" t="str">
        <f>IFERROR(VLOOKUP(VALUE(J8),'Site Info'!$A:$G,5,FALSE),"")</f>
        <v>PA</v>
      </c>
      <c r="N8" t="str">
        <f>IFERROR(VLOOKUP(VALUE(J8),'Site Info'!$A:$G,6,FALSE),"")</f>
        <v>19154-3115</v>
      </c>
      <c r="O8">
        <f>IFERROR(VLOOKUP(VALUE(J8),'Site Info'!$A:$G,7,FALSE),"")</f>
        <v>2156322299</v>
      </c>
    </row>
    <row r="9" spans="1:15" x14ac:dyDescent="0.45">
      <c r="A9" t="s">
        <v>14539</v>
      </c>
      <c r="B9" t="s">
        <v>14540</v>
      </c>
      <c r="C9" t="s">
        <v>14541</v>
      </c>
      <c r="D9" t="s">
        <v>1583</v>
      </c>
      <c r="E9" s="1">
        <v>46151.766932870371</v>
      </c>
      <c r="F9">
        <v>1628</v>
      </c>
      <c r="G9" t="s">
        <v>14542</v>
      </c>
      <c r="H9" t="s">
        <v>13988</v>
      </c>
      <c r="I9" t="s">
        <v>1585</v>
      </c>
      <c r="J9" t="str">
        <f>RIGHT(D9,4)</f>
        <v>6410</v>
      </c>
      <c r="K9" t="str">
        <f>IFERROR(VLOOKUP(VALUE(J9),'Site Info'!$A:$G,3,FALSE),"")</f>
        <v>1000 KAMEHAMEHA HWY STE 100</v>
      </c>
      <c r="L9" t="str">
        <f>IFERROR(VLOOKUP(VALUE(J9),'Site Info'!$A:$G,4,FALSE),"")</f>
        <v>PEARL CITY</v>
      </c>
      <c r="M9" t="str">
        <f>IFERROR(VLOOKUP(VALUE(J9),'Site Info'!$A:$G,5,FALSE),"")</f>
        <v>HI</v>
      </c>
      <c r="N9" t="str">
        <f>IFERROR(VLOOKUP(VALUE(J9),'Site Info'!$A:$G,6,FALSE),"")</f>
        <v>96782-2596</v>
      </c>
      <c r="O9">
        <f>IFERROR(VLOOKUP(VALUE(J9),'Site Info'!$A:$G,7,FALSE),"")</f>
        <v>8084567788</v>
      </c>
    </row>
    <row r="10" spans="1:15" x14ac:dyDescent="0.45">
      <c r="A10" t="s">
        <v>11936</v>
      </c>
      <c r="B10" t="s">
        <v>11937</v>
      </c>
      <c r="C10" t="s">
        <v>11938</v>
      </c>
      <c r="D10" t="s">
        <v>1583</v>
      </c>
      <c r="E10" s="1">
        <v>46151.153634259259</v>
      </c>
      <c r="F10">
        <v>1547</v>
      </c>
      <c r="G10" t="s">
        <v>11939</v>
      </c>
      <c r="H10" t="s">
        <v>15</v>
      </c>
      <c r="I10" t="s">
        <v>1585</v>
      </c>
      <c r="J10" t="str">
        <f>RIGHT(D10,4)</f>
        <v>6410</v>
      </c>
      <c r="K10" t="str">
        <f>IFERROR(VLOOKUP(VALUE(J10),'Site Info'!$A:$G,3,FALSE),"")</f>
        <v>1000 KAMEHAMEHA HWY STE 100</v>
      </c>
      <c r="L10" t="str">
        <f>IFERROR(VLOOKUP(VALUE(J10),'Site Info'!$A:$G,4,FALSE),"")</f>
        <v>PEARL CITY</v>
      </c>
      <c r="M10" t="str">
        <f>IFERROR(VLOOKUP(VALUE(J10),'Site Info'!$A:$G,5,FALSE),"")</f>
        <v>HI</v>
      </c>
      <c r="N10" t="str">
        <f>IFERROR(VLOOKUP(VALUE(J10),'Site Info'!$A:$G,6,FALSE),"")</f>
        <v>96782-2596</v>
      </c>
      <c r="O10">
        <f>IFERROR(VLOOKUP(VALUE(J10),'Site Info'!$A:$G,7,FALSE),"")</f>
        <v>8084567788</v>
      </c>
    </row>
    <row r="11" spans="1:15" x14ac:dyDescent="0.45">
      <c r="A11" t="s">
        <v>12280</v>
      </c>
      <c r="B11" t="s">
        <v>12281</v>
      </c>
      <c r="C11" t="s">
        <v>12282</v>
      </c>
      <c r="D11" t="s">
        <v>1583</v>
      </c>
      <c r="E11" s="1">
        <v>46151.701886574076</v>
      </c>
      <c r="F11">
        <v>1547</v>
      </c>
      <c r="G11" t="s">
        <v>12283</v>
      </c>
      <c r="H11" t="s">
        <v>15</v>
      </c>
      <c r="I11" t="s">
        <v>1585</v>
      </c>
      <c r="J11" t="str">
        <f>RIGHT(D11,4)</f>
        <v>6410</v>
      </c>
      <c r="K11" t="str">
        <f>IFERROR(VLOOKUP(VALUE(J11),'Site Info'!$A:$G,3,FALSE),"")</f>
        <v>1000 KAMEHAMEHA HWY STE 100</v>
      </c>
      <c r="L11" t="str">
        <f>IFERROR(VLOOKUP(VALUE(J11),'Site Info'!$A:$G,4,FALSE),"")</f>
        <v>PEARL CITY</v>
      </c>
      <c r="M11" t="str">
        <f>IFERROR(VLOOKUP(VALUE(J11),'Site Info'!$A:$G,5,FALSE),"")</f>
        <v>HI</v>
      </c>
      <c r="N11" t="str">
        <f>IFERROR(VLOOKUP(VALUE(J11),'Site Info'!$A:$G,6,FALSE),"")</f>
        <v>96782-2596</v>
      </c>
      <c r="O11">
        <f>IFERROR(VLOOKUP(VALUE(J11),'Site Info'!$A:$G,7,FALSE),"")</f>
        <v>8084567788</v>
      </c>
    </row>
    <row r="12" spans="1:15" x14ac:dyDescent="0.45">
      <c r="A12" t="s">
        <v>12918</v>
      </c>
      <c r="B12" t="s">
        <v>12919</v>
      </c>
      <c r="C12" t="s">
        <v>12920</v>
      </c>
      <c r="D12" t="s">
        <v>1583</v>
      </c>
      <c r="E12" s="1">
        <v>46152.669988425929</v>
      </c>
      <c r="F12">
        <v>1547</v>
      </c>
      <c r="G12" t="s">
        <v>12921</v>
      </c>
      <c r="H12" t="s">
        <v>15</v>
      </c>
      <c r="I12" t="s">
        <v>1585</v>
      </c>
      <c r="J12" t="str">
        <f>RIGHT(D12,4)</f>
        <v>6410</v>
      </c>
      <c r="K12" t="str">
        <f>IFERROR(VLOOKUP(VALUE(J12),'Site Info'!$A:$G,3,FALSE),"")</f>
        <v>1000 KAMEHAMEHA HWY STE 100</v>
      </c>
      <c r="L12" t="str">
        <f>IFERROR(VLOOKUP(VALUE(J12),'Site Info'!$A:$G,4,FALSE),"")</f>
        <v>PEARL CITY</v>
      </c>
      <c r="M12" t="str">
        <f>IFERROR(VLOOKUP(VALUE(J12),'Site Info'!$A:$G,5,FALSE),"")</f>
        <v>HI</v>
      </c>
      <c r="N12" t="str">
        <f>IFERROR(VLOOKUP(VALUE(J12),'Site Info'!$A:$G,6,FALSE),"")</f>
        <v>96782-2596</v>
      </c>
      <c r="O12">
        <f>IFERROR(VLOOKUP(VALUE(J12),'Site Info'!$A:$G,7,FALSE),"")</f>
        <v>8084567788</v>
      </c>
    </row>
    <row r="13" spans="1:15" x14ac:dyDescent="0.45">
      <c r="A13" t="s">
        <v>11396</v>
      </c>
      <c r="B13" t="s">
        <v>11397</v>
      </c>
      <c r="C13" t="s">
        <v>11398</v>
      </c>
      <c r="D13" t="s">
        <v>1583</v>
      </c>
      <c r="E13" s="1">
        <v>46152.872476851851</v>
      </c>
      <c r="F13">
        <v>1547</v>
      </c>
      <c r="G13" t="s">
        <v>11399</v>
      </c>
      <c r="H13" t="s">
        <v>15</v>
      </c>
      <c r="I13" t="s">
        <v>1585</v>
      </c>
      <c r="J13" t="str">
        <f>RIGHT(D13,4)</f>
        <v>6410</v>
      </c>
      <c r="K13" t="str">
        <f>IFERROR(VLOOKUP(VALUE(J13),'Site Info'!$A:$G,3,FALSE),"")</f>
        <v>1000 KAMEHAMEHA HWY STE 100</v>
      </c>
      <c r="L13" t="str">
        <f>IFERROR(VLOOKUP(VALUE(J13),'Site Info'!$A:$G,4,FALSE),"")</f>
        <v>PEARL CITY</v>
      </c>
      <c r="M13" t="str">
        <f>IFERROR(VLOOKUP(VALUE(J13),'Site Info'!$A:$G,5,FALSE),"")</f>
        <v>HI</v>
      </c>
      <c r="N13" t="str">
        <f>IFERROR(VLOOKUP(VALUE(J13),'Site Info'!$A:$G,6,FALSE),"")</f>
        <v>96782-2596</v>
      </c>
      <c r="O13">
        <f>IFERROR(VLOOKUP(VALUE(J13),'Site Info'!$A:$G,7,FALSE),"")</f>
        <v>8084567788</v>
      </c>
    </row>
    <row r="14" spans="1:15" x14ac:dyDescent="0.45">
      <c r="A14" t="s">
        <v>10560</v>
      </c>
      <c r="B14" t="s">
        <v>10561</v>
      </c>
      <c r="C14" t="s">
        <v>10562</v>
      </c>
      <c r="D14" t="s">
        <v>1583</v>
      </c>
      <c r="E14" s="1">
        <v>46152.895416666666</v>
      </c>
      <c r="F14">
        <v>1547</v>
      </c>
      <c r="G14" t="s">
        <v>10563</v>
      </c>
      <c r="H14" t="s">
        <v>15</v>
      </c>
      <c r="I14" t="s">
        <v>1585</v>
      </c>
      <c r="J14" t="str">
        <f>RIGHT(D14,4)</f>
        <v>6410</v>
      </c>
      <c r="K14" t="str">
        <f>IFERROR(VLOOKUP(VALUE(J14),'Site Info'!$A:$G,3,FALSE),"")</f>
        <v>1000 KAMEHAMEHA HWY STE 100</v>
      </c>
      <c r="L14" t="str">
        <f>IFERROR(VLOOKUP(VALUE(J14),'Site Info'!$A:$G,4,FALSE),"")</f>
        <v>PEARL CITY</v>
      </c>
      <c r="M14" t="str">
        <f>IFERROR(VLOOKUP(VALUE(J14),'Site Info'!$A:$G,5,FALSE),"")</f>
        <v>HI</v>
      </c>
      <c r="N14" t="str">
        <f>IFERROR(VLOOKUP(VALUE(J14),'Site Info'!$A:$G,6,FALSE),"")</f>
        <v>96782-2596</v>
      </c>
      <c r="O14">
        <f>IFERROR(VLOOKUP(VALUE(J14),'Site Info'!$A:$G,7,FALSE),"")</f>
        <v>8084567788</v>
      </c>
    </row>
    <row r="15" spans="1:15" x14ac:dyDescent="0.45">
      <c r="A15" t="s">
        <v>13547</v>
      </c>
      <c r="B15" t="s">
        <v>13548</v>
      </c>
      <c r="C15" t="s">
        <v>13549</v>
      </c>
      <c r="D15" t="s">
        <v>1583</v>
      </c>
      <c r="E15" s="1">
        <v>46153.127372685187</v>
      </c>
      <c r="F15">
        <v>1547</v>
      </c>
      <c r="G15" t="s">
        <v>13550</v>
      </c>
      <c r="H15" t="s">
        <v>15</v>
      </c>
      <c r="I15" t="s">
        <v>1585</v>
      </c>
      <c r="J15" t="str">
        <f>RIGHT(D15,4)</f>
        <v>6410</v>
      </c>
      <c r="K15" t="str">
        <f>IFERROR(VLOOKUP(VALUE(J15),'Site Info'!$A:$G,3,FALSE),"")</f>
        <v>1000 KAMEHAMEHA HWY STE 100</v>
      </c>
      <c r="L15" t="str">
        <f>IFERROR(VLOOKUP(VALUE(J15),'Site Info'!$A:$G,4,FALSE),"")</f>
        <v>PEARL CITY</v>
      </c>
      <c r="M15" t="str">
        <f>IFERROR(VLOOKUP(VALUE(J15),'Site Info'!$A:$G,5,FALSE),"")</f>
        <v>HI</v>
      </c>
      <c r="N15" t="str">
        <f>IFERROR(VLOOKUP(VALUE(J15),'Site Info'!$A:$G,6,FALSE),"")</f>
        <v>96782-2596</v>
      </c>
      <c r="O15">
        <f>IFERROR(VLOOKUP(VALUE(J15),'Site Info'!$A:$G,7,FALSE),"")</f>
        <v>8084567788</v>
      </c>
    </row>
    <row r="16" spans="1:15" x14ac:dyDescent="0.45">
      <c r="A16" t="s">
        <v>3381</v>
      </c>
      <c r="B16" t="s">
        <v>3382</v>
      </c>
      <c r="C16" t="s">
        <v>3383</v>
      </c>
      <c r="D16" t="s">
        <v>1583</v>
      </c>
      <c r="E16" s="1">
        <v>46152.557523148149</v>
      </c>
      <c r="F16">
        <v>1481</v>
      </c>
      <c r="G16" t="s">
        <v>3384</v>
      </c>
      <c r="H16" t="s">
        <v>15</v>
      </c>
      <c r="I16" t="s">
        <v>1585</v>
      </c>
      <c r="J16" t="str">
        <f>RIGHT(D16,4)</f>
        <v>6410</v>
      </c>
      <c r="K16" t="str">
        <f>IFERROR(VLOOKUP(VALUE(J16),'Site Info'!$A:$G,3,FALSE),"")</f>
        <v>1000 KAMEHAMEHA HWY STE 100</v>
      </c>
      <c r="L16" t="str">
        <f>IFERROR(VLOOKUP(VALUE(J16),'Site Info'!$A:$G,4,FALSE),"")</f>
        <v>PEARL CITY</v>
      </c>
      <c r="M16" t="str">
        <f>IFERROR(VLOOKUP(VALUE(J16),'Site Info'!$A:$G,5,FALSE),"")</f>
        <v>HI</v>
      </c>
      <c r="N16" t="str">
        <f>IFERROR(VLOOKUP(VALUE(J16),'Site Info'!$A:$G,6,FALSE),"")</f>
        <v>96782-2596</v>
      </c>
      <c r="O16">
        <f>IFERROR(VLOOKUP(VALUE(J16),'Site Info'!$A:$G,7,FALSE),"")</f>
        <v>8084567788</v>
      </c>
    </row>
    <row r="17" spans="1:15" x14ac:dyDescent="0.45">
      <c r="A17" t="s">
        <v>1580</v>
      </c>
      <c r="B17" t="s">
        <v>1581</v>
      </c>
      <c r="C17" t="s">
        <v>1582</v>
      </c>
      <c r="D17" t="s">
        <v>1583</v>
      </c>
      <c r="E17" s="1">
        <v>46152.978067129632</v>
      </c>
      <c r="F17">
        <v>1481</v>
      </c>
      <c r="G17" t="s">
        <v>1584</v>
      </c>
      <c r="H17" t="s">
        <v>15</v>
      </c>
      <c r="I17" t="s">
        <v>1585</v>
      </c>
      <c r="J17" t="str">
        <f>RIGHT(D17,4)</f>
        <v>6410</v>
      </c>
      <c r="K17" t="str">
        <f>IFERROR(VLOOKUP(VALUE(J17),'Site Info'!$A:$G,3,FALSE),"")</f>
        <v>1000 KAMEHAMEHA HWY STE 100</v>
      </c>
      <c r="L17" t="str">
        <f>IFERROR(VLOOKUP(VALUE(J17),'Site Info'!$A:$G,4,FALSE),"")</f>
        <v>PEARL CITY</v>
      </c>
      <c r="M17" t="str">
        <f>IFERROR(VLOOKUP(VALUE(J17),'Site Info'!$A:$G,5,FALSE),"")</f>
        <v>HI</v>
      </c>
      <c r="N17" t="str">
        <f>IFERROR(VLOOKUP(VALUE(J17),'Site Info'!$A:$G,6,FALSE),"")</f>
        <v>96782-2596</v>
      </c>
      <c r="O17">
        <f>IFERROR(VLOOKUP(VALUE(J17),'Site Info'!$A:$G,7,FALSE),"")</f>
        <v>8084567788</v>
      </c>
    </row>
    <row r="18" spans="1:15" x14ac:dyDescent="0.45">
      <c r="A18" t="s">
        <v>2110</v>
      </c>
      <c r="B18" t="s">
        <v>2111</v>
      </c>
      <c r="C18" t="s">
        <v>2112</v>
      </c>
      <c r="D18" t="s">
        <v>1583</v>
      </c>
      <c r="E18" s="1">
        <v>46153.098055555558</v>
      </c>
      <c r="F18">
        <v>1481</v>
      </c>
      <c r="G18" t="s">
        <v>2113</v>
      </c>
      <c r="H18" t="s">
        <v>15</v>
      </c>
      <c r="I18" t="s">
        <v>1585</v>
      </c>
      <c r="J18" t="str">
        <f>RIGHT(D18,4)</f>
        <v>6410</v>
      </c>
      <c r="K18" t="str">
        <f>IFERROR(VLOOKUP(VALUE(J18),'Site Info'!$A:$G,3,FALSE),"")</f>
        <v>1000 KAMEHAMEHA HWY STE 100</v>
      </c>
      <c r="L18" t="str">
        <f>IFERROR(VLOOKUP(VALUE(J18),'Site Info'!$A:$G,4,FALSE),"")</f>
        <v>PEARL CITY</v>
      </c>
      <c r="M18" t="str">
        <f>IFERROR(VLOOKUP(VALUE(J18),'Site Info'!$A:$G,5,FALSE),"")</f>
        <v>HI</v>
      </c>
      <c r="N18" t="str">
        <f>IFERROR(VLOOKUP(VALUE(J18),'Site Info'!$A:$G,6,FALSE),"")</f>
        <v>96782-2596</v>
      </c>
      <c r="O18">
        <f>IFERROR(VLOOKUP(VALUE(J18),'Site Info'!$A:$G,7,FALSE),"")</f>
        <v>8084567788</v>
      </c>
    </row>
    <row r="19" spans="1:15" x14ac:dyDescent="0.45">
      <c r="A19" t="s">
        <v>8203</v>
      </c>
      <c r="B19" t="s">
        <v>8204</v>
      </c>
      <c r="C19" t="s">
        <v>8205</v>
      </c>
      <c r="D19" t="s">
        <v>1295</v>
      </c>
      <c r="E19" s="1">
        <v>46150.296527777777</v>
      </c>
      <c r="F19">
        <v>1547</v>
      </c>
      <c r="G19" t="s">
        <v>8206</v>
      </c>
      <c r="H19" t="s">
        <v>15</v>
      </c>
      <c r="I19" t="s">
        <v>1297</v>
      </c>
      <c r="J19" t="str">
        <f>RIGHT(D19,4)</f>
        <v>6321</v>
      </c>
      <c r="K19" t="str">
        <f>IFERROR(VLOOKUP(VALUE(J19),'Site Info'!$A:$G,3,FALSE),"")</f>
        <v>1000 N WESTHILL BLVD</v>
      </c>
      <c r="L19" t="str">
        <f>IFERROR(VLOOKUP(VALUE(J19),'Site Info'!$A:$G,4,FALSE),"")</f>
        <v>APPLETON</v>
      </c>
      <c r="M19" t="str">
        <f>IFERROR(VLOOKUP(VALUE(J19),'Site Info'!$A:$G,5,FALSE),"")</f>
        <v>WI</v>
      </c>
      <c r="N19" t="str">
        <f>IFERROR(VLOOKUP(VALUE(J19),'Site Info'!$A:$G,6,FALSE),"")</f>
        <v>54914-5792</v>
      </c>
      <c r="O19">
        <f>IFERROR(VLOOKUP(VALUE(J19),'Site Info'!$A:$G,7,FALSE),"")</f>
        <v>9207334655</v>
      </c>
    </row>
    <row r="20" spans="1:15" x14ac:dyDescent="0.45">
      <c r="A20" t="s">
        <v>9097</v>
      </c>
      <c r="B20" t="s">
        <v>9098</v>
      </c>
      <c r="C20" t="s">
        <v>9099</v>
      </c>
      <c r="D20" t="s">
        <v>1295</v>
      </c>
      <c r="E20" s="1">
        <v>46151.662754629629</v>
      </c>
      <c r="F20">
        <v>1547</v>
      </c>
      <c r="G20" t="s">
        <v>9100</v>
      </c>
      <c r="H20" t="s">
        <v>15</v>
      </c>
      <c r="I20" t="s">
        <v>1297</v>
      </c>
      <c r="J20" t="str">
        <f>RIGHT(D20,4)</f>
        <v>6321</v>
      </c>
      <c r="K20" t="str">
        <f>IFERROR(VLOOKUP(VALUE(J20),'Site Info'!$A:$G,3,FALSE),"")</f>
        <v>1000 N WESTHILL BLVD</v>
      </c>
      <c r="L20" t="str">
        <f>IFERROR(VLOOKUP(VALUE(J20),'Site Info'!$A:$G,4,FALSE),"")</f>
        <v>APPLETON</v>
      </c>
      <c r="M20" t="str">
        <f>IFERROR(VLOOKUP(VALUE(J20),'Site Info'!$A:$G,5,FALSE),"")</f>
        <v>WI</v>
      </c>
      <c r="N20" t="str">
        <f>IFERROR(VLOOKUP(VALUE(J20),'Site Info'!$A:$G,6,FALSE),"")</f>
        <v>54914-5792</v>
      </c>
      <c r="O20">
        <f>IFERROR(VLOOKUP(VALUE(J20),'Site Info'!$A:$G,7,FALSE),"")</f>
        <v>9207334655</v>
      </c>
    </row>
    <row r="21" spans="1:15" x14ac:dyDescent="0.45">
      <c r="A21" t="s">
        <v>8053</v>
      </c>
      <c r="B21" t="s">
        <v>8054</v>
      </c>
      <c r="C21" t="s">
        <v>8055</v>
      </c>
      <c r="D21" t="s">
        <v>1295</v>
      </c>
      <c r="E21" s="1">
        <v>46152.66673611111</v>
      </c>
      <c r="F21">
        <v>1547</v>
      </c>
      <c r="G21" t="s">
        <v>8056</v>
      </c>
      <c r="H21" t="s">
        <v>15</v>
      </c>
      <c r="I21" t="s">
        <v>1297</v>
      </c>
      <c r="J21" t="str">
        <f>RIGHT(D21,4)</f>
        <v>6321</v>
      </c>
      <c r="K21" t="str">
        <f>IFERROR(VLOOKUP(VALUE(J21),'Site Info'!$A:$G,3,FALSE),"")</f>
        <v>1000 N WESTHILL BLVD</v>
      </c>
      <c r="L21" t="str">
        <f>IFERROR(VLOOKUP(VALUE(J21),'Site Info'!$A:$G,4,FALSE),"")</f>
        <v>APPLETON</v>
      </c>
      <c r="M21" t="str">
        <f>IFERROR(VLOOKUP(VALUE(J21),'Site Info'!$A:$G,5,FALSE),"")</f>
        <v>WI</v>
      </c>
      <c r="N21" t="str">
        <f>IFERROR(VLOOKUP(VALUE(J21),'Site Info'!$A:$G,6,FALSE),"")</f>
        <v>54914-5792</v>
      </c>
      <c r="O21">
        <f>IFERROR(VLOOKUP(VALUE(J21),'Site Info'!$A:$G,7,FALSE),"")</f>
        <v>9207334655</v>
      </c>
    </row>
    <row r="22" spans="1:15" x14ac:dyDescent="0.45">
      <c r="A22" t="s">
        <v>1480</v>
      </c>
      <c r="B22" t="s">
        <v>1481</v>
      </c>
      <c r="C22" t="s">
        <v>1482</v>
      </c>
      <c r="D22" t="s">
        <v>1295</v>
      </c>
      <c r="E22" s="1">
        <v>46152.759884259256</v>
      </c>
      <c r="F22">
        <v>1481</v>
      </c>
      <c r="G22" t="s">
        <v>1483</v>
      </c>
      <c r="H22" t="s">
        <v>15</v>
      </c>
      <c r="I22" t="s">
        <v>1297</v>
      </c>
      <c r="J22" t="str">
        <f>RIGHT(D22,4)</f>
        <v>6321</v>
      </c>
      <c r="K22" t="str">
        <f>IFERROR(VLOOKUP(VALUE(J22),'Site Info'!$A:$G,3,FALSE),"")</f>
        <v>1000 N WESTHILL BLVD</v>
      </c>
      <c r="L22" t="str">
        <f>IFERROR(VLOOKUP(VALUE(J22),'Site Info'!$A:$G,4,FALSE),"")</f>
        <v>APPLETON</v>
      </c>
      <c r="M22" t="str">
        <f>IFERROR(VLOOKUP(VALUE(J22),'Site Info'!$A:$G,5,FALSE),"")</f>
        <v>WI</v>
      </c>
      <c r="N22" t="str">
        <f>IFERROR(VLOOKUP(VALUE(J22),'Site Info'!$A:$G,6,FALSE),"")</f>
        <v>54914-5792</v>
      </c>
      <c r="O22">
        <f>IFERROR(VLOOKUP(VALUE(J22),'Site Info'!$A:$G,7,FALSE),"")</f>
        <v>9207334655</v>
      </c>
    </row>
    <row r="23" spans="1:15" x14ac:dyDescent="0.45">
      <c r="A23" t="s">
        <v>1410</v>
      </c>
      <c r="B23" t="s">
        <v>1411</v>
      </c>
      <c r="C23" t="s">
        <v>1412</v>
      </c>
      <c r="D23" t="s">
        <v>1295</v>
      </c>
      <c r="E23" s="1">
        <v>46152.869351851848</v>
      </c>
      <c r="F23">
        <v>1481</v>
      </c>
      <c r="G23" t="s">
        <v>1413</v>
      </c>
      <c r="H23" t="s">
        <v>15</v>
      </c>
      <c r="I23" t="s">
        <v>1297</v>
      </c>
      <c r="J23" t="str">
        <f>RIGHT(D23,4)</f>
        <v>6321</v>
      </c>
      <c r="K23" t="str">
        <f>IFERROR(VLOOKUP(VALUE(J23),'Site Info'!$A:$G,3,FALSE),"")</f>
        <v>1000 N WESTHILL BLVD</v>
      </c>
      <c r="L23" t="str">
        <f>IFERROR(VLOOKUP(VALUE(J23),'Site Info'!$A:$G,4,FALSE),"")</f>
        <v>APPLETON</v>
      </c>
      <c r="M23" t="str">
        <f>IFERROR(VLOOKUP(VALUE(J23),'Site Info'!$A:$G,5,FALSE),"")</f>
        <v>WI</v>
      </c>
      <c r="N23" t="str">
        <f>IFERROR(VLOOKUP(VALUE(J23),'Site Info'!$A:$G,6,FALSE),"")</f>
        <v>54914-5792</v>
      </c>
      <c r="O23">
        <f>IFERROR(VLOOKUP(VALUE(J23),'Site Info'!$A:$G,7,FALSE),"")</f>
        <v>9207334655</v>
      </c>
    </row>
    <row r="24" spans="1:15" x14ac:dyDescent="0.45">
      <c r="A24" t="s">
        <v>1292</v>
      </c>
      <c r="B24" t="s">
        <v>1293</v>
      </c>
      <c r="C24" t="s">
        <v>1294</v>
      </c>
      <c r="D24" t="s">
        <v>1295</v>
      </c>
      <c r="E24" s="1">
        <v>46153.268310185187</v>
      </c>
      <c r="F24">
        <v>1481</v>
      </c>
      <c r="G24" t="s">
        <v>1296</v>
      </c>
      <c r="H24" t="s">
        <v>15</v>
      </c>
      <c r="I24" t="s">
        <v>1297</v>
      </c>
      <c r="J24" t="str">
        <f>RIGHT(D24,4)</f>
        <v>6321</v>
      </c>
      <c r="K24" t="str">
        <f>IFERROR(VLOOKUP(VALUE(J24),'Site Info'!$A:$G,3,FALSE),"")</f>
        <v>1000 N WESTHILL BLVD</v>
      </c>
      <c r="L24" t="str">
        <f>IFERROR(VLOOKUP(VALUE(J24),'Site Info'!$A:$G,4,FALSE),"")</f>
        <v>APPLETON</v>
      </c>
      <c r="M24" t="str">
        <f>IFERROR(VLOOKUP(VALUE(J24),'Site Info'!$A:$G,5,FALSE),"")</f>
        <v>WI</v>
      </c>
      <c r="N24" t="str">
        <f>IFERROR(VLOOKUP(VALUE(J24),'Site Info'!$A:$G,6,FALSE),"")</f>
        <v>54914-5792</v>
      </c>
      <c r="O24">
        <f>IFERROR(VLOOKUP(VALUE(J24),'Site Info'!$A:$G,7,FALSE),"")</f>
        <v>9207334655</v>
      </c>
    </row>
    <row r="25" spans="1:15" x14ac:dyDescent="0.45">
      <c r="A25" t="s">
        <v>16710</v>
      </c>
      <c r="B25" t="s">
        <v>16711</v>
      </c>
      <c r="C25" t="s">
        <v>16712</v>
      </c>
      <c r="D25" t="s">
        <v>1295</v>
      </c>
      <c r="E25" s="1">
        <v>46153.047083333331</v>
      </c>
      <c r="F25">
        <v>1863</v>
      </c>
      <c r="G25" t="s">
        <v>16713</v>
      </c>
      <c r="H25" t="s">
        <v>136</v>
      </c>
      <c r="I25" t="s">
        <v>1297</v>
      </c>
      <c r="J25" t="str">
        <f>RIGHT(D25,4)</f>
        <v>6321</v>
      </c>
      <c r="K25" t="str">
        <f>IFERROR(VLOOKUP(VALUE(J25),'Site Info'!$A:$G,3,FALSE),"")</f>
        <v>1000 N WESTHILL BLVD</v>
      </c>
      <c r="L25" t="str">
        <f>IFERROR(VLOOKUP(VALUE(J25),'Site Info'!$A:$G,4,FALSE),"")</f>
        <v>APPLETON</v>
      </c>
      <c r="M25" t="str">
        <f>IFERROR(VLOOKUP(VALUE(J25),'Site Info'!$A:$G,5,FALSE),"")</f>
        <v>WI</v>
      </c>
      <c r="N25" t="str">
        <f>IFERROR(VLOOKUP(VALUE(J25),'Site Info'!$A:$G,6,FALSE),"")</f>
        <v>54914-5792</v>
      </c>
      <c r="O25">
        <f>IFERROR(VLOOKUP(VALUE(J25),'Site Info'!$A:$G,7,FALSE),"")</f>
        <v>9207334655</v>
      </c>
    </row>
    <row r="26" spans="1:15" x14ac:dyDescent="0.45">
      <c r="A26" t="s">
        <v>16714</v>
      </c>
      <c r="B26" t="s">
        <v>16715</v>
      </c>
      <c r="C26" t="s">
        <v>16716</v>
      </c>
      <c r="D26" t="s">
        <v>1295</v>
      </c>
      <c r="E26" s="1">
        <v>46150.6018287037</v>
      </c>
      <c r="F26">
        <v>1481</v>
      </c>
      <c r="G26" t="s">
        <v>16717</v>
      </c>
      <c r="H26" t="s">
        <v>15</v>
      </c>
      <c r="I26" t="s">
        <v>1297</v>
      </c>
      <c r="J26" t="str">
        <f>RIGHT(D26,4)</f>
        <v>6321</v>
      </c>
      <c r="K26" t="str">
        <f>IFERROR(VLOOKUP(VALUE(J26),'Site Info'!$A:$G,3,FALSE),"")</f>
        <v>1000 N WESTHILL BLVD</v>
      </c>
      <c r="L26" t="str">
        <f>IFERROR(VLOOKUP(VALUE(J26),'Site Info'!$A:$G,4,FALSE),"")</f>
        <v>APPLETON</v>
      </c>
      <c r="M26" t="str">
        <f>IFERROR(VLOOKUP(VALUE(J26),'Site Info'!$A:$G,5,FALSE),"")</f>
        <v>WI</v>
      </c>
      <c r="N26" t="str">
        <f>IFERROR(VLOOKUP(VALUE(J26),'Site Info'!$A:$G,6,FALSE),"")</f>
        <v>54914-5792</v>
      </c>
      <c r="O26">
        <f>IFERROR(VLOOKUP(VALUE(J26),'Site Info'!$A:$G,7,FALSE),"")</f>
        <v>9207334655</v>
      </c>
    </row>
    <row r="27" spans="1:15" x14ac:dyDescent="0.45">
      <c r="A27" t="s">
        <v>13195</v>
      </c>
      <c r="B27" t="s">
        <v>13196</v>
      </c>
      <c r="C27" t="s">
        <v>13197</v>
      </c>
      <c r="D27" t="s">
        <v>1759</v>
      </c>
      <c r="E27" s="1">
        <v>46152.666990740741</v>
      </c>
      <c r="F27">
        <v>1547</v>
      </c>
      <c r="G27" t="s">
        <v>13198</v>
      </c>
      <c r="H27" t="s">
        <v>15</v>
      </c>
      <c r="I27" t="s">
        <v>1761</v>
      </c>
      <c r="J27" t="str">
        <f>RIGHT(D27,4)</f>
        <v>4942</v>
      </c>
      <c r="K27" t="str">
        <f>IFERROR(VLOOKUP(VALUE(J27),'Site Info'!$A:$G,3,FALSE),"")</f>
        <v>1000 S RANDALL RD</v>
      </c>
      <c r="L27" t="str">
        <f>IFERROR(VLOOKUP(VALUE(J27),'Site Info'!$A:$G,4,FALSE),"")</f>
        <v>ELGIN</v>
      </c>
      <c r="M27" t="str">
        <f>IFERROR(VLOOKUP(VALUE(J27),'Site Info'!$A:$G,5,FALSE),"")</f>
        <v>IL</v>
      </c>
      <c r="N27" t="str">
        <f>IFERROR(VLOOKUP(VALUE(J27),'Site Info'!$A:$G,6,FALSE),"")</f>
        <v>60123-4108</v>
      </c>
      <c r="O27">
        <f>IFERROR(VLOOKUP(VALUE(J27),'Site Info'!$A:$G,7,FALSE),"")</f>
        <v>6305032142</v>
      </c>
    </row>
    <row r="28" spans="1:15" x14ac:dyDescent="0.45">
      <c r="A28" t="s">
        <v>5886</v>
      </c>
      <c r="B28" t="s">
        <v>5887</v>
      </c>
      <c r="C28" t="s">
        <v>5888</v>
      </c>
      <c r="D28" t="s">
        <v>1759</v>
      </c>
      <c r="E28" s="1">
        <v>46153.311863425923</v>
      </c>
      <c r="F28">
        <v>1547</v>
      </c>
      <c r="G28" t="s">
        <v>5889</v>
      </c>
      <c r="H28" t="s">
        <v>15</v>
      </c>
      <c r="I28" t="s">
        <v>1761</v>
      </c>
      <c r="J28" t="str">
        <f>RIGHT(D28,4)</f>
        <v>4942</v>
      </c>
      <c r="K28" t="str">
        <f>IFERROR(VLOOKUP(VALUE(J28),'Site Info'!$A:$G,3,FALSE),"")</f>
        <v>1000 S RANDALL RD</v>
      </c>
      <c r="L28" t="str">
        <f>IFERROR(VLOOKUP(VALUE(J28),'Site Info'!$A:$G,4,FALSE),"")</f>
        <v>ELGIN</v>
      </c>
      <c r="M28" t="str">
        <f>IFERROR(VLOOKUP(VALUE(J28),'Site Info'!$A:$G,5,FALSE),"")</f>
        <v>IL</v>
      </c>
      <c r="N28" t="str">
        <f>IFERROR(VLOOKUP(VALUE(J28),'Site Info'!$A:$G,6,FALSE),"")</f>
        <v>60123-4108</v>
      </c>
      <c r="O28">
        <f>IFERROR(VLOOKUP(VALUE(J28),'Site Info'!$A:$G,7,FALSE),"")</f>
        <v>6305032142</v>
      </c>
    </row>
    <row r="29" spans="1:15" x14ac:dyDescent="0.45">
      <c r="A29" t="s">
        <v>12818</v>
      </c>
      <c r="B29" t="s">
        <v>12819</v>
      </c>
      <c r="C29" t="s">
        <v>12820</v>
      </c>
      <c r="D29" t="s">
        <v>1759</v>
      </c>
      <c r="E29" s="1">
        <v>46153.363356481481</v>
      </c>
      <c r="F29">
        <v>1547</v>
      </c>
      <c r="G29" t="s">
        <v>12821</v>
      </c>
      <c r="H29" t="s">
        <v>15</v>
      </c>
      <c r="I29" t="s">
        <v>1761</v>
      </c>
      <c r="J29" t="str">
        <f>RIGHT(D29,4)</f>
        <v>4942</v>
      </c>
      <c r="K29" t="str">
        <f>IFERROR(VLOOKUP(VALUE(J29),'Site Info'!$A:$G,3,FALSE),"")</f>
        <v>1000 S RANDALL RD</v>
      </c>
      <c r="L29" t="str">
        <f>IFERROR(VLOOKUP(VALUE(J29),'Site Info'!$A:$G,4,FALSE),"")</f>
        <v>ELGIN</v>
      </c>
      <c r="M29" t="str">
        <f>IFERROR(VLOOKUP(VALUE(J29),'Site Info'!$A:$G,5,FALSE),"")</f>
        <v>IL</v>
      </c>
      <c r="N29" t="str">
        <f>IFERROR(VLOOKUP(VALUE(J29),'Site Info'!$A:$G,6,FALSE),"")</f>
        <v>60123-4108</v>
      </c>
      <c r="O29">
        <f>IFERROR(VLOOKUP(VALUE(J29),'Site Info'!$A:$G,7,FALSE),"")</f>
        <v>6305032142</v>
      </c>
    </row>
    <row r="30" spans="1:15" x14ac:dyDescent="0.45">
      <c r="A30" t="s">
        <v>10628</v>
      </c>
      <c r="B30" t="s">
        <v>10629</v>
      </c>
      <c r="C30" t="s">
        <v>10630</v>
      </c>
      <c r="D30" t="s">
        <v>1759</v>
      </c>
      <c r="E30" s="1">
        <v>46153.371238425927</v>
      </c>
      <c r="F30">
        <v>1547</v>
      </c>
      <c r="G30" t="s">
        <v>10631</v>
      </c>
      <c r="H30" t="s">
        <v>15</v>
      </c>
      <c r="I30" t="s">
        <v>1761</v>
      </c>
      <c r="J30" t="str">
        <f>RIGHT(D30,4)</f>
        <v>4942</v>
      </c>
      <c r="K30" t="str">
        <f>IFERROR(VLOOKUP(VALUE(J30),'Site Info'!$A:$G,3,FALSE),"")</f>
        <v>1000 S RANDALL RD</v>
      </c>
      <c r="L30" t="str">
        <f>IFERROR(VLOOKUP(VALUE(J30),'Site Info'!$A:$G,4,FALSE),"")</f>
        <v>ELGIN</v>
      </c>
      <c r="M30" t="str">
        <f>IFERROR(VLOOKUP(VALUE(J30),'Site Info'!$A:$G,5,FALSE),"")</f>
        <v>IL</v>
      </c>
      <c r="N30" t="str">
        <f>IFERROR(VLOOKUP(VALUE(J30),'Site Info'!$A:$G,6,FALSE),"")</f>
        <v>60123-4108</v>
      </c>
      <c r="O30">
        <f>IFERROR(VLOOKUP(VALUE(J30),'Site Info'!$A:$G,7,FALSE),"")</f>
        <v>6305032142</v>
      </c>
    </row>
    <row r="31" spans="1:15" x14ac:dyDescent="0.45">
      <c r="A31" t="s">
        <v>1756</v>
      </c>
      <c r="B31" t="s">
        <v>1757</v>
      </c>
      <c r="C31" t="s">
        <v>1758</v>
      </c>
      <c r="D31" t="s">
        <v>1759</v>
      </c>
      <c r="E31" s="1">
        <v>46153.355439814812</v>
      </c>
      <c r="F31">
        <v>1481</v>
      </c>
      <c r="G31" t="s">
        <v>1760</v>
      </c>
      <c r="H31" t="s">
        <v>15</v>
      </c>
      <c r="I31" t="s">
        <v>1761</v>
      </c>
      <c r="J31" t="str">
        <f>RIGHT(D31,4)</f>
        <v>4942</v>
      </c>
      <c r="K31" t="str">
        <f>IFERROR(VLOOKUP(VALUE(J31),'Site Info'!$A:$G,3,FALSE),"")</f>
        <v>1000 S RANDALL RD</v>
      </c>
      <c r="L31" t="str">
        <f>IFERROR(VLOOKUP(VALUE(J31),'Site Info'!$A:$G,4,FALSE),"")</f>
        <v>ELGIN</v>
      </c>
      <c r="M31" t="str">
        <f>IFERROR(VLOOKUP(VALUE(J31),'Site Info'!$A:$G,5,FALSE),"")</f>
        <v>IL</v>
      </c>
      <c r="N31" t="str">
        <f>IFERROR(VLOOKUP(VALUE(J31),'Site Info'!$A:$G,6,FALSE),"")</f>
        <v>60123-4108</v>
      </c>
      <c r="O31">
        <f>IFERROR(VLOOKUP(VALUE(J31),'Site Info'!$A:$G,7,FALSE),"")</f>
        <v>6305032142</v>
      </c>
    </row>
    <row r="32" spans="1:15" x14ac:dyDescent="0.45">
      <c r="A32" t="s">
        <v>1768</v>
      </c>
      <c r="B32" t="s">
        <v>1769</v>
      </c>
      <c r="C32" t="s">
        <v>1770</v>
      </c>
      <c r="D32" t="s">
        <v>1759</v>
      </c>
      <c r="E32" s="1">
        <v>46153.372673611113</v>
      </c>
      <c r="F32">
        <v>1481</v>
      </c>
      <c r="G32" t="s">
        <v>1771</v>
      </c>
      <c r="H32" t="s">
        <v>15</v>
      </c>
      <c r="I32" t="s">
        <v>1761</v>
      </c>
      <c r="J32" t="str">
        <f>RIGHT(D32,4)</f>
        <v>4942</v>
      </c>
      <c r="K32" t="str">
        <f>IFERROR(VLOOKUP(VALUE(J32),'Site Info'!$A:$G,3,FALSE),"")</f>
        <v>1000 S RANDALL RD</v>
      </c>
      <c r="L32" t="str">
        <f>IFERROR(VLOOKUP(VALUE(J32),'Site Info'!$A:$G,4,FALSE),"")</f>
        <v>ELGIN</v>
      </c>
      <c r="M32" t="str">
        <f>IFERROR(VLOOKUP(VALUE(J32),'Site Info'!$A:$G,5,FALSE),"")</f>
        <v>IL</v>
      </c>
      <c r="N32" t="str">
        <f>IFERROR(VLOOKUP(VALUE(J32),'Site Info'!$A:$G,6,FALSE),"")</f>
        <v>60123-4108</v>
      </c>
      <c r="O32">
        <f>IFERROR(VLOOKUP(VALUE(J32),'Site Info'!$A:$G,7,FALSE),"")</f>
        <v>6305032142</v>
      </c>
    </row>
    <row r="33" spans="1:15" x14ac:dyDescent="0.45">
      <c r="A33" t="s">
        <v>11872</v>
      </c>
      <c r="B33" t="s">
        <v>11873</v>
      </c>
      <c r="C33" t="s">
        <v>11874</v>
      </c>
      <c r="D33" t="s">
        <v>3016</v>
      </c>
      <c r="E33" s="1">
        <v>46152.250474537039</v>
      </c>
      <c r="F33">
        <v>1547</v>
      </c>
      <c r="G33" t="s">
        <v>11875</v>
      </c>
      <c r="H33" t="s">
        <v>15</v>
      </c>
      <c r="I33" t="s">
        <v>3018</v>
      </c>
      <c r="J33" t="str">
        <f>RIGHT(D33,4)</f>
        <v>6487</v>
      </c>
      <c r="K33" t="str">
        <f>IFERROR(VLOOKUP(VALUE(J33),'Site Info'!$A:$G,3,FALSE),"")</f>
        <v>1006 ROHLWING RD</v>
      </c>
      <c r="L33" t="str">
        <f>IFERROR(VLOOKUP(VALUE(J33),'Site Info'!$A:$G,4,FALSE),"")</f>
        <v>ADDISON</v>
      </c>
      <c r="M33" t="str">
        <f>IFERROR(VLOOKUP(VALUE(J33),'Site Info'!$A:$G,5,FALSE),"")</f>
        <v>IL</v>
      </c>
      <c r="N33" t="str">
        <f>IFERROR(VLOOKUP(VALUE(J33),'Site Info'!$A:$G,6,FALSE),"")</f>
        <v>60101-1034</v>
      </c>
      <c r="O33">
        <f>IFERROR(VLOOKUP(VALUE(J33),'Site Info'!$A:$G,7,FALSE),"")</f>
        <v>6309327770</v>
      </c>
    </row>
    <row r="34" spans="1:15" x14ac:dyDescent="0.45">
      <c r="A34" t="s">
        <v>13856</v>
      </c>
      <c r="B34" t="s">
        <v>13857</v>
      </c>
      <c r="C34" t="s">
        <v>13858</v>
      </c>
      <c r="D34" t="s">
        <v>3016</v>
      </c>
      <c r="E34" s="1">
        <v>46153.219155092593</v>
      </c>
      <c r="F34">
        <v>1547</v>
      </c>
      <c r="G34" t="s">
        <v>13859</v>
      </c>
      <c r="H34" t="s">
        <v>15</v>
      </c>
      <c r="I34" t="s">
        <v>3018</v>
      </c>
      <c r="J34" t="str">
        <f>RIGHT(D34,4)</f>
        <v>6487</v>
      </c>
      <c r="K34" t="str">
        <f>IFERROR(VLOOKUP(VALUE(J34),'Site Info'!$A:$G,3,FALSE),"")</f>
        <v>1006 ROHLWING RD</v>
      </c>
      <c r="L34" t="str">
        <f>IFERROR(VLOOKUP(VALUE(J34),'Site Info'!$A:$G,4,FALSE),"")</f>
        <v>ADDISON</v>
      </c>
      <c r="M34" t="str">
        <f>IFERROR(VLOOKUP(VALUE(J34),'Site Info'!$A:$G,5,FALSE),"")</f>
        <v>IL</v>
      </c>
      <c r="N34" t="str">
        <f>IFERROR(VLOOKUP(VALUE(J34),'Site Info'!$A:$G,6,FALSE),"")</f>
        <v>60101-1034</v>
      </c>
      <c r="O34">
        <f>IFERROR(VLOOKUP(VALUE(J34),'Site Info'!$A:$G,7,FALSE),"")</f>
        <v>6309327770</v>
      </c>
    </row>
    <row r="35" spans="1:15" x14ac:dyDescent="0.45">
      <c r="A35" t="s">
        <v>12160</v>
      </c>
      <c r="B35" t="s">
        <v>12161</v>
      </c>
      <c r="C35" t="s">
        <v>12162</v>
      </c>
      <c r="D35" t="s">
        <v>3016</v>
      </c>
      <c r="E35" s="1">
        <v>46153.319895833331</v>
      </c>
      <c r="F35">
        <v>1547</v>
      </c>
      <c r="G35" t="s">
        <v>12163</v>
      </c>
      <c r="H35" t="s">
        <v>15</v>
      </c>
      <c r="I35" t="s">
        <v>3018</v>
      </c>
      <c r="J35" t="str">
        <f>RIGHT(D35,4)</f>
        <v>6487</v>
      </c>
      <c r="K35" t="str">
        <f>IFERROR(VLOOKUP(VALUE(J35),'Site Info'!$A:$G,3,FALSE),"")</f>
        <v>1006 ROHLWING RD</v>
      </c>
      <c r="L35" t="str">
        <f>IFERROR(VLOOKUP(VALUE(J35),'Site Info'!$A:$G,4,FALSE),"")</f>
        <v>ADDISON</v>
      </c>
      <c r="M35" t="str">
        <f>IFERROR(VLOOKUP(VALUE(J35),'Site Info'!$A:$G,5,FALSE),"")</f>
        <v>IL</v>
      </c>
      <c r="N35" t="str">
        <f>IFERROR(VLOOKUP(VALUE(J35),'Site Info'!$A:$G,6,FALSE),"")</f>
        <v>60101-1034</v>
      </c>
      <c r="O35">
        <f>IFERROR(VLOOKUP(VALUE(J35),'Site Info'!$A:$G,7,FALSE),"")</f>
        <v>6309327770</v>
      </c>
    </row>
    <row r="36" spans="1:15" x14ac:dyDescent="0.45">
      <c r="A36" t="s">
        <v>4052</v>
      </c>
      <c r="B36" t="s">
        <v>4053</v>
      </c>
      <c r="C36" t="s">
        <v>4054</v>
      </c>
      <c r="D36" t="s">
        <v>3016</v>
      </c>
      <c r="E36" s="1">
        <v>46153.366342592592</v>
      </c>
      <c r="F36">
        <v>1547</v>
      </c>
      <c r="G36" t="s">
        <v>4055</v>
      </c>
      <c r="H36" t="s">
        <v>15</v>
      </c>
      <c r="I36" t="s">
        <v>3018</v>
      </c>
      <c r="J36" t="str">
        <f>RIGHT(D36,4)</f>
        <v>6487</v>
      </c>
      <c r="K36" t="str">
        <f>IFERROR(VLOOKUP(VALUE(J36),'Site Info'!$A:$G,3,FALSE),"")</f>
        <v>1006 ROHLWING RD</v>
      </c>
      <c r="L36" t="str">
        <f>IFERROR(VLOOKUP(VALUE(J36),'Site Info'!$A:$G,4,FALSE),"")</f>
        <v>ADDISON</v>
      </c>
      <c r="M36" t="str">
        <f>IFERROR(VLOOKUP(VALUE(J36),'Site Info'!$A:$G,5,FALSE),"")</f>
        <v>IL</v>
      </c>
      <c r="N36" t="str">
        <f>IFERROR(VLOOKUP(VALUE(J36),'Site Info'!$A:$G,6,FALSE),"")</f>
        <v>60101-1034</v>
      </c>
      <c r="O36">
        <f>IFERROR(VLOOKUP(VALUE(J36),'Site Info'!$A:$G,7,FALSE),"")</f>
        <v>6309327770</v>
      </c>
    </row>
    <row r="37" spans="1:15" x14ac:dyDescent="0.45">
      <c r="A37" t="s">
        <v>3013</v>
      </c>
      <c r="B37" t="s">
        <v>3014</v>
      </c>
      <c r="C37" t="s">
        <v>3015</v>
      </c>
      <c r="D37" t="s">
        <v>3016</v>
      </c>
      <c r="E37" s="1">
        <v>46153.371365740742</v>
      </c>
      <c r="F37">
        <v>1481</v>
      </c>
      <c r="G37" t="s">
        <v>3017</v>
      </c>
      <c r="H37" t="s">
        <v>15</v>
      </c>
      <c r="I37" t="s">
        <v>3018</v>
      </c>
      <c r="J37" t="str">
        <f>RIGHT(D37,4)</f>
        <v>6487</v>
      </c>
      <c r="K37" t="str">
        <f>IFERROR(VLOOKUP(VALUE(J37),'Site Info'!$A:$G,3,FALSE),"")</f>
        <v>1006 ROHLWING RD</v>
      </c>
      <c r="L37" t="str">
        <f>IFERROR(VLOOKUP(VALUE(J37),'Site Info'!$A:$G,4,FALSE),"")</f>
        <v>ADDISON</v>
      </c>
      <c r="M37" t="str">
        <f>IFERROR(VLOOKUP(VALUE(J37),'Site Info'!$A:$G,5,FALSE),"")</f>
        <v>IL</v>
      </c>
      <c r="N37" t="str">
        <f>IFERROR(VLOOKUP(VALUE(J37),'Site Info'!$A:$G,6,FALSE),"")</f>
        <v>60101-1034</v>
      </c>
      <c r="O37">
        <f>IFERROR(VLOOKUP(VALUE(J37),'Site Info'!$A:$G,7,FALSE),"")</f>
        <v>6309327770</v>
      </c>
    </row>
    <row r="38" spans="1:15" x14ac:dyDescent="0.45">
      <c r="A38" t="s">
        <v>7085</v>
      </c>
      <c r="B38" t="s">
        <v>7086</v>
      </c>
      <c r="C38" t="s">
        <v>7087</v>
      </c>
      <c r="D38" t="s">
        <v>1787</v>
      </c>
      <c r="E38" s="1">
        <v>46132.944699074076</v>
      </c>
      <c r="F38">
        <v>1547</v>
      </c>
      <c r="G38" t="s">
        <v>7088</v>
      </c>
      <c r="H38" t="s">
        <v>15</v>
      </c>
      <c r="I38" t="s">
        <v>1789</v>
      </c>
      <c r="J38" t="str">
        <f>RIGHT(D38,4)</f>
        <v>8163</v>
      </c>
      <c r="K38" t="str">
        <f>IFERROR(VLOOKUP(VALUE(J38),'Site Info'!$A:$G,3,FALSE),"")</f>
        <v>101 CONLEY RD</v>
      </c>
      <c r="L38" t="str">
        <f>IFERROR(VLOOKUP(VALUE(J38),'Site Info'!$A:$G,4,FALSE),"")</f>
        <v>COLUMBIA</v>
      </c>
      <c r="M38" t="str">
        <f>IFERROR(VLOOKUP(VALUE(J38),'Site Info'!$A:$G,5,FALSE),"")</f>
        <v>MO</v>
      </c>
      <c r="N38" t="str">
        <f>IFERROR(VLOOKUP(VALUE(J38),'Site Info'!$A:$G,6,FALSE),"")</f>
        <v>65201-6465</v>
      </c>
      <c r="O38">
        <f>IFERROR(VLOOKUP(VALUE(J38),'Site Info'!$A:$G,7,FALSE),"")</f>
        <v>5738752979</v>
      </c>
    </row>
    <row r="39" spans="1:15" x14ac:dyDescent="0.45">
      <c r="A39" t="s">
        <v>8437</v>
      </c>
      <c r="B39" t="s">
        <v>8438</v>
      </c>
      <c r="C39" t="s">
        <v>8439</v>
      </c>
      <c r="D39" t="s">
        <v>1787</v>
      </c>
      <c r="E39" s="1">
        <v>46151.792858796296</v>
      </c>
      <c r="F39">
        <v>1547</v>
      </c>
      <c r="G39" t="s">
        <v>8440</v>
      </c>
      <c r="H39" t="s">
        <v>15</v>
      </c>
      <c r="I39" t="s">
        <v>1789</v>
      </c>
      <c r="J39" t="str">
        <f>RIGHT(D39,4)</f>
        <v>8163</v>
      </c>
      <c r="K39" t="str">
        <f>IFERROR(VLOOKUP(VALUE(J39),'Site Info'!$A:$G,3,FALSE),"")</f>
        <v>101 CONLEY RD</v>
      </c>
      <c r="L39" t="str">
        <f>IFERROR(VLOOKUP(VALUE(J39),'Site Info'!$A:$G,4,FALSE),"")</f>
        <v>COLUMBIA</v>
      </c>
      <c r="M39" t="str">
        <f>IFERROR(VLOOKUP(VALUE(J39),'Site Info'!$A:$G,5,FALSE),"")</f>
        <v>MO</v>
      </c>
      <c r="N39" t="str">
        <f>IFERROR(VLOOKUP(VALUE(J39),'Site Info'!$A:$G,6,FALSE),"")</f>
        <v>65201-6465</v>
      </c>
      <c r="O39">
        <f>IFERROR(VLOOKUP(VALUE(J39),'Site Info'!$A:$G,7,FALSE),"")</f>
        <v>5738752979</v>
      </c>
    </row>
    <row r="40" spans="1:15" x14ac:dyDescent="0.45">
      <c r="A40" t="s">
        <v>8349</v>
      </c>
      <c r="B40" t="s">
        <v>8350</v>
      </c>
      <c r="C40" t="s">
        <v>8351</v>
      </c>
      <c r="D40" t="s">
        <v>1787</v>
      </c>
      <c r="E40" s="1">
        <v>46153.316192129627</v>
      </c>
      <c r="F40">
        <v>1547</v>
      </c>
      <c r="G40" t="s">
        <v>8352</v>
      </c>
      <c r="H40" t="s">
        <v>15</v>
      </c>
      <c r="I40" t="s">
        <v>1789</v>
      </c>
      <c r="J40" t="str">
        <f>RIGHT(D40,4)</f>
        <v>8163</v>
      </c>
      <c r="K40" t="str">
        <f>IFERROR(VLOOKUP(VALUE(J40),'Site Info'!$A:$G,3,FALSE),"")</f>
        <v>101 CONLEY RD</v>
      </c>
      <c r="L40" t="str">
        <f>IFERROR(VLOOKUP(VALUE(J40),'Site Info'!$A:$G,4,FALSE),"")</f>
        <v>COLUMBIA</v>
      </c>
      <c r="M40" t="str">
        <f>IFERROR(VLOOKUP(VALUE(J40),'Site Info'!$A:$G,5,FALSE),"")</f>
        <v>MO</v>
      </c>
      <c r="N40" t="str">
        <f>IFERROR(VLOOKUP(VALUE(J40),'Site Info'!$A:$G,6,FALSE),"")</f>
        <v>65201-6465</v>
      </c>
      <c r="O40">
        <f>IFERROR(VLOOKUP(VALUE(J40),'Site Info'!$A:$G,7,FALSE),"")</f>
        <v>5738752979</v>
      </c>
    </row>
    <row r="41" spans="1:15" x14ac:dyDescent="0.45">
      <c r="A41" t="s">
        <v>7629</v>
      </c>
      <c r="B41" t="s">
        <v>7630</v>
      </c>
      <c r="C41" t="s">
        <v>7631</v>
      </c>
      <c r="D41" t="s">
        <v>1787</v>
      </c>
      <c r="E41" s="1">
        <v>46153.344212962962</v>
      </c>
      <c r="F41">
        <v>1547</v>
      </c>
      <c r="G41" t="s">
        <v>7632</v>
      </c>
      <c r="H41" t="s">
        <v>15</v>
      </c>
      <c r="I41" t="s">
        <v>1789</v>
      </c>
      <c r="J41" t="str">
        <f>RIGHT(D41,4)</f>
        <v>8163</v>
      </c>
      <c r="K41" t="str">
        <f>IFERROR(VLOOKUP(VALUE(J41),'Site Info'!$A:$G,3,FALSE),"")</f>
        <v>101 CONLEY RD</v>
      </c>
      <c r="L41" t="str">
        <f>IFERROR(VLOOKUP(VALUE(J41),'Site Info'!$A:$G,4,FALSE),"")</f>
        <v>COLUMBIA</v>
      </c>
      <c r="M41" t="str">
        <f>IFERROR(VLOOKUP(VALUE(J41),'Site Info'!$A:$G,5,FALSE),"")</f>
        <v>MO</v>
      </c>
      <c r="N41" t="str">
        <f>IFERROR(VLOOKUP(VALUE(J41),'Site Info'!$A:$G,6,FALSE),"")</f>
        <v>65201-6465</v>
      </c>
      <c r="O41">
        <f>IFERROR(VLOOKUP(VALUE(J41),'Site Info'!$A:$G,7,FALSE),"")</f>
        <v>5738752979</v>
      </c>
    </row>
    <row r="42" spans="1:15" x14ac:dyDescent="0.45">
      <c r="A42" t="s">
        <v>3055</v>
      </c>
      <c r="B42" t="s">
        <v>3056</v>
      </c>
      <c r="C42" t="s">
        <v>3057</v>
      </c>
      <c r="D42" t="s">
        <v>1787</v>
      </c>
      <c r="E42" s="1">
        <v>46152.594363425924</v>
      </c>
      <c r="F42">
        <v>1481</v>
      </c>
      <c r="G42" t="s">
        <v>3058</v>
      </c>
      <c r="H42" t="s">
        <v>15</v>
      </c>
      <c r="I42" t="s">
        <v>1789</v>
      </c>
      <c r="J42" t="str">
        <f>RIGHT(D42,4)</f>
        <v>8163</v>
      </c>
      <c r="K42" t="str">
        <f>IFERROR(VLOOKUP(VALUE(J42),'Site Info'!$A:$G,3,FALSE),"")</f>
        <v>101 CONLEY RD</v>
      </c>
      <c r="L42" t="str">
        <f>IFERROR(VLOOKUP(VALUE(J42),'Site Info'!$A:$G,4,FALSE),"")</f>
        <v>COLUMBIA</v>
      </c>
      <c r="M42" t="str">
        <f>IFERROR(VLOOKUP(VALUE(J42),'Site Info'!$A:$G,5,FALSE),"")</f>
        <v>MO</v>
      </c>
      <c r="N42" t="str">
        <f>IFERROR(VLOOKUP(VALUE(J42),'Site Info'!$A:$G,6,FALSE),"")</f>
        <v>65201-6465</v>
      </c>
      <c r="O42">
        <f>IFERROR(VLOOKUP(VALUE(J42),'Site Info'!$A:$G,7,FALSE),"")</f>
        <v>5738752979</v>
      </c>
    </row>
    <row r="43" spans="1:15" x14ac:dyDescent="0.45">
      <c r="A43" t="s">
        <v>1784</v>
      </c>
      <c r="B43" t="s">
        <v>1785</v>
      </c>
      <c r="C43" t="s">
        <v>1786</v>
      </c>
      <c r="D43" t="s">
        <v>1787</v>
      </c>
      <c r="E43" s="1">
        <v>46153.192152777781</v>
      </c>
      <c r="F43">
        <v>1481</v>
      </c>
      <c r="G43" t="s">
        <v>1788</v>
      </c>
      <c r="H43" t="s">
        <v>15</v>
      </c>
      <c r="I43" t="s">
        <v>1789</v>
      </c>
      <c r="J43" t="str">
        <f>RIGHT(D43,4)</f>
        <v>8163</v>
      </c>
      <c r="K43" t="str">
        <f>IFERROR(VLOOKUP(VALUE(J43),'Site Info'!$A:$G,3,FALSE),"")</f>
        <v>101 CONLEY RD</v>
      </c>
      <c r="L43" t="str">
        <f>IFERROR(VLOOKUP(VALUE(J43),'Site Info'!$A:$G,4,FALSE),"")</f>
        <v>COLUMBIA</v>
      </c>
      <c r="M43" t="str">
        <f>IFERROR(VLOOKUP(VALUE(J43),'Site Info'!$A:$G,5,FALSE),"")</f>
        <v>MO</v>
      </c>
      <c r="N43" t="str">
        <f>IFERROR(VLOOKUP(VALUE(J43),'Site Info'!$A:$G,6,FALSE),"")</f>
        <v>65201-6465</v>
      </c>
      <c r="O43">
        <f>IFERROR(VLOOKUP(VALUE(J43),'Site Info'!$A:$G,7,FALSE),"")</f>
        <v>5738752979</v>
      </c>
    </row>
    <row r="44" spans="1:15" x14ac:dyDescent="0.45">
      <c r="A44" t="s">
        <v>17131</v>
      </c>
      <c r="B44" t="s">
        <v>17132</v>
      </c>
      <c r="C44" t="s">
        <v>17133</v>
      </c>
      <c r="D44" t="s">
        <v>1787</v>
      </c>
      <c r="E44" s="1">
        <v>46150.616643518515</v>
      </c>
      <c r="F44">
        <v>1628</v>
      </c>
      <c r="G44" t="s">
        <v>17134</v>
      </c>
      <c r="H44" t="s">
        <v>13988</v>
      </c>
      <c r="I44" t="s">
        <v>1789</v>
      </c>
      <c r="J44" t="str">
        <f>RIGHT(D44,4)</f>
        <v>8163</v>
      </c>
      <c r="K44" t="str">
        <f>IFERROR(VLOOKUP(VALUE(J44),'Site Info'!$A:$G,3,FALSE),"")</f>
        <v>101 CONLEY RD</v>
      </c>
      <c r="L44" t="str">
        <f>IFERROR(VLOOKUP(VALUE(J44),'Site Info'!$A:$G,4,FALSE),"")</f>
        <v>COLUMBIA</v>
      </c>
      <c r="M44" t="str">
        <f>IFERROR(VLOOKUP(VALUE(J44),'Site Info'!$A:$G,5,FALSE),"")</f>
        <v>MO</v>
      </c>
      <c r="N44" t="str">
        <f>IFERROR(VLOOKUP(VALUE(J44),'Site Info'!$A:$G,6,FALSE),"")</f>
        <v>65201-6465</v>
      </c>
      <c r="O44">
        <f>IFERROR(VLOOKUP(VALUE(J44),'Site Info'!$A:$G,7,FALSE),"")</f>
        <v>5738752979</v>
      </c>
    </row>
    <row r="45" spans="1:15" x14ac:dyDescent="0.45">
      <c r="A45" t="s">
        <v>11566</v>
      </c>
      <c r="B45" t="s">
        <v>11567</v>
      </c>
      <c r="C45" t="s">
        <v>11568</v>
      </c>
      <c r="D45" t="s">
        <v>2300</v>
      </c>
      <c r="E45" s="1">
        <v>46151.706087962964</v>
      </c>
      <c r="F45">
        <v>1547</v>
      </c>
      <c r="G45" t="s">
        <v>11569</v>
      </c>
      <c r="H45" t="s">
        <v>15</v>
      </c>
      <c r="I45" t="s">
        <v>2302</v>
      </c>
      <c r="J45" t="str">
        <f>RIGHT(D45,4)</f>
        <v>6464</v>
      </c>
      <c r="K45" t="str">
        <f>IFERROR(VLOOKUP(VALUE(J45),'Site Info'!$A:$G,3,FALSE),"")</f>
        <v>101 W OAKTON ST</v>
      </c>
      <c r="L45" t="str">
        <f>IFERROR(VLOOKUP(VALUE(J45),'Site Info'!$A:$G,4,FALSE),"")</f>
        <v>DES PLAINES</v>
      </c>
      <c r="M45" t="str">
        <f>IFERROR(VLOOKUP(VALUE(J45),'Site Info'!$A:$G,5,FALSE),"")</f>
        <v>IL</v>
      </c>
      <c r="N45" t="str">
        <f>IFERROR(VLOOKUP(VALUE(J45),'Site Info'!$A:$G,6,FALSE),"")</f>
        <v>60018-1834</v>
      </c>
      <c r="O45">
        <f>IFERROR(VLOOKUP(VALUE(J45),'Site Info'!$A:$G,7,FALSE),"")</f>
        <v>8472965050</v>
      </c>
    </row>
    <row r="46" spans="1:15" x14ac:dyDescent="0.45">
      <c r="A46" t="s">
        <v>13872</v>
      </c>
      <c r="B46" t="s">
        <v>13873</v>
      </c>
      <c r="C46" t="s">
        <v>13874</v>
      </c>
      <c r="D46" t="s">
        <v>2300</v>
      </c>
      <c r="E46" s="1">
        <v>46152.411099537036</v>
      </c>
      <c r="F46">
        <v>1547</v>
      </c>
      <c r="G46" t="s">
        <v>13875</v>
      </c>
      <c r="H46" t="s">
        <v>15</v>
      </c>
      <c r="I46" t="s">
        <v>2302</v>
      </c>
      <c r="J46" t="str">
        <f>RIGHT(D46,4)</f>
        <v>6464</v>
      </c>
      <c r="K46" t="str">
        <f>IFERROR(VLOOKUP(VALUE(J46),'Site Info'!$A:$G,3,FALSE),"")</f>
        <v>101 W OAKTON ST</v>
      </c>
      <c r="L46" t="str">
        <f>IFERROR(VLOOKUP(VALUE(J46),'Site Info'!$A:$G,4,FALSE),"")</f>
        <v>DES PLAINES</v>
      </c>
      <c r="M46" t="str">
        <f>IFERROR(VLOOKUP(VALUE(J46),'Site Info'!$A:$G,5,FALSE),"")</f>
        <v>IL</v>
      </c>
      <c r="N46" t="str">
        <f>IFERROR(VLOOKUP(VALUE(J46),'Site Info'!$A:$G,6,FALSE),"")</f>
        <v>60018-1834</v>
      </c>
      <c r="O46">
        <f>IFERROR(VLOOKUP(VALUE(J46),'Site Info'!$A:$G,7,FALSE),"")</f>
        <v>8472965050</v>
      </c>
    </row>
    <row r="47" spans="1:15" x14ac:dyDescent="0.45">
      <c r="A47" t="s">
        <v>11808</v>
      </c>
      <c r="B47" t="s">
        <v>11809</v>
      </c>
      <c r="C47" t="s">
        <v>11810</v>
      </c>
      <c r="D47" t="s">
        <v>2300</v>
      </c>
      <c r="E47" s="1">
        <v>46152.565069444441</v>
      </c>
      <c r="F47">
        <v>1547</v>
      </c>
      <c r="G47" t="s">
        <v>11811</v>
      </c>
      <c r="H47" t="s">
        <v>15</v>
      </c>
      <c r="I47" t="s">
        <v>2302</v>
      </c>
      <c r="J47" t="str">
        <f>RIGHT(D47,4)</f>
        <v>6464</v>
      </c>
      <c r="K47" t="str">
        <f>IFERROR(VLOOKUP(VALUE(J47),'Site Info'!$A:$G,3,FALSE),"")</f>
        <v>101 W OAKTON ST</v>
      </c>
      <c r="L47" t="str">
        <f>IFERROR(VLOOKUP(VALUE(J47),'Site Info'!$A:$G,4,FALSE),"")</f>
        <v>DES PLAINES</v>
      </c>
      <c r="M47" t="str">
        <f>IFERROR(VLOOKUP(VALUE(J47),'Site Info'!$A:$G,5,FALSE),"")</f>
        <v>IL</v>
      </c>
      <c r="N47" t="str">
        <f>IFERROR(VLOOKUP(VALUE(J47),'Site Info'!$A:$G,6,FALSE),"")</f>
        <v>60018-1834</v>
      </c>
      <c r="O47">
        <f>IFERROR(VLOOKUP(VALUE(J47),'Site Info'!$A:$G,7,FALSE),"")</f>
        <v>8472965050</v>
      </c>
    </row>
    <row r="48" spans="1:15" x14ac:dyDescent="0.45">
      <c r="A48" t="s">
        <v>11856</v>
      </c>
      <c r="B48" t="s">
        <v>11857</v>
      </c>
      <c r="C48" t="s">
        <v>11858</v>
      </c>
      <c r="D48" t="s">
        <v>2300</v>
      </c>
      <c r="E48" s="1">
        <v>46153.257141203707</v>
      </c>
      <c r="F48">
        <v>1547</v>
      </c>
      <c r="G48" t="s">
        <v>11859</v>
      </c>
      <c r="H48" t="s">
        <v>15</v>
      </c>
      <c r="I48" t="s">
        <v>2302</v>
      </c>
      <c r="J48" t="str">
        <f>RIGHT(D48,4)</f>
        <v>6464</v>
      </c>
      <c r="K48" t="str">
        <f>IFERROR(VLOOKUP(VALUE(J48),'Site Info'!$A:$G,3,FALSE),"")</f>
        <v>101 W OAKTON ST</v>
      </c>
      <c r="L48" t="str">
        <f>IFERROR(VLOOKUP(VALUE(J48),'Site Info'!$A:$G,4,FALSE),"")</f>
        <v>DES PLAINES</v>
      </c>
      <c r="M48" t="str">
        <f>IFERROR(VLOOKUP(VALUE(J48),'Site Info'!$A:$G,5,FALSE),"")</f>
        <v>IL</v>
      </c>
      <c r="N48" t="str">
        <f>IFERROR(VLOOKUP(VALUE(J48),'Site Info'!$A:$G,6,FALSE),"")</f>
        <v>60018-1834</v>
      </c>
      <c r="O48">
        <f>IFERROR(VLOOKUP(VALUE(J48),'Site Info'!$A:$G,7,FALSE),"")</f>
        <v>8472965050</v>
      </c>
    </row>
    <row r="49" spans="1:15" x14ac:dyDescent="0.45">
      <c r="A49" t="s">
        <v>2297</v>
      </c>
      <c r="B49" t="s">
        <v>2298</v>
      </c>
      <c r="C49" t="s">
        <v>2299</v>
      </c>
      <c r="D49" t="s">
        <v>2300</v>
      </c>
      <c r="E49" s="1">
        <v>46153.313344907408</v>
      </c>
      <c r="F49">
        <v>1481</v>
      </c>
      <c r="G49" t="s">
        <v>2301</v>
      </c>
      <c r="H49" t="s">
        <v>15</v>
      </c>
      <c r="I49" t="s">
        <v>2302</v>
      </c>
      <c r="J49" t="str">
        <f>RIGHT(D49,4)</f>
        <v>6464</v>
      </c>
      <c r="K49" t="str">
        <f>IFERROR(VLOOKUP(VALUE(J49),'Site Info'!$A:$G,3,FALSE),"")</f>
        <v>101 W OAKTON ST</v>
      </c>
      <c r="L49" t="str">
        <f>IFERROR(VLOOKUP(VALUE(J49),'Site Info'!$A:$G,4,FALSE),"")</f>
        <v>DES PLAINES</v>
      </c>
      <c r="M49" t="str">
        <f>IFERROR(VLOOKUP(VALUE(J49),'Site Info'!$A:$G,5,FALSE),"")</f>
        <v>IL</v>
      </c>
      <c r="N49" t="str">
        <f>IFERROR(VLOOKUP(VALUE(J49),'Site Info'!$A:$G,6,FALSE),"")</f>
        <v>60018-1834</v>
      </c>
      <c r="O49">
        <f>IFERROR(VLOOKUP(VALUE(J49),'Site Info'!$A:$G,7,FALSE),"")</f>
        <v>8472965050</v>
      </c>
    </row>
    <row r="50" spans="1:15" x14ac:dyDescent="0.45">
      <c r="A50" t="s">
        <v>8077</v>
      </c>
      <c r="B50" t="s">
        <v>8078</v>
      </c>
      <c r="C50" t="s">
        <v>8079</v>
      </c>
      <c r="D50" t="s">
        <v>3782</v>
      </c>
      <c r="E50" s="1">
        <v>46149.653298611112</v>
      </c>
      <c r="F50">
        <v>1547</v>
      </c>
      <c r="G50" t="s">
        <v>8080</v>
      </c>
      <c r="H50" t="s">
        <v>15</v>
      </c>
      <c r="I50" t="s">
        <v>3784</v>
      </c>
      <c r="J50" t="str">
        <f>RIGHT(D50,4)</f>
        <v>7658</v>
      </c>
      <c r="K50" t="str">
        <f>IFERROR(VLOOKUP(VALUE(J50),'Site Info'!$A:$G,3,FALSE),"")</f>
        <v>10100 CANAL CROSSING</v>
      </c>
      <c r="L50" t="str">
        <f>IFERROR(VLOOKUP(VALUE(J50),'Site Info'!$A:$G,4,FALSE),"")</f>
        <v>BRUNSWICK</v>
      </c>
      <c r="M50" t="str">
        <f>IFERROR(VLOOKUP(VALUE(J50),'Site Info'!$A:$G,5,FALSE),"")</f>
        <v>GA</v>
      </c>
      <c r="N50" t="str">
        <f>IFERROR(VLOOKUP(VALUE(J50),'Site Info'!$A:$G,6,FALSE),"")</f>
        <v>31525-0000</v>
      </c>
      <c r="O50">
        <f>IFERROR(VLOOKUP(VALUE(J50),'Site Info'!$A:$G,7,FALSE),"")</f>
        <v>9126026815</v>
      </c>
    </row>
    <row r="51" spans="1:15" x14ac:dyDescent="0.45">
      <c r="A51" t="s">
        <v>7867</v>
      </c>
      <c r="B51" t="s">
        <v>7868</v>
      </c>
      <c r="C51" t="s">
        <v>7869</v>
      </c>
      <c r="D51" t="s">
        <v>3782</v>
      </c>
      <c r="E51" s="1">
        <v>46153.298564814817</v>
      </c>
      <c r="F51">
        <v>1547</v>
      </c>
      <c r="G51" t="s">
        <v>7870</v>
      </c>
      <c r="H51" t="s">
        <v>15</v>
      </c>
      <c r="I51" t="s">
        <v>3784</v>
      </c>
      <c r="J51" t="str">
        <f>RIGHT(D51,4)</f>
        <v>7658</v>
      </c>
      <c r="K51" t="str">
        <f>IFERROR(VLOOKUP(VALUE(J51),'Site Info'!$A:$G,3,FALSE),"")</f>
        <v>10100 CANAL CROSSING</v>
      </c>
      <c r="L51" t="str">
        <f>IFERROR(VLOOKUP(VALUE(J51),'Site Info'!$A:$G,4,FALSE),"")</f>
        <v>BRUNSWICK</v>
      </c>
      <c r="M51" t="str">
        <f>IFERROR(VLOOKUP(VALUE(J51),'Site Info'!$A:$G,5,FALSE),"")</f>
        <v>GA</v>
      </c>
      <c r="N51" t="str">
        <f>IFERROR(VLOOKUP(VALUE(J51),'Site Info'!$A:$G,6,FALSE),"")</f>
        <v>31525-0000</v>
      </c>
      <c r="O51">
        <f>IFERROR(VLOOKUP(VALUE(J51),'Site Info'!$A:$G,7,FALSE),"")</f>
        <v>9126026815</v>
      </c>
    </row>
    <row r="52" spans="1:15" x14ac:dyDescent="0.45">
      <c r="A52" t="s">
        <v>6797</v>
      </c>
      <c r="B52" t="s">
        <v>6798</v>
      </c>
      <c r="C52" t="s">
        <v>6799</v>
      </c>
      <c r="D52" t="s">
        <v>3782</v>
      </c>
      <c r="E52" s="1">
        <v>46153.355752314812</v>
      </c>
      <c r="F52">
        <v>1547</v>
      </c>
      <c r="G52" t="s">
        <v>6800</v>
      </c>
      <c r="H52" t="s">
        <v>15</v>
      </c>
      <c r="I52" t="s">
        <v>3784</v>
      </c>
      <c r="J52" t="str">
        <f>RIGHT(D52,4)</f>
        <v>7658</v>
      </c>
      <c r="K52" t="str">
        <f>IFERROR(VLOOKUP(VALUE(J52),'Site Info'!$A:$G,3,FALSE),"")</f>
        <v>10100 CANAL CROSSING</v>
      </c>
      <c r="L52" t="str">
        <f>IFERROR(VLOOKUP(VALUE(J52),'Site Info'!$A:$G,4,FALSE),"")</f>
        <v>BRUNSWICK</v>
      </c>
      <c r="M52" t="str">
        <f>IFERROR(VLOOKUP(VALUE(J52),'Site Info'!$A:$G,5,FALSE),"")</f>
        <v>GA</v>
      </c>
      <c r="N52" t="str">
        <f>IFERROR(VLOOKUP(VALUE(J52),'Site Info'!$A:$G,6,FALSE),"")</f>
        <v>31525-0000</v>
      </c>
      <c r="O52">
        <f>IFERROR(VLOOKUP(VALUE(J52),'Site Info'!$A:$G,7,FALSE),"")</f>
        <v>9126026815</v>
      </c>
    </row>
    <row r="53" spans="1:15" x14ac:dyDescent="0.45">
      <c r="A53" t="s">
        <v>3779</v>
      </c>
      <c r="B53" t="s">
        <v>3780</v>
      </c>
      <c r="C53" t="s">
        <v>3781</v>
      </c>
      <c r="D53" t="s">
        <v>3782</v>
      </c>
      <c r="E53" s="1">
        <v>46153.367465277777</v>
      </c>
      <c r="F53">
        <v>1481</v>
      </c>
      <c r="G53" t="s">
        <v>3783</v>
      </c>
      <c r="H53" t="s">
        <v>15</v>
      </c>
      <c r="I53" t="s">
        <v>3784</v>
      </c>
      <c r="J53" t="str">
        <f>RIGHT(D53,4)</f>
        <v>7658</v>
      </c>
      <c r="K53" t="str">
        <f>IFERROR(VLOOKUP(VALUE(J53),'Site Info'!$A:$G,3,FALSE),"")</f>
        <v>10100 CANAL CROSSING</v>
      </c>
      <c r="L53" t="str">
        <f>IFERROR(VLOOKUP(VALUE(J53),'Site Info'!$A:$G,4,FALSE),"")</f>
        <v>BRUNSWICK</v>
      </c>
      <c r="M53" t="str">
        <f>IFERROR(VLOOKUP(VALUE(J53),'Site Info'!$A:$G,5,FALSE),"")</f>
        <v>GA</v>
      </c>
      <c r="N53" t="str">
        <f>IFERROR(VLOOKUP(VALUE(J53),'Site Info'!$A:$G,6,FALSE),"")</f>
        <v>31525-0000</v>
      </c>
      <c r="O53">
        <f>IFERROR(VLOOKUP(VALUE(J53),'Site Info'!$A:$G,7,FALSE),"")</f>
        <v>9126026815</v>
      </c>
    </row>
    <row r="54" spans="1:15" x14ac:dyDescent="0.45">
      <c r="A54" t="s">
        <v>17073</v>
      </c>
      <c r="B54" t="s">
        <v>17074</v>
      </c>
      <c r="C54" t="s">
        <v>17075</v>
      </c>
      <c r="D54" t="s">
        <v>3782</v>
      </c>
      <c r="E54" s="1">
        <v>46153.359074074076</v>
      </c>
      <c r="F54">
        <v>1481</v>
      </c>
      <c r="G54" t="s">
        <v>17076</v>
      </c>
      <c r="H54" t="s">
        <v>15</v>
      </c>
      <c r="I54" t="s">
        <v>3784</v>
      </c>
      <c r="J54" t="str">
        <f>RIGHT(D54,4)</f>
        <v>7658</v>
      </c>
      <c r="K54" t="str">
        <f>IFERROR(VLOOKUP(VALUE(J54),'Site Info'!$A:$G,3,FALSE),"")</f>
        <v>10100 CANAL CROSSING</v>
      </c>
      <c r="L54" t="str">
        <f>IFERROR(VLOOKUP(VALUE(J54),'Site Info'!$A:$G,4,FALSE),"")</f>
        <v>BRUNSWICK</v>
      </c>
      <c r="M54" t="str">
        <f>IFERROR(VLOOKUP(VALUE(J54),'Site Info'!$A:$G,5,FALSE),"")</f>
        <v>GA</v>
      </c>
      <c r="N54" t="str">
        <f>IFERROR(VLOOKUP(VALUE(J54),'Site Info'!$A:$G,6,FALSE),"")</f>
        <v>31525-0000</v>
      </c>
      <c r="O54">
        <f>IFERROR(VLOOKUP(VALUE(J54),'Site Info'!$A:$G,7,FALSE),"")</f>
        <v>9126026815</v>
      </c>
    </row>
    <row r="55" spans="1:15" x14ac:dyDescent="0.45">
      <c r="A55" t="s">
        <v>12990</v>
      </c>
      <c r="B55" t="s">
        <v>12991</v>
      </c>
      <c r="C55" t="s">
        <v>12992</v>
      </c>
      <c r="D55" t="s">
        <v>1547</v>
      </c>
      <c r="E55" s="1">
        <v>46150.793622685182</v>
      </c>
      <c r="F55">
        <v>1547</v>
      </c>
      <c r="G55" t="s">
        <v>12993</v>
      </c>
      <c r="H55" t="s">
        <v>15</v>
      </c>
      <c r="I55" t="s">
        <v>1549</v>
      </c>
      <c r="J55" t="str">
        <f>RIGHT(D55,4)</f>
        <v>4741</v>
      </c>
      <c r="K55" t="str">
        <f>IFERROR(VLOOKUP(VALUE(J55),'Site Info'!$A:$G,3,FALSE),"")</f>
        <v>10248 BIG BEND RD</v>
      </c>
      <c r="L55" t="str">
        <f>IFERROR(VLOOKUP(VALUE(J55),'Site Info'!$A:$G,4,FALSE),"")</f>
        <v>SAINT LOUIS</v>
      </c>
      <c r="M55" t="str">
        <f>IFERROR(VLOOKUP(VALUE(J55),'Site Info'!$A:$G,5,FALSE),"")</f>
        <v>MO</v>
      </c>
      <c r="N55" t="str">
        <f>IFERROR(VLOOKUP(VALUE(J55),'Site Info'!$A:$G,6,FALSE),"")</f>
        <v>63122-6426</v>
      </c>
      <c r="O55">
        <f>IFERROR(VLOOKUP(VALUE(J55),'Site Info'!$A:$G,7,FALSE),"")</f>
        <v>3149657076</v>
      </c>
    </row>
    <row r="56" spans="1:15" x14ac:dyDescent="0.45">
      <c r="A56" t="s">
        <v>12400</v>
      </c>
      <c r="B56" t="s">
        <v>12401</v>
      </c>
      <c r="C56" t="s">
        <v>12402</v>
      </c>
      <c r="D56" t="s">
        <v>1547</v>
      </c>
      <c r="E56" s="1">
        <v>46152.667442129627</v>
      </c>
      <c r="F56">
        <v>1547</v>
      </c>
      <c r="G56" t="s">
        <v>12403</v>
      </c>
      <c r="H56" t="s">
        <v>15</v>
      </c>
      <c r="I56" t="s">
        <v>1549</v>
      </c>
      <c r="J56" t="str">
        <f>RIGHT(D56,4)</f>
        <v>4741</v>
      </c>
      <c r="K56" t="str">
        <f>IFERROR(VLOOKUP(VALUE(J56),'Site Info'!$A:$G,3,FALSE),"")</f>
        <v>10248 BIG BEND RD</v>
      </c>
      <c r="L56" t="str">
        <f>IFERROR(VLOOKUP(VALUE(J56),'Site Info'!$A:$G,4,FALSE),"")</f>
        <v>SAINT LOUIS</v>
      </c>
      <c r="M56" t="str">
        <f>IFERROR(VLOOKUP(VALUE(J56),'Site Info'!$A:$G,5,FALSE),"")</f>
        <v>MO</v>
      </c>
      <c r="N56" t="str">
        <f>IFERROR(VLOOKUP(VALUE(J56),'Site Info'!$A:$G,6,FALSE),"")</f>
        <v>63122-6426</v>
      </c>
      <c r="O56">
        <f>IFERROR(VLOOKUP(VALUE(J56),'Site Info'!$A:$G,7,FALSE),"")</f>
        <v>3149657076</v>
      </c>
    </row>
    <row r="57" spans="1:15" x14ac:dyDescent="0.45">
      <c r="A57" t="s">
        <v>13852</v>
      </c>
      <c r="B57" t="s">
        <v>13853</v>
      </c>
      <c r="C57" t="s">
        <v>13854</v>
      </c>
      <c r="D57" t="s">
        <v>1547</v>
      </c>
      <c r="E57" s="1">
        <v>46153.310983796298</v>
      </c>
      <c r="F57">
        <v>1547</v>
      </c>
      <c r="G57" t="s">
        <v>13855</v>
      </c>
      <c r="H57" t="s">
        <v>15</v>
      </c>
      <c r="I57" t="s">
        <v>1549</v>
      </c>
      <c r="J57" t="str">
        <f>RIGHT(D57,4)</f>
        <v>4741</v>
      </c>
      <c r="K57" t="str">
        <f>IFERROR(VLOOKUP(VALUE(J57),'Site Info'!$A:$G,3,FALSE),"")</f>
        <v>10248 BIG BEND RD</v>
      </c>
      <c r="L57" t="str">
        <f>IFERROR(VLOOKUP(VALUE(J57),'Site Info'!$A:$G,4,FALSE),"")</f>
        <v>SAINT LOUIS</v>
      </c>
      <c r="M57" t="str">
        <f>IFERROR(VLOOKUP(VALUE(J57),'Site Info'!$A:$G,5,FALSE),"")</f>
        <v>MO</v>
      </c>
      <c r="N57" t="str">
        <f>IFERROR(VLOOKUP(VALUE(J57),'Site Info'!$A:$G,6,FALSE),"")</f>
        <v>63122-6426</v>
      </c>
      <c r="O57">
        <f>IFERROR(VLOOKUP(VALUE(J57),'Site Info'!$A:$G,7,FALSE),"")</f>
        <v>3149657076</v>
      </c>
    </row>
    <row r="58" spans="1:15" x14ac:dyDescent="0.45">
      <c r="A58" t="s">
        <v>1544</v>
      </c>
      <c r="B58" t="s">
        <v>1545</v>
      </c>
      <c r="C58" t="s">
        <v>1546</v>
      </c>
      <c r="D58" t="s">
        <v>1547</v>
      </c>
      <c r="E58" s="1">
        <v>46152.687152777777</v>
      </c>
      <c r="F58">
        <v>1481</v>
      </c>
      <c r="G58" t="s">
        <v>1548</v>
      </c>
      <c r="H58" t="s">
        <v>15</v>
      </c>
      <c r="I58" t="s">
        <v>1549</v>
      </c>
      <c r="J58" t="str">
        <f>RIGHT(D58,4)</f>
        <v>4741</v>
      </c>
      <c r="K58" t="str">
        <f>IFERROR(VLOOKUP(VALUE(J58),'Site Info'!$A:$G,3,FALSE),"")</f>
        <v>10248 BIG BEND RD</v>
      </c>
      <c r="L58" t="str">
        <f>IFERROR(VLOOKUP(VALUE(J58),'Site Info'!$A:$G,4,FALSE),"")</f>
        <v>SAINT LOUIS</v>
      </c>
      <c r="M58" t="str">
        <f>IFERROR(VLOOKUP(VALUE(J58),'Site Info'!$A:$G,5,FALSE),"")</f>
        <v>MO</v>
      </c>
      <c r="N58" t="str">
        <f>IFERROR(VLOOKUP(VALUE(J58),'Site Info'!$A:$G,6,FALSE),"")</f>
        <v>63122-6426</v>
      </c>
      <c r="O58">
        <f>IFERROR(VLOOKUP(VALUE(J58),'Site Info'!$A:$G,7,FALSE),"")</f>
        <v>3149657076</v>
      </c>
    </row>
    <row r="59" spans="1:15" x14ac:dyDescent="0.45">
      <c r="A59" t="s">
        <v>3243</v>
      </c>
      <c r="B59" t="s">
        <v>3244</v>
      </c>
      <c r="C59" t="s">
        <v>3245</v>
      </c>
      <c r="D59" t="s">
        <v>1547</v>
      </c>
      <c r="E59" s="1">
        <v>46153.249710648146</v>
      </c>
      <c r="F59">
        <v>1481</v>
      </c>
      <c r="G59" t="s">
        <v>3246</v>
      </c>
      <c r="H59" t="s">
        <v>15</v>
      </c>
      <c r="I59" t="s">
        <v>1549</v>
      </c>
      <c r="J59" t="str">
        <f>RIGHT(D59,4)</f>
        <v>4741</v>
      </c>
      <c r="K59" t="str">
        <f>IFERROR(VLOOKUP(VALUE(J59),'Site Info'!$A:$G,3,FALSE),"")</f>
        <v>10248 BIG BEND RD</v>
      </c>
      <c r="L59" t="str">
        <f>IFERROR(VLOOKUP(VALUE(J59),'Site Info'!$A:$G,4,FALSE),"")</f>
        <v>SAINT LOUIS</v>
      </c>
      <c r="M59" t="str">
        <f>IFERROR(VLOOKUP(VALUE(J59),'Site Info'!$A:$G,5,FALSE),"")</f>
        <v>MO</v>
      </c>
      <c r="N59" t="str">
        <f>IFERROR(VLOOKUP(VALUE(J59),'Site Info'!$A:$G,6,FALSE),"")</f>
        <v>63122-6426</v>
      </c>
      <c r="O59">
        <f>IFERROR(VLOOKUP(VALUE(J59),'Site Info'!$A:$G,7,FALSE),"")</f>
        <v>3149657076</v>
      </c>
    </row>
    <row r="60" spans="1:15" x14ac:dyDescent="0.45">
      <c r="A60" t="s">
        <v>7883</v>
      </c>
      <c r="B60" t="s">
        <v>7884</v>
      </c>
      <c r="C60" t="s">
        <v>7885</v>
      </c>
      <c r="D60" t="s">
        <v>3788</v>
      </c>
      <c r="E60" s="1">
        <v>46152.316851851851</v>
      </c>
      <c r="F60">
        <v>1547</v>
      </c>
      <c r="G60" t="s">
        <v>7886</v>
      </c>
      <c r="H60" t="s">
        <v>15</v>
      </c>
      <c r="I60" t="s">
        <v>3790</v>
      </c>
      <c r="J60" t="str">
        <f>RIGHT(D60,4)</f>
        <v>8144</v>
      </c>
      <c r="K60" t="str">
        <f>IFERROR(VLOOKUP(VALUE(J60),'Site Info'!$A:$G,3,FALSE),"")</f>
        <v>1025 BLACK HORSE PIKE</v>
      </c>
      <c r="L60" t="str">
        <f>IFERROR(VLOOKUP(VALUE(J60),'Site Info'!$A:$G,4,FALSE),"")</f>
        <v>PLEASANTVILLE</v>
      </c>
      <c r="M60" t="str">
        <f>IFERROR(VLOOKUP(VALUE(J60),'Site Info'!$A:$G,5,FALSE),"")</f>
        <v>NJ</v>
      </c>
      <c r="N60" t="str">
        <f>IFERROR(VLOOKUP(VALUE(J60),'Site Info'!$A:$G,6,FALSE),"")</f>
        <v>08232-4103</v>
      </c>
      <c r="O60">
        <f>IFERROR(VLOOKUP(VALUE(J60),'Site Info'!$A:$G,7,FALSE),"")</f>
        <v>6094852277</v>
      </c>
    </row>
    <row r="61" spans="1:15" x14ac:dyDescent="0.45">
      <c r="A61" t="s">
        <v>8061</v>
      </c>
      <c r="B61" t="s">
        <v>8062</v>
      </c>
      <c r="C61" t="s">
        <v>8063</v>
      </c>
      <c r="D61" t="s">
        <v>3788</v>
      </c>
      <c r="E61" s="1">
        <v>46152.424293981479</v>
      </c>
      <c r="F61">
        <v>1547</v>
      </c>
      <c r="G61" t="s">
        <v>8064</v>
      </c>
      <c r="H61" t="s">
        <v>15</v>
      </c>
      <c r="I61" t="s">
        <v>3790</v>
      </c>
      <c r="J61" t="str">
        <f>RIGHT(D61,4)</f>
        <v>8144</v>
      </c>
      <c r="K61" t="str">
        <f>IFERROR(VLOOKUP(VALUE(J61),'Site Info'!$A:$G,3,FALSE),"")</f>
        <v>1025 BLACK HORSE PIKE</v>
      </c>
      <c r="L61" t="str">
        <f>IFERROR(VLOOKUP(VALUE(J61),'Site Info'!$A:$G,4,FALSE),"")</f>
        <v>PLEASANTVILLE</v>
      </c>
      <c r="M61" t="str">
        <f>IFERROR(VLOOKUP(VALUE(J61),'Site Info'!$A:$G,5,FALSE),"")</f>
        <v>NJ</v>
      </c>
      <c r="N61" t="str">
        <f>IFERROR(VLOOKUP(VALUE(J61),'Site Info'!$A:$G,6,FALSE),"")</f>
        <v>08232-4103</v>
      </c>
      <c r="O61">
        <f>IFERROR(VLOOKUP(VALUE(J61),'Site Info'!$A:$G,7,FALSE),"")</f>
        <v>6094852277</v>
      </c>
    </row>
    <row r="62" spans="1:15" x14ac:dyDescent="0.45">
      <c r="A62" t="s">
        <v>7815</v>
      </c>
      <c r="B62" t="s">
        <v>7816</v>
      </c>
      <c r="C62" t="s">
        <v>7817</v>
      </c>
      <c r="D62" t="s">
        <v>3788</v>
      </c>
      <c r="E62" s="1">
        <v>46152.604571759257</v>
      </c>
      <c r="F62">
        <v>1547</v>
      </c>
      <c r="G62" t="s">
        <v>7818</v>
      </c>
      <c r="H62" t="s">
        <v>15</v>
      </c>
      <c r="I62" t="s">
        <v>3790</v>
      </c>
      <c r="J62" t="str">
        <f>RIGHT(D62,4)</f>
        <v>8144</v>
      </c>
      <c r="K62" t="str">
        <f>IFERROR(VLOOKUP(VALUE(J62),'Site Info'!$A:$G,3,FALSE),"")</f>
        <v>1025 BLACK HORSE PIKE</v>
      </c>
      <c r="L62" t="str">
        <f>IFERROR(VLOOKUP(VALUE(J62),'Site Info'!$A:$G,4,FALSE),"")</f>
        <v>PLEASANTVILLE</v>
      </c>
      <c r="M62" t="str">
        <f>IFERROR(VLOOKUP(VALUE(J62),'Site Info'!$A:$G,5,FALSE),"")</f>
        <v>NJ</v>
      </c>
      <c r="N62" t="str">
        <f>IFERROR(VLOOKUP(VALUE(J62),'Site Info'!$A:$G,6,FALSE),"")</f>
        <v>08232-4103</v>
      </c>
      <c r="O62">
        <f>IFERROR(VLOOKUP(VALUE(J62),'Site Info'!$A:$G,7,FALSE),"")</f>
        <v>6094852277</v>
      </c>
    </row>
    <row r="63" spans="1:15" x14ac:dyDescent="0.45">
      <c r="A63" t="s">
        <v>7497</v>
      </c>
      <c r="B63" t="s">
        <v>7498</v>
      </c>
      <c r="C63" t="s">
        <v>7499</v>
      </c>
      <c r="D63" t="s">
        <v>3788</v>
      </c>
      <c r="E63" s="1">
        <v>46152.944953703707</v>
      </c>
      <c r="F63">
        <v>1547</v>
      </c>
      <c r="G63" t="s">
        <v>7500</v>
      </c>
      <c r="H63" t="s">
        <v>15</v>
      </c>
      <c r="I63" t="s">
        <v>3790</v>
      </c>
      <c r="J63" t="str">
        <f>RIGHT(D63,4)</f>
        <v>8144</v>
      </c>
      <c r="K63" t="str">
        <f>IFERROR(VLOOKUP(VALUE(J63),'Site Info'!$A:$G,3,FALSE),"")</f>
        <v>1025 BLACK HORSE PIKE</v>
      </c>
      <c r="L63" t="str">
        <f>IFERROR(VLOOKUP(VALUE(J63),'Site Info'!$A:$G,4,FALSE),"")</f>
        <v>PLEASANTVILLE</v>
      </c>
      <c r="M63" t="str">
        <f>IFERROR(VLOOKUP(VALUE(J63),'Site Info'!$A:$G,5,FALSE),"")</f>
        <v>NJ</v>
      </c>
      <c r="N63" t="str">
        <f>IFERROR(VLOOKUP(VALUE(J63),'Site Info'!$A:$G,6,FALSE),"")</f>
        <v>08232-4103</v>
      </c>
      <c r="O63">
        <f>IFERROR(VLOOKUP(VALUE(J63),'Site Info'!$A:$G,7,FALSE),"")</f>
        <v>6094852277</v>
      </c>
    </row>
    <row r="64" spans="1:15" x14ac:dyDescent="0.45">
      <c r="A64" t="s">
        <v>3785</v>
      </c>
      <c r="B64" t="s">
        <v>3786</v>
      </c>
      <c r="C64" t="s">
        <v>3787</v>
      </c>
      <c r="D64" t="s">
        <v>3788</v>
      </c>
      <c r="E64" s="1">
        <v>46153.371249999997</v>
      </c>
      <c r="F64">
        <v>1481</v>
      </c>
      <c r="G64" t="s">
        <v>3789</v>
      </c>
      <c r="H64" t="s">
        <v>15</v>
      </c>
      <c r="I64" t="s">
        <v>3790</v>
      </c>
      <c r="J64" t="str">
        <f>RIGHT(D64,4)</f>
        <v>8144</v>
      </c>
      <c r="K64" t="str">
        <f>IFERROR(VLOOKUP(VALUE(J64),'Site Info'!$A:$G,3,FALSE),"")</f>
        <v>1025 BLACK HORSE PIKE</v>
      </c>
      <c r="L64" t="str">
        <f>IFERROR(VLOOKUP(VALUE(J64),'Site Info'!$A:$G,4,FALSE),"")</f>
        <v>PLEASANTVILLE</v>
      </c>
      <c r="M64" t="str">
        <f>IFERROR(VLOOKUP(VALUE(J64),'Site Info'!$A:$G,5,FALSE),"")</f>
        <v>NJ</v>
      </c>
      <c r="N64" t="str">
        <f>IFERROR(VLOOKUP(VALUE(J64),'Site Info'!$A:$G,6,FALSE),"")</f>
        <v>08232-4103</v>
      </c>
      <c r="O64">
        <f>IFERROR(VLOOKUP(VALUE(J64),'Site Info'!$A:$G,7,FALSE),"")</f>
        <v>6094852277</v>
      </c>
    </row>
    <row r="65" spans="1:15" x14ac:dyDescent="0.45">
      <c r="A65" t="s">
        <v>17110</v>
      </c>
      <c r="B65" t="s">
        <v>17111</v>
      </c>
      <c r="C65" t="s">
        <v>17112</v>
      </c>
      <c r="D65" t="s">
        <v>3788</v>
      </c>
      <c r="E65" s="1">
        <v>46153.248738425929</v>
      </c>
      <c r="F65">
        <v>1547</v>
      </c>
      <c r="G65" t="s">
        <v>17113</v>
      </c>
      <c r="H65" t="s">
        <v>15</v>
      </c>
      <c r="I65" t="s">
        <v>3790</v>
      </c>
      <c r="J65" t="str">
        <f>RIGHT(D65,4)</f>
        <v>8144</v>
      </c>
      <c r="K65" t="str">
        <f>IFERROR(VLOOKUP(VALUE(J65),'Site Info'!$A:$G,3,FALSE),"")</f>
        <v>1025 BLACK HORSE PIKE</v>
      </c>
      <c r="L65" t="str">
        <f>IFERROR(VLOOKUP(VALUE(J65),'Site Info'!$A:$G,4,FALSE),"")</f>
        <v>PLEASANTVILLE</v>
      </c>
      <c r="M65" t="str">
        <f>IFERROR(VLOOKUP(VALUE(J65),'Site Info'!$A:$G,5,FALSE),"")</f>
        <v>NJ</v>
      </c>
      <c r="N65" t="str">
        <f>IFERROR(VLOOKUP(VALUE(J65),'Site Info'!$A:$G,6,FALSE),"")</f>
        <v>08232-4103</v>
      </c>
      <c r="O65">
        <f>IFERROR(VLOOKUP(VALUE(J65),'Site Info'!$A:$G,7,FALSE),"")</f>
        <v>6094852277</v>
      </c>
    </row>
    <row r="66" spans="1:15" x14ac:dyDescent="0.45">
      <c r="A66" t="s">
        <v>9159</v>
      </c>
      <c r="B66" t="s">
        <v>9160</v>
      </c>
      <c r="C66" t="s">
        <v>9161</v>
      </c>
      <c r="D66" t="s">
        <v>1039</v>
      </c>
      <c r="E66" s="1">
        <v>46151.792245370372</v>
      </c>
      <c r="F66">
        <v>1547</v>
      </c>
      <c r="G66" t="s">
        <v>9162</v>
      </c>
      <c r="H66" t="s">
        <v>15</v>
      </c>
      <c r="I66" t="s">
        <v>1041</v>
      </c>
      <c r="J66" t="str">
        <f>RIGHT(D66,4)</f>
        <v>6305</v>
      </c>
      <c r="K66" t="str">
        <f>IFERROR(VLOOKUP(VALUE(J66),'Site Info'!$A:$G,3,FALSE),"")</f>
        <v>10250 BROOKPARK RD</v>
      </c>
      <c r="L66" t="str">
        <f>IFERROR(VLOOKUP(VALUE(J66),'Site Info'!$A:$G,4,FALSE),"")</f>
        <v>BROOKLYN</v>
      </c>
      <c r="M66" t="str">
        <f>IFERROR(VLOOKUP(VALUE(J66),'Site Info'!$A:$G,5,FALSE),"")</f>
        <v>OH</v>
      </c>
      <c r="N66" t="str">
        <f>IFERROR(VLOOKUP(VALUE(J66),'Site Info'!$A:$G,6,FALSE),"")</f>
        <v>44130-1106</v>
      </c>
      <c r="O66">
        <f>IFERROR(VLOOKUP(VALUE(J66),'Site Info'!$A:$G,7,FALSE),"")</f>
        <v>2162650012</v>
      </c>
    </row>
    <row r="67" spans="1:15" x14ac:dyDescent="0.45">
      <c r="A67" t="s">
        <v>8513</v>
      </c>
      <c r="B67" t="s">
        <v>8514</v>
      </c>
      <c r="C67" t="s">
        <v>8515</v>
      </c>
      <c r="D67" t="s">
        <v>1039</v>
      </c>
      <c r="E67" s="1">
        <v>46152.48537037037</v>
      </c>
      <c r="F67">
        <v>1547</v>
      </c>
      <c r="G67" t="s">
        <v>8516</v>
      </c>
      <c r="H67" t="s">
        <v>15</v>
      </c>
      <c r="I67" t="s">
        <v>1041</v>
      </c>
      <c r="J67" t="str">
        <f>RIGHT(D67,4)</f>
        <v>6305</v>
      </c>
      <c r="K67" t="str">
        <f>IFERROR(VLOOKUP(VALUE(J67),'Site Info'!$A:$G,3,FALSE),"")</f>
        <v>10250 BROOKPARK RD</v>
      </c>
      <c r="L67" t="str">
        <f>IFERROR(VLOOKUP(VALUE(J67),'Site Info'!$A:$G,4,FALSE),"")</f>
        <v>BROOKLYN</v>
      </c>
      <c r="M67" t="str">
        <f>IFERROR(VLOOKUP(VALUE(J67),'Site Info'!$A:$G,5,FALSE),"")</f>
        <v>OH</v>
      </c>
      <c r="N67" t="str">
        <f>IFERROR(VLOOKUP(VALUE(J67),'Site Info'!$A:$G,6,FALSE),"")</f>
        <v>44130-1106</v>
      </c>
      <c r="O67">
        <f>IFERROR(VLOOKUP(VALUE(J67),'Site Info'!$A:$G,7,FALSE),"")</f>
        <v>2162650012</v>
      </c>
    </row>
    <row r="68" spans="1:15" x14ac:dyDescent="0.45">
      <c r="A68" t="s">
        <v>8805</v>
      </c>
      <c r="B68" t="s">
        <v>8806</v>
      </c>
      <c r="C68" t="s">
        <v>8807</v>
      </c>
      <c r="D68" t="s">
        <v>1039</v>
      </c>
      <c r="E68" s="1">
        <v>46152.815578703703</v>
      </c>
      <c r="F68">
        <v>1547</v>
      </c>
      <c r="G68" t="s">
        <v>8808</v>
      </c>
      <c r="H68" t="s">
        <v>15</v>
      </c>
      <c r="I68" t="s">
        <v>1041</v>
      </c>
      <c r="J68" t="str">
        <f>RIGHT(D68,4)</f>
        <v>6305</v>
      </c>
      <c r="K68" t="str">
        <f>IFERROR(VLOOKUP(VALUE(J68),'Site Info'!$A:$G,3,FALSE),"")</f>
        <v>10250 BROOKPARK RD</v>
      </c>
      <c r="L68" t="str">
        <f>IFERROR(VLOOKUP(VALUE(J68),'Site Info'!$A:$G,4,FALSE),"")</f>
        <v>BROOKLYN</v>
      </c>
      <c r="M68" t="str">
        <f>IFERROR(VLOOKUP(VALUE(J68),'Site Info'!$A:$G,5,FALSE),"")</f>
        <v>OH</v>
      </c>
      <c r="N68" t="str">
        <f>IFERROR(VLOOKUP(VALUE(J68),'Site Info'!$A:$G,6,FALSE),"")</f>
        <v>44130-1106</v>
      </c>
      <c r="O68">
        <f>IFERROR(VLOOKUP(VALUE(J68),'Site Info'!$A:$G,7,FALSE),"")</f>
        <v>2162650012</v>
      </c>
    </row>
    <row r="69" spans="1:15" x14ac:dyDescent="0.45">
      <c r="A69" t="s">
        <v>9167</v>
      </c>
      <c r="B69" t="s">
        <v>9168</v>
      </c>
      <c r="C69" t="s">
        <v>9169</v>
      </c>
      <c r="D69" t="s">
        <v>1039</v>
      </c>
      <c r="E69" s="1">
        <v>46153.124178240738</v>
      </c>
      <c r="F69">
        <v>1547</v>
      </c>
      <c r="G69" t="s">
        <v>9170</v>
      </c>
      <c r="H69" t="s">
        <v>15</v>
      </c>
      <c r="I69" t="s">
        <v>1041</v>
      </c>
      <c r="J69" t="str">
        <f>RIGHT(D69,4)</f>
        <v>6305</v>
      </c>
      <c r="K69" t="str">
        <f>IFERROR(VLOOKUP(VALUE(J69),'Site Info'!$A:$G,3,FALSE),"")</f>
        <v>10250 BROOKPARK RD</v>
      </c>
      <c r="L69" t="str">
        <f>IFERROR(VLOOKUP(VALUE(J69),'Site Info'!$A:$G,4,FALSE),"")</f>
        <v>BROOKLYN</v>
      </c>
      <c r="M69" t="str">
        <f>IFERROR(VLOOKUP(VALUE(J69),'Site Info'!$A:$G,5,FALSE),"")</f>
        <v>OH</v>
      </c>
      <c r="N69" t="str">
        <f>IFERROR(VLOOKUP(VALUE(J69),'Site Info'!$A:$G,6,FALSE),"")</f>
        <v>44130-1106</v>
      </c>
      <c r="O69">
        <f>IFERROR(VLOOKUP(VALUE(J69),'Site Info'!$A:$G,7,FALSE),"")</f>
        <v>2162650012</v>
      </c>
    </row>
    <row r="70" spans="1:15" x14ac:dyDescent="0.45">
      <c r="A70" t="s">
        <v>8885</v>
      </c>
      <c r="B70" t="s">
        <v>8886</v>
      </c>
      <c r="C70" t="s">
        <v>8887</v>
      </c>
      <c r="D70" t="s">
        <v>1039</v>
      </c>
      <c r="E70" s="1">
        <v>46153.301851851851</v>
      </c>
      <c r="F70">
        <v>1547</v>
      </c>
      <c r="G70" t="s">
        <v>8888</v>
      </c>
      <c r="H70" t="s">
        <v>15</v>
      </c>
      <c r="I70" t="s">
        <v>1041</v>
      </c>
      <c r="J70" t="str">
        <f>RIGHT(D70,4)</f>
        <v>6305</v>
      </c>
      <c r="K70" t="str">
        <f>IFERROR(VLOOKUP(VALUE(J70),'Site Info'!$A:$G,3,FALSE),"")</f>
        <v>10250 BROOKPARK RD</v>
      </c>
      <c r="L70" t="str">
        <f>IFERROR(VLOOKUP(VALUE(J70),'Site Info'!$A:$G,4,FALSE),"")</f>
        <v>BROOKLYN</v>
      </c>
      <c r="M70" t="str">
        <f>IFERROR(VLOOKUP(VALUE(J70),'Site Info'!$A:$G,5,FALSE),"")</f>
        <v>OH</v>
      </c>
      <c r="N70" t="str">
        <f>IFERROR(VLOOKUP(VALUE(J70),'Site Info'!$A:$G,6,FALSE),"")</f>
        <v>44130-1106</v>
      </c>
      <c r="O70">
        <f>IFERROR(VLOOKUP(VALUE(J70),'Site Info'!$A:$G,7,FALSE),"")</f>
        <v>2162650012</v>
      </c>
    </row>
    <row r="71" spans="1:15" x14ac:dyDescent="0.45">
      <c r="A71" t="s">
        <v>11888</v>
      </c>
      <c r="B71" t="s">
        <v>11889</v>
      </c>
      <c r="C71" t="s">
        <v>11890</v>
      </c>
      <c r="D71" t="s">
        <v>1039</v>
      </c>
      <c r="E71" s="1">
        <v>46153.326793981483</v>
      </c>
      <c r="F71">
        <v>1547</v>
      </c>
      <c r="G71" t="s">
        <v>11891</v>
      </c>
      <c r="H71" t="s">
        <v>15</v>
      </c>
      <c r="I71" t="s">
        <v>1041</v>
      </c>
      <c r="J71" t="str">
        <f>RIGHT(D71,4)</f>
        <v>6305</v>
      </c>
      <c r="K71" t="str">
        <f>IFERROR(VLOOKUP(VALUE(J71),'Site Info'!$A:$G,3,FALSE),"")</f>
        <v>10250 BROOKPARK RD</v>
      </c>
      <c r="L71" t="str">
        <f>IFERROR(VLOOKUP(VALUE(J71),'Site Info'!$A:$G,4,FALSE),"")</f>
        <v>BROOKLYN</v>
      </c>
      <c r="M71" t="str">
        <f>IFERROR(VLOOKUP(VALUE(J71),'Site Info'!$A:$G,5,FALSE),"")</f>
        <v>OH</v>
      </c>
      <c r="N71" t="str">
        <f>IFERROR(VLOOKUP(VALUE(J71),'Site Info'!$A:$G,6,FALSE),"")</f>
        <v>44130-1106</v>
      </c>
      <c r="O71">
        <f>IFERROR(VLOOKUP(VALUE(J71),'Site Info'!$A:$G,7,FALSE),"")</f>
        <v>2162650012</v>
      </c>
    </row>
    <row r="72" spans="1:15" x14ac:dyDescent="0.45">
      <c r="A72" t="s">
        <v>1036</v>
      </c>
      <c r="B72" t="s">
        <v>1037</v>
      </c>
      <c r="C72" t="s">
        <v>1038</v>
      </c>
      <c r="D72" t="s">
        <v>1039</v>
      </c>
      <c r="E72" s="1">
        <v>46153.136782407404</v>
      </c>
      <c r="F72">
        <v>1481</v>
      </c>
      <c r="G72" t="s">
        <v>1040</v>
      </c>
      <c r="H72" t="s">
        <v>15</v>
      </c>
      <c r="I72" t="s">
        <v>1041</v>
      </c>
      <c r="J72" t="str">
        <f>RIGHT(D72,4)</f>
        <v>6305</v>
      </c>
      <c r="K72" t="str">
        <f>IFERROR(VLOOKUP(VALUE(J72),'Site Info'!$A:$G,3,FALSE),"")</f>
        <v>10250 BROOKPARK RD</v>
      </c>
      <c r="L72" t="str">
        <f>IFERROR(VLOOKUP(VALUE(J72),'Site Info'!$A:$G,4,FALSE),"")</f>
        <v>BROOKLYN</v>
      </c>
      <c r="M72" t="str">
        <f>IFERROR(VLOOKUP(VALUE(J72),'Site Info'!$A:$G,5,FALSE),"")</f>
        <v>OH</v>
      </c>
      <c r="N72" t="str">
        <f>IFERROR(VLOOKUP(VALUE(J72),'Site Info'!$A:$G,6,FALSE),"")</f>
        <v>44130-1106</v>
      </c>
      <c r="O72">
        <f>IFERROR(VLOOKUP(VALUE(J72),'Site Info'!$A:$G,7,FALSE),"")</f>
        <v>2162650012</v>
      </c>
    </row>
    <row r="73" spans="1:15" x14ac:dyDescent="0.45">
      <c r="A73" t="s">
        <v>14632</v>
      </c>
      <c r="B73" t="s">
        <v>16693</v>
      </c>
      <c r="C73" t="s">
        <v>16694</v>
      </c>
      <c r="D73" t="s">
        <v>1039</v>
      </c>
      <c r="E73" s="1">
        <v>46152.169918981483</v>
      </c>
      <c r="F73">
        <v>1547</v>
      </c>
      <c r="G73" t="s">
        <v>16695</v>
      </c>
      <c r="H73" t="s">
        <v>15</v>
      </c>
      <c r="I73" t="s">
        <v>1041</v>
      </c>
      <c r="J73" t="str">
        <f>RIGHT(D73,4)</f>
        <v>6305</v>
      </c>
      <c r="K73" t="str">
        <f>IFERROR(VLOOKUP(VALUE(J73),'Site Info'!$A:$G,3,FALSE),"")</f>
        <v>10250 BROOKPARK RD</v>
      </c>
      <c r="L73" t="str">
        <f>IFERROR(VLOOKUP(VALUE(J73),'Site Info'!$A:$G,4,FALSE),"")</f>
        <v>BROOKLYN</v>
      </c>
      <c r="M73" t="str">
        <f>IFERROR(VLOOKUP(VALUE(J73),'Site Info'!$A:$G,5,FALSE),"")</f>
        <v>OH</v>
      </c>
      <c r="N73" t="str">
        <f>IFERROR(VLOOKUP(VALUE(J73),'Site Info'!$A:$G,6,FALSE),"")</f>
        <v>44130-1106</v>
      </c>
      <c r="O73">
        <f>IFERROR(VLOOKUP(VALUE(J73),'Site Info'!$A:$G,7,FALSE),"")</f>
        <v>2162650012</v>
      </c>
    </row>
    <row r="74" spans="1:15" x14ac:dyDescent="0.45">
      <c r="A74" t="s">
        <v>13876</v>
      </c>
      <c r="B74" t="s">
        <v>13877</v>
      </c>
      <c r="C74" t="s">
        <v>13878</v>
      </c>
      <c r="D74" t="s">
        <v>10293</v>
      </c>
      <c r="E74" s="1">
        <v>46152.237835648149</v>
      </c>
      <c r="F74">
        <v>1547</v>
      </c>
      <c r="G74" t="s">
        <v>13879</v>
      </c>
      <c r="H74" t="s">
        <v>15</v>
      </c>
      <c r="I74" t="s">
        <v>10295</v>
      </c>
      <c r="J74" t="str">
        <f>RIGHT(D74,4)</f>
        <v>4728</v>
      </c>
      <c r="K74" t="str">
        <f>IFERROR(VLOOKUP(VALUE(J74),'Site Info'!$A:$G,3,FALSE),"")</f>
        <v>103 BRYANT DRIVE</v>
      </c>
      <c r="L74" t="str">
        <f>IFERROR(VLOOKUP(VALUE(J74),'Site Info'!$A:$G,4,FALSE),"")</f>
        <v>NICHOLASVILLE</v>
      </c>
      <c r="M74" t="str">
        <f>IFERROR(VLOOKUP(VALUE(J74),'Site Info'!$A:$G,5,FALSE),"")</f>
        <v>KY</v>
      </c>
      <c r="N74" t="str">
        <f>IFERROR(VLOOKUP(VALUE(J74),'Site Info'!$A:$G,6,FALSE),"")</f>
        <v>40356-9225</v>
      </c>
      <c r="O74">
        <f>IFERROR(VLOOKUP(VALUE(J74),'Site Info'!$A:$G,7,FALSE),"")</f>
        <v>8598810431</v>
      </c>
    </row>
    <row r="75" spans="1:15" x14ac:dyDescent="0.45">
      <c r="A75" t="s">
        <v>10290</v>
      </c>
      <c r="B75" t="s">
        <v>10291</v>
      </c>
      <c r="C75" t="s">
        <v>10292</v>
      </c>
      <c r="D75" t="s">
        <v>10293</v>
      </c>
      <c r="E75" s="1">
        <v>46153.143657407411</v>
      </c>
      <c r="F75">
        <v>1547</v>
      </c>
      <c r="G75" t="s">
        <v>10294</v>
      </c>
      <c r="H75" t="s">
        <v>15</v>
      </c>
      <c r="I75" t="s">
        <v>10295</v>
      </c>
      <c r="J75" t="str">
        <f>RIGHT(D75,4)</f>
        <v>4728</v>
      </c>
      <c r="K75" t="str">
        <f>IFERROR(VLOOKUP(VALUE(J75),'Site Info'!$A:$G,3,FALSE),"")</f>
        <v>103 BRYANT DRIVE</v>
      </c>
      <c r="L75" t="str">
        <f>IFERROR(VLOOKUP(VALUE(J75),'Site Info'!$A:$G,4,FALSE),"")</f>
        <v>NICHOLASVILLE</v>
      </c>
      <c r="M75" t="str">
        <f>IFERROR(VLOOKUP(VALUE(J75),'Site Info'!$A:$G,5,FALSE),"")</f>
        <v>KY</v>
      </c>
      <c r="N75" t="str">
        <f>IFERROR(VLOOKUP(VALUE(J75),'Site Info'!$A:$G,6,FALSE),"")</f>
        <v>40356-9225</v>
      </c>
      <c r="O75">
        <f>IFERROR(VLOOKUP(VALUE(J75),'Site Info'!$A:$G,7,FALSE),"")</f>
        <v>8598810431</v>
      </c>
    </row>
    <row r="76" spans="1:15" x14ac:dyDescent="0.45">
      <c r="A76" t="s">
        <v>12168</v>
      </c>
      <c r="B76" t="s">
        <v>12169</v>
      </c>
      <c r="C76" t="s">
        <v>12170</v>
      </c>
      <c r="D76" t="s">
        <v>10293</v>
      </c>
      <c r="E76" s="1">
        <v>46153.375648148147</v>
      </c>
      <c r="F76">
        <v>1547</v>
      </c>
      <c r="G76" t="s">
        <v>12171</v>
      </c>
      <c r="H76" t="s">
        <v>15</v>
      </c>
      <c r="I76" t="s">
        <v>10295</v>
      </c>
      <c r="J76" t="str">
        <f>RIGHT(D76,4)</f>
        <v>4728</v>
      </c>
      <c r="K76" t="str">
        <f>IFERROR(VLOOKUP(VALUE(J76),'Site Info'!$A:$G,3,FALSE),"")</f>
        <v>103 BRYANT DRIVE</v>
      </c>
      <c r="L76" t="str">
        <f>IFERROR(VLOOKUP(VALUE(J76),'Site Info'!$A:$G,4,FALSE),"")</f>
        <v>NICHOLASVILLE</v>
      </c>
      <c r="M76" t="str">
        <f>IFERROR(VLOOKUP(VALUE(J76),'Site Info'!$A:$G,5,FALSE),"")</f>
        <v>KY</v>
      </c>
      <c r="N76" t="str">
        <f>IFERROR(VLOOKUP(VALUE(J76),'Site Info'!$A:$G,6,FALSE),"")</f>
        <v>40356-9225</v>
      </c>
      <c r="O76">
        <f>IFERROR(VLOOKUP(VALUE(J76),'Site Info'!$A:$G,7,FALSE),"")</f>
        <v>8598810431</v>
      </c>
    </row>
    <row r="77" spans="1:15" x14ac:dyDescent="0.45">
      <c r="A77" t="s">
        <v>12344</v>
      </c>
      <c r="B77" t="s">
        <v>12345</v>
      </c>
      <c r="C77" t="s">
        <v>12346</v>
      </c>
      <c r="D77" t="s">
        <v>10293</v>
      </c>
      <c r="E77" s="1">
        <v>46153.383113425924</v>
      </c>
      <c r="F77">
        <v>1547</v>
      </c>
      <c r="G77" t="s">
        <v>12347</v>
      </c>
      <c r="H77" t="s">
        <v>15</v>
      </c>
      <c r="I77" t="s">
        <v>10295</v>
      </c>
      <c r="J77" t="str">
        <f>RIGHT(D77,4)</f>
        <v>4728</v>
      </c>
      <c r="K77" t="str">
        <f>IFERROR(VLOOKUP(VALUE(J77),'Site Info'!$A:$G,3,FALSE),"")</f>
        <v>103 BRYANT DRIVE</v>
      </c>
      <c r="L77" t="str">
        <f>IFERROR(VLOOKUP(VALUE(J77),'Site Info'!$A:$G,4,FALSE),"")</f>
        <v>NICHOLASVILLE</v>
      </c>
      <c r="M77" t="str">
        <f>IFERROR(VLOOKUP(VALUE(J77),'Site Info'!$A:$G,5,FALSE),"")</f>
        <v>KY</v>
      </c>
      <c r="N77" t="str">
        <f>IFERROR(VLOOKUP(VALUE(J77),'Site Info'!$A:$G,6,FALSE),"")</f>
        <v>40356-9225</v>
      </c>
      <c r="O77">
        <f>IFERROR(VLOOKUP(VALUE(J77),'Site Info'!$A:$G,7,FALSE),"")</f>
        <v>8598810431</v>
      </c>
    </row>
    <row r="78" spans="1:15" x14ac:dyDescent="0.45">
      <c r="A78" t="s">
        <v>10404</v>
      </c>
      <c r="B78" t="s">
        <v>10405</v>
      </c>
      <c r="C78" t="s">
        <v>10406</v>
      </c>
      <c r="D78" t="s">
        <v>717</v>
      </c>
      <c r="E78" s="1">
        <v>46152.401388888888</v>
      </c>
      <c r="F78">
        <v>1547</v>
      </c>
      <c r="G78" t="s">
        <v>10407</v>
      </c>
      <c r="H78" t="s">
        <v>15</v>
      </c>
      <c r="I78" t="s">
        <v>719</v>
      </c>
      <c r="J78" t="str">
        <f>RIGHT(D78,4)</f>
        <v>4801</v>
      </c>
      <c r="K78" t="str">
        <f>IFERROR(VLOOKUP(VALUE(J78),'Site Info'!$A:$G,3,FALSE),"")</f>
        <v>10385 BIG BEND RD</v>
      </c>
      <c r="L78" t="str">
        <f>IFERROR(VLOOKUP(VALUE(J78),'Site Info'!$A:$G,4,FALSE),"")</f>
        <v>RIVERVIEW</v>
      </c>
      <c r="M78" t="str">
        <f>IFERROR(VLOOKUP(VALUE(J78),'Site Info'!$A:$G,5,FALSE),"")</f>
        <v>FL</v>
      </c>
      <c r="N78" t="str">
        <f>IFERROR(VLOOKUP(VALUE(J78),'Site Info'!$A:$G,6,FALSE),"")</f>
        <v>33578-7414</v>
      </c>
      <c r="O78">
        <f>IFERROR(VLOOKUP(VALUE(J78),'Site Info'!$A:$G,7,FALSE),"")</f>
        <v>8133712394</v>
      </c>
    </row>
    <row r="79" spans="1:15" x14ac:dyDescent="0.45">
      <c r="A79" t="s">
        <v>9874</v>
      </c>
      <c r="B79" t="s">
        <v>9875</v>
      </c>
      <c r="C79" t="s">
        <v>9876</v>
      </c>
      <c r="D79" t="s">
        <v>717</v>
      </c>
      <c r="E79" s="1">
        <v>46153.277442129627</v>
      </c>
      <c r="F79">
        <v>1547</v>
      </c>
      <c r="G79" t="s">
        <v>9877</v>
      </c>
      <c r="H79" t="s">
        <v>15</v>
      </c>
      <c r="I79" t="s">
        <v>719</v>
      </c>
      <c r="J79" t="str">
        <f>RIGHT(D79,4)</f>
        <v>4801</v>
      </c>
      <c r="K79" t="str">
        <f>IFERROR(VLOOKUP(VALUE(J79),'Site Info'!$A:$G,3,FALSE),"")</f>
        <v>10385 BIG BEND RD</v>
      </c>
      <c r="L79" t="str">
        <f>IFERROR(VLOOKUP(VALUE(J79),'Site Info'!$A:$G,4,FALSE),"")</f>
        <v>RIVERVIEW</v>
      </c>
      <c r="M79" t="str">
        <f>IFERROR(VLOOKUP(VALUE(J79),'Site Info'!$A:$G,5,FALSE),"")</f>
        <v>FL</v>
      </c>
      <c r="N79" t="str">
        <f>IFERROR(VLOOKUP(VALUE(J79),'Site Info'!$A:$G,6,FALSE),"")</f>
        <v>33578-7414</v>
      </c>
      <c r="O79">
        <f>IFERROR(VLOOKUP(VALUE(J79),'Site Info'!$A:$G,7,FALSE),"")</f>
        <v>8133712394</v>
      </c>
    </row>
    <row r="80" spans="1:15" x14ac:dyDescent="0.45">
      <c r="A80" t="s">
        <v>11146</v>
      </c>
      <c r="B80" t="s">
        <v>11147</v>
      </c>
      <c r="C80" t="s">
        <v>11148</v>
      </c>
      <c r="D80" t="s">
        <v>717</v>
      </c>
      <c r="E80" s="1">
        <v>46153.370983796296</v>
      </c>
      <c r="F80">
        <v>1547</v>
      </c>
      <c r="G80" t="s">
        <v>11149</v>
      </c>
      <c r="H80" t="s">
        <v>15</v>
      </c>
      <c r="I80" t="s">
        <v>719</v>
      </c>
      <c r="J80" t="str">
        <f>RIGHT(D80,4)</f>
        <v>4801</v>
      </c>
      <c r="K80" t="str">
        <f>IFERROR(VLOOKUP(VALUE(J80),'Site Info'!$A:$G,3,FALSE),"")</f>
        <v>10385 BIG BEND RD</v>
      </c>
      <c r="L80" t="str">
        <f>IFERROR(VLOOKUP(VALUE(J80),'Site Info'!$A:$G,4,FALSE),"")</f>
        <v>RIVERVIEW</v>
      </c>
      <c r="M80" t="str">
        <f>IFERROR(VLOOKUP(VALUE(J80),'Site Info'!$A:$G,5,FALSE),"")</f>
        <v>FL</v>
      </c>
      <c r="N80" t="str">
        <f>IFERROR(VLOOKUP(VALUE(J80),'Site Info'!$A:$G,6,FALSE),"")</f>
        <v>33578-7414</v>
      </c>
      <c r="O80">
        <f>IFERROR(VLOOKUP(VALUE(J80),'Site Info'!$A:$G,7,FALSE),"")</f>
        <v>8133712394</v>
      </c>
    </row>
    <row r="81" spans="1:15" x14ac:dyDescent="0.45">
      <c r="A81" t="s">
        <v>714</v>
      </c>
      <c r="B81" t="s">
        <v>715</v>
      </c>
      <c r="C81" t="s">
        <v>716</v>
      </c>
      <c r="D81" t="s">
        <v>717</v>
      </c>
      <c r="E81" s="1">
        <v>46149.554363425923</v>
      </c>
      <c r="F81">
        <v>1481</v>
      </c>
      <c r="G81" t="s">
        <v>718</v>
      </c>
      <c r="H81" t="s">
        <v>15</v>
      </c>
      <c r="I81" t="s">
        <v>719</v>
      </c>
      <c r="J81" t="str">
        <f>RIGHT(D81,4)</f>
        <v>4801</v>
      </c>
      <c r="K81" t="str">
        <f>IFERROR(VLOOKUP(VALUE(J81),'Site Info'!$A:$G,3,FALSE),"")</f>
        <v>10385 BIG BEND RD</v>
      </c>
      <c r="L81" t="str">
        <f>IFERROR(VLOOKUP(VALUE(J81),'Site Info'!$A:$G,4,FALSE),"")</f>
        <v>RIVERVIEW</v>
      </c>
      <c r="M81" t="str">
        <f>IFERROR(VLOOKUP(VALUE(J81),'Site Info'!$A:$G,5,FALSE),"")</f>
        <v>FL</v>
      </c>
      <c r="N81" t="str">
        <f>IFERROR(VLOOKUP(VALUE(J81),'Site Info'!$A:$G,6,FALSE),"")</f>
        <v>33578-7414</v>
      </c>
      <c r="O81">
        <f>IFERROR(VLOOKUP(VALUE(J81),'Site Info'!$A:$G,7,FALSE),"")</f>
        <v>8133712394</v>
      </c>
    </row>
    <row r="82" spans="1:15" x14ac:dyDescent="0.45">
      <c r="A82" t="s">
        <v>2285</v>
      </c>
      <c r="B82" t="s">
        <v>2286</v>
      </c>
      <c r="C82" t="s">
        <v>2287</v>
      </c>
      <c r="D82" t="s">
        <v>717</v>
      </c>
      <c r="E82" s="1">
        <v>46151.653437499997</v>
      </c>
      <c r="F82">
        <v>1481</v>
      </c>
      <c r="G82" t="s">
        <v>2288</v>
      </c>
      <c r="H82" t="s">
        <v>15</v>
      </c>
      <c r="I82" t="s">
        <v>719</v>
      </c>
      <c r="J82" t="str">
        <f>RIGHT(D82,4)</f>
        <v>4801</v>
      </c>
      <c r="K82" t="str">
        <f>IFERROR(VLOOKUP(VALUE(J82),'Site Info'!$A:$G,3,FALSE),"")</f>
        <v>10385 BIG BEND RD</v>
      </c>
      <c r="L82" t="str">
        <f>IFERROR(VLOOKUP(VALUE(J82),'Site Info'!$A:$G,4,FALSE),"")</f>
        <v>RIVERVIEW</v>
      </c>
      <c r="M82" t="str">
        <f>IFERROR(VLOOKUP(VALUE(J82),'Site Info'!$A:$G,5,FALSE),"")</f>
        <v>FL</v>
      </c>
      <c r="N82" t="str">
        <f>IFERROR(VLOOKUP(VALUE(J82),'Site Info'!$A:$G,6,FALSE),"")</f>
        <v>33578-7414</v>
      </c>
      <c r="O82">
        <f>IFERROR(VLOOKUP(VALUE(J82),'Site Info'!$A:$G,7,FALSE),"")</f>
        <v>8133712394</v>
      </c>
    </row>
    <row r="83" spans="1:15" x14ac:dyDescent="0.45">
      <c r="A83" t="s">
        <v>16454</v>
      </c>
      <c r="B83" t="s">
        <v>16455</v>
      </c>
      <c r="C83" t="s">
        <v>16456</v>
      </c>
      <c r="D83" t="s">
        <v>717</v>
      </c>
      <c r="E83" s="1">
        <v>46150.691064814811</v>
      </c>
      <c r="F83">
        <v>1547</v>
      </c>
      <c r="G83" t="s">
        <v>16457</v>
      </c>
      <c r="H83" t="s">
        <v>15</v>
      </c>
      <c r="I83" t="s">
        <v>719</v>
      </c>
      <c r="J83" t="str">
        <f>RIGHT(D83,4)</f>
        <v>4801</v>
      </c>
      <c r="K83" t="str">
        <f>IFERROR(VLOOKUP(VALUE(J83),'Site Info'!$A:$G,3,FALSE),"")</f>
        <v>10385 BIG BEND RD</v>
      </c>
      <c r="L83" t="str">
        <f>IFERROR(VLOOKUP(VALUE(J83),'Site Info'!$A:$G,4,FALSE),"")</f>
        <v>RIVERVIEW</v>
      </c>
      <c r="M83" t="str">
        <f>IFERROR(VLOOKUP(VALUE(J83),'Site Info'!$A:$G,5,FALSE),"")</f>
        <v>FL</v>
      </c>
      <c r="N83" t="str">
        <f>IFERROR(VLOOKUP(VALUE(J83),'Site Info'!$A:$G,6,FALSE),"")</f>
        <v>33578-7414</v>
      </c>
      <c r="O83">
        <f>IFERROR(VLOOKUP(VALUE(J83),'Site Info'!$A:$G,7,FALSE),"")</f>
        <v>8133712394</v>
      </c>
    </row>
    <row r="84" spans="1:15" x14ac:dyDescent="0.45">
      <c r="A84" t="s">
        <v>12156</v>
      </c>
      <c r="B84" t="s">
        <v>12157</v>
      </c>
      <c r="C84" t="s">
        <v>12158</v>
      </c>
      <c r="D84" t="s">
        <v>587</v>
      </c>
      <c r="E84" s="1">
        <v>46151.716979166667</v>
      </c>
      <c r="F84">
        <v>1547</v>
      </c>
      <c r="G84" t="s">
        <v>12159</v>
      </c>
      <c r="H84" t="s">
        <v>15</v>
      </c>
      <c r="I84" t="s">
        <v>589</v>
      </c>
      <c r="J84" t="str">
        <f>RIGHT(D84,4)</f>
        <v>6360</v>
      </c>
      <c r="K84" t="str">
        <f>IFERROR(VLOOKUP(VALUE(J84),'Site Info'!$A:$G,3,FALSE),"")</f>
        <v>1040 INDEPENDENT AVE</v>
      </c>
      <c r="L84" t="str">
        <f>IFERROR(VLOOKUP(VALUE(J84),'Site Info'!$A:$G,4,FALSE),"")</f>
        <v>GRAND JUNCTION</v>
      </c>
      <c r="M84" t="str">
        <f>IFERROR(VLOOKUP(VALUE(J84),'Site Info'!$A:$G,5,FALSE),"")</f>
        <v>CO</v>
      </c>
      <c r="N84" t="str">
        <f>IFERROR(VLOOKUP(VALUE(J84),'Site Info'!$A:$G,6,FALSE),"")</f>
        <v>81505-7133</v>
      </c>
      <c r="O84">
        <f>IFERROR(VLOOKUP(VALUE(J84),'Site Info'!$A:$G,7,FALSE),"")</f>
        <v>9702439203</v>
      </c>
    </row>
    <row r="85" spans="1:15" x14ac:dyDescent="0.45">
      <c r="A85" t="s">
        <v>12356</v>
      </c>
      <c r="B85" t="s">
        <v>12357</v>
      </c>
      <c r="C85" t="s">
        <v>12358</v>
      </c>
      <c r="D85" t="s">
        <v>587</v>
      </c>
      <c r="E85" s="1">
        <v>46152.753067129626</v>
      </c>
      <c r="F85">
        <v>1547</v>
      </c>
      <c r="G85" t="s">
        <v>12359</v>
      </c>
      <c r="H85" t="s">
        <v>15</v>
      </c>
      <c r="I85" t="s">
        <v>589</v>
      </c>
      <c r="J85" t="str">
        <f>RIGHT(D85,4)</f>
        <v>6360</v>
      </c>
      <c r="K85" t="str">
        <f>IFERROR(VLOOKUP(VALUE(J85),'Site Info'!$A:$G,3,FALSE),"")</f>
        <v>1040 INDEPENDENT AVE</v>
      </c>
      <c r="L85" t="str">
        <f>IFERROR(VLOOKUP(VALUE(J85),'Site Info'!$A:$G,4,FALSE),"")</f>
        <v>GRAND JUNCTION</v>
      </c>
      <c r="M85" t="str">
        <f>IFERROR(VLOOKUP(VALUE(J85),'Site Info'!$A:$G,5,FALSE),"")</f>
        <v>CO</v>
      </c>
      <c r="N85" t="str">
        <f>IFERROR(VLOOKUP(VALUE(J85),'Site Info'!$A:$G,6,FALSE),"")</f>
        <v>81505-7133</v>
      </c>
      <c r="O85">
        <f>IFERROR(VLOOKUP(VALUE(J85),'Site Info'!$A:$G,7,FALSE),"")</f>
        <v>9702439203</v>
      </c>
    </row>
    <row r="86" spans="1:15" x14ac:dyDescent="0.45">
      <c r="A86" t="s">
        <v>12348</v>
      </c>
      <c r="B86" t="s">
        <v>12349</v>
      </c>
      <c r="C86" t="s">
        <v>12350</v>
      </c>
      <c r="D86" t="s">
        <v>587</v>
      </c>
      <c r="E86" s="1">
        <v>46153.295717592591</v>
      </c>
      <c r="F86">
        <v>1547</v>
      </c>
      <c r="G86" t="s">
        <v>12351</v>
      </c>
      <c r="H86" t="s">
        <v>15</v>
      </c>
      <c r="I86" t="s">
        <v>589</v>
      </c>
      <c r="J86" t="str">
        <f>RIGHT(D86,4)</f>
        <v>6360</v>
      </c>
      <c r="K86" t="str">
        <f>IFERROR(VLOOKUP(VALUE(J86),'Site Info'!$A:$G,3,FALSE),"")</f>
        <v>1040 INDEPENDENT AVE</v>
      </c>
      <c r="L86" t="str">
        <f>IFERROR(VLOOKUP(VALUE(J86),'Site Info'!$A:$G,4,FALSE),"")</f>
        <v>GRAND JUNCTION</v>
      </c>
      <c r="M86" t="str">
        <f>IFERROR(VLOOKUP(VALUE(J86),'Site Info'!$A:$G,5,FALSE),"")</f>
        <v>CO</v>
      </c>
      <c r="N86" t="str">
        <f>IFERROR(VLOOKUP(VALUE(J86),'Site Info'!$A:$G,6,FALSE),"")</f>
        <v>81505-7133</v>
      </c>
      <c r="O86">
        <f>IFERROR(VLOOKUP(VALUE(J86),'Site Info'!$A:$G,7,FALSE),"")</f>
        <v>9702439203</v>
      </c>
    </row>
    <row r="87" spans="1:15" x14ac:dyDescent="0.45">
      <c r="A87" t="s">
        <v>8909</v>
      </c>
      <c r="B87" t="s">
        <v>8910</v>
      </c>
      <c r="C87" t="s">
        <v>8911</v>
      </c>
      <c r="D87" t="s">
        <v>587</v>
      </c>
      <c r="E87" s="1">
        <v>46153.372025462966</v>
      </c>
      <c r="F87">
        <v>1547</v>
      </c>
      <c r="G87" t="s">
        <v>8912</v>
      </c>
      <c r="H87" t="s">
        <v>15</v>
      </c>
      <c r="I87" t="s">
        <v>589</v>
      </c>
      <c r="J87" t="str">
        <f>RIGHT(D87,4)</f>
        <v>6360</v>
      </c>
      <c r="K87" t="str">
        <f>IFERROR(VLOOKUP(VALUE(J87),'Site Info'!$A:$G,3,FALSE),"")</f>
        <v>1040 INDEPENDENT AVE</v>
      </c>
      <c r="L87" t="str">
        <f>IFERROR(VLOOKUP(VALUE(J87),'Site Info'!$A:$G,4,FALSE),"")</f>
        <v>GRAND JUNCTION</v>
      </c>
      <c r="M87" t="str">
        <f>IFERROR(VLOOKUP(VALUE(J87),'Site Info'!$A:$G,5,FALSE),"")</f>
        <v>CO</v>
      </c>
      <c r="N87" t="str">
        <f>IFERROR(VLOOKUP(VALUE(J87),'Site Info'!$A:$G,6,FALSE),"")</f>
        <v>81505-7133</v>
      </c>
      <c r="O87">
        <f>IFERROR(VLOOKUP(VALUE(J87),'Site Info'!$A:$G,7,FALSE),"")</f>
        <v>9702439203</v>
      </c>
    </row>
    <row r="88" spans="1:15" x14ac:dyDescent="0.45">
      <c r="A88" t="s">
        <v>3059</v>
      </c>
      <c r="B88" t="s">
        <v>3060</v>
      </c>
      <c r="C88" t="s">
        <v>3061</v>
      </c>
      <c r="D88" t="s">
        <v>587</v>
      </c>
      <c r="E88" s="1">
        <v>46150.196898148148</v>
      </c>
      <c r="F88">
        <v>1481</v>
      </c>
      <c r="G88" t="s">
        <v>3062</v>
      </c>
      <c r="H88" t="s">
        <v>15</v>
      </c>
      <c r="I88" t="s">
        <v>589</v>
      </c>
      <c r="J88" t="str">
        <f>RIGHT(D88,4)</f>
        <v>6360</v>
      </c>
      <c r="K88" t="str">
        <f>IFERROR(VLOOKUP(VALUE(J88),'Site Info'!$A:$G,3,FALSE),"")</f>
        <v>1040 INDEPENDENT AVE</v>
      </c>
      <c r="L88" t="str">
        <f>IFERROR(VLOOKUP(VALUE(J88),'Site Info'!$A:$G,4,FALSE),"")</f>
        <v>GRAND JUNCTION</v>
      </c>
      <c r="M88" t="str">
        <f>IFERROR(VLOOKUP(VALUE(J88),'Site Info'!$A:$G,5,FALSE),"")</f>
        <v>CO</v>
      </c>
      <c r="N88" t="str">
        <f>IFERROR(VLOOKUP(VALUE(J88),'Site Info'!$A:$G,6,FALSE),"")</f>
        <v>81505-7133</v>
      </c>
      <c r="O88">
        <f>IFERROR(VLOOKUP(VALUE(J88),'Site Info'!$A:$G,7,FALSE),"")</f>
        <v>9702439203</v>
      </c>
    </row>
    <row r="89" spans="1:15" x14ac:dyDescent="0.45">
      <c r="A89" t="s">
        <v>584</v>
      </c>
      <c r="B89" t="s">
        <v>585</v>
      </c>
      <c r="C89" t="s">
        <v>586</v>
      </c>
      <c r="D89" t="s">
        <v>587</v>
      </c>
      <c r="E89" s="1">
        <v>46153.214583333334</v>
      </c>
      <c r="F89">
        <v>1481</v>
      </c>
      <c r="G89" t="s">
        <v>588</v>
      </c>
      <c r="H89" t="s">
        <v>15</v>
      </c>
      <c r="I89" t="s">
        <v>589</v>
      </c>
      <c r="J89" t="str">
        <f>RIGHT(D89,4)</f>
        <v>6360</v>
      </c>
      <c r="K89" t="str">
        <f>IFERROR(VLOOKUP(VALUE(J89),'Site Info'!$A:$G,3,FALSE),"")</f>
        <v>1040 INDEPENDENT AVE</v>
      </c>
      <c r="L89" t="str">
        <f>IFERROR(VLOOKUP(VALUE(J89),'Site Info'!$A:$G,4,FALSE),"")</f>
        <v>GRAND JUNCTION</v>
      </c>
      <c r="M89" t="str">
        <f>IFERROR(VLOOKUP(VALUE(J89),'Site Info'!$A:$G,5,FALSE),"")</f>
        <v>CO</v>
      </c>
      <c r="N89" t="str">
        <f>IFERROR(VLOOKUP(VALUE(J89),'Site Info'!$A:$G,6,FALSE),"")</f>
        <v>81505-7133</v>
      </c>
      <c r="O89">
        <f>IFERROR(VLOOKUP(VALUE(J89),'Site Info'!$A:$G,7,FALSE),"")</f>
        <v>9702439203</v>
      </c>
    </row>
    <row r="90" spans="1:15" x14ac:dyDescent="0.45">
      <c r="A90" t="s">
        <v>1076</v>
      </c>
      <c r="B90" t="s">
        <v>1077</v>
      </c>
      <c r="C90" t="s">
        <v>1078</v>
      </c>
      <c r="D90" t="s">
        <v>587</v>
      </c>
      <c r="E90" s="1">
        <v>46153.21806712963</v>
      </c>
      <c r="F90">
        <v>1481</v>
      </c>
      <c r="G90" t="s">
        <v>1079</v>
      </c>
      <c r="H90" t="s">
        <v>15</v>
      </c>
      <c r="I90" t="s">
        <v>589</v>
      </c>
      <c r="J90" t="str">
        <f>RIGHT(D90,4)</f>
        <v>6360</v>
      </c>
      <c r="K90" t="str">
        <f>IFERROR(VLOOKUP(VALUE(J90),'Site Info'!$A:$G,3,FALSE),"")</f>
        <v>1040 INDEPENDENT AVE</v>
      </c>
      <c r="L90" t="str">
        <f>IFERROR(VLOOKUP(VALUE(J90),'Site Info'!$A:$G,4,FALSE),"")</f>
        <v>GRAND JUNCTION</v>
      </c>
      <c r="M90" t="str">
        <f>IFERROR(VLOOKUP(VALUE(J90),'Site Info'!$A:$G,5,FALSE),"")</f>
        <v>CO</v>
      </c>
      <c r="N90" t="str">
        <f>IFERROR(VLOOKUP(VALUE(J90),'Site Info'!$A:$G,6,FALSE),"")</f>
        <v>81505-7133</v>
      </c>
      <c r="O90">
        <f>IFERROR(VLOOKUP(VALUE(J90),'Site Info'!$A:$G,7,FALSE),"")</f>
        <v>9702439203</v>
      </c>
    </row>
    <row r="91" spans="1:15" x14ac:dyDescent="0.45">
      <c r="A91" t="s">
        <v>8433</v>
      </c>
      <c r="B91" t="s">
        <v>8434</v>
      </c>
      <c r="C91" t="s">
        <v>8435</v>
      </c>
      <c r="D91" t="s">
        <v>703</v>
      </c>
      <c r="E91" s="1">
        <v>46152.703217592592</v>
      </c>
      <c r="F91">
        <v>1547</v>
      </c>
      <c r="G91" t="s">
        <v>8436</v>
      </c>
      <c r="H91" t="s">
        <v>15</v>
      </c>
      <c r="I91" t="s">
        <v>705</v>
      </c>
      <c r="J91" t="str">
        <f>RIGHT(D91,4)</f>
        <v>6327</v>
      </c>
      <c r="K91" t="str">
        <f>IFERROR(VLOOKUP(VALUE(J91),'Site Info'!$A:$G,3,FALSE),"")</f>
        <v>1040 NILES CORTLAND RD SE</v>
      </c>
      <c r="L91" t="str">
        <f>IFERROR(VLOOKUP(VALUE(J91),'Site Info'!$A:$G,4,FALSE),"")</f>
        <v>WARREN</v>
      </c>
      <c r="M91" t="str">
        <f>IFERROR(VLOOKUP(VALUE(J91),'Site Info'!$A:$G,5,FALSE),"")</f>
        <v>OH</v>
      </c>
      <c r="N91" t="str">
        <f>IFERROR(VLOOKUP(VALUE(J91),'Site Info'!$A:$G,6,FALSE),"")</f>
        <v>44484-2539</v>
      </c>
      <c r="O91">
        <f>IFERROR(VLOOKUP(VALUE(J91),'Site Info'!$A:$G,7,FALSE),"")</f>
        <v>3308567411</v>
      </c>
    </row>
    <row r="92" spans="1:15" x14ac:dyDescent="0.45">
      <c r="A92" t="s">
        <v>7433</v>
      </c>
      <c r="B92" t="s">
        <v>7434</v>
      </c>
      <c r="C92" t="s">
        <v>7435</v>
      </c>
      <c r="D92" t="s">
        <v>703</v>
      </c>
      <c r="E92" s="1">
        <v>46153.311585648145</v>
      </c>
      <c r="F92">
        <v>1547</v>
      </c>
      <c r="G92" t="s">
        <v>7436</v>
      </c>
      <c r="H92" t="s">
        <v>15</v>
      </c>
      <c r="I92" t="s">
        <v>705</v>
      </c>
      <c r="J92" t="str">
        <f>RIGHT(D92,4)</f>
        <v>6327</v>
      </c>
      <c r="K92" t="str">
        <f>IFERROR(VLOOKUP(VALUE(J92),'Site Info'!$A:$G,3,FALSE),"")</f>
        <v>1040 NILES CORTLAND RD SE</v>
      </c>
      <c r="L92" t="str">
        <f>IFERROR(VLOOKUP(VALUE(J92),'Site Info'!$A:$G,4,FALSE),"")</f>
        <v>WARREN</v>
      </c>
      <c r="M92" t="str">
        <f>IFERROR(VLOOKUP(VALUE(J92),'Site Info'!$A:$G,5,FALSE),"")</f>
        <v>OH</v>
      </c>
      <c r="N92" t="str">
        <f>IFERROR(VLOOKUP(VALUE(J92),'Site Info'!$A:$G,6,FALSE),"")</f>
        <v>44484-2539</v>
      </c>
      <c r="O92">
        <f>IFERROR(VLOOKUP(VALUE(J92),'Site Info'!$A:$G,7,FALSE),"")</f>
        <v>3308567411</v>
      </c>
    </row>
    <row r="93" spans="1:15" x14ac:dyDescent="0.45">
      <c r="A93" t="s">
        <v>8925</v>
      </c>
      <c r="B93" t="s">
        <v>8926</v>
      </c>
      <c r="C93" t="s">
        <v>8927</v>
      </c>
      <c r="D93" t="s">
        <v>703</v>
      </c>
      <c r="E93" s="1">
        <v>46153.334282407406</v>
      </c>
      <c r="F93">
        <v>1547</v>
      </c>
      <c r="G93" t="s">
        <v>8928</v>
      </c>
      <c r="H93" t="s">
        <v>15</v>
      </c>
      <c r="I93" t="s">
        <v>705</v>
      </c>
      <c r="J93" t="str">
        <f>RIGHT(D93,4)</f>
        <v>6327</v>
      </c>
      <c r="K93" t="str">
        <f>IFERROR(VLOOKUP(VALUE(J93),'Site Info'!$A:$G,3,FALSE),"")</f>
        <v>1040 NILES CORTLAND RD SE</v>
      </c>
      <c r="L93" t="str">
        <f>IFERROR(VLOOKUP(VALUE(J93),'Site Info'!$A:$G,4,FALSE),"")</f>
        <v>WARREN</v>
      </c>
      <c r="M93" t="str">
        <f>IFERROR(VLOOKUP(VALUE(J93),'Site Info'!$A:$G,5,FALSE),"")</f>
        <v>OH</v>
      </c>
      <c r="N93" t="str">
        <f>IFERROR(VLOOKUP(VALUE(J93),'Site Info'!$A:$G,6,FALSE),"")</f>
        <v>44484-2539</v>
      </c>
      <c r="O93">
        <f>IFERROR(VLOOKUP(VALUE(J93),'Site Info'!$A:$G,7,FALSE),"")</f>
        <v>3308567411</v>
      </c>
    </row>
    <row r="94" spans="1:15" x14ac:dyDescent="0.45">
      <c r="A94" t="s">
        <v>7797</v>
      </c>
      <c r="B94" t="s">
        <v>7798</v>
      </c>
      <c r="C94" t="s">
        <v>7799</v>
      </c>
      <c r="D94" t="s">
        <v>703</v>
      </c>
      <c r="E94" s="1">
        <v>46153.359884259262</v>
      </c>
      <c r="F94">
        <v>1547</v>
      </c>
      <c r="G94" t="s">
        <v>7800</v>
      </c>
      <c r="H94" t="s">
        <v>15</v>
      </c>
      <c r="I94" t="s">
        <v>705</v>
      </c>
      <c r="J94" t="str">
        <f>RIGHT(D94,4)</f>
        <v>6327</v>
      </c>
      <c r="K94" t="str">
        <f>IFERROR(VLOOKUP(VALUE(J94),'Site Info'!$A:$G,3,FALSE),"")</f>
        <v>1040 NILES CORTLAND RD SE</v>
      </c>
      <c r="L94" t="str">
        <f>IFERROR(VLOOKUP(VALUE(J94),'Site Info'!$A:$G,4,FALSE),"")</f>
        <v>WARREN</v>
      </c>
      <c r="M94" t="str">
        <f>IFERROR(VLOOKUP(VALUE(J94),'Site Info'!$A:$G,5,FALSE),"")</f>
        <v>OH</v>
      </c>
      <c r="N94" t="str">
        <f>IFERROR(VLOOKUP(VALUE(J94),'Site Info'!$A:$G,6,FALSE),"")</f>
        <v>44484-2539</v>
      </c>
      <c r="O94">
        <f>IFERROR(VLOOKUP(VALUE(J94),'Site Info'!$A:$G,7,FALSE),"")</f>
        <v>3308567411</v>
      </c>
    </row>
    <row r="95" spans="1:15" x14ac:dyDescent="0.45">
      <c r="A95" t="s">
        <v>7879</v>
      </c>
      <c r="B95" t="s">
        <v>7880</v>
      </c>
      <c r="C95" t="s">
        <v>7881</v>
      </c>
      <c r="D95" t="s">
        <v>703</v>
      </c>
      <c r="E95" s="1">
        <v>46153.372824074075</v>
      </c>
      <c r="F95">
        <v>1547</v>
      </c>
      <c r="G95" t="s">
        <v>7882</v>
      </c>
      <c r="H95" t="s">
        <v>15</v>
      </c>
      <c r="I95" t="s">
        <v>705</v>
      </c>
      <c r="J95" t="str">
        <f>RIGHT(D95,4)</f>
        <v>6327</v>
      </c>
      <c r="K95" t="str">
        <f>IFERROR(VLOOKUP(VALUE(J95),'Site Info'!$A:$G,3,FALSE),"")</f>
        <v>1040 NILES CORTLAND RD SE</v>
      </c>
      <c r="L95" t="str">
        <f>IFERROR(VLOOKUP(VALUE(J95),'Site Info'!$A:$G,4,FALSE),"")</f>
        <v>WARREN</v>
      </c>
      <c r="M95" t="str">
        <f>IFERROR(VLOOKUP(VALUE(J95),'Site Info'!$A:$G,5,FALSE),"")</f>
        <v>OH</v>
      </c>
      <c r="N95" t="str">
        <f>IFERROR(VLOOKUP(VALUE(J95),'Site Info'!$A:$G,6,FALSE),"")</f>
        <v>44484-2539</v>
      </c>
      <c r="O95">
        <f>IFERROR(VLOOKUP(VALUE(J95),'Site Info'!$A:$G,7,FALSE),"")</f>
        <v>3308567411</v>
      </c>
    </row>
    <row r="96" spans="1:15" x14ac:dyDescent="0.45">
      <c r="A96" t="s">
        <v>1960</v>
      </c>
      <c r="B96" t="s">
        <v>1961</v>
      </c>
      <c r="C96" t="s">
        <v>1962</v>
      </c>
      <c r="D96" t="s">
        <v>703</v>
      </c>
      <c r="E96" s="1">
        <v>46153.366446759261</v>
      </c>
      <c r="F96">
        <v>1481</v>
      </c>
      <c r="G96" t="s">
        <v>1963</v>
      </c>
      <c r="H96" t="s">
        <v>15</v>
      </c>
      <c r="I96" t="s">
        <v>705</v>
      </c>
      <c r="J96" t="str">
        <f>RIGHT(D96,4)</f>
        <v>6327</v>
      </c>
      <c r="K96" t="str">
        <f>IFERROR(VLOOKUP(VALUE(J96),'Site Info'!$A:$G,3,FALSE),"")</f>
        <v>1040 NILES CORTLAND RD SE</v>
      </c>
      <c r="L96" t="str">
        <f>IFERROR(VLOOKUP(VALUE(J96),'Site Info'!$A:$G,4,FALSE),"")</f>
        <v>WARREN</v>
      </c>
      <c r="M96" t="str">
        <f>IFERROR(VLOOKUP(VALUE(J96),'Site Info'!$A:$G,5,FALSE),"")</f>
        <v>OH</v>
      </c>
      <c r="N96" t="str">
        <f>IFERROR(VLOOKUP(VALUE(J96),'Site Info'!$A:$G,6,FALSE),"")</f>
        <v>44484-2539</v>
      </c>
      <c r="O96">
        <f>IFERROR(VLOOKUP(VALUE(J96),'Site Info'!$A:$G,7,FALSE),"")</f>
        <v>3308567411</v>
      </c>
    </row>
    <row r="97" spans="1:15" x14ac:dyDescent="0.45">
      <c r="A97" t="s">
        <v>700</v>
      </c>
      <c r="B97" t="s">
        <v>701</v>
      </c>
      <c r="C97" t="s">
        <v>702</v>
      </c>
      <c r="D97" t="s">
        <v>703</v>
      </c>
      <c r="E97" s="1">
        <v>46153.374016203707</v>
      </c>
      <c r="F97">
        <v>1481</v>
      </c>
      <c r="G97" t="s">
        <v>704</v>
      </c>
      <c r="H97" t="s">
        <v>15</v>
      </c>
      <c r="I97" t="s">
        <v>705</v>
      </c>
      <c r="J97" t="str">
        <f>RIGHT(D97,4)</f>
        <v>6327</v>
      </c>
      <c r="K97" t="str">
        <f>IFERROR(VLOOKUP(VALUE(J97),'Site Info'!$A:$G,3,FALSE),"")</f>
        <v>1040 NILES CORTLAND RD SE</v>
      </c>
      <c r="L97" t="str">
        <f>IFERROR(VLOOKUP(VALUE(J97),'Site Info'!$A:$G,4,FALSE),"")</f>
        <v>WARREN</v>
      </c>
      <c r="M97" t="str">
        <f>IFERROR(VLOOKUP(VALUE(J97),'Site Info'!$A:$G,5,FALSE),"")</f>
        <v>OH</v>
      </c>
      <c r="N97" t="str">
        <f>IFERROR(VLOOKUP(VALUE(J97),'Site Info'!$A:$G,6,FALSE),"")</f>
        <v>44484-2539</v>
      </c>
      <c r="O97">
        <f>IFERROR(VLOOKUP(VALUE(J97),'Site Info'!$A:$G,7,FALSE),"")</f>
        <v>3308567411</v>
      </c>
    </row>
    <row r="98" spans="1:15" x14ac:dyDescent="0.45">
      <c r="A98" t="s">
        <v>16493</v>
      </c>
      <c r="B98" t="s">
        <v>16725</v>
      </c>
      <c r="C98" t="s">
        <v>16726</v>
      </c>
      <c r="D98" t="s">
        <v>703</v>
      </c>
      <c r="E98" s="1">
        <v>46153.331944444442</v>
      </c>
      <c r="F98">
        <v>1628</v>
      </c>
      <c r="G98" t="s">
        <v>16727</v>
      </c>
      <c r="H98" t="s">
        <v>13988</v>
      </c>
      <c r="I98" t="s">
        <v>705</v>
      </c>
      <c r="J98" t="str">
        <f>RIGHT(D98,4)</f>
        <v>6327</v>
      </c>
      <c r="K98" t="str">
        <f>IFERROR(VLOOKUP(VALUE(J98),'Site Info'!$A:$G,3,FALSE),"")</f>
        <v>1040 NILES CORTLAND RD SE</v>
      </c>
      <c r="L98" t="str">
        <f>IFERROR(VLOOKUP(VALUE(J98),'Site Info'!$A:$G,4,FALSE),"")</f>
        <v>WARREN</v>
      </c>
      <c r="M98" t="str">
        <f>IFERROR(VLOOKUP(VALUE(J98),'Site Info'!$A:$G,5,FALSE),"")</f>
        <v>OH</v>
      </c>
      <c r="N98" t="str">
        <f>IFERROR(VLOOKUP(VALUE(J98),'Site Info'!$A:$G,6,FALSE),"")</f>
        <v>44484-2539</v>
      </c>
      <c r="O98">
        <f>IFERROR(VLOOKUP(VALUE(J98),'Site Info'!$A:$G,7,FALSE),"")</f>
        <v>3308567411</v>
      </c>
    </row>
    <row r="99" spans="1:15" x14ac:dyDescent="0.45">
      <c r="A99" t="s">
        <v>12644</v>
      </c>
      <c r="B99" t="s">
        <v>12645</v>
      </c>
      <c r="C99" t="s">
        <v>12646</v>
      </c>
      <c r="D99" t="s">
        <v>3856</v>
      </c>
      <c r="E99" s="1">
        <v>46148.378449074073</v>
      </c>
      <c r="F99">
        <v>1547</v>
      </c>
      <c r="G99" t="s">
        <v>12647</v>
      </c>
      <c r="H99" t="s">
        <v>15</v>
      </c>
      <c r="I99" t="s">
        <v>3858</v>
      </c>
      <c r="J99" t="str">
        <f>RIGHT(D99,4)</f>
        <v>8236</v>
      </c>
      <c r="K99" t="str">
        <f>IFERROR(VLOOKUP(VALUE(J99),'Site Info'!$A:$G,3,FALSE),"")</f>
        <v>10431 OLD HIGHWAY 49</v>
      </c>
      <c r="L99" t="str">
        <f>IFERROR(VLOOKUP(VALUE(J99),'Site Info'!$A:$G,4,FALSE),"")</f>
        <v>GULFPORT</v>
      </c>
      <c r="M99" t="str">
        <f>IFERROR(VLOOKUP(VALUE(J99),'Site Info'!$A:$G,5,FALSE),"")</f>
        <v>MS</v>
      </c>
      <c r="N99" t="str">
        <f>IFERROR(VLOOKUP(VALUE(J99),'Site Info'!$A:$G,6,FALSE),"")</f>
        <v>39503-4118</v>
      </c>
      <c r="O99">
        <f>IFERROR(VLOOKUP(VALUE(J99),'Site Info'!$A:$G,7,FALSE),"")</f>
        <v>2288324441</v>
      </c>
    </row>
    <row r="100" spans="1:15" x14ac:dyDescent="0.45">
      <c r="A100" t="s">
        <v>13675</v>
      </c>
      <c r="B100" t="s">
        <v>13676</v>
      </c>
      <c r="C100" t="s">
        <v>13677</v>
      </c>
      <c r="D100" t="s">
        <v>3856</v>
      </c>
      <c r="E100" s="1">
        <v>46149.544687499998</v>
      </c>
      <c r="F100">
        <v>1547</v>
      </c>
      <c r="G100" t="s">
        <v>13678</v>
      </c>
      <c r="H100" t="s">
        <v>15</v>
      </c>
      <c r="I100" t="s">
        <v>3858</v>
      </c>
      <c r="J100" t="str">
        <f>RIGHT(D100,4)</f>
        <v>8236</v>
      </c>
      <c r="K100" t="str">
        <f>IFERROR(VLOOKUP(VALUE(J100),'Site Info'!$A:$G,3,FALSE),"")</f>
        <v>10431 OLD HIGHWAY 49</v>
      </c>
      <c r="L100" t="str">
        <f>IFERROR(VLOOKUP(VALUE(J100),'Site Info'!$A:$G,4,FALSE),"")</f>
        <v>GULFPORT</v>
      </c>
      <c r="M100" t="str">
        <f>IFERROR(VLOOKUP(VALUE(J100),'Site Info'!$A:$G,5,FALSE),"")</f>
        <v>MS</v>
      </c>
      <c r="N100" t="str">
        <f>IFERROR(VLOOKUP(VALUE(J100),'Site Info'!$A:$G,6,FALSE),"")</f>
        <v>39503-4118</v>
      </c>
      <c r="O100">
        <f>IFERROR(VLOOKUP(VALUE(J100),'Site Info'!$A:$G,7,FALSE),"")</f>
        <v>2288324441</v>
      </c>
    </row>
    <row r="101" spans="1:15" x14ac:dyDescent="0.45">
      <c r="A101" t="s">
        <v>5748</v>
      </c>
      <c r="B101" t="s">
        <v>5749</v>
      </c>
      <c r="C101" t="s">
        <v>5750</v>
      </c>
      <c r="D101" t="s">
        <v>3856</v>
      </c>
      <c r="E101" s="1">
        <v>46149.580428240741</v>
      </c>
      <c r="F101">
        <v>1547</v>
      </c>
      <c r="G101" t="s">
        <v>5751</v>
      </c>
      <c r="H101" t="s">
        <v>15</v>
      </c>
      <c r="I101" t="s">
        <v>3858</v>
      </c>
      <c r="J101" t="str">
        <f>RIGHT(D101,4)</f>
        <v>8236</v>
      </c>
      <c r="K101" t="str">
        <f>IFERROR(VLOOKUP(VALUE(J101),'Site Info'!$A:$G,3,FALSE),"")</f>
        <v>10431 OLD HIGHWAY 49</v>
      </c>
      <c r="L101" t="str">
        <f>IFERROR(VLOOKUP(VALUE(J101),'Site Info'!$A:$G,4,FALSE),"")</f>
        <v>GULFPORT</v>
      </c>
      <c r="M101" t="str">
        <f>IFERROR(VLOOKUP(VALUE(J101),'Site Info'!$A:$G,5,FALSE),"")</f>
        <v>MS</v>
      </c>
      <c r="N101" t="str">
        <f>IFERROR(VLOOKUP(VALUE(J101),'Site Info'!$A:$G,6,FALSE),"")</f>
        <v>39503-4118</v>
      </c>
      <c r="O101">
        <f>IFERROR(VLOOKUP(VALUE(J101),'Site Info'!$A:$G,7,FALSE),"")</f>
        <v>2288324441</v>
      </c>
    </row>
    <row r="102" spans="1:15" x14ac:dyDescent="0.45">
      <c r="A102" t="s">
        <v>13643</v>
      </c>
      <c r="B102" t="s">
        <v>13644</v>
      </c>
      <c r="C102" t="s">
        <v>13645</v>
      </c>
      <c r="D102" t="s">
        <v>3856</v>
      </c>
      <c r="E102" s="1">
        <v>46153.173310185186</v>
      </c>
      <c r="F102">
        <v>1547</v>
      </c>
      <c r="G102" t="s">
        <v>13646</v>
      </c>
      <c r="H102" t="s">
        <v>15</v>
      </c>
      <c r="I102" t="s">
        <v>3858</v>
      </c>
      <c r="J102" t="str">
        <f>RIGHT(D102,4)</f>
        <v>8236</v>
      </c>
      <c r="K102" t="str">
        <f>IFERROR(VLOOKUP(VALUE(J102),'Site Info'!$A:$G,3,FALSE),"")</f>
        <v>10431 OLD HIGHWAY 49</v>
      </c>
      <c r="L102" t="str">
        <f>IFERROR(VLOOKUP(VALUE(J102),'Site Info'!$A:$G,4,FALSE),"")</f>
        <v>GULFPORT</v>
      </c>
      <c r="M102" t="str">
        <f>IFERROR(VLOOKUP(VALUE(J102),'Site Info'!$A:$G,5,FALSE),"")</f>
        <v>MS</v>
      </c>
      <c r="N102" t="str">
        <f>IFERROR(VLOOKUP(VALUE(J102),'Site Info'!$A:$G,6,FALSE),"")</f>
        <v>39503-4118</v>
      </c>
      <c r="O102">
        <f>IFERROR(VLOOKUP(VALUE(J102),'Site Info'!$A:$G,7,FALSE),"")</f>
        <v>2288324441</v>
      </c>
    </row>
    <row r="103" spans="1:15" x14ac:dyDescent="0.45">
      <c r="A103" t="s">
        <v>13683</v>
      </c>
      <c r="B103" t="s">
        <v>13684</v>
      </c>
      <c r="C103" t="s">
        <v>13685</v>
      </c>
      <c r="D103" t="s">
        <v>3856</v>
      </c>
      <c r="E103" s="1">
        <v>46153.305393518516</v>
      </c>
      <c r="F103">
        <v>1547</v>
      </c>
      <c r="G103" t="s">
        <v>13686</v>
      </c>
      <c r="H103" t="s">
        <v>15</v>
      </c>
      <c r="I103" t="s">
        <v>3858</v>
      </c>
      <c r="J103" t="str">
        <f>RIGHT(D103,4)</f>
        <v>8236</v>
      </c>
      <c r="K103" t="str">
        <f>IFERROR(VLOOKUP(VALUE(J103),'Site Info'!$A:$G,3,FALSE),"")</f>
        <v>10431 OLD HIGHWAY 49</v>
      </c>
      <c r="L103" t="str">
        <f>IFERROR(VLOOKUP(VALUE(J103),'Site Info'!$A:$G,4,FALSE),"")</f>
        <v>GULFPORT</v>
      </c>
      <c r="M103" t="str">
        <f>IFERROR(VLOOKUP(VALUE(J103),'Site Info'!$A:$G,5,FALSE),"")</f>
        <v>MS</v>
      </c>
      <c r="N103" t="str">
        <f>IFERROR(VLOOKUP(VALUE(J103),'Site Info'!$A:$G,6,FALSE),"")</f>
        <v>39503-4118</v>
      </c>
      <c r="O103">
        <f>IFERROR(VLOOKUP(VALUE(J103),'Site Info'!$A:$G,7,FALSE),"")</f>
        <v>2288324441</v>
      </c>
    </row>
    <row r="104" spans="1:15" x14ac:dyDescent="0.45">
      <c r="A104" t="s">
        <v>3853</v>
      </c>
      <c r="B104" t="s">
        <v>3854</v>
      </c>
      <c r="C104" t="s">
        <v>3855</v>
      </c>
      <c r="D104" t="s">
        <v>3856</v>
      </c>
      <c r="E104" s="1">
        <v>46153.20925925926</v>
      </c>
      <c r="F104">
        <v>1481</v>
      </c>
      <c r="G104" t="s">
        <v>3857</v>
      </c>
      <c r="H104" t="s">
        <v>15</v>
      </c>
      <c r="I104" t="s">
        <v>3858</v>
      </c>
      <c r="J104" t="str">
        <f>RIGHT(D104,4)</f>
        <v>8236</v>
      </c>
      <c r="K104" t="str">
        <f>IFERROR(VLOOKUP(VALUE(J104),'Site Info'!$A:$G,3,FALSE),"")</f>
        <v>10431 OLD HIGHWAY 49</v>
      </c>
      <c r="L104" t="str">
        <f>IFERROR(VLOOKUP(VALUE(J104),'Site Info'!$A:$G,4,FALSE),"")</f>
        <v>GULFPORT</v>
      </c>
      <c r="M104" t="str">
        <f>IFERROR(VLOOKUP(VALUE(J104),'Site Info'!$A:$G,5,FALSE),"")</f>
        <v>MS</v>
      </c>
      <c r="N104" t="str">
        <f>IFERROR(VLOOKUP(VALUE(J104),'Site Info'!$A:$G,6,FALSE),"")</f>
        <v>39503-4118</v>
      </c>
      <c r="O104">
        <f>IFERROR(VLOOKUP(VALUE(J104),'Site Info'!$A:$G,7,FALSE),"")</f>
        <v>2288324441</v>
      </c>
    </row>
    <row r="105" spans="1:15" x14ac:dyDescent="0.45">
      <c r="A105" t="s">
        <v>17192</v>
      </c>
      <c r="B105" t="s">
        <v>17193</v>
      </c>
      <c r="C105" t="s">
        <v>17194</v>
      </c>
      <c r="D105" t="s">
        <v>3856</v>
      </c>
      <c r="E105" s="1">
        <v>46152.521562499998</v>
      </c>
      <c r="F105">
        <v>1547</v>
      </c>
      <c r="G105" t="s">
        <v>17195</v>
      </c>
      <c r="H105" t="s">
        <v>15</v>
      </c>
      <c r="I105" t="s">
        <v>3858</v>
      </c>
      <c r="J105" t="str">
        <f>RIGHT(D105,4)</f>
        <v>8236</v>
      </c>
      <c r="K105" t="str">
        <f>IFERROR(VLOOKUP(VALUE(J105),'Site Info'!$A:$G,3,FALSE),"")</f>
        <v>10431 OLD HIGHWAY 49</v>
      </c>
      <c r="L105" t="str">
        <f>IFERROR(VLOOKUP(VALUE(J105),'Site Info'!$A:$G,4,FALSE),"")</f>
        <v>GULFPORT</v>
      </c>
      <c r="M105" t="str">
        <f>IFERROR(VLOOKUP(VALUE(J105),'Site Info'!$A:$G,5,FALSE),"")</f>
        <v>MS</v>
      </c>
      <c r="N105" t="str">
        <f>IFERROR(VLOOKUP(VALUE(J105),'Site Info'!$A:$G,6,FALSE),"")</f>
        <v>39503-4118</v>
      </c>
      <c r="O105">
        <f>IFERROR(VLOOKUP(VALUE(J105),'Site Info'!$A:$G,7,FALSE),"")</f>
        <v>2288324441</v>
      </c>
    </row>
    <row r="106" spans="1:15" x14ac:dyDescent="0.45">
      <c r="A106" t="s">
        <v>7342</v>
      </c>
      <c r="B106" t="s">
        <v>7343</v>
      </c>
      <c r="C106" t="s">
        <v>7344</v>
      </c>
      <c r="D106" t="s">
        <v>6650</v>
      </c>
      <c r="E106" s="1">
        <v>46151.458009259259</v>
      </c>
      <c r="F106">
        <v>1547</v>
      </c>
      <c r="G106" t="s">
        <v>7345</v>
      </c>
      <c r="H106" t="s">
        <v>15</v>
      </c>
      <c r="I106" t="s">
        <v>7346</v>
      </c>
      <c r="J106" t="str">
        <f>RIGHT(D106,4)</f>
        <v>6527</v>
      </c>
      <c r="K106" t="str">
        <f>IFERROR(VLOOKUP(VALUE(J106),'Site Info'!$A:$G,3,FALSE),"")</f>
        <v>10444 N MALL DR</v>
      </c>
      <c r="L106" t="str">
        <f>IFERROR(VLOOKUP(VALUE(J106),'Site Info'!$A:$G,4,FALSE),"")</f>
        <v>BATON ROUGE</v>
      </c>
      <c r="M106" t="str">
        <f>IFERROR(VLOOKUP(VALUE(J106),'Site Info'!$A:$G,5,FALSE),"")</f>
        <v>LA</v>
      </c>
      <c r="N106" t="str">
        <f>IFERROR(VLOOKUP(VALUE(J106),'Site Info'!$A:$G,6,FALSE),"")</f>
        <v>70809-4835</v>
      </c>
      <c r="O106">
        <f>IFERROR(VLOOKUP(VALUE(J106),'Site Info'!$A:$G,7,FALSE),"")</f>
        <v>2252951353</v>
      </c>
    </row>
    <row r="107" spans="1:15" x14ac:dyDescent="0.45">
      <c r="A107" t="s">
        <v>7519</v>
      </c>
      <c r="B107" t="s">
        <v>7520</v>
      </c>
      <c r="C107" t="s">
        <v>7521</v>
      </c>
      <c r="D107" t="s">
        <v>6650</v>
      </c>
      <c r="E107" s="1">
        <v>46151.600393518522</v>
      </c>
      <c r="F107">
        <v>1547</v>
      </c>
      <c r="G107" t="s">
        <v>7522</v>
      </c>
      <c r="H107" t="s">
        <v>15</v>
      </c>
      <c r="I107" t="s">
        <v>6652</v>
      </c>
      <c r="J107" t="str">
        <f>RIGHT(D107,4)</f>
        <v>6527</v>
      </c>
      <c r="K107" t="str">
        <f>IFERROR(VLOOKUP(VALUE(J107),'Site Info'!$A:$G,3,FALSE),"")</f>
        <v>10444 N MALL DR</v>
      </c>
      <c r="L107" t="str">
        <f>IFERROR(VLOOKUP(VALUE(J107),'Site Info'!$A:$G,4,FALSE),"")</f>
        <v>BATON ROUGE</v>
      </c>
      <c r="M107" t="str">
        <f>IFERROR(VLOOKUP(VALUE(J107),'Site Info'!$A:$G,5,FALSE),"")</f>
        <v>LA</v>
      </c>
      <c r="N107" t="str">
        <f>IFERROR(VLOOKUP(VALUE(J107),'Site Info'!$A:$G,6,FALSE),"")</f>
        <v>70809-4835</v>
      </c>
      <c r="O107">
        <f>IFERROR(VLOOKUP(VALUE(J107),'Site Info'!$A:$G,7,FALSE),"")</f>
        <v>2252951353</v>
      </c>
    </row>
    <row r="108" spans="1:15" x14ac:dyDescent="0.45">
      <c r="A108" t="s">
        <v>12814</v>
      </c>
      <c r="B108" t="s">
        <v>12815</v>
      </c>
      <c r="C108" t="s">
        <v>12816</v>
      </c>
      <c r="D108" t="s">
        <v>6650</v>
      </c>
      <c r="E108" s="1">
        <v>46152.658750000002</v>
      </c>
      <c r="F108">
        <v>1547</v>
      </c>
      <c r="G108" t="s">
        <v>12817</v>
      </c>
      <c r="H108" t="s">
        <v>15</v>
      </c>
      <c r="I108" t="s">
        <v>6652</v>
      </c>
      <c r="J108" t="str">
        <f>RIGHT(D108,4)</f>
        <v>6527</v>
      </c>
      <c r="K108" t="str">
        <f>IFERROR(VLOOKUP(VALUE(J108),'Site Info'!$A:$G,3,FALSE),"")</f>
        <v>10444 N MALL DR</v>
      </c>
      <c r="L108" t="str">
        <f>IFERROR(VLOOKUP(VALUE(J108),'Site Info'!$A:$G,4,FALSE),"")</f>
        <v>BATON ROUGE</v>
      </c>
      <c r="M108" t="str">
        <f>IFERROR(VLOOKUP(VALUE(J108),'Site Info'!$A:$G,5,FALSE),"")</f>
        <v>LA</v>
      </c>
      <c r="N108" t="str">
        <f>IFERROR(VLOOKUP(VALUE(J108),'Site Info'!$A:$G,6,FALSE),"")</f>
        <v>70809-4835</v>
      </c>
      <c r="O108">
        <f>IFERROR(VLOOKUP(VALUE(J108),'Site Info'!$A:$G,7,FALSE),"")</f>
        <v>2252951353</v>
      </c>
    </row>
    <row r="109" spans="1:15" x14ac:dyDescent="0.45">
      <c r="A109" t="s">
        <v>6647</v>
      </c>
      <c r="B109" t="s">
        <v>6648</v>
      </c>
      <c r="C109" t="s">
        <v>6649</v>
      </c>
      <c r="D109" t="s">
        <v>6650</v>
      </c>
      <c r="E109" s="1">
        <v>46153.33222222222</v>
      </c>
      <c r="F109">
        <v>1547</v>
      </c>
      <c r="G109" t="s">
        <v>6651</v>
      </c>
      <c r="H109" t="s">
        <v>15</v>
      </c>
      <c r="I109" t="s">
        <v>6652</v>
      </c>
      <c r="J109" t="str">
        <f>RIGHT(D109,4)</f>
        <v>6527</v>
      </c>
      <c r="K109" t="str">
        <f>IFERROR(VLOOKUP(VALUE(J109),'Site Info'!$A:$G,3,FALSE),"")</f>
        <v>10444 N MALL DR</v>
      </c>
      <c r="L109" t="str">
        <f>IFERROR(VLOOKUP(VALUE(J109),'Site Info'!$A:$G,4,FALSE),"")</f>
        <v>BATON ROUGE</v>
      </c>
      <c r="M109" t="str">
        <f>IFERROR(VLOOKUP(VALUE(J109),'Site Info'!$A:$G,5,FALSE),"")</f>
        <v>LA</v>
      </c>
      <c r="N109" t="str">
        <f>IFERROR(VLOOKUP(VALUE(J109),'Site Info'!$A:$G,6,FALSE),"")</f>
        <v>70809-4835</v>
      </c>
      <c r="O109">
        <f>IFERROR(VLOOKUP(VALUE(J109),'Site Info'!$A:$G,7,FALSE),"")</f>
        <v>2252951353</v>
      </c>
    </row>
    <row r="110" spans="1:15" x14ac:dyDescent="0.45">
      <c r="A110" t="s">
        <v>8553</v>
      </c>
      <c r="B110" t="s">
        <v>8554</v>
      </c>
      <c r="C110" t="s">
        <v>8555</v>
      </c>
      <c r="D110" t="s">
        <v>6650</v>
      </c>
      <c r="E110" s="1">
        <v>46153.368877314817</v>
      </c>
      <c r="F110">
        <v>1547</v>
      </c>
      <c r="G110" t="s">
        <v>8556</v>
      </c>
      <c r="H110" t="s">
        <v>15</v>
      </c>
      <c r="I110" t="s">
        <v>6652</v>
      </c>
      <c r="J110" t="str">
        <f>RIGHT(D110,4)</f>
        <v>6527</v>
      </c>
      <c r="K110" t="str">
        <f>IFERROR(VLOOKUP(VALUE(J110),'Site Info'!$A:$G,3,FALSE),"")</f>
        <v>10444 N MALL DR</v>
      </c>
      <c r="L110" t="str">
        <f>IFERROR(VLOOKUP(VALUE(J110),'Site Info'!$A:$G,4,FALSE),"")</f>
        <v>BATON ROUGE</v>
      </c>
      <c r="M110" t="str">
        <f>IFERROR(VLOOKUP(VALUE(J110),'Site Info'!$A:$G,5,FALSE),"")</f>
        <v>LA</v>
      </c>
      <c r="N110" t="str">
        <f>IFERROR(VLOOKUP(VALUE(J110),'Site Info'!$A:$G,6,FALSE),"")</f>
        <v>70809-4835</v>
      </c>
      <c r="O110">
        <f>IFERROR(VLOOKUP(VALUE(J110),'Site Info'!$A:$G,7,FALSE),"")</f>
        <v>2252951353</v>
      </c>
    </row>
    <row r="111" spans="1:15" x14ac:dyDescent="0.45">
      <c r="A111" t="s">
        <v>13719</v>
      </c>
      <c r="B111" t="s">
        <v>13720</v>
      </c>
      <c r="C111" t="s">
        <v>13721</v>
      </c>
      <c r="D111" t="s">
        <v>4603</v>
      </c>
      <c r="E111" s="1">
        <v>46152.569490740738</v>
      </c>
      <c r="F111">
        <v>1547</v>
      </c>
      <c r="G111" t="s">
        <v>13722</v>
      </c>
      <c r="H111" t="s">
        <v>15</v>
      </c>
      <c r="I111" t="s">
        <v>4605</v>
      </c>
      <c r="J111" t="str">
        <f>RIGHT(D111,4)</f>
        <v>4712</v>
      </c>
      <c r="K111" t="str">
        <f>IFERROR(VLOOKUP(VALUE(J111),'Site Info'!$A:$G,3,FALSE),"")</f>
        <v>10488 KATY FWY</v>
      </c>
      <c r="L111" t="str">
        <f>IFERROR(VLOOKUP(VALUE(J111),'Site Info'!$A:$G,4,FALSE),"")</f>
        <v>HOUSTON</v>
      </c>
      <c r="M111" t="str">
        <f>IFERROR(VLOOKUP(VALUE(J111),'Site Info'!$A:$G,5,FALSE),"")</f>
        <v>TX</v>
      </c>
      <c r="N111" t="str">
        <f>IFERROR(VLOOKUP(VALUE(J111),'Site Info'!$A:$G,6,FALSE),"")</f>
        <v>77043-5106</v>
      </c>
      <c r="O111">
        <f>IFERROR(VLOOKUP(VALUE(J111),'Site Info'!$A:$G,7,FALSE),"")</f>
        <v>7134685146</v>
      </c>
    </row>
    <row r="112" spans="1:15" x14ac:dyDescent="0.45">
      <c r="A112" t="s">
        <v>9918</v>
      </c>
      <c r="B112" t="s">
        <v>9919</v>
      </c>
      <c r="C112" t="s">
        <v>9920</v>
      </c>
      <c r="D112" t="s">
        <v>4603</v>
      </c>
      <c r="E112" s="1">
        <v>46152.669583333336</v>
      </c>
      <c r="F112">
        <v>1547</v>
      </c>
      <c r="G112" t="s">
        <v>9921</v>
      </c>
      <c r="H112" t="s">
        <v>15</v>
      </c>
      <c r="I112" t="s">
        <v>4605</v>
      </c>
      <c r="J112" t="str">
        <f>RIGHT(D112,4)</f>
        <v>4712</v>
      </c>
      <c r="K112" t="str">
        <f>IFERROR(VLOOKUP(VALUE(J112),'Site Info'!$A:$G,3,FALSE),"")</f>
        <v>10488 KATY FWY</v>
      </c>
      <c r="L112" t="str">
        <f>IFERROR(VLOOKUP(VALUE(J112),'Site Info'!$A:$G,4,FALSE),"")</f>
        <v>HOUSTON</v>
      </c>
      <c r="M112" t="str">
        <f>IFERROR(VLOOKUP(VALUE(J112),'Site Info'!$A:$G,5,FALSE),"")</f>
        <v>TX</v>
      </c>
      <c r="N112" t="str">
        <f>IFERROR(VLOOKUP(VALUE(J112),'Site Info'!$A:$G,6,FALSE),"")</f>
        <v>77043-5106</v>
      </c>
      <c r="O112">
        <f>IFERROR(VLOOKUP(VALUE(J112),'Site Info'!$A:$G,7,FALSE),"")</f>
        <v>7134685146</v>
      </c>
    </row>
    <row r="113" spans="1:15" x14ac:dyDescent="0.45">
      <c r="A113" t="s">
        <v>13792</v>
      </c>
      <c r="B113" t="s">
        <v>13793</v>
      </c>
      <c r="C113" t="s">
        <v>13794</v>
      </c>
      <c r="D113" t="s">
        <v>4603</v>
      </c>
      <c r="E113" s="1">
        <v>46152.951863425929</v>
      </c>
      <c r="F113">
        <v>1547</v>
      </c>
      <c r="G113" t="s">
        <v>13795</v>
      </c>
      <c r="H113" t="s">
        <v>15</v>
      </c>
      <c r="I113" t="s">
        <v>4605</v>
      </c>
      <c r="J113" t="str">
        <f>RIGHT(D113,4)</f>
        <v>4712</v>
      </c>
      <c r="K113" t="str">
        <f>IFERROR(VLOOKUP(VALUE(J113),'Site Info'!$A:$G,3,FALSE),"")</f>
        <v>10488 KATY FWY</v>
      </c>
      <c r="L113" t="str">
        <f>IFERROR(VLOOKUP(VALUE(J113),'Site Info'!$A:$G,4,FALSE),"")</f>
        <v>HOUSTON</v>
      </c>
      <c r="M113" t="str">
        <f>IFERROR(VLOOKUP(VALUE(J113),'Site Info'!$A:$G,5,FALSE),"")</f>
        <v>TX</v>
      </c>
      <c r="N113" t="str">
        <f>IFERROR(VLOOKUP(VALUE(J113),'Site Info'!$A:$G,6,FALSE),"")</f>
        <v>77043-5106</v>
      </c>
      <c r="O113">
        <f>IFERROR(VLOOKUP(VALUE(J113),'Site Info'!$A:$G,7,FALSE),"")</f>
        <v>7134685146</v>
      </c>
    </row>
    <row r="114" spans="1:15" x14ac:dyDescent="0.45">
      <c r="A114" t="s">
        <v>4600</v>
      </c>
      <c r="B114" t="s">
        <v>4601</v>
      </c>
      <c r="C114" t="s">
        <v>4602</v>
      </c>
      <c r="D114" t="s">
        <v>4603</v>
      </c>
      <c r="E114" s="1">
        <v>46153.098287037035</v>
      </c>
      <c r="F114">
        <v>1547</v>
      </c>
      <c r="G114" t="s">
        <v>4604</v>
      </c>
      <c r="H114" t="s">
        <v>15</v>
      </c>
      <c r="I114" t="s">
        <v>4605</v>
      </c>
      <c r="J114" t="str">
        <f>RIGHT(D114,4)</f>
        <v>4712</v>
      </c>
      <c r="K114" t="str">
        <f>IFERROR(VLOOKUP(VALUE(J114),'Site Info'!$A:$G,3,FALSE),"")</f>
        <v>10488 KATY FWY</v>
      </c>
      <c r="L114" t="str">
        <f>IFERROR(VLOOKUP(VALUE(J114),'Site Info'!$A:$G,4,FALSE),"")</f>
        <v>HOUSTON</v>
      </c>
      <c r="M114" t="str">
        <f>IFERROR(VLOOKUP(VALUE(J114),'Site Info'!$A:$G,5,FALSE),"")</f>
        <v>TX</v>
      </c>
      <c r="N114" t="str">
        <f>IFERROR(VLOOKUP(VALUE(J114),'Site Info'!$A:$G,6,FALSE),"")</f>
        <v>77043-5106</v>
      </c>
      <c r="O114">
        <f>IFERROR(VLOOKUP(VALUE(J114),'Site Info'!$A:$G,7,FALSE),"")</f>
        <v>7134685146</v>
      </c>
    </row>
    <row r="115" spans="1:15" x14ac:dyDescent="0.45">
      <c r="A115" t="s">
        <v>14155</v>
      </c>
      <c r="B115" t="s">
        <v>14156</v>
      </c>
      <c r="C115" t="s">
        <v>14157</v>
      </c>
      <c r="D115" t="s">
        <v>4603</v>
      </c>
      <c r="E115" s="1">
        <v>46153.349421296298</v>
      </c>
      <c r="F115">
        <v>1547</v>
      </c>
      <c r="G115" t="s">
        <v>14158</v>
      </c>
      <c r="H115" t="s">
        <v>15</v>
      </c>
      <c r="I115" t="s">
        <v>4605</v>
      </c>
      <c r="J115" t="str">
        <f>RIGHT(D115,4)</f>
        <v>4712</v>
      </c>
      <c r="K115" t="str">
        <f>IFERROR(VLOOKUP(VALUE(J115),'Site Info'!$A:$G,3,FALSE),"")</f>
        <v>10488 KATY FWY</v>
      </c>
      <c r="L115" t="str">
        <f>IFERROR(VLOOKUP(VALUE(J115),'Site Info'!$A:$G,4,FALSE),"")</f>
        <v>HOUSTON</v>
      </c>
      <c r="M115" t="str">
        <f>IFERROR(VLOOKUP(VALUE(J115),'Site Info'!$A:$G,5,FALSE),"")</f>
        <v>TX</v>
      </c>
      <c r="N115" t="str">
        <f>IFERROR(VLOOKUP(VALUE(J115),'Site Info'!$A:$G,6,FALSE),"")</f>
        <v>77043-5106</v>
      </c>
      <c r="O115">
        <f>IFERROR(VLOOKUP(VALUE(J115),'Site Info'!$A:$G,7,FALSE),"")</f>
        <v>7134685146</v>
      </c>
    </row>
    <row r="116" spans="1:15" x14ac:dyDescent="0.45">
      <c r="A116" t="s">
        <v>10156</v>
      </c>
      <c r="B116" t="s">
        <v>10157</v>
      </c>
      <c r="C116" t="s">
        <v>10158</v>
      </c>
      <c r="D116" t="s">
        <v>4603</v>
      </c>
      <c r="E116" s="1">
        <v>46153.366400462961</v>
      </c>
      <c r="F116">
        <v>1547</v>
      </c>
      <c r="G116" t="s">
        <v>10159</v>
      </c>
      <c r="H116" t="s">
        <v>15</v>
      </c>
      <c r="I116" t="s">
        <v>4605</v>
      </c>
      <c r="J116" t="str">
        <f>RIGHT(D116,4)</f>
        <v>4712</v>
      </c>
      <c r="K116" t="str">
        <f>IFERROR(VLOOKUP(VALUE(J116),'Site Info'!$A:$G,3,FALSE),"")</f>
        <v>10488 KATY FWY</v>
      </c>
      <c r="L116" t="str">
        <f>IFERROR(VLOOKUP(VALUE(J116),'Site Info'!$A:$G,4,FALSE),"")</f>
        <v>HOUSTON</v>
      </c>
      <c r="M116" t="str">
        <f>IFERROR(VLOOKUP(VALUE(J116),'Site Info'!$A:$G,5,FALSE),"")</f>
        <v>TX</v>
      </c>
      <c r="N116" t="str">
        <f>IFERROR(VLOOKUP(VALUE(J116),'Site Info'!$A:$G,6,FALSE),"")</f>
        <v>77043-5106</v>
      </c>
      <c r="O116">
        <f>IFERROR(VLOOKUP(VALUE(J116),'Site Info'!$A:$G,7,FALSE),"")</f>
        <v>7134685146</v>
      </c>
    </row>
    <row r="117" spans="1:15" x14ac:dyDescent="0.45">
      <c r="A117" t="s">
        <v>14095</v>
      </c>
      <c r="B117" t="s">
        <v>14096</v>
      </c>
      <c r="C117" t="s">
        <v>14097</v>
      </c>
      <c r="D117" t="s">
        <v>4603</v>
      </c>
      <c r="E117" s="1">
        <v>46153.371388888889</v>
      </c>
      <c r="F117">
        <v>1547</v>
      </c>
      <c r="G117" t="s">
        <v>14098</v>
      </c>
      <c r="H117" t="s">
        <v>15</v>
      </c>
      <c r="I117" t="s">
        <v>4605</v>
      </c>
      <c r="J117" t="str">
        <f>RIGHT(D117,4)</f>
        <v>4712</v>
      </c>
      <c r="K117" t="str">
        <f>IFERROR(VLOOKUP(VALUE(J117),'Site Info'!$A:$G,3,FALSE),"")</f>
        <v>10488 KATY FWY</v>
      </c>
      <c r="L117" t="str">
        <f>IFERROR(VLOOKUP(VALUE(J117),'Site Info'!$A:$G,4,FALSE),"")</f>
        <v>HOUSTON</v>
      </c>
      <c r="M117" t="str">
        <f>IFERROR(VLOOKUP(VALUE(J117),'Site Info'!$A:$G,5,FALSE),"")</f>
        <v>TX</v>
      </c>
      <c r="N117" t="str">
        <f>IFERROR(VLOOKUP(VALUE(J117),'Site Info'!$A:$G,6,FALSE),"")</f>
        <v>77043-5106</v>
      </c>
      <c r="O117">
        <f>IFERROR(VLOOKUP(VALUE(J117),'Site Info'!$A:$G,7,FALSE),"")</f>
        <v>7134685146</v>
      </c>
    </row>
    <row r="118" spans="1:15" x14ac:dyDescent="0.45">
      <c r="A118" t="s">
        <v>9677</v>
      </c>
      <c r="B118" t="s">
        <v>9678</v>
      </c>
      <c r="C118" t="s">
        <v>9679</v>
      </c>
      <c r="D118" t="s">
        <v>2632</v>
      </c>
      <c r="E118" s="1">
        <v>46151.637453703705</v>
      </c>
      <c r="F118">
        <v>1547</v>
      </c>
      <c r="G118" t="s">
        <v>9680</v>
      </c>
      <c r="H118" t="s">
        <v>15</v>
      </c>
      <c r="I118" t="s">
        <v>2634</v>
      </c>
      <c r="J118" t="str">
        <f>RIGHT(D118,4)</f>
        <v>6388</v>
      </c>
      <c r="K118" t="str">
        <f>IFERROR(VLOOKUP(VALUE(J118),'Site Info'!$A:$G,3,FALSE),"")</f>
        <v>1050 OGDEN AVE.</v>
      </c>
      <c r="L118" t="str">
        <f>IFERROR(VLOOKUP(VALUE(J118),'Site Info'!$A:$G,4,FALSE),"")</f>
        <v>MONTGOMERY</v>
      </c>
      <c r="M118" t="str">
        <f>IFERROR(VLOOKUP(VALUE(J118),'Site Info'!$A:$G,5,FALSE),"")</f>
        <v>IL</v>
      </c>
      <c r="N118" t="str">
        <f>IFERROR(VLOOKUP(VALUE(J118),'Site Info'!$A:$G,6,FALSE),"")</f>
        <v>60538-0000</v>
      </c>
      <c r="O118">
        <f>IFERROR(VLOOKUP(VALUE(J118),'Site Info'!$A:$G,7,FALSE),"")</f>
        <v>6304491946</v>
      </c>
    </row>
    <row r="119" spans="1:15" x14ac:dyDescent="0.45">
      <c r="A119" t="s">
        <v>13639</v>
      </c>
      <c r="B119" t="s">
        <v>13640</v>
      </c>
      <c r="C119" t="s">
        <v>13641</v>
      </c>
      <c r="D119" t="s">
        <v>2632</v>
      </c>
      <c r="E119" s="1">
        <v>46152.876307870371</v>
      </c>
      <c r="F119">
        <v>1547</v>
      </c>
      <c r="G119" t="s">
        <v>13642</v>
      </c>
      <c r="H119" t="s">
        <v>15</v>
      </c>
      <c r="I119" t="s">
        <v>2634</v>
      </c>
      <c r="J119" t="str">
        <f>RIGHT(D119,4)</f>
        <v>6388</v>
      </c>
      <c r="K119" t="str">
        <f>IFERROR(VLOOKUP(VALUE(J119),'Site Info'!$A:$G,3,FALSE),"")</f>
        <v>1050 OGDEN AVE.</v>
      </c>
      <c r="L119" t="str">
        <f>IFERROR(VLOOKUP(VALUE(J119),'Site Info'!$A:$G,4,FALSE),"")</f>
        <v>MONTGOMERY</v>
      </c>
      <c r="M119" t="str">
        <f>IFERROR(VLOOKUP(VALUE(J119),'Site Info'!$A:$G,5,FALSE),"")</f>
        <v>IL</v>
      </c>
      <c r="N119" t="str">
        <f>IFERROR(VLOOKUP(VALUE(J119),'Site Info'!$A:$G,6,FALSE),"")</f>
        <v>60538-0000</v>
      </c>
      <c r="O119">
        <f>IFERROR(VLOOKUP(VALUE(J119),'Site Info'!$A:$G,7,FALSE),"")</f>
        <v>6304491946</v>
      </c>
    </row>
    <row r="120" spans="1:15" x14ac:dyDescent="0.45">
      <c r="A120" t="s">
        <v>13699</v>
      </c>
      <c r="B120" t="s">
        <v>13700</v>
      </c>
      <c r="C120" t="s">
        <v>13701</v>
      </c>
      <c r="D120" t="s">
        <v>2632</v>
      </c>
      <c r="E120" s="1">
        <v>46152.896087962959</v>
      </c>
      <c r="F120">
        <v>1547</v>
      </c>
      <c r="G120" t="s">
        <v>13702</v>
      </c>
      <c r="H120" t="s">
        <v>15</v>
      </c>
      <c r="I120" t="s">
        <v>2634</v>
      </c>
      <c r="J120" t="str">
        <f>RIGHT(D120,4)</f>
        <v>6388</v>
      </c>
      <c r="K120" t="str">
        <f>IFERROR(VLOOKUP(VALUE(J120),'Site Info'!$A:$G,3,FALSE),"")</f>
        <v>1050 OGDEN AVE.</v>
      </c>
      <c r="L120" t="str">
        <f>IFERROR(VLOOKUP(VALUE(J120),'Site Info'!$A:$G,4,FALSE),"")</f>
        <v>MONTGOMERY</v>
      </c>
      <c r="M120" t="str">
        <f>IFERROR(VLOOKUP(VALUE(J120),'Site Info'!$A:$G,5,FALSE),"")</f>
        <v>IL</v>
      </c>
      <c r="N120" t="str">
        <f>IFERROR(VLOOKUP(VALUE(J120),'Site Info'!$A:$G,6,FALSE),"")</f>
        <v>60538-0000</v>
      </c>
      <c r="O120">
        <f>IFERROR(VLOOKUP(VALUE(J120),'Site Info'!$A:$G,7,FALSE),"")</f>
        <v>6304491946</v>
      </c>
    </row>
    <row r="121" spans="1:15" x14ac:dyDescent="0.45">
      <c r="A121" t="s">
        <v>12412</v>
      </c>
      <c r="B121" t="s">
        <v>12413</v>
      </c>
      <c r="C121" t="s">
        <v>12414</v>
      </c>
      <c r="D121" t="s">
        <v>2632</v>
      </c>
      <c r="E121" s="1">
        <v>46153.173518518517</v>
      </c>
      <c r="F121">
        <v>1547</v>
      </c>
      <c r="G121" t="s">
        <v>12415</v>
      </c>
      <c r="H121" t="s">
        <v>15</v>
      </c>
      <c r="I121" t="s">
        <v>2634</v>
      </c>
      <c r="J121" t="str">
        <f>RIGHT(D121,4)</f>
        <v>6388</v>
      </c>
      <c r="K121" t="str">
        <f>IFERROR(VLOOKUP(VALUE(J121),'Site Info'!$A:$G,3,FALSE),"")</f>
        <v>1050 OGDEN AVE.</v>
      </c>
      <c r="L121" t="str">
        <f>IFERROR(VLOOKUP(VALUE(J121),'Site Info'!$A:$G,4,FALSE),"")</f>
        <v>MONTGOMERY</v>
      </c>
      <c r="M121" t="str">
        <f>IFERROR(VLOOKUP(VALUE(J121),'Site Info'!$A:$G,5,FALSE),"")</f>
        <v>IL</v>
      </c>
      <c r="N121" t="str">
        <f>IFERROR(VLOOKUP(VALUE(J121),'Site Info'!$A:$G,6,FALSE),"")</f>
        <v>60538-0000</v>
      </c>
      <c r="O121">
        <f>IFERROR(VLOOKUP(VALUE(J121),'Site Info'!$A:$G,7,FALSE),"")</f>
        <v>6304491946</v>
      </c>
    </row>
    <row r="122" spans="1:15" x14ac:dyDescent="0.45">
      <c r="A122" t="s">
        <v>2957</v>
      </c>
      <c r="B122" t="s">
        <v>2958</v>
      </c>
      <c r="C122" t="s">
        <v>2959</v>
      </c>
      <c r="D122" t="s">
        <v>2632</v>
      </c>
      <c r="E122" s="1">
        <v>46151.509837962964</v>
      </c>
      <c r="F122">
        <v>1481</v>
      </c>
      <c r="G122" t="s">
        <v>2960</v>
      </c>
      <c r="H122" t="s">
        <v>15</v>
      </c>
      <c r="I122" t="s">
        <v>2634</v>
      </c>
      <c r="J122" t="str">
        <f>RIGHT(D122,4)</f>
        <v>6388</v>
      </c>
      <c r="K122" t="str">
        <f>IFERROR(VLOOKUP(VALUE(J122),'Site Info'!$A:$G,3,FALSE),"")</f>
        <v>1050 OGDEN AVE.</v>
      </c>
      <c r="L122" t="str">
        <f>IFERROR(VLOOKUP(VALUE(J122),'Site Info'!$A:$G,4,FALSE),"")</f>
        <v>MONTGOMERY</v>
      </c>
      <c r="M122" t="str">
        <f>IFERROR(VLOOKUP(VALUE(J122),'Site Info'!$A:$G,5,FALSE),"")</f>
        <v>IL</v>
      </c>
      <c r="N122" t="str">
        <f>IFERROR(VLOOKUP(VALUE(J122),'Site Info'!$A:$G,6,FALSE),"")</f>
        <v>60538-0000</v>
      </c>
      <c r="O122">
        <f>IFERROR(VLOOKUP(VALUE(J122),'Site Info'!$A:$G,7,FALSE),"")</f>
        <v>6304491946</v>
      </c>
    </row>
    <row r="123" spans="1:15" x14ac:dyDescent="0.45">
      <c r="A123" t="s">
        <v>2629</v>
      </c>
      <c r="B123" t="s">
        <v>2630</v>
      </c>
      <c r="C123" t="s">
        <v>2631</v>
      </c>
      <c r="D123" t="s">
        <v>2632</v>
      </c>
      <c r="E123" s="1">
        <v>46152.666979166665</v>
      </c>
      <c r="F123">
        <v>1481</v>
      </c>
      <c r="G123" t="s">
        <v>2633</v>
      </c>
      <c r="H123" t="s">
        <v>15</v>
      </c>
      <c r="I123" t="s">
        <v>2634</v>
      </c>
      <c r="J123" t="str">
        <f>RIGHT(D123,4)</f>
        <v>6388</v>
      </c>
      <c r="K123" t="str">
        <f>IFERROR(VLOOKUP(VALUE(J123),'Site Info'!$A:$G,3,FALSE),"")</f>
        <v>1050 OGDEN AVE.</v>
      </c>
      <c r="L123" t="str">
        <f>IFERROR(VLOOKUP(VALUE(J123),'Site Info'!$A:$G,4,FALSE),"")</f>
        <v>MONTGOMERY</v>
      </c>
      <c r="M123" t="str">
        <f>IFERROR(VLOOKUP(VALUE(J123),'Site Info'!$A:$G,5,FALSE),"")</f>
        <v>IL</v>
      </c>
      <c r="N123" t="str">
        <f>IFERROR(VLOOKUP(VALUE(J123),'Site Info'!$A:$G,6,FALSE),"")</f>
        <v>60538-0000</v>
      </c>
      <c r="O123">
        <f>IFERROR(VLOOKUP(VALUE(J123),'Site Info'!$A:$G,7,FALSE),"")</f>
        <v>6304491946</v>
      </c>
    </row>
    <row r="124" spans="1:15" x14ac:dyDescent="0.45">
      <c r="A124" t="s">
        <v>3817</v>
      </c>
      <c r="B124" t="s">
        <v>3818</v>
      </c>
      <c r="C124" t="s">
        <v>3819</v>
      </c>
      <c r="D124" t="s">
        <v>2632</v>
      </c>
      <c r="E124" s="1">
        <v>46152.702511574076</v>
      </c>
      <c r="F124">
        <v>1481</v>
      </c>
      <c r="G124" t="s">
        <v>3820</v>
      </c>
      <c r="H124" t="s">
        <v>15</v>
      </c>
      <c r="I124" t="s">
        <v>2634</v>
      </c>
      <c r="J124" t="str">
        <f>RIGHT(D124,4)</f>
        <v>6388</v>
      </c>
      <c r="K124" t="str">
        <f>IFERROR(VLOOKUP(VALUE(J124),'Site Info'!$A:$G,3,FALSE),"")</f>
        <v>1050 OGDEN AVE.</v>
      </c>
      <c r="L124" t="str">
        <f>IFERROR(VLOOKUP(VALUE(J124),'Site Info'!$A:$G,4,FALSE),"")</f>
        <v>MONTGOMERY</v>
      </c>
      <c r="M124" t="str">
        <f>IFERROR(VLOOKUP(VALUE(J124),'Site Info'!$A:$G,5,FALSE),"")</f>
        <v>IL</v>
      </c>
      <c r="N124" t="str">
        <f>IFERROR(VLOOKUP(VALUE(J124),'Site Info'!$A:$G,6,FALSE),"")</f>
        <v>60538-0000</v>
      </c>
      <c r="O124">
        <f>IFERROR(VLOOKUP(VALUE(J124),'Site Info'!$A:$G,7,FALSE),"")</f>
        <v>6304491946</v>
      </c>
    </row>
    <row r="125" spans="1:15" x14ac:dyDescent="0.45">
      <c r="A125" t="s">
        <v>13563</v>
      </c>
      <c r="B125" t="s">
        <v>13564</v>
      </c>
      <c r="C125" t="s">
        <v>13565</v>
      </c>
      <c r="D125" t="s">
        <v>1155</v>
      </c>
      <c r="E125" s="1">
        <v>46149.421006944445</v>
      </c>
      <c r="F125">
        <v>1547</v>
      </c>
      <c r="G125" t="s">
        <v>13566</v>
      </c>
      <c r="H125" t="s">
        <v>15</v>
      </c>
      <c r="I125" t="s">
        <v>1157</v>
      </c>
      <c r="J125" t="str">
        <f>RIGHT(D125,4)</f>
        <v>4870</v>
      </c>
      <c r="K125" t="str">
        <f>IFERROR(VLOOKUP(VALUE(J125),'Site Info'!$A:$G,3,FALSE),"")</f>
        <v>10510 PARALLEL PKWY</v>
      </c>
      <c r="L125" t="str">
        <f>IFERROR(VLOOKUP(VALUE(J125),'Site Info'!$A:$G,4,FALSE),"")</f>
        <v>KANSAS CITY</v>
      </c>
      <c r="M125" t="str">
        <f>IFERROR(VLOOKUP(VALUE(J125),'Site Info'!$A:$G,5,FALSE),"")</f>
        <v>KS</v>
      </c>
      <c r="N125" t="str">
        <f>IFERROR(VLOOKUP(VALUE(J125),'Site Info'!$A:$G,6,FALSE),"")</f>
        <v>66109-0000</v>
      </c>
      <c r="O125">
        <f>IFERROR(VLOOKUP(VALUE(J125),'Site Info'!$A:$G,7,FALSE),"")</f>
        <v>9136930977</v>
      </c>
    </row>
    <row r="126" spans="1:15" x14ac:dyDescent="0.45">
      <c r="A126" t="s">
        <v>14431</v>
      </c>
      <c r="B126" t="s">
        <v>14432</v>
      </c>
      <c r="C126" t="s">
        <v>14433</v>
      </c>
      <c r="D126" t="s">
        <v>1155</v>
      </c>
      <c r="E126" s="1">
        <v>46150.415462962963</v>
      </c>
      <c r="F126">
        <v>1547</v>
      </c>
      <c r="G126" t="s">
        <v>14434</v>
      </c>
      <c r="H126" t="s">
        <v>15</v>
      </c>
      <c r="I126" t="s">
        <v>1157</v>
      </c>
      <c r="J126" t="str">
        <f>RIGHT(D126,4)</f>
        <v>4870</v>
      </c>
      <c r="K126" t="str">
        <f>IFERROR(VLOOKUP(VALUE(J126),'Site Info'!$A:$G,3,FALSE),"")</f>
        <v>10510 PARALLEL PKWY</v>
      </c>
      <c r="L126" t="str">
        <f>IFERROR(VLOOKUP(VALUE(J126),'Site Info'!$A:$G,4,FALSE),"")</f>
        <v>KANSAS CITY</v>
      </c>
      <c r="M126" t="str">
        <f>IFERROR(VLOOKUP(VALUE(J126),'Site Info'!$A:$G,5,FALSE),"")</f>
        <v>KS</v>
      </c>
      <c r="N126" t="str">
        <f>IFERROR(VLOOKUP(VALUE(J126),'Site Info'!$A:$G,6,FALSE),"")</f>
        <v>66109-0000</v>
      </c>
      <c r="O126">
        <f>IFERROR(VLOOKUP(VALUE(J126),'Site Info'!$A:$G,7,FALSE),"")</f>
        <v>9136930977</v>
      </c>
    </row>
    <row r="127" spans="1:15" x14ac:dyDescent="0.45">
      <c r="A127" t="s">
        <v>12696</v>
      </c>
      <c r="B127" t="s">
        <v>12697</v>
      </c>
      <c r="C127" t="s">
        <v>12698</v>
      </c>
      <c r="D127" t="s">
        <v>1155</v>
      </c>
      <c r="E127" s="1">
        <v>46152.821493055555</v>
      </c>
      <c r="F127">
        <v>1547</v>
      </c>
      <c r="G127" t="s">
        <v>12699</v>
      </c>
      <c r="H127" t="s">
        <v>15</v>
      </c>
      <c r="I127" t="s">
        <v>1157</v>
      </c>
      <c r="J127" t="str">
        <f>RIGHT(D127,4)</f>
        <v>4870</v>
      </c>
      <c r="K127" t="str">
        <f>IFERROR(VLOOKUP(VALUE(J127),'Site Info'!$A:$G,3,FALSE),"")</f>
        <v>10510 PARALLEL PKWY</v>
      </c>
      <c r="L127" t="str">
        <f>IFERROR(VLOOKUP(VALUE(J127),'Site Info'!$A:$G,4,FALSE),"")</f>
        <v>KANSAS CITY</v>
      </c>
      <c r="M127" t="str">
        <f>IFERROR(VLOOKUP(VALUE(J127),'Site Info'!$A:$G,5,FALSE),"")</f>
        <v>KS</v>
      </c>
      <c r="N127" t="str">
        <f>IFERROR(VLOOKUP(VALUE(J127),'Site Info'!$A:$G,6,FALSE),"")</f>
        <v>66109-0000</v>
      </c>
      <c r="O127">
        <f>IFERROR(VLOOKUP(VALUE(J127),'Site Info'!$A:$G,7,FALSE),"")</f>
        <v>9136930977</v>
      </c>
    </row>
    <row r="128" spans="1:15" x14ac:dyDescent="0.45">
      <c r="A128" t="s">
        <v>12798</v>
      </c>
      <c r="B128" t="s">
        <v>12799</v>
      </c>
      <c r="C128" t="s">
        <v>12800</v>
      </c>
      <c r="D128" t="s">
        <v>1155</v>
      </c>
      <c r="E128" s="1">
        <v>46152.945868055554</v>
      </c>
      <c r="F128">
        <v>1547</v>
      </c>
      <c r="G128" t="s">
        <v>12801</v>
      </c>
      <c r="H128" t="s">
        <v>15</v>
      </c>
      <c r="I128" t="s">
        <v>1157</v>
      </c>
      <c r="J128" t="str">
        <f>RIGHT(D128,4)</f>
        <v>4870</v>
      </c>
      <c r="K128" t="str">
        <f>IFERROR(VLOOKUP(VALUE(J128),'Site Info'!$A:$G,3,FALSE),"")</f>
        <v>10510 PARALLEL PKWY</v>
      </c>
      <c r="L128" t="str">
        <f>IFERROR(VLOOKUP(VALUE(J128),'Site Info'!$A:$G,4,FALSE),"")</f>
        <v>KANSAS CITY</v>
      </c>
      <c r="M128" t="str">
        <f>IFERROR(VLOOKUP(VALUE(J128),'Site Info'!$A:$G,5,FALSE),"")</f>
        <v>KS</v>
      </c>
      <c r="N128" t="str">
        <f>IFERROR(VLOOKUP(VALUE(J128),'Site Info'!$A:$G,6,FALSE),"")</f>
        <v>66109-0000</v>
      </c>
      <c r="O128">
        <f>IFERROR(VLOOKUP(VALUE(J128),'Site Info'!$A:$G,7,FALSE),"")</f>
        <v>9136930977</v>
      </c>
    </row>
    <row r="129" spans="1:15" x14ac:dyDescent="0.45">
      <c r="A129" t="s">
        <v>12874</v>
      </c>
      <c r="B129" t="s">
        <v>12875</v>
      </c>
      <c r="C129" t="s">
        <v>12876</v>
      </c>
      <c r="D129" t="s">
        <v>1155</v>
      </c>
      <c r="E129" s="1">
        <v>46153.293368055558</v>
      </c>
      <c r="F129">
        <v>1547</v>
      </c>
      <c r="G129" t="s">
        <v>12877</v>
      </c>
      <c r="H129" t="s">
        <v>15</v>
      </c>
      <c r="I129" t="s">
        <v>1157</v>
      </c>
      <c r="J129" t="str">
        <f>RIGHT(D129,4)</f>
        <v>4870</v>
      </c>
      <c r="K129" t="str">
        <f>IFERROR(VLOOKUP(VALUE(J129),'Site Info'!$A:$G,3,FALSE),"")</f>
        <v>10510 PARALLEL PKWY</v>
      </c>
      <c r="L129" t="str">
        <f>IFERROR(VLOOKUP(VALUE(J129),'Site Info'!$A:$G,4,FALSE),"")</f>
        <v>KANSAS CITY</v>
      </c>
      <c r="M129" t="str">
        <f>IFERROR(VLOOKUP(VALUE(J129),'Site Info'!$A:$G,5,FALSE),"")</f>
        <v>KS</v>
      </c>
      <c r="N129" t="str">
        <f>IFERROR(VLOOKUP(VALUE(J129),'Site Info'!$A:$G,6,FALSE),"")</f>
        <v>66109-0000</v>
      </c>
      <c r="O129">
        <f>IFERROR(VLOOKUP(VALUE(J129),'Site Info'!$A:$G,7,FALSE),"")</f>
        <v>9136930977</v>
      </c>
    </row>
    <row r="130" spans="1:15" x14ac:dyDescent="0.45">
      <c r="A130" t="s">
        <v>1152</v>
      </c>
      <c r="B130" t="s">
        <v>1153</v>
      </c>
      <c r="C130" t="s">
        <v>1154</v>
      </c>
      <c r="D130" t="s">
        <v>1155</v>
      </c>
      <c r="E130" s="1">
        <v>46153.263877314814</v>
      </c>
      <c r="F130">
        <v>1481</v>
      </c>
      <c r="G130" t="s">
        <v>1156</v>
      </c>
      <c r="H130" t="s">
        <v>15</v>
      </c>
      <c r="I130" t="s">
        <v>1157</v>
      </c>
      <c r="J130" t="str">
        <f>RIGHT(D130,4)</f>
        <v>4870</v>
      </c>
      <c r="K130" t="str">
        <f>IFERROR(VLOOKUP(VALUE(J130),'Site Info'!$A:$G,3,FALSE),"")</f>
        <v>10510 PARALLEL PKWY</v>
      </c>
      <c r="L130" t="str">
        <f>IFERROR(VLOOKUP(VALUE(J130),'Site Info'!$A:$G,4,FALSE),"")</f>
        <v>KANSAS CITY</v>
      </c>
      <c r="M130" t="str">
        <f>IFERROR(VLOOKUP(VALUE(J130),'Site Info'!$A:$G,5,FALSE),"")</f>
        <v>KS</v>
      </c>
      <c r="N130" t="str">
        <f>IFERROR(VLOOKUP(VALUE(J130),'Site Info'!$A:$G,6,FALSE),"")</f>
        <v>66109-0000</v>
      </c>
      <c r="O130">
        <f>IFERROR(VLOOKUP(VALUE(J130),'Site Info'!$A:$G,7,FALSE),"")</f>
        <v>9136930977</v>
      </c>
    </row>
    <row r="131" spans="1:15" x14ac:dyDescent="0.45">
      <c r="A131" t="s">
        <v>1376</v>
      </c>
      <c r="B131" t="s">
        <v>1377</v>
      </c>
      <c r="C131" t="s">
        <v>1378</v>
      </c>
      <c r="D131" t="s">
        <v>1155</v>
      </c>
      <c r="E131" s="1">
        <v>46153.366875</v>
      </c>
      <c r="F131">
        <v>1481</v>
      </c>
      <c r="G131" t="s">
        <v>1379</v>
      </c>
      <c r="H131" t="s">
        <v>15</v>
      </c>
      <c r="I131" t="s">
        <v>1157</v>
      </c>
      <c r="J131" t="str">
        <f>RIGHT(D131,4)</f>
        <v>4870</v>
      </c>
      <c r="K131" t="str">
        <f>IFERROR(VLOOKUP(VALUE(J131),'Site Info'!$A:$G,3,FALSE),"")</f>
        <v>10510 PARALLEL PKWY</v>
      </c>
      <c r="L131" t="str">
        <f>IFERROR(VLOOKUP(VALUE(J131),'Site Info'!$A:$G,4,FALSE),"")</f>
        <v>KANSAS CITY</v>
      </c>
      <c r="M131" t="str">
        <f>IFERROR(VLOOKUP(VALUE(J131),'Site Info'!$A:$G,5,FALSE),"")</f>
        <v>KS</v>
      </c>
      <c r="N131" t="str">
        <f>IFERROR(VLOOKUP(VALUE(J131),'Site Info'!$A:$G,6,FALSE),"")</f>
        <v>66109-0000</v>
      </c>
      <c r="O131">
        <f>IFERROR(VLOOKUP(VALUE(J131),'Site Info'!$A:$G,7,FALSE),"")</f>
        <v>9136930977</v>
      </c>
    </row>
    <row r="132" spans="1:15" x14ac:dyDescent="0.45">
      <c r="A132" t="s">
        <v>11412</v>
      </c>
      <c r="B132" t="s">
        <v>11413</v>
      </c>
      <c r="C132" t="s">
        <v>11414</v>
      </c>
      <c r="D132" t="s">
        <v>10938</v>
      </c>
      <c r="E132" s="1">
        <v>46152.237800925926</v>
      </c>
      <c r="F132">
        <v>1547</v>
      </c>
      <c r="G132" t="s">
        <v>11415</v>
      </c>
      <c r="H132" t="s">
        <v>15</v>
      </c>
      <c r="I132" t="s">
        <v>10940</v>
      </c>
      <c r="J132" t="str">
        <f>RIGHT(D132,4)</f>
        <v>6624</v>
      </c>
      <c r="K132" t="str">
        <f>IFERROR(VLOOKUP(VALUE(J132),'Site Info'!$A:$G,3,FALSE),"")</f>
        <v>1055 HARRIMAN PL</v>
      </c>
      <c r="L132" t="str">
        <f>IFERROR(VLOOKUP(VALUE(J132),'Site Info'!$A:$G,4,FALSE),"")</f>
        <v>SAN BERNARDINO</v>
      </c>
      <c r="M132" t="str">
        <f>IFERROR(VLOOKUP(VALUE(J132),'Site Info'!$A:$G,5,FALSE),"")</f>
        <v>CA</v>
      </c>
      <c r="N132" t="str">
        <f>IFERROR(VLOOKUP(VALUE(J132),'Site Info'!$A:$G,6,FALSE),"")</f>
        <v>92408-4203</v>
      </c>
      <c r="O132">
        <f>IFERROR(VLOOKUP(VALUE(J132),'Site Info'!$A:$G,7,FALSE),"")</f>
        <v>9097961505</v>
      </c>
    </row>
    <row r="133" spans="1:15" x14ac:dyDescent="0.45">
      <c r="A133" t="s">
        <v>14135</v>
      </c>
      <c r="B133" t="s">
        <v>14136</v>
      </c>
      <c r="C133" t="s">
        <v>14137</v>
      </c>
      <c r="D133" t="s">
        <v>10938</v>
      </c>
      <c r="E133" s="1">
        <v>46152.798356481479</v>
      </c>
      <c r="F133">
        <v>1547</v>
      </c>
      <c r="G133" t="s">
        <v>14138</v>
      </c>
      <c r="H133" t="s">
        <v>15</v>
      </c>
      <c r="I133" t="s">
        <v>10940</v>
      </c>
      <c r="J133" t="str">
        <f>RIGHT(D133,4)</f>
        <v>6624</v>
      </c>
      <c r="K133" t="str">
        <f>IFERROR(VLOOKUP(VALUE(J133),'Site Info'!$A:$G,3,FALSE),"")</f>
        <v>1055 HARRIMAN PL</v>
      </c>
      <c r="L133" t="str">
        <f>IFERROR(VLOOKUP(VALUE(J133),'Site Info'!$A:$G,4,FALSE),"")</f>
        <v>SAN BERNARDINO</v>
      </c>
      <c r="M133" t="str">
        <f>IFERROR(VLOOKUP(VALUE(J133),'Site Info'!$A:$G,5,FALSE),"")</f>
        <v>CA</v>
      </c>
      <c r="N133" t="str">
        <f>IFERROR(VLOOKUP(VALUE(J133),'Site Info'!$A:$G,6,FALSE),"")</f>
        <v>92408-4203</v>
      </c>
      <c r="O133">
        <f>IFERROR(VLOOKUP(VALUE(J133),'Site Info'!$A:$G,7,FALSE),"")</f>
        <v>9097961505</v>
      </c>
    </row>
    <row r="134" spans="1:15" x14ac:dyDescent="0.45">
      <c r="A134" t="s">
        <v>11098</v>
      </c>
      <c r="B134" t="s">
        <v>11099</v>
      </c>
      <c r="C134" t="s">
        <v>11100</v>
      </c>
      <c r="D134" t="s">
        <v>10938</v>
      </c>
      <c r="E134" s="1">
        <v>46152.961805555555</v>
      </c>
      <c r="F134">
        <v>1547</v>
      </c>
      <c r="G134" t="s">
        <v>11101</v>
      </c>
      <c r="H134" t="s">
        <v>15</v>
      </c>
      <c r="I134" t="s">
        <v>10940</v>
      </c>
      <c r="J134" t="str">
        <f>RIGHT(D134,4)</f>
        <v>6624</v>
      </c>
      <c r="K134" t="str">
        <f>IFERROR(VLOOKUP(VALUE(J134),'Site Info'!$A:$G,3,FALSE),"")</f>
        <v>1055 HARRIMAN PL</v>
      </c>
      <c r="L134" t="str">
        <f>IFERROR(VLOOKUP(VALUE(J134),'Site Info'!$A:$G,4,FALSE),"")</f>
        <v>SAN BERNARDINO</v>
      </c>
      <c r="M134" t="str">
        <f>IFERROR(VLOOKUP(VALUE(J134),'Site Info'!$A:$G,5,FALSE),"")</f>
        <v>CA</v>
      </c>
      <c r="N134" t="str">
        <f>IFERROR(VLOOKUP(VALUE(J134),'Site Info'!$A:$G,6,FALSE),"")</f>
        <v>92408-4203</v>
      </c>
      <c r="O134">
        <f>IFERROR(VLOOKUP(VALUE(J134),'Site Info'!$A:$G,7,FALSE),"")</f>
        <v>9097961505</v>
      </c>
    </row>
    <row r="135" spans="1:15" x14ac:dyDescent="0.45">
      <c r="A135" t="s">
        <v>11248</v>
      </c>
      <c r="B135" t="s">
        <v>11249</v>
      </c>
      <c r="C135" t="s">
        <v>11250</v>
      </c>
      <c r="D135" t="s">
        <v>10938</v>
      </c>
      <c r="E135" s="1">
        <v>46153.303657407407</v>
      </c>
      <c r="F135">
        <v>1547</v>
      </c>
      <c r="G135" t="s">
        <v>11251</v>
      </c>
      <c r="H135" t="s">
        <v>15</v>
      </c>
      <c r="I135" t="s">
        <v>10940</v>
      </c>
      <c r="J135" t="str">
        <f>RIGHT(D135,4)</f>
        <v>6624</v>
      </c>
      <c r="K135" t="str">
        <f>IFERROR(VLOOKUP(VALUE(J135),'Site Info'!$A:$G,3,FALSE),"")</f>
        <v>1055 HARRIMAN PL</v>
      </c>
      <c r="L135" t="str">
        <f>IFERROR(VLOOKUP(VALUE(J135),'Site Info'!$A:$G,4,FALSE),"")</f>
        <v>SAN BERNARDINO</v>
      </c>
      <c r="M135" t="str">
        <f>IFERROR(VLOOKUP(VALUE(J135),'Site Info'!$A:$G,5,FALSE),"")</f>
        <v>CA</v>
      </c>
      <c r="N135" t="str">
        <f>IFERROR(VLOOKUP(VALUE(J135),'Site Info'!$A:$G,6,FALSE),"")</f>
        <v>92408-4203</v>
      </c>
      <c r="O135">
        <f>IFERROR(VLOOKUP(VALUE(J135),'Site Info'!$A:$G,7,FALSE),"")</f>
        <v>9097961505</v>
      </c>
    </row>
    <row r="136" spans="1:15" x14ac:dyDescent="0.45">
      <c r="A136" t="s">
        <v>10935</v>
      </c>
      <c r="B136" t="s">
        <v>10936</v>
      </c>
      <c r="C136" t="s">
        <v>10937</v>
      </c>
      <c r="D136" t="s">
        <v>10938</v>
      </c>
      <c r="E136" s="1">
        <v>46153.312106481484</v>
      </c>
      <c r="F136">
        <v>1547</v>
      </c>
      <c r="G136" t="s">
        <v>10939</v>
      </c>
      <c r="H136" t="s">
        <v>15</v>
      </c>
      <c r="I136" t="s">
        <v>10940</v>
      </c>
      <c r="J136" t="str">
        <f>RIGHT(D136,4)</f>
        <v>6624</v>
      </c>
      <c r="K136" t="str">
        <f>IFERROR(VLOOKUP(VALUE(J136),'Site Info'!$A:$G,3,FALSE),"")</f>
        <v>1055 HARRIMAN PL</v>
      </c>
      <c r="L136" t="str">
        <f>IFERROR(VLOOKUP(VALUE(J136),'Site Info'!$A:$G,4,FALSE),"")</f>
        <v>SAN BERNARDINO</v>
      </c>
      <c r="M136" t="str">
        <f>IFERROR(VLOOKUP(VALUE(J136),'Site Info'!$A:$G,5,FALSE),"")</f>
        <v>CA</v>
      </c>
      <c r="N136" t="str">
        <f>IFERROR(VLOOKUP(VALUE(J136),'Site Info'!$A:$G,6,FALSE),"")</f>
        <v>92408-4203</v>
      </c>
      <c r="O136">
        <f>IFERROR(VLOOKUP(VALUE(J136),'Site Info'!$A:$G,7,FALSE),"")</f>
        <v>9097961505</v>
      </c>
    </row>
    <row r="137" spans="1:15" x14ac:dyDescent="0.45">
      <c r="A137" t="s">
        <v>16427</v>
      </c>
      <c r="B137" t="s">
        <v>16983</v>
      </c>
      <c r="C137" t="s">
        <v>16984</v>
      </c>
      <c r="D137" t="s">
        <v>10938</v>
      </c>
      <c r="E137" s="1">
        <v>46151.746736111112</v>
      </c>
      <c r="F137">
        <v>1628</v>
      </c>
      <c r="G137" t="s">
        <v>16985</v>
      </c>
      <c r="H137" t="s">
        <v>13988</v>
      </c>
      <c r="I137" t="s">
        <v>10940</v>
      </c>
      <c r="J137" t="str">
        <f>RIGHT(D137,4)</f>
        <v>6624</v>
      </c>
      <c r="K137" t="str">
        <f>IFERROR(VLOOKUP(VALUE(J137),'Site Info'!$A:$G,3,FALSE),"")</f>
        <v>1055 HARRIMAN PL</v>
      </c>
      <c r="L137" t="str">
        <f>IFERROR(VLOOKUP(VALUE(J137),'Site Info'!$A:$G,4,FALSE),"")</f>
        <v>SAN BERNARDINO</v>
      </c>
      <c r="M137" t="str">
        <f>IFERROR(VLOOKUP(VALUE(J137),'Site Info'!$A:$G,5,FALSE),"")</f>
        <v>CA</v>
      </c>
      <c r="N137" t="str">
        <f>IFERROR(VLOOKUP(VALUE(J137),'Site Info'!$A:$G,6,FALSE),"")</f>
        <v>92408-4203</v>
      </c>
      <c r="O137">
        <f>IFERROR(VLOOKUP(VALUE(J137),'Site Info'!$A:$G,7,FALSE),"")</f>
        <v>9097961505</v>
      </c>
    </row>
    <row r="138" spans="1:15" x14ac:dyDescent="0.45">
      <c r="A138" t="s">
        <v>5396</v>
      </c>
      <c r="B138" t="s">
        <v>5397</v>
      </c>
      <c r="C138" t="s">
        <v>5398</v>
      </c>
      <c r="D138" t="s">
        <v>3132</v>
      </c>
      <c r="E138" s="1">
        <v>46152.51635416667</v>
      </c>
      <c r="F138">
        <v>1547</v>
      </c>
      <c r="G138" t="s">
        <v>5399</v>
      </c>
      <c r="H138" t="s">
        <v>15</v>
      </c>
      <c r="I138" t="s">
        <v>3134</v>
      </c>
      <c r="J138" t="str">
        <f>RIGHT(D138,4)</f>
        <v>6682</v>
      </c>
      <c r="K138" t="str">
        <f>IFERROR(VLOOKUP(VALUE(J138),'Site Info'!$A:$G,3,FALSE),"")</f>
        <v>1055 W HILL FIELD RD</v>
      </c>
      <c r="L138" t="str">
        <f>IFERROR(VLOOKUP(VALUE(J138),'Site Info'!$A:$G,4,FALSE),"")</f>
        <v>LAYTON</v>
      </c>
      <c r="M138" t="str">
        <f>IFERROR(VLOOKUP(VALUE(J138),'Site Info'!$A:$G,5,FALSE),"")</f>
        <v>UT</v>
      </c>
      <c r="N138" t="str">
        <f>IFERROR(VLOOKUP(VALUE(J138),'Site Info'!$A:$G,6,FALSE),"")</f>
        <v>84041-4614</v>
      </c>
      <c r="O138">
        <f>IFERROR(VLOOKUP(VALUE(J138),'Site Info'!$A:$G,7,FALSE),"")</f>
        <v>8015465206</v>
      </c>
    </row>
    <row r="139" spans="1:15" x14ac:dyDescent="0.45">
      <c r="A139" t="s">
        <v>5284</v>
      </c>
      <c r="B139" t="s">
        <v>5285</v>
      </c>
      <c r="C139" t="s">
        <v>5286</v>
      </c>
      <c r="D139" t="s">
        <v>3132</v>
      </c>
      <c r="E139" s="1">
        <v>46152.815925925926</v>
      </c>
      <c r="F139">
        <v>1547</v>
      </c>
      <c r="G139" t="s">
        <v>5287</v>
      </c>
      <c r="H139" t="s">
        <v>15</v>
      </c>
      <c r="I139" t="s">
        <v>3134</v>
      </c>
      <c r="J139" t="str">
        <f>RIGHT(D139,4)</f>
        <v>6682</v>
      </c>
      <c r="K139" t="str">
        <f>IFERROR(VLOOKUP(VALUE(J139),'Site Info'!$A:$G,3,FALSE),"")</f>
        <v>1055 W HILL FIELD RD</v>
      </c>
      <c r="L139" t="str">
        <f>IFERROR(VLOOKUP(VALUE(J139),'Site Info'!$A:$G,4,FALSE),"")</f>
        <v>LAYTON</v>
      </c>
      <c r="M139" t="str">
        <f>IFERROR(VLOOKUP(VALUE(J139),'Site Info'!$A:$G,5,FALSE),"")</f>
        <v>UT</v>
      </c>
      <c r="N139" t="str">
        <f>IFERROR(VLOOKUP(VALUE(J139),'Site Info'!$A:$G,6,FALSE),"")</f>
        <v>84041-4614</v>
      </c>
      <c r="O139">
        <f>IFERROR(VLOOKUP(VALUE(J139),'Site Info'!$A:$G,7,FALSE),"")</f>
        <v>8015465206</v>
      </c>
    </row>
    <row r="140" spans="1:15" x14ac:dyDescent="0.45">
      <c r="A140" t="s">
        <v>4998</v>
      </c>
      <c r="B140" t="s">
        <v>4999</v>
      </c>
      <c r="C140" t="s">
        <v>5000</v>
      </c>
      <c r="D140" t="s">
        <v>3132</v>
      </c>
      <c r="E140" s="1">
        <v>46152.893483796295</v>
      </c>
      <c r="F140">
        <v>1547</v>
      </c>
      <c r="G140" t="s">
        <v>5001</v>
      </c>
      <c r="H140" t="s">
        <v>15</v>
      </c>
      <c r="I140" t="s">
        <v>3134</v>
      </c>
      <c r="J140" t="str">
        <f>RIGHT(D140,4)</f>
        <v>6682</v>
      </c>
      <c r="K140" t="str">
        <f>IFERROR(VLOOKUP(VALUE(J140),'Site Info'!$A:$G,3,FALSE),"")</f>
        <v>1055 W HILL FIELD RD</v>
      </c>
      <c r="L140" t="str">
        <f>IFERROR(VLOOKUP(VALUE(J140),'Site Info'!$A:$G,4,FALSE),"")</f>
        <v>LAYTON</v>
      </c>
      <c r="M140" t="str">
        <f>IFERROR(VLOOKUP(VALUE(J140),'Site Info'!$A:$G,5,FALSE),"")</f>
        <v>UT</v>
      </c>
      <c r="N140" t="str">
        <f>IFERROR(VLOOKUP(VALUE(J140),'Site Info'!$A:$G,6,FALSE),"")</f>
        <v>84041-4614</v>
      </c>
      <c r="O140">
        <f>IFERROR(VLOOKUP(VALUE(J140),'Site Info'!$A:$G,7,FALSE),"")</f>
        <v>8015465206</v>
      </c>
    </row>
    <row r="141" spans="1:15" x14ac:dyDescent="0.45">
      <c r="A141" t="s">
        <v>5336</v>
      </c>
      <c r="B141" t="s">
        <v>5337</v>
      </c>
      <c r="C141" t="s">
        <v>5338</v>
      </c>
      <c r="D141" t="s">
        <v>3132</v>
      </c>
      <c r="E141" s="1">
        <v>46153.359247685185</v>
      </c>
      <c r="F141">
        <v>1547</v>
      </c>
      <c r="G141" t="s">
        <v>5339</v>
      </c>
      <c r="H141" t="s">
        <v>15</v>
      </c>
      <c r="I141" t="s">
        <v>3134</v>
      </c>
      <c r="J141" t="str">
        <f>RIGHT(D141,4)</f>
        <v>6682</v>
      </c>
      <c r="K141" t="str">
        <f>IFERROR(VLOOKUP(VALUE(J141),'Site Info'!$A:$G,3,FALSE),"")</f>
        <v>1055 W HILL FIELD RD</v>
      </c>
      <c r="L141" t="str">
        <f>IFERROR(VLOOKUP(VALUE(J141),'Site Info'!$A:$G,4,FALSE),"")</f>
        <v>LAYTON</v>
      </c>
      <c r="M141" t="str">
        <f>IFERROR(VLOOKUP(VALUE(J141),'Site Info'!$A:$G,5,FALSE),"")</f>
        <v>UT</v>
      </c>
      <c r="N141" t="str">
        <f>IFERROR(VLOOKUP(VALUE(J141),'Site Info'!$A:$G,6,FALSE),"")</f>
        <v>84041-4614</v>
      </c>
      <c r="O141">
        <f>IFERROR(VLOOKUP(VALUE(J141),'Site Info'!$A:$G,7,FALSE),"")</f>
        <v>8015465206</v>
      </c>
    </row>
    <row r="142" spans="1:15" x14ac:dyDescent="0.45">
      <c r="A142" t="s">
        <v>3641</v>
      </c>
      <c r="B142" t="s">
        <v>3642</v>
      </c>
      <c r="C142" t="s">
        <v>3643</v>
      </c>
      <c r="D142" t="s">
        <v>3132</v>
      </c>
      <c r="E142" s="1">
        <v>46151.422314814816</v>
      </c>
      <c r="F142">
        <v>1481</v>
      </c>
      <c r="G142" t="s">
        <v>3644</v>
      </c>
      <c r="H142" t="s">
        <v>15</v>
      </c>
      <c r="I142" t="s">
        <v>3134</v>
      </c>
      <c r="J142" t="str">
        <f>RIGHT(D142,4)</f>
        <v>6682</v>
      </c>
      <c r="K142" t="str">
        <f>IFERROR(VLOOKUP(VALUE(J142),'Site Info'!$A:$G,3,FALSE),"")</f>
        <v>1055 W HILL FIELD RD</v>
      </c>
      <c r="L142" t="str">
        <f>IFERROR(VLOOKUP(VALUE(J142),'Site Info'!$A:$G,4,FALSE),"")</f>
        <v>LAYTON</v>
      </c>
      <c r="M142" t="str">
        <f>IFERROR(VLOOKUP(VALUE(J142),'Site Info'!$A:$G,5,FALSE),"")</f>
        <v>UT</v>
      </c>
      <c r="N142" t="str">
        <f>IFERROR(VLOOKUP(VALUE(J142),'Site Info'!$A:$G,6,FALSE),"")</f>
        <v>84041-4614</v>
      </c>
      <c r="O142">
        <f>IFERROR(VLOOKUP(VALUE(J142),'Site Info'!$A:$G,7,FALSE),"")</f>
        <v>8015465206</v>
      </c>
    </row>
    <row r="143" spans="1:15" x14ac:dyDescent="0.45">
      <c r="A143" t="s">
        <v>3129</v>
      </c>
      <c r="B143" t="s">
        <v>3130</v>
      </c>
      <c r="C143" t="s">
        <v>3131</v>
      </c>
      <c r="D143" t="s">
        <v>3132</v>
      </c>
      <c r="E143" s="1">
        <v>46153.341331018521</v>
      </c>
      <c r="F143">
        <v>1481</v>
      </c>
      <c r="G143" t="s">
        <v>3133</v>
      </c>
      <c r="H143" t="s">
        <v>15</v>
      </c>
      <c r="I143" t="s">
        <v>3134</v>
      </c>
      <c r="J143" t="str">
        <f>RIGHT(D143,4)</f>
        <v>6682</v>
      </c>
      <c r="K143" t="str">
        <f>IFERROR(VLOOKUP(VALUE(J143),'Site Info'!$A:$G,3,FALSE),"")</f>
        <v>1055 W HILL FIELD RD</v>
      </c>
      <c r="L143" t="str">
        <f>IFERROR(VLOOKUP(VALUE(J143),'Site Info'!$A:$G,4,FALSE),"")</f>
        <v>LAYTON</v>
      </c>
      <c r="M143" t="str">
        <f>IFERROR(VLOOKUP(VALUE(J143),'Site Info'!$A:$G,5,FALSE),"")</f>
        <v>UT</v>
      </c>
      <c r="N143" t="str">
        <f>IFERROR(VLOOKUP(VALUE(J143),'Site Info'!$A:$G,6,FALSE),"")</f>
        <v>84041-4614</v>
      </c>
      <c r="O143">
        <f>IFERROR(VLOOKUP(VALUE(J143),'Site Info'!$A:$G,7,FALSE),"")</f>
        <v>8015465206</v>
      </c>
    </row>
    <row r="144" spans="1:15" x14ac:dyDescent="0.45">
      <c r="A144" t="s">
        <v>14515</v>
      </c>
      <c r="B144" t="s">
        <v>14516</v>
      </c>
      <c r="C144" t="s">
        <v>14517</v>
      </c>
      <c r="D144" t="s">
        <v>7354</v>
      </c>
      <c r="E144" s="1">
        <v>46103.573576388888</v>
      </c>
      <c r="F144">
        <v>1863</v>
      </c>
      <c r="G144" t="s">
        <v>14518</v>
      </c>
      <c r="H144" t="s">
        <v>136</v>
      </c>
      <c r="I144" t="s">
        <v>7356</v>
      </c>
      <c r="J144" t="str">
        <f>RIGHT(D144,4)</f>
        <v>4703</v>
      </c>
      <c r="K144" t="str">
        <f>IFERROR(VLOOKUP(VALUE(J144),'Site Info'!$A:$G,3,FALSE),"")</f>
        <v>10600 COORS BLVD BYPASS NW</v>
      </c>
      <c r="L144" t="str">
        <f>IFERROR(VLOOKUP(VALUE(J144),'Site Info'!$A:$G,4,FALSE),"")</f>
        <v>ALBUQUERQUE</v>
      </c>
      <c r="M144" t="str">
        <f>IFERROR(VLOOKUP(VALUE(J144),'Site Info'!$A:$G,5,FALSE),"")</f>
        <v>NM</v>
      </c>
      <c r="N144" t="str">
        <f>IFERROR(VLOOKUP(VALUE(J144),'Site Info'!$A:$G,6,FALSE),"")</f>
        <v>87114-3930</v>
      </c>
      <c r="O144">
        <f>IFERROR(VLOOKUP(VALUE(J144),'Site Info'!$A:$G,7,FALSE),"")</f>
        <v>5059220046</v>
      </c>
    </row>
    <row r="145" spans="1:15" x14ac:dyDescent="0.45">
      <c r="A145" t="s">
        <v>8681</v>
      </c>
      <c r="B145" t="s">
        <v>8682</v>
      </c>
      <c r="C145" t="s">
        <v>8683</v>
      </c>
      <c r="D145" t="s">
        <v>7354</v>
      </c>
      <c r="E145" s="1">
        <v>46151.707858796297</v>
      </c>
      <c r="F145">
        <v>1547</v>
      </c>
      <c r="G145" t="s">
        <v>8684</v>
      </c>
      <c r="H145" t="s">
        <v>15</v>
      </c>
      <c r="I145" t="s">
        <v>7356</v>
      </c>
      <c r="J145" t="str">
        <f>RIGHT(D145,4)</f>
        <v>4703</v>
      </c>
      <c r="K145" t="str">
        <f>IFERROR(VLOOKUP(VALUE(J145),'Site Info'!$A:$G,3,FALSE),"")</f>
        <v>10600 COORS BLVD BYPASS NW</v>
      </c>
      <c r="L145" t="str">
        <f>IFERROR(VLOOKUP(VALUE(J145),'Site Info'!$A:$G,4,FALSE),"")</f>
        <v>ALBUQUERQUE</v>
      </c>
      <c r="M145" t="str">
        <f>IFERROR(VLOOKUP(VALUE(J145),'Site Info'!$A:$G,5,FALSE),"")</f>
        <v>NM</v>
      </c>
      <c r="N145" t="str">
        <f>IFERROR(VLOOKUP(VALUE(J145),'Site Info'!$A:$G,6,FALSE),"")</f>
        <v>87114-3930</v>
      </c>
      <c r="O145">
        <f>IFERROR(VLOOKUP(VALUE(J145),'Site Info'!$A:$G,7,FALSE),"")</f>
        <v>5059220046</v>
      </c>
    </row>
    <row r="146" spans="1:15" x14ac:dyDescent="0.45">
      <c r="A146" t="s">
        <v>8615</v>
      </c>
      <c r="B146" t="s">
        <v>8616</v>
      </c>
      <c r="C146" t="s">
        <v>8617</v>
      </c>
      <c r="D146" t="s">
        <v>7354</v>
      </c>
      <c r="E146" s="1">
        <v>46152.70716435185</v>
      </c>
      <c r="F146">
        <v>1547</v>
      </c>
      <c r="G146" t="s">
        <v>8618</v>
      </c>
      <c r="H146" t="s">
        <v>15</v>
      </c>
      <c r="I146" t="s">
        <v>7356</v>
      </c>
      <c r="J146" t="str">
        <f>RIGHT(D146,4)</f>
        <v>4703</v>
      </c>
      <c r="K146" t="str">
        <f>IFERROR(VLOOKUP(VALUE(J146),'Site Info'!$A:$G,3,FALSE),"")</f>
        <v>10600 COORS BLVD BYPASS NW</v>
      </c>
      <c r="L146" t="str">
        <f>IFERROR(VLOOKUP(VALUE(J146),'Site Info'!$A:$G,4,FALSE),"")</f>
        <v>ALBUQUERQUE</v>
      </c>
      <c r="M146" t="str">
        <f>IFERROR(VLOOKUP(VALUE(J146),'Site Info'!$A:$G,5,FALSE),"")</f>
        <v>NM</v>
      </c>
      <c r="N146" t="str">
        <f>IFERROR(VLOOKUP(VALUE(J146),'Site Info'!$A:$G,6,FALSE),"")</f>
        <v>87114-3930</v>
      </c>
      <c r="O146">
        <f>IFERROR(VLOOKUP(VALUE(J146),'Site Info'!$A:$G,7,FALSE),"")</f>
        <v>5059220046</v>
      </c>
    </row>
    <row r="147" spans="1:15" x14ac:dyDescent="0.45">
      <c r="A147" t="s">
        <v>14079</v>
      </c>
      <c r="B147" t="s">
        <v>14080</v>
      </c>
      <c r="C147" t="s">
        <v>14081</v>
      </c>
      <c r="D147" t="s">
        <v>7354</v>
      </c>
      <c r="E147" s="1">
        <v>46152.959224537037</v>
      </c>
      <c r="F147">
        <v>1547</v>
      </c>
      <c r="G147" t="s">
        <v>14082</v>
      </c>
      <c r="H147" t="s">
        <v>15</v>
      </c>
      <c r="I147" t="s">
        <v>7356</v>
      </c>
      <c r="J147" t="str">
        <f>RIGHT(D147,4)</f>
        <v>4703</v>
      </c>
      <c r="K147" t="str">
        <f>IFERROR(VLOOKUP(VALUE(J147),'Site Info'!$A:$G,3,FALSE),"")</f>
        <v>10600 COORS BLVD BYPASS NW</v>
      </c>
      <c r="L147" t="str">
        <f>IFERROR(VLOOKUP(VALUE(J147),'Site Info'!$A:$G,4,FALSE),"")</f>
        <v>ALBUQUERQUE</v>
      </c>
      <c r="M147" t="str">
        <f>IFERROR(VLOOKUP(VALUE(J147),'Site Info'!$A:$G,5,FALSE),"")</f>
        <v>NM</v>
      </c>
      <c r="N147" t="str">
        <f>IFERROR(VLOOKUP(VALUE(J147),'Site Info'!$A:$G,6,FALSE),"")</f>
        <v>87114-3930</v>
      </c>
      <c r="O147">
        <f>IFERROR(VLOOKUP(VALUE(J147),'Site Info'!$A:$G,7,FALSE),"")</f>
        <v>5059220046</v>
      </c>
    </row>
    <row r="148" spans="1:15" x14ac:dyDescent="0.45">
      <c r="A148" t="s">
        <v>7351</v>
      </c>
      <c r="B148" t="s">
        <v>7352</v>
      </c>
      <c r="C148" t="s">
        <v>7353</v>
      </c>
      <c r="D148" t="s">
        <v>7354</v>
      </c>
      <c r="E148" s="1">
        <v>46153.220625000002</v>
      </c>
      <c r="F148">
        <v>1547</v>
      </c>
      <c r="G148" t="s">
        <v>7355</v>
      </c>
      <c r="H148" t="s">
        <v>15</v>
      </c>
      <c r="I148" t="s">
        <v>7356</v>
      </c>
      <c r="J148" t="str">
        <f>RIGHT(D148,4)</f>
        <v>4703</v>
      </c>
      <c r="K148" t="str">
        <f>IFERROR(VLOOKUP(VALUE(J148),'Site Info'!$A:$G,3,FALSE),"")</f>
        <v>10600 COORS BLVD BYPASS NW</v>
      </c>
      <c r="L148" t="str">
        <f>IFERROR(VLOOKUP(VALUE(J148),'Site Info'!$A:$G,4,FALSE),"")</f>
        <v>ALBUQUERQUE</v>
      </c>
      <c r="M148" t="str">
        <f>IFERROR(VLOOKUP(VALUE(J148),'Site Info'!$A:$G,5,FALSE),"")</f>
        <v>NM</v>
      </c>
      <c r="N148" t="str">
        <f>IFERROR(VLOOKUP(VALUE(J148),'Site Info'!$A:$G,6,FALSE),"")</f>
        <v>87114-3930</v>
      </c>
      <c r="O148">
        <f>IFERROR(VLOOKUP(VALUE(J148),'Site Info'!$A:$G,7,FALSE),"")</f>
        <v>5059220046</v>
      </c>
    </row>
    <row r="149" spans="1:15" x14ac:dyDescent="0.45">
      <c r="A149" t="s">
        <v>10949</v>
      </c>
      <c r="B149" t="s">
        <v>10950</v>
      </c>
      <c r="C149" t="s">
        <v>10951</v>
      </c>
      <c r="D149" t="s">
        <v>2584</v>
      </c>
      <c r="E149" s="1">
        <v>46151.7580787037</v>
      </c>
      <c r="F149">
        <v>1547</v>
      </c>
      <c r="G149" t="s">
        <v>10952</v>
      </c>
      <c r="H149" t="s">
        <v>15</v>
      </c>
      <c r="I149" t="s">
        <v>2586</v>
      </c>
      <c r="J149" t="str">
        <f>RIGHT(D149,4)</f>
        <v>6646</v>
      </c>
      <c r="K149" t="str">
        <f>IFERROR(VLOOKUP(VALUE(J149),'Site Info'!$A:$G,3,FALSE),"")</f>
        <v>10600 DAVIS DR</v>
      </c>
      <c r="L149" t="str">
        <f>IFERROR(VLOOKUP(VALUE(J149),'Site Info'!$A:$G,4,FALSE),"")</f>
        <v>ALPHARETTA</v>
      </c>
      <c r="M149" t="str">
        <f>IFERROR(VLOOKUP(VALUE(J149),'Site Info'!$A:$G,5,FALSE),"")</f>
        <v>GA</v>
      </c>
      <c r="N149" t="str">
        <f>IFERROR(VLOOKUP(VALUE(J149),'Site Info'!$A:$G,6,FALSE),"")</f>
        <v>30009-4746</v>
      </c>
      <c r="O149">
        <f>IFERROR(VLOOKUP(VALUE(J149),'Site Info'!$A:$G,7,FALSE),"")</f>
        <v>7709924568</v>
      </c>
    </row>
    <row r="150" spans="1:15" x14ac:dyDescent="0.45">
      <c r="A150" t="s">
        <v>10985</v>
      </c>
      <c r="B150" t="s">
        <v>10986</v>
      </c>
      <c r="C150" t="s">
        <v>10987</v>
      </c>
      <c r="D150" t="s">
        <v>2584</v>
      </c>
      <c r="E150" s="1">
        <v>46152.751967592594</v>
      </c>
      <c r="F150">
        <v>1547</v>
      </c>
      <c r="G150" t="s">
        <v>10988</v>
      </c>
      <c r="H150" t="s">
        <v>15</v>
      </c>
      <c r="I150" t="s">
        <v>2586</v>
      </c>
      <c r="J150" t="str">
        <f>RIGHT(D150,4)</f>
        <v>6646</v>
      </c>
      <c r="K150" t="str">
        <f>IFERROR(VLOOKUP(VALUE(J150),'Site Info'!$A:$G,3,FALSE),"")</f>
        <v>10600 DAVIS DR</v>
      </c>
      <c r="L150" t="str">
        <f>IFERROR(VLOOKUP(VALUE(J150),'Site Info'!$A:$G,4,FALSE),"")</f>
        <v>ALPHARETTA</v>
      </c>
      <c r="M150" t="str">
        <f>IFERROR(VLOOKUP(VALUE(J150),'Site Info'!$A:$G,5,FALSE),"")</f>
        <v>GA</v>
      </c>
      <c r="N150" t="str">
        <f>IFERROR(VLOOKUP(VALUE(J150),'Site Info'!$A:$G,6,FALSE),"")</f>
        <v>30009-4746</v>
      </c>
      <c r="O150">
        <f>IFERROR(VLOOKUP(VALUE(J150),'Site Info'!$A:$G,7,FALSE),"")</f>
        <v>7709924568</v>
      </c>
    </row>
    <row r="151" spans="1:15" x14ac:dyDescent="0.45">
      <c r="A151" t="s">
        <v>10965</v>
      </c>
      <c r="B151" t="s">
        <v>10966</v>
      </c>
      <c r="C151" t="s">
        <v>10967</v>
      </c>
      <c r="D151" t="s">
        <v>2584</v>
      </c>
      <c r="E151" s="1">
        <v>46152.966122685182</v>
      </c>
      <c r="F151">
        <v>1547</v>
      </c>
      <c r="G151" t="s">
        <v>10968</v>
      </c>
      <c r="H151" t="s">
        <v>15</v>
      </c>
      <c r="I151" t="s">
        <v>2586</v>
      </c>
      <c r="J151" t="str">
        <f>RIGHT(D151,4)</f>
        <v>6646</v>
      </c>
      <c r="K151" t="str">
        <f>IFERROR(VLOOKUP(VALUE(J151),'Site Info'!$A:$G,3,FALSE),"")</f>
        <v>10600 DAVIS DR</v>
      </c>
      <c r="L151" t="str">
        <f>IFERROR(VLOOKUP(VALUE(J151),'Site Info'!$A:$G,4,FALSE),"")</f>
        <v>ALPHARETTA</v>
      </c>
      <c r="M151" t="str">
        <f>IFERROR(VLOOKUP(VALUE(J151),'Site Info'!$A:$G,5,FALSE),"")</f>
        <v>GA</v>
      </c>
      <c r="N151" t="str">
        <f>IFERROR(VLOOKUP(VALUE(J151),'Site Info'!$A:$G,6,FALSE),"")</f>
        <v>30009-4746</v>
      </c>
      <c r="O151">
        <f>IFERROR(VLOOKUP(VALUE(J151),'Site Info'!$A:$G,7,FALSE),"")</f>
        <v>7709924568</v>
      </c>
    </row>
    <row r="152" spans="1:15" x14ac:dyDescent="0.45">
      <c r="A152" t="s">
        <v>10274</v>
      </c>
      <c r="B152" t="s">
        <v>10275</v>
      </c>
      <c r="C152" t="s">
        <v>10276</v>
      </c>
      <c r="D152" t="s">
        <v>2584</v>
      </c>
      <c r="E152" s="1">
        <v>46153.290567129632</v>
      </c>
      <c r="F152">
        <v>1547</v>
      </c>
      <c r="G152" t="s">
        <v>10277</v>
      </c>
      <c r="H152" t="s">
        <v>15</v>
      </c>
      <c r="I152" t="s">
        <v>2586</v>
      </c>
      <c r="J152" t="str">
        <f>RIGHT(D152,4)</f>
        <v>6646</v>
      </c>
      <c r="K152" t="str">
        <f>IFERROR(VLOOKUP(VALUE(J152),'Site Info'!$A:$G,3,FALSE),"")</f>
        <v>10600 DAVIS DR</v>
      </c>
      <c r="L152" t="str">
        <f>IFERROR(VLOOKUP(VALUE(J152),'Site Info'!$A:$G,4,FALSE),"")</f>
        <v>ALPHARETTA</v>
      </c>
      <c r="M152" t="str">
        <f>IFERROR(VLOOKUP(VALUE(J152),'Site Info'!$A:$G,5,FALSE),"")</f>
        <v>GA</v>
      </c>
      <c r="N152" t="str">
        <f>IFERROR(VLOOKUP(VALUE(J152),'Site Info'!$A:$G,6,FALSE),"")</f>
        <v>30009-4746</v>
      </c>
      <c r="O152">
        <f>IFERROR(VLOOKUP(VALUE(J152),'Site Info'!$A:$G,7,FALSE),"")</f>
        <v>7709924568</v>
      </c>
    </row>
    <row r="153" spans="1:15" x14ac:dyDescent="0.45">
      <c r="A153" t="s">
        <v>10981</v>
      </c>
      <c r="B153" t="s">
        <v>10982</v>
      </c>
      <c r="C153" t="s">
        <v>10983</v>
      </c>
      <c r="D153" t="s">
        <v>2584</v>
      </c>
      <c r="E153" s="1">
        <v>46153.325254629628</v>
      </c>
      <c r="F153">
        <v>1547</v>
      </c>
      <c r="G153" t="s">
        <v>10984</v>
      </c>
      <c r="H153" t="s">
        <v>15</v>
      </c>
      <c r="I153" t="s">
        <v>2586</v>
      </c>
      <c r="J153" t="str">
        <f>RIGHT(D153,4)</f>
        <v>6646</v>
      </c>
      <c r="K153" t="str">
        <f>IFERROR(VLOOKUP(VALUE(J153),'Site Info'!$A:$G,3,FALSE),"")</f>
        <v>10600 DAVIS DR</v>
      </c>
      <c r="L153" t="str">
        <f>IFERROR(VLOOKUP(VALUE(J153),'Site Info'!$A:$G,4,FALSE),"")</f>
        <v>ALPHARETTA</v>
      </c>
      <c r="M153" t="str">
        <f>IFERROR(VLOOKUP(VALUE(J153),'Site Info'!$A:$G,5,FALSE),"")</f>
        <v>GA</v>
      </c>
      <c r="N153" t="str">
        <f>IFERROR(VLOOKUP(VALUE(J153),'Site Info'!$A:$G,6,FALSE),"")</f>
        <v>30009-4746</v>
      </c>
      <c r="O153">
        <f>IFERROR(VLOOKUP(VALUE(J153),'Site Info'!$A:$G,7,FALSE),"")</f>
        <v>7709924568</v>
      </c>
    </row>
    <row r="154" spans="1:15" x14ac:dyDescent="0.45">
      <c r="A154" t="s">
        <v>3775</v>
      </c>
      <c r="B154" t="s">
        <v>3776</v>
      </c>
      <c r="C154" t="s">
        <v>3777</v>
      </c>
      <c r="D154" t="s">
        <v>2584</v>
      </c>
      <c r="E154" s="1">
        <v>46149.374606481484</v>
      </c>
      <c r="F154">
        <v>1481</v>
      </c>
      <c r="G154" t="s">
        <v>3778</v>
      </c>
      <c r="H154" t="s">
        <v>15</v>
      </c>
      <c r="I154" t="s">
        <v>2586</v>
      </c>
      <c r="J154" t="str">
        <f>RIGHT(D154,4)</f>
        <v>6646</v>
      </c>
      <c r="K154" t="str">
        <f>IFERROR(VLOOKUP(VALUE(J154),'Site Info'!$A:$G,3,FALSE),"")</f>
        <v>10600 DAVIS DR</v>
      </c>
      <c r="L154" t="str">
        <f>IFERROR(VLOOKUP(VALUE(J154),'Site Info'!$A:$G,4,FALSE),"")</f>
        <v>ALPHARETTA</v>
      </c>
      <c r="M154" t="str">
        <f>IFERROR(VLOOKUP(VALUE(J154),'Site Info'!$A:$G,5,FALSE),"")</f>
        <v>GA</v>
      </c>
      <c r="N154" t="str">
        <f>IFERROR(VLOOKUP(VALUE(J154),'Site Info'!$A:$G,6,FALSE),"")</f>
        <v>30009-4746</v>
      </c>
      <c r="O154">
        <f>IFERROR(VLOOKUP(VALUE(J154),'Site Info'!$A:$G,7,FALSE),"")</f>
        <v>7709924568</v>
      </c>
    </row>
    <row r="155" spans="1:15" x14ac:dyDescent="0.45">
      <c r="A155" t="s">
        <v>2581</v>
      </c>
      <c r="B155" t="s">
        <v>2582</v>
      </c>
      <c r="C155" t="s">
        <v>2583</v>
      </c>
      <c r="D155" t="s">
        <v>2584</v>
      </c>
      <c r="E155" s="1">
        <v>46152.91333333333</v>
      </c>
      <c r="F155">
        <v>1481</v>
      </c>
      <c r="G155" t="s">
        <v>2585</v>
      </c>
      <c r="H155" t="s">
        <v>15</v>
      </c>
      <c r="I155" t="s">
        <v>2586</v>
      </c>
      <c r="J155" t="str">
        <f>RIGHT(D155,4)</f>
        <v>6646</v>
      </c>
      <c r="K155" t="str">
        <f>IFERROR(VLOOKUP(VALUE(J155),'Site Info'!$A:$G,3,FALSE),"")</f>
        <v>10600 DAVIS DR</v>
      </c>
      <c r="L155" t="str">
        <f>IFERROR(VLOOKUP(VALUE(J155),'Site Info'!$A:$G,4,FALSE),"")</f>
        <v>ALPHARETTA</v>
      </c>
      <c r="M155" t="str">
        <f>IFERROR(VLOOKUP(VALUE(J155),'Site Info'!$A:$G,5,FALSE),"")</f>
        <v>GA</v>
      </c>
      <c r="N155" t="str">
        <f>IFERROR(VLOOKUP(VALUE(J155),'Site Info'!$A:$G,6,FALSE),"")</f>
        <v>30009-4746</v>
      </c>
      <c r="O155">
        <f>IFERROR(VLOOKUP(VALUE(J155),'Site Info'!$A:$G,7,FALSE),"")</f>
        <v>7709924568</v>
      </c>
    </row>
    <row r="156" spans="1:15" x14ac:dyDescent="0.45">
      <c r="A156" t="s">
        <v>6180</v>
      </c>
      <c r="B156" t="s">
        <v>6181</v>
      </c>
      <c r="C156" t="s">
        <v>6182</v>
      </c>
      <c r="D156" t="s">
        <v>4875</v>
      </c>
      <c r="E156" s="1">
        <v>46094.422372685185</v>
      </c>
      <c r="F156">
        <v>1547</v>
      </c>
      <c r="G156" t="s">
        <v>6183</v>
      </c>
      <c r="H156" t="s">
        <v>15</v>
      </c>
      <c r="I156" t="s">
        <v>4877</v>
      </c>
      <c r="J156" t="str">
        <f>RIGHT(D156,4)</f>
        <v>8188</v>
      </c>
      <c r="K156" t="str">
        <f>IFERROR(VLOOKUP(VALUE(J156),'Site Info'!$A:$G,3,FALSE),"")</f>
        <v>1063 E NEW CIRCLE RD</v>
      </c>
      <c r="L156" t="str">
        <f>IFERROR(VLOOKUP(VALUE(J156),'Site Info'!$A:$G,4,FALSE),"")</f>
        <v>LEXINGTON</v>
      </c>
      <c r="M156" t="str">
        <f>IFERROR(VLOOKUP(VALUE(J156),'Site Info'!$A:$G,5,FALSE),"")</f>
        <v>KY</v>
      </c>
      <c r="N156" t="str">
        <f>IFERROR(VLOOKUP(VALUE(J156),'Site Info'!$A:$G,6,FALSE),"")</f>
        <v>40505-4116</v>
      </c>
      <c r="O156">
        <f>IFERROR(VLOOKUP(VALUE(J156),'Site Info'!$A:$G,7,FALSE),"")</f>
        <v>8592532885</v>
      </c>
    </row>
    <row r="157" spans="1:15" x14ac:dyDescent="0.45">
      <c r="A157" t="s">
        <v>4872</v>
      </c>
      <c r="B157" t="s">
        <v>4873</v>
      </c>
      <c r="C157" t="s">
        <v>4874</v>
      </c>
      <c r="D157" t="s">
        <v>4875</v>
      </c>
      <c r="E157" s="1">
        <v>46151.618634259263</v>
      </c>
      <c r="F157">
        <v>1547</v>
      </c>
      <c r="G157" t="s">
        <v>4876</v>
      </c>
      <c r="H157" t="s">
        <v>15</v>
      </c>
      <c r="I157" t="s">
        <v>4877</v>
      </c>
      <c r="J157" t="str">
        <f>RIGHT(D157,4)</f>
        <v>8188</v>
      </c>
      <c r="K157" t="str">
        <f>IFERROR(VLOOKUP(VALUE(J157),'Site Info'!$A:$G,3,FALSE),"")</f>
        <v>1063 E NEW CIRCLE RD</v>
      </c>
      <c r="L157" t="str">
        <f>IFERROR(VLOOKUP(VALUE(J157),'Site Info'!$A:$G,4,FALSE),"")</f>
        <v>LEXINGTON</v>
      </c>
      <c r="M157" t="str">
        <f>IFERROR(VLOOKUP(VALUE(J157),'Site Info'!$A:$G,5,FALSE),"")</f>
        <v>KY</v>
      </c>
      <c r="N157" t="str">
        <f>IFERROR(VLOOKUP(VALUE(J157),'Site Info'!$A:$G,6,FALSE),"")</f>
        <v>40505-4116</v>
      </c>
      <c r="O157">
        <f>IFERROR(VLOOKUP(VALUE(J157),'Site Info'!$A:$G,7,FALSE),"")</f>
        <v>8592532885</v>
      </c>
    </row>
    <row r="158" spans="1:15" x14ac:dyDescent="0.45">
      <c r="A158" t="s">
        <v>9922</v>
      </c>
      <c r="B158" t="s">
        <v>9923</v>
      </c>
      <c r="C158" t="s">
        <v>9924</v>
      </c>
      <c r="D158" t="s">
        <v>4875</v>
      </c>
      <c r="E158" s="1">
        <v>46153.118483796294</v>
      </c>
      <c r="F158">
        <v>1547</v>
      </c>
      <c r="G158" t="s">
        <v>9925</v>
      </c>
      <c r="H158" t="s">
        <v>15</v>
      </c>
      <c r="I158" t="s">
        <v>4877</v>
      </c>
      <c r="J158" t="str">
        <f>RIGHT(D158,4)</f>
        <v>8188</v>
      </c>
      <c r="K158" t="str">
        <f>IFERROR(VLOOKUP(VALUE(J158),'Site Info'!$A:$G,3,FALSE),"")</f>
        <v>1063 E NEW CIRCLE RD</v>
      </c>
      <c r="L158" t="str">
        <f>IFERROR(VLOOKUP(VALUE(J158),'Site Info'!$A:$G,4,FALSE),"")</f>
        <v>LEXINGTON</v>
      </c>
      <c r="M158" t="str">
        <f>IFERROR(VLOOKUP(VALUE(J158),'Site Info'!$A:$G,5,FALSE),"")</f>
        <v>KY</v>
      </c>
      <c r="N158" t="str">
        <f>IFERROR(VLOOKUP(VALUE(J158),'Site Info'!$A:$G,6,FALSE),"")</f>
        <v>40505-4116</v>
      </c>
      <c r="O158">
        <f>IFERROR(VLOOKUP(VALUE(J158),'Site Info'!$A:$G,7,FALSE),"")</f>
        <v>8592532885</v>
      </c>
    </row>
    <row r="159" spans="1:15" x14ac:dyDescent="0.45">
      <c r="A159" t="s">
        <v>10600</v>
      </c>
      <c r="B159" t="s">
        <v>10601</v>
      </c>
      <c r="C159" t="s">
        <v>10602</v>
      </c>
      <c r="D159" t="s">
        <v>4875</v>
      </c>
      <c r="E159" s="1">
        <v>46153.248414351852</v>
      </c>
      <c r="F159">
        <v>1547</v>
      </c>
      <c r="G159" t="s">
        <v>10603</v>
      </c>
      <c r="H159" t="s">
        <v>15</v>
      </c>
      <c r="I159" t="s">
        <v>4877</v>
      </c>
      <c r="J159" t="str">
        <f>RIGHT(D159,4)</f>
        <v>8188</v>
      </c>
      <c r="K159" t="str">
        <f>IFERROR(VLOOKUP(VALUE(J159),'Site Info'!$A:$G,3,FALSE),"")</f>
        <v>1063 E NEW CIRCLE RD</v>
      </c>
      <c r="L159" t="str">
        <f>IFERROR(VLOOKUP(VALUE(J159),'Site Info'!$A:$G,4,FALSE),"")</f>
        <v>LEXINGTON</v>
      </c>
      <c r="M159" t="str">
        <f>IFERROR(VLOOKUP(VALUE(J159),'Site Info'!$A:$G,5,FALSE),"")</f>
        <v>KY</v>
      </c>
      <c r="N159" t="str">
        <f>IFERROR(VLOOKUP(VALUE(J159),'Site Info'!$A:$G,6,FALSE),"")</f>
        <v>40505-4116</v>
      </c>
      <c r="O159">
        <f>IFERROR(VLOOKUP(VALUE(J159),'Site Info'!$A:$G,7,FALSE),"")</f>
        <v>8592532885</v>
      </c>
    </row>
    <row r="160" spans="1:15" x14ac:dyDescent="0.45">
      <c r="A160" t="s">
        <v>9529</v>
      </c>
      <c r="B160" t="s">
        <v>9530</v>
      </c>
      <c r="C160" t="s">
        <v>9531</v>
      </c>
      <c r="D160" t="s">
        <v>4875</v>
      </c>
      <c r="E160" s="1">
        <v>46153.35738425926</v>
      </c>
      <c r="F160">
        <v>1547</v>
      </c>
      <c r="G160" t="s">
        <v>9532</v>
      </c>
      <c r="H160" t="s">
        <v>15</v>
      </c>
      <c r="I160" t="s">
        <v>4877</v>
      </c>
      <c r="J160" t="str">
        <f>RIGHT(D160,4)</f>
        <v>8188</v>
      </c>
      <c r="K160" t="str">
        <f>IFERROR(VLOOKUP(VALUE(J160),'Site Info'!$A:$G,3,FALSE),"")</f>
        <v>1063 E NEW CIRCLE RD</v>
      </c>
      <c r="L160" t="str">
        <f>IFERROR(VLOOKUP(VALUE(J160),'Site Info'!$A:$G,4,FALSE),"")</f>
        <v>LEXINGTON</v>
      </c>
      <c r="M160" t="str">
        <f>IFERROR(VLOOKUP(VALUE(J160),'Site Info'!$A:$G,5,FALSE),"")</f>
        <v>KY</v>
      </c>
      <c r="N160" t="str">
        <f>IFERROR(VLOOKUP(VALUE(J160),'Site Info'!$A:$G,6,FALSE),"")</f>
        <v>40505-4116</v>
      </c>
      <c r="O160">
        <f>IFERROR(VLOOKUP(VALUE(J160),'Site Info'!$A:$G,7,FALSE),"")</f>
        <v>8592532885</v>
      </c>
    </row>
    <row r="161" spans="1:15" x14ac:dyDescent="0.45">
      <c r="A161" t="s">
        <v>12120</v>
      </c>
      <c r="B161" t="s">
        <v>12121</v>
      </c>
      <c r="C161" t="s">
        <v>12122</v>
      </c>
      <c r="D161" t="s">
        <v>4875</v>
      </c>
      <c r="E161" s="1">
        <v>46153.374212962961</v>
      </c>
      <c r="F161">
        <v>1547</v>
      </c>
      <c r="G161" t="s">
        <v>12123</v>
      </c>
      <c r="H161" t="s">
        <v>15</v>
      </c>
      <c r="I161" t="s">
        <v>4877</v>
      </c>
      <c r="J161" t="str">
        <f>RIGHT(D161,4)</f>
        <v>8188</v>
      </c>
      <c r="K161" t="str">
        <f>IFERROR(VLOOKUP(VALUE(J161),'Site Info'!$A:$G,3,FALSE),"")</f>
        <v>1063 E NEW CIRCLE RD</v>
      </c>
      <c r="L161" t="str">
        <f>IFERROR(VLOOKUP(VALUE(J161),'Site Info'!$A:$G,4,FALSE),"")</f>
        <v>LEXINGTON</v>
      </c>
      <c r="M161" t="str">
        <f>IFERROR(VLOOKUP(VALUE(J161),'Site Info'!$A:$G,5,FALSE),"")</f>
        <v>KY</v>
      </c>
      <c r="N161" t="str">
        <f>IFERROR(VLOOKUP(VALUE(J161),'Site Info'!$A:$G,6,FALSE),"")</f>
        <v>40505-4116</v>
      </c>
      <c r="O161">
        <f>IFERROR(VLOOKUP(VALUE(J161),'Site Info'!$A:$G,7,FALSE),"")</f>
        <v>8592532885</v>
      </c>
    </row>
    <row r="162" spans="1:15" x14ac:dyDescent="0.45">
      <c r="A162" t="s">
        <v>17148</v>
      </c>
      <c r="B162" t="s">
        <v>17149</v>
      </c>
      <c r="C162" t="s">
        <v>17150</v>
      </c>
      <c r="D162" t="s">
        <v>4875</v>
      </c>
      <c r="E162" s="1">
        <v>46153.168807870374</v>
      </c>
      <c r="F162">
        <v>1628</v>
      </c>
      <c r="G162" t="s">
        <v>17151</v>
      </c>
      <c r="H162" t="s">
        <v>13988</v>
      </c>
      <c r="I162" t="s">
        <v>4877</v>
      </c>
      <c r="J162" t="str">
        <f>RIGHT(D162,4)</f>
        <v>8188</v>
      </c>
      <c r="K162" t="str">
        <f>IFERROR(VLOOKUP(VALUE(J162),'Site Info'!$A:$G,3,FALSE),"")</f>
        <v>1063 E NEW CIRCLE RD</v>
      </c>
      <c r="L162" t="str">
        <f>IFERROR(VLOOKUP(VALUE(J162),'Site Info'!$A:$G,4,FALSE),"")</f>
        <v>LEXINGTON</v>
      </c>
      <c r="M162" t="str">
        <f>IFERROR(VLOOKUP(VALUE(J162),'Site Info'!$A:$G,5,FALSE),"")</f>
        <v>KY</v>
      </c>
      <c r="N162" t="str">
        <f>IFERROR(VLOOKUP(VALUE(J162),'Site Info'!$A:$G,6,FALSE),"")</f>
        <v>40505-4116</v>
      </c>
      <c r="O162">
        <f>IFERROR(VLOOKUP(VALUE(J162),'Site Info'!$A:$G,7,FALSE),"")</f>
        <v>8592532885</v>
      </c>
    </row>
    <row r="163" spans="1:15" x14ac:dyDescent="0.45">
      <c r="A163" t="s">
        <v>10777</v>
      </c>
      <c r="B163" t="s">
        <v>10778</v>
      </c>
      <c r="C163" t="s">
        <v>10779</v>
      </c>
      <c r="D163" t="s">
        <v>3344</v>
      </c>
      <c r="E163" s="1">
        <v>46151.381215277775</v>
      </c>
      <c r="F163">
        <v>1547</v>
      </c>
      <c r="G163" t="s">
        <v>10780</v>
      </c>
      <c r="H163" t="s">
        <v>15</v>
      </c>
      <c r="I163" t="s">
        <v>3346</v>
      </c>
      <c r="J163" t="str">
        <f>RIGHT(D163,4)</f>
        <v>8116</v>
      </c>
      <c r="K163" t="str">
        <f>IFERROR(VLOOKUP(VALUE(J163),'Site Info'!$A:$G,3,FALSE),"")</f>
        <v>10690 BEACH BLVD</v>
      </c>
      <c r="L163" t="str">
        <f>IFERROR(VLOOKUP(VALUE(J163),'Site Info'!$A:$G,4,FALSE),"")</f>
        <v>JACKSONVILLE</v>
      </c>
      <c r="M163" t="str">
        <f>IFERROR(VLOOKUP(VALUE(J163),'Site Info'!$A:$G,5,FALSE),"")</f>
        <v>FL</v>
      </c>
      <c r="N163" t="str">
        <f>IFERROR(VLOOKUP(VALUE(J163),'Site Info'!$A:$G,6,FALSE),"")</f>
        <v>32246-3655</v>
      </c>
      <c r="O163">
        <f>IFERROR(VLOOKUP(VALUE(J163),'Site Info'!$A:$G,7,FALSE),"")</f>
        <v>9049280017</v>
      </c>
    </row>
    <row r="164" spans="1:15" x14ac:dyDescent="0.45">
      <c r="A164" t="s">
        <v>10660</v>
      </c>
      <c r="B164" t="s">
        <v>10661</v>
      </c>
      <c r="C164" t="s">
        <v>10662</v>
      </c>
      <c r="D164" t="s">
        <v>3344</v>
      </c>
      <c r="E164" s="1">
        <v>46151.624872685185</v>
      </c>
      <c r="F164">
        <v>1547</v>
      </c>
      <c r="G164" t="s">
        <v>10663</v>
      </c>
      <c r="H164" t="s">
        <v>15</v>
      </c>
      <c r="I164" t="s">
        <v>3346</v>
      </c>
      <c r="J164" t="str">
        <f>RIGHT(D164,4)</f>
        <v>8116</v>
      </c>
      <c r="K164" t="str">
        <f>IFERROR(VLOOKUP(VALUE(J164),'Site Info'!$A:$G,3,FALSE),"")</f>
        <v>10690 BEACH BLVD</v>
      </c>
      <c r="L164" t="str">
        <f>IFERROR(VLOOKUP(VALUE(J164),'Site Info'!$A:$G,4,FALSE),"")</f>
        <v>JACKSONVILLE</v>
      </c>
      <c r="M164" t="str">
        <f>IFERROR(VLOOKUP(VALUE(J164),'Site Info'!$A:$G,5,FALSE),"")</f>
        <v>FL</v>
      </c>
      <c r="N164" t="str">
        <f>IFERROR(VLOOKUP(VALUE(J164),'Site Info'!$A:$G,6,FALSE),"")</f>
        <v>32246-3655</v>
      </c>
      <c r="O164">
        <f>IFERROR(VLOOKUP(VALUE(J164),'Site Info'!$A:$G,7,FALSE),"")</f>
        <v>9049280017</v>
      </c>
    </row>
    <row r="165" spans="1:15" x14ac:dyDescent="0.45">
      <c r="A165" t="s">
        <v>10656</v>
      </c>
      <c r="B165" t="s">
        <v>10657</v>
      </c>
      <c r="C165" t="s">
        <v>10658</v>
      </c>
      <c r="D165" t="s">
        <v>3344</v>
      </c>
      <c r="E165" s="1">
        <v>46151.668206018519</v>
      </c>
      <c r="F165">
        <v>1547</v>
      </c>
      <c r="G165" t="s">
        <v>10659</v>
      </c>
      <c r="H165" t="s">
        <v>15</v>
      </c>
      <c r="I165" t="s">
        <v>3346</v>
      </c>
      <c r="J165" t="str">
        <f>RIGHT(D165,4)</f>
        <v>8116</v>
      </c>
      <c r="K165" t="str">
        <f>IFERROR(VLOOKUP(VALUE(J165),'Site Info'!$A:$G,3,FALSE),"")</f>
        <v>10690 BEACH BLVD</v>
      </c>
      <c r="L165" t="str">
        <f>IFERROR(VLOOKUP(VALUE(J165),'Site Info'!$A:$G,4,FALSE),"")</f>
        <v>JACKSONVILLE</v>
      </c>
      <c r="M165" t="str">
        <f>IFERROR(VLOOKUP(VALUE(J165),'Site Info'!$A:$G,5,FALSE),"")</f>
        <v>FL</v>
      </c>
      <c r="N165" t="str">
        <f>IFERROR(VLOOKUP(VALUE(J165),'Site Info'!$A:$G,6,FALSE),"")</f>
        <v>32246-3655</v>
      </c>
      <c r="O165">
        <f>IFERROR(VLOOKUP(VALUE(J165),'Site Info'!$A:$G,7,FALSE),"")</f>
        <v>9049280017</v>
      </c>
    </row>
    <row r="166" spans="1:15" x14ac:dyDescent="0.45">
      <c r="A166" t="s">
        <v>9509</v>
      </c>
      <c r="B166" t="s">
        <v>9510</v>
      </c>
      <c r="C166" t="s">
        <v>9511</v>
      </c>
      <c r="D166" t="s">
        <v>3344</v>
      </c>
      <c r="E166" s="1">
        <v>46152.990208333336</v>
      </c>
      <c r="F166">
        <v>1547</v>
      </c>
      <c r="G166" t="s">
        <v>9512</v>
      </c>
      <c r="H166" t="s">
        <v>15</v>
      </c>
      <c r="I166" t="s">
        <v>3346</v>
      </c>
      <c r="J166" t="str">
        <f>RIGHT(D166,4)</f>
        <v>8116</v>
      </c>
      <c r="K166" t="str">
        <f>IFERROR(VLOOKUP(VALUE(J166),'Site Info'!$A:$G,3,FALSE),"")</f>
        <v>10690 BEACH BLVD</v>
      </c>
      <c r="L166" t="str">
        <f>IFERROR(VLOOKUP(VALUE(J166),'Site Info'!$A:$G,4,FALSE),"")</f>
        <v>JACKSONVILLE</v>
      </c>
      <c r="M166" t="str">
        <f>IFERROR(VLOOKUP(VALUE(J166),'Site Info'!$A:$G,5,FALSE),"")</f>
        <v>FL</v>
      </c>
      <c r="N166" t="str">
        <f>IFERROR(VLOOKUP(VALUE(J166),'Site Info'!$A:$G,6,FALSE),"")</f>
        <v>32246-3655</v>
      </c>
      <c r="O166">
        <f>IFERROR(VLOOKUP(VALUE(J166),'Site Info'!$A:$G,7,FALSE),"")</f>
        <v>9049280017</v>
      </c>
    </row>
    <row r="167" spans="1:15" x14ac:dyDescent="0.45">
      <c r="A167" t="s">
        <v>10845</v>
      </c>
      <c r="B167" t="s">
        <v>10846</v>
      </c>
      <c r="C167" t="s">
        <v>10847</v>
      </c>
      <c r="D167" t="s">
        <v>3344</v>
      </c>
      <c r="E167" s="1">
        <v>46153.289618055554</v>
      </c>
      <c r="F167">
        <v>1547</v>
      </c>
      <c r="G167" t="s">
        <v>10848</v>
      </c>
      <c r="H167" t="s">
        <v>15</v>
      </c>
      <c r="I167" t="s">
        <v>3346</v>
      </c>
      <c r="J167" t="str">
        <f>RIGHT(D167,4)</f>
        <v>8116</v>
      </c>
      <c r="K167" t="str">
        <f>IFERROR(VLOOKUP(VALUE(J167),'Site Info'!$A:$G,3,FALSE),"")</f>
        <v>10690 BEACH BLVD</v>
      </c>
      <c r="L167" t="str">
        <f>IFERROR(VLOOKUP(VALUE(J167),'Site Info'!$A:$G,4,FALSE),"")</f>
        <v>JACKSONVILLE</v>
      </c>
      <c r="M167" t="str">
        <f>IFERROR(VLOOKUP(VALUE(J167),'Site Info'!$A:$G,5,FALSE),"")</f>
        <v>FL</v>
      </c>
      <c r="N167" t="str">
        <f>IFERROR(VLOOKUP(VALUE(J167),'Site Info'!$A:$G,6,FALSE),"")</f>
        <v>32246-3655</v>
      </c>
      <c r="O167">
        <f>IFERROR(VLOOKUP(VALUE(J167),'Site Info'!$A:$G,7,FALSE),"")</f>
        <v>9049280017</v>
      </c>
    </row>
    <row r="168" spans="1:15" x14ac:dyDescent="0.45">
      <c r="A168" t="s">
        <v>9411</v>
      </c>
      <c r="B168" t="s">
        <v>9412</v>
      </c>
      <c r="C168" t="s">
        <v>9413</v>
      </c>
      <c r="D168" t="s">
        <v>3344</v>
      </c>
      <c r="E168" s="1">
        <v>46153.354155092595</v>
      </c>
      <c r="F168">
        <v>1547</v>
      </c>
      <c r="G168" t="s">
        <v>9414</v>
      </c>
      <c r="H168" t="s">
        <v>15</v>
      </c>
      <c r="I168" t="s">
        <v>3346</v>
      </c>
      <c r="J168" t="str">
        <f>RIGHT(D168,4)</f>
        <v>8116</v>
      </c>
      <c r="K168" t="str">
        <f>IFERROR(VLOOKUP(VALUE(J168),'Site Info'!$A:$G,3,FALSE),"")</f>
        <v>10690 BEACH BLVD</v>
      </c>
      <c r="L168" t="str">
        <f>IFERROR(VLOOKUP(VALUE(J168),'Site Info'!$A:$G,4,FALSE),"")</f>
        <v>JACKSONVILLE</v>
      </c>
      <c r="M168" t="str">
        <f>IFERROR(VLOOKUP(VALUE(J168),'Site Info'!$A:$G,5,FALSE),"")</f>
        <v>FL</v>
      </c>
      <c r="N168" t="str">
        <f>IFERROR(VLOOKUP(VALUE(J168),'Site Info'!$A:$G,6,FALSE),"")</f>
        <v>32246-3655</v>
      </c>
      <c r="O168">
        <f>IFERROR(VLOOKUP(VALUE(J168),'Site Info'!$A:$G,7,FALSE),"")</f>
        <v>9049280017</v>
      </c>
    </row>
    <row r="169" spans="1:15" x14ac:dyDescent="0.45">
      <c r="A169" t="s">
        <v>3953</v>
      </c>
      <c r="B169" t="s">
        <v>3954</v>
      </c>
      <c r="C169" t="s">
        <v>3955</v>
      </c>
      <c r="D169" t="s">
        <v>3344</v>
      </c>
      <c r="E169" s="1">
        <v>46153.181932870371</v>
      </c>
      <c r="F169">
        <v>1481</v>
      </c>
      <c r="G169" t="s">
        <v>3956</v>
      </c>
      <c r="H169" t="s">
        <v>15</v>
      </c>
      <c r="I169" t="s">
        <v>3346</v>
      </c>
      <c r="J169" t="str">
        <f>RIGHT(D169,4)</f>
        <v>8116</v>
      </c>
      <c r="K169" t="str">
        <f>IFERROR(VLOOKUP(VALUE(J169),'Site Info'!$A:$G,3,FALSE),"")</f>
        <v>10690 BEACH BLVD</v>
      </c>
      <c r="L169" t="str">
        <f>IFERROR(VLOOKUP(VALUE(J169),'Site Info'!$A:$G,4,FALSE),"")</f>
        <v>JACKSONVILLE</v>
      </c>
      <c r="M169" t="str">
        <f>IFERROR(VLOOKUP(VALUE(J169),'Site Info'!$A:$G,5,FALSE),"")</f>
        <v>FL</v>
      </c>
      <c r="N169" t="str">
        <f>IFERROR(VLOOKUP(VALUE(J169),'Site Info'!$A:$G,6,FALSE),"")</f>
        <v>32246-3655</v>
      </c>
      <c r="O169">
        <f>IFERROR(VLOOKUP(VALUE(J169),'Site Info'!$A:$G,7,FALSE),"")</f>
        <v>9049280017</v>
      </c>
    </row>
    <row r="170" spans="1:15" x14ac:dyDescent="0.45">
      <c r="A170" t="s">
        <v>3341</v>
      </c>
      <c r="B170" t="s">
        <v>3342</v>
      </c>
      <c r="C170" t="s">
        <v>3343</v>
      </c>
      <c r="D170" t="s">
        <v>3344</v>
      </c>
      <c r="E170" s="1">
        <v>46153.335486111115</v>
      </c>
      <c r="F170">
        <v>1481</v>
      </c>
      <c r="G170" t="s">
        <v>3345</v>
      </c>
      <c r="H170" t="s">
        <v>15</v>
      </c>
      <c r="I170" t="s">
        <v>3346</v>
      </c>
      <c r="J170" t="str">
        <f>RIGHT(D170,4)</f>
        <v>8116</v>
      </c>
      <c r="K170" t="str">
        <f>IFERROR(VLOOKUP(VALUE(J170),'Site Info'!$A:$G,3,FALSE),"")</f>
        <v>10690 BEACH BLVD</v>
      </c>
      <c r="L170" t="str">
        <f>IFERROR(VLOOKUP(VALUE(J170),'Site Info'!$A:$G,4,FALSE),"")</f>
        <v>JACKSONVILLE</v>
      </c>
      <c r="M170" t="str">
        <f>IFERROR(VLOOKUP(VALUE(J170),'Site Info'!$A:$G,5,FALSE),"")</f>
        <v>FL</v>
      </c>
      <c r="N170" t="str">
        <f>IFERROR(VLOOKUP(VALUE(J170),'Site Info'!$A:$G,6,FALSE),"")</f>
        <v>32246-3655</v>
      </c>
      <c r="O170">
        <f>IFERROR(VLOOKUP(VALUE(J170),'Site Info'!$A:$G,7,FALSE),"")</f>
        <v>9049280017</v>
      </c>
    </row>
    <row r="171" spans="1:15" x14ac:dyDescent="0.45">
      <c r="A171" t="s">
        <v>3949</v>
      </c>
      <c r="B171" t="s">
        <v>3950</v>
      </c>
      <c r="C171" t="s">
        <v>3951</v>
      </c>
      <c r="D171" t="s">
        <v>3344</v>
      </c>
      <c r="E171" s="1">
        <v>46153.371041666665</v>
      </c>
      <c r="F171">
        <v>1481</v>
      </c>
      <c r="G171" t="s">
        <v>3952</v>
      </c>
      <c r="H171" t="s">
        <v>15</v>
      </c>
      <c r="I171" t="s">
        <v>3346</v>
      </c>
      <c r="J171" t="str">
        <f>RIGHT(D171,4)</f>
        <v>8116</v>
      </c>
      <c r="K171" t="str">
        <f>IFERROR(VLOOKUP(VALUE(J171),'Site Info'!$A:$G,3,FALSE),"")</f>
        <v>10690 BEACH BLVD</v>
      </c>
      <c r="L171" t="str">
        <f>IFERROR(VLOOKUP(VALUE(J171),'Site Info'!$A:$G,4,FALSE),"")</f>
        <v>JACKSONVILLE</v>
      </c>
      <c r="M171" t="str">
        <f>IFERROR(VLOOKUP(VALUE(J171),'Site Info'!$A:$G,5,FALSE),"")</f>
        <v>FL</v>
      </c>
      <c r="N171" t="str">
        <f>IFERROR(VLOOKUP(VALUE(J171),'Site Info'!$A:$G,6,FALSE),"")</f>
        <v>32246-3655</v>
      </c>
      <c r="O171">
        <f>IFERROR(VLOOKUP(VALUE(J171),'Site Info'!$A:$G,7,FALSE),"")</f>
        <v>9049280017</v>
      </c>
    </row>
    <row r="172" spans="1:15" x14ac:dyDescent="0.45">
      <c r="A172" t="s">
        <v>8401</v>
      </c>
      <c r="B172" t="s">
        <v>8402</v>
      </c>
      <c r="C172" t="s">
        <v>8403</v>
      </c>
      <c r="D172" t="s">
        <v>287</v>
      </c>
      <c r="E172" s="1">
        <v>46151.207754629628</v>
      </c>
      <c r="F172">
        <v>1547</v>
      </c>
      <c r="G172" t="s">
        <v>8404</v>
      </c>
      <c r="H172" t="s">
        <v>15</v>
      </c>
      <c r="I172" t="s">
        <v>289</v>
      </c>
      <c r="J172" t="str">
        <f>RIGHT(D172,4)</f>
        <v>6407</v>
      </c>
      <c r="K172" t="str">
        <f>IFERROR(VLOOKUP(VALUE(J172),'Site Info'!$A:$G,3,FALSE),"")</f>
        <v>1070 N LEXINGTON SPRINGMILL RD</v>
      </c>
      <c r="L172" t="str">
        <f>IFERROR(VLOOKUP(VALUE(J172),'Site Info'!$A:$G,4,FALSE),"")</f>
        <v>ONTARIO</v>
      </c>
      <c r="M172" t="str">
        <f>IFERROR(VLOOKUP(VALUE(J172),'Site Info'!$A:$G,5,FALSE),"")</f>
        <v>OH</v>
      </c>
      <c r="N172" t="str">
        <f>IFERROR(VLOOKUP(VALUE(J172),'Site Info'!$A:$G,6,FALSE),"")</f>
        <v>44906-1121</v>
      </c>
      <c r="O172">
        <f>IFERROR(VLOOKUP(VALUE(J172),'Site Info'!$A:$G,7,FALSE),"")</f>
        <v>4197479939</v>
      </c>
    </row>
    <row r="173" spans="1:15" x14ac:dyDescent="0.45">
      <c r="A173" t="s">
        <v>8461</v>
      </c>
      <c r="B173" t="s">
        <v>8462</v>
      </c>
      <c r="C173" t="s">
        <v>8463</v>
      </c>
      <c r="D173" t="s">
        <v>287</v>
      </c>
      <c r="E173" s="1">
        <v>46153.278240740743</v>
      </c>
      <c r="F173">
        <v>1547</v>
      </c>
      <c r="G173" t="s">
        <v>8464</v>
      </c>
      <c r="H173" t="s">
        <v>15</v>
      </c>
      <c r="I173" t="s">
        <v>289</v>
      </c>
      <c r="J173" t="str">
        <f>RIGHT(D173,4)</f>
        <v>6407</v>
      </c>
      <c r="K173" t="str">
        <f>IFERROR(VLOOKUP(VALUE(J173),'Site Info'!$A:$G,3,FALSE),"")</f>
        <v>1070 N LEXINGTON SPRINGMILL RD</v>
      </c>
      <c r="L173" t="str">
        <f>IFERROR(VLOOKUP(VALUE(J173),'Site Info'!$A:$G,4,FALSE),"")</f>
        <v>ONTARIO</v>
      </c>
      <c r="M173" t="str">
        <f>IFERROR(VLOOKUP(VALUE(J173),'Site Info'!$A:$G,5,FALSE),"")</f>
        <v>OH</v>
      </c>
      <c r="N173" t="str">
        <f>IFERROR(VLOOKUP(VALUE(J173),'Site Info'!$A:$G,6,FALSE),"")</f>
        <v>44906-1121</v>
      </c>
      <c r="O173">
        <f>IFERROR(VLOOKUP(VALUE(J173),'Site Info'!$A:$G,7,FALSE),"")</f>
        <v>4197479939</v>
      </c>
    </row>
    <row r="174" spans="1:15" x14ac:dyDescent="0.45">
      <c r="A174" t="s">
        <v>8485</v>
      </c>
      <c r="B174" t="s">
        <v>8486</v>
      </c>
      <c r="C174" t="s">
        <v>8487</v>
      </c>
      <c r="D174" t="s">
        <v>287</v>
      </c>
      <c r="E174" s="1">
        <v>46153.306296296294</v>
      </c>
      <c r="F174">
        <v>1547</v>
      </c>
      <c r="G174" t="s">
        <v>8488</v>
      </c>
      <c r="H174" t="s">
        <v>15</v>
      </c>
      <c r="I174" t="s">
        <v>289</v>
      </c>
      <c r="J174" t="str">
        <f>RIGHT(D174,4)</f>
        <v>6407</v>
      </c>
      <c r="K174" t="str">
        <f>IFERROR(VLOOKUP(VALUE(J174),'Site Info'!$A:$G,3,FALSE),"")</f>
        <v>1070 N LEXINGTON SPRINGMILL RD</v>
      </c>
      <c r="L174" t="str">
        <f>IFERROR(VLOOKUP(VALUE(J174),'Site Info'!$A:$G,4,FALSE),"")</f>
        <v>ONTARIO</v>
      </c>
      <c r="M174" t="str">
        <f>IFERROR(VLOOKUP(VALUE(J174),'Site Info'!$A:$G,5,FALSE),"")</f>
        <v>OH</v>
      </c>
      <c r="N174" t="str">
        <f>IFERROR(VLOOKUP(VALUE(J174),'Site Info'!$A:$G,6,FALSE),"")</f>
        <v>44906-1121</v>
      </c>
      <c r="O174">
        <f>IFERROR(VLOOKUP(VALUE(J174),'Site Info'!$A:$G,7,FALSE),"")</f>
        <v>4197479939</v>
      </c>
    </row>
    <row r="175" spans="1:15" x14ac:dyDescent="0.45">
      <c r="A175" t="s">
        <v>8737</v>
      </c>
      <c r="B175" t="s">
        <v>8738</v>
      </c>
      <c r="C175" t="s">
        <v>8739</v>
      </c>
      <c r="D175" t="s">
        <v>287</v>
      </c>
      <c r="E175" s="1">
        <v>46153.369583333333</v>
      </c>
      <c r="F175">
        <v>1547</v>
      </c>
      <c r="G175" t="s">
        <v>8740</v>
      </c>
      <c r="H175" t="s">
        <v>15</v>
      </c>
      <c r="I175" t="s">
        <v>289</v>
      </c>
      <c r="J175" t="str">
        <f>RIGHT(D175,4)</f>
        <v>6407</v>
      </c>
      <c r="K175" t="str">
        <f>IFERROR(VLOOKUP(VALUE(J175),'Site Info'!$A:$G,3,FALSE),"")</f>
        <v>1070 N LEXINGTON SPRINGMILL RD</v>
      </c>
      <c r="L175" t="str">
        <f>IFERROR(VLOOKUP(VALUE(J175),'Site Info'!$A:$G,4,FALSE),"")</f>
        <v>ONTARIO</v>
      </c>
      <c r="M175" t="str">
        <f>IFERROR(VLOOKUP(VALUE(J175),'Site Info'!$A:$G,5,FALSE),"")</f>
        <v>OH</v>
      </c>
      <c r="N175" t="str">
        <f>IFERROR(VLOOKUP(VALUE(J175),'Site Info'!$A:$G,6,FALSE),"")</f>
        <v>44906-1121</v>
      </c>
      <c r="O175">
        <f>IFERROR(VLOOKUP(VALUE(J175),'Site Info'!$A:$G,7,FALSE),"")</f>
        <v>4197479939</v>
      </c>
    </row>
    <row r="176" spans="1:15" x14ac:dyDescent="0.45">
      <c r="A176" t="s">
        <v>2220</v>
      </c>
      <c r="B176" t="s">
        <v>2221</v>
      </c>
      <c r="C176" t="s">
        <v>2222</v>
      </c>
      <c r="D176" t="s">
        <v>287</v>
      </c>
      <c r="E176" s="1">
        <v>46151.551180555558</v>
      </c>
      <c r="F176">
        <v>1481</v>
      </c>
      <c r="G176" t="s">
        <v>2223</v>
      </c>
      <c r="H176" t="s">
        <v>15</v>
      </c>
      <c r="I176" t="s">
        <v>289</v>
      </c>
      <c r="J176" t="str">
        <f>RIGHT(D176,4)</f>
        <v>6407</v>
      </c>
      <c r="K176" t="str">
        <f>IFERROR(VLOOKUP(VALUE(J176),'Site Info'!$A:$G,3,FALSE),"")</f>
        <v>1070 N LEXINGTON SPRINGMILL RD</v>
      </c>
      <c r="L176" t="str">
        <f>IFERROR(VLOOKUP(VALUE(J176),'Site Info'!$A:$G,4,FALSE),"")</f>
        <v>ONTARIO</v>
      </c>
      <c r="M176" t="str">
        <f>IFERROR(VLOOKUP(VALUE(J176),'Site Info'!$A:$G,5,FALSE),"")</f>
        <v>OH</v>
      </c>
      <c r="N176" t="str">
        <f>IFERROR(VLOOKUP(VALUE(J176),'Site Info'!$A:$G,6,FALSE),"")</f>
        <v>44906-1121</v>
      </c>
      <c r="O176">
        <f>IFERROR(VLOOKUP(VALUE(J176),'Site Info'!$A:$G,7,FALSE),"")</f>
        <v>4197479939</v>
      </c>
    </row>
    <row r="177" spans="1:15" x14ac:dyDescent="0.45">
      <c r="A177" t="s">
        <v>284</v>
      </c>
      <c r="B177" t="s">
        <v>285</v>
      </c>
      <c r="C177" t="s">
        <v>286</v>
      </c>
      <c r="D177" t="s">
        <v>287</v>
      </c>
      <c r="E177" s="1">
        <v>46151.838958333334</v>
      </c>
      <c r="F177">
        <v>1481</v>
      </c>
      <c r="G177" t="s">
        <v>288</v>
      </c>
      <c r="H177" t="s">
        <v>15</v>
      </c>
      <c r="I177" t="s">
        <v>289</v>
      </c>
      <c r="J177" t="str">
        <f>RIGHT(D177,4)</f>
        <v>6407</v>
      </c>
      <c r="K177" t="str">
        <f>IFERROR(VLOOKUP(VALUE(J177),'Site Info'!$A:$G,3,FALSE),"")</f>
        <v>1070 N LEXINGTON SPRINGMILL RD</v>
      </c>
      <c r="L177" t="str">
        <f>IFERROR(VLOOKUP(VALUE(J177),'Site Info'!$A:$G,4,FALSE),"")</f>
        <v>ONTARIO</v>
      </c>
      <c r="M177" t="str">
        <f>IFERROR(VLOOKUP(VALUE(J177),'Site Info'!$A:$G,5,FALSE),"")</f>
        <v>OH</v>
      </c>
      <c r="N177" t="str">
        <f>IFERROR(VLOOKUP(VALUE(J177),'Site Info'!$A:$G,6,FALSE),"")</f>
        <v>44906-1121</v>
      </c>
      <c r="O177">
        <f>IFERROR(VLOOKUP(VALUE(J177),'Site Info'!$A:$G,7,FALSE),"")</f>
        <v>4197479939</v>
      </c>
    </row>
    <row r="178" spans="1:15" x14ac:dyDescent="0.45">
      <c r="A178" t="s">
        <v>2309</v>
      </c>
      <c r="B178" t="s">
        <v>2310</v>
      </c>
      <c r="C178" t="s">
        <v>2311</v>
      </c>
      <c r="D178" t="s">
        <v>287</v>
      </c>
      <c r="E178" s="1">
        <v>46153.142199074071</v>
      </c>
      <c r="F178">
        <v>1481</v>
      </c>
      <c r="G178" t="s">
        <v>2312</v>
      </c>
      <c r="H178" t="s">
        <v>15</v>
      </c>
      <c r="I178" t="s">
        <v>289</v>
      </c>
      <c r="J178" t="str">
        <f>RIGHT(D178,4)</f>
        <v>6407</v>
      </c>
      <c r="K178" t="str">
        <f>IFERROR(VLOOKUP(VALUE(J178),'Site Info'!$A:$G,3,FALSE),"")</f>
        <v>1070 N LEXINGTON SPRINGMILL RD</v>
      </c>
      <c r="L178" t="str">
        <f>IFERROR(VLOOKUP(VALUE(J178),'Site Info'!$A:$G,4,FALSE),"")</f>
        <v>ONTARIO</v>
      </c>
      <c r="M178" t="str">
        <f>IFERROR(VLOOKUP(VALUE(J178),'Site Info'!$A:$G,5,FALSE),"")</f>
        <v>OH</v>
      </c>
      <c r="N178" t="str">
        <f>IFERROR(VLOOKUP(VALUE(J178),'Site Info'!$A:$G,6,FALSE),"")</f>
        <v>44906-1121</v>
      </c>
      <c r="O178">
        <f>IFERROR(VLOOKUP(VALUE(J178),'Site Info'!$A:$G,7,FALSE),"")</f>
        <v>4197479939</v>
      </c>
    </row>
    <row r="179" spans="1:15" x14ac:dyDescent="0.45">
      <c r="A179" t="s">
        <v>9780</v>
      </c>
      <c r="B179" t="s">
        <v>9781</v>
      </c>
      <c r="C179" t="s">
        <v>9782</v>
      </c>
      <c r="D179" t="s">
        <v>1907</v>
      </c>
      <c r="E179" s="1">
        <v>46149.322164351855</v>
      </c>
      <c r="F179">
        <v>1547</v>
      </c>
      <c r="G179" t="s">
        <v>9783</v>
      </c>
      <c r="H179" t="s">
        <v>15</v>
      </c>
      <c r="I179" t="s">
        <v>1909</v>
      </c>
      <c r="J179" t="str">
        <f>RIGHT(D179,4)</f>
        <v>8125</v>
      </c>
      <c r="K179" t="str">
        <f>IFERROR(VLOOKUP(VALUE(J179),'Site Info'!$A:$G,3,FALSE),"")</f>
        <v>10735 W FLORISSANT AVE</v>
      </c>
      <c r="L179" t="str">
        <f>IFERROR(VLOOKUP(VALUE(J179),'Site Info'!$A:$G,4,FALSE),"")</f>
        <v>SAINT LOUIS</v>
      </c>
      <c r="M179" t="str">
        <f>IFERROR(VLOOKUP(VALUE(J179),'Site Info'!$A:$G,5,FALSE),"")</f>
        <v>MO</v>
      </c>
      <c r="N179" t="str">
        <f>IFERROR(VLOOKUP(VALUE(J179),'Site Info'!$A:$G,6,FALSE),"")</f>
        <v>63136-2403</v>
      </c>
      <c r="O179">
        <f>IFERROR(VLOOKUP(VALUE(J179),'Site Info'!$A:$G,7,FALSE),"")</f>
        <v>3145213800</v>
      </c>
    </row>
    <row r="180" spans="1:15" x14ac:dyDescent="0.45">
      <c r="A180" t="s">
        <v>13880</v>
      </c>
      <c r="B180" t="s">
        <v>13881</v>
      </c>
      <c r="C180" t="s">
        <v>13882</v>
      </c>
      <c r="D180" t="s">
        <v>1907</v>
      </c>
      <c r="E180" s="1">
        <v>46151.401354166665</v>
      </c>
      <c r="F180">
        <v>1547</v>
      </c>
      <c r="G180" t="s">
        <v>13883</v>
      </c>
      <c r="H180" t="s">
        <v>15</v>
      </c>
      <c r="I180" t="s">
        <v>1909</v>
      </c>
      <c r="J180" t="str">
        <f>RIGHT(D180,4)</f>
        <v>8125</v>
      </c>
      <c r="K180" t="str">
        <f>IFERROR(VLOOKUP(VALUE(J180),'Site Info'!$A:$G,3,FALSE),"")</f>
        <v>10735 W FLORISSANT AVE</v>
      </c>
      <c r="L180" t="str">
        <f>IFERROR(VLOOKUP(VALUE(J180),'Site Info'!$A:$G,4,FALSE),"")</f>
        <v>SAINT LOUIS</v>
      </c>
      <c r="M180" t="str">
        <f>IFERROR(VLOOKUP(VALUE(J180),'Site Info'!$A:$G,5,FALSE),"")</f>
        <v>MO</v>
      </c>
      <c r="N180" t="str">
        <f>IFERROR(VLOOKUP(VALUE(J180),'Site Info'!$A:$G,6,FALSE),"")</f>
        <v>63136-2403</v>
      </c>
      <c r="O180">
        <f>IFERROR(VLOOKUP(VALUE(J180),'Site Info'!$A:$G,7,FALSE),"")</f>
        <v>3145213800</v>
      </c>
    </row>
    <row r="181" spans="1:15" x14ac:dyDescent="0.45">
      <c r="A181" t="s">
        <v>4330</v>
      </c>
      <c r="B181" t="s">
        <v>4331</v>
      </c>
      <c r="C181" t="s">
        <v>4332</v>
      </c>
      <c r="D181" t="s">
        <v>1907</v>
      </c>
      <c r="E181" s="1">
        <v>46152.667118055557</v>
      </c>
      <c r="F181">
        <v>1547</v>
      </c>
      <c r="G181" t="s">
        <v>4333</v>
      </c>
      <c r="H181" t="s">
        <v>15</v>
      </c>
      <c r="I181" t="s">
        <v>1909</v>
      </c>
      <c r="J181" t="str">
        <f>RIGHT(D181,4)</f>
        <v>8125</v>
      </c>
      <c r="K181" t="str">
        <f>IFERROR(VLOOKUP(VALUE(J181),'Site Info'!$A:$G,3,FALSE),"")</f>
        <v>10735 W FLORISSANT AVE</v>
      </c>
      <c r="L181" t="str">
        <f>IFERROR(VLOOKUP(VALUE(J181),'Site Info'!$A:$G,4,FALSE),"")</f>
        <v>SAINT LOUIS</v>
      </c>
      <c r="M181" t="str">
        <f>IFERROR(VLOOKUP(VALUE(J181),'Site Info'!$A:$G,5,FALSE),"")</f>
        <v>MO</v>
      </c>
      <c r="N181" t="str">
        <f>IFERROR(VLOOKUP(VALUE(J181),'Site Info'!$A:$G,6,FALSE),"")</f>
        <v>63136-2403</v>
      </c>
      <c r="O181">
        <f>IFERROR(VLOOKUP(VALUE(J181),'Site Info'!$A:$G,7,FALSE),"")</f>
        <v>3145213800</v>
      </c>
    </row>
    <row r="182" spans="1:15" x14ac:dyDescent="0.45">
      <c r="A182" t="s">
        <v>11680</v>
      </c>
      <c r="B182" t="s">
        <v>11681</v>
      </c>
      <c r="C182" t="s">
        <v>11682</v>
      </c>
      <c r="D182" t="s">
        <v>1907</v>
      </c>
      <c r="E182" s="1">
        <v>46153.327013888891</v>
      </c>
      <c r="F182">
        <v>1547</v>
      </c>
      <c r="G182" t="s">
        <v>11683</v>
      </c>
      <c r="H182" t="s">
        <v>15</v>
      </c>
      <c r="I182" t="s">
        <v>1909</v>
      </c>
      <c r="J182" t="str">
        <f>RIGHT(D182,4)</f>
        <v>8125</v>
      </c>
      <c r="K182" t="str">
        <f>IFERROR(VLOOKUP(VALUE(J182),'Site Info'!$A:$G,3,FALSE),"")</f>
        <v>10735 W FLORISSANT AVE</v>
      </c>
      <c r="L182" t="str">
        <f>IFERROR(VLOOKUP(VALUE(J182),'Site Info'!$A:$G,4,FALSE),"")</f>
        <v>SAINT LOUIS</v>
      </c>
      <c r="M182" t="str">
        <f>IFERROR(VLOOKUP(VALUE(J182),'Site Info'!$A:$G,5,FALSE),"")</f>
        <v>MO</v>
      </c>
      <c r="N182" t="str">
        <f>IFERROR(VLOOKUP(VALUE(J182),'Site Info'!$A:$G,6,FALSE),"")</f>
        <v>63136-2403</v>
      </c>
      <c r="O182">
        <f>IFERROR(VLOOKUP(VALUE(J182),'Site Info'!$A:$G,7,FALSE),"")</f>
        <v>3145213800</v>
      </c>
    </row>
    <row r="183" spans="1:15" x14ac:dyDescent="0.45">
      <c r="A183" t="s">
        <v>3367</v>
      </c>
      <c r="B183" t="s">
        <v>3368</v>
      </c>
      <c r="C183" t="s">
        <v>3369</v>
      </c>
      <c r="D183" t="s">
        <v>1907</v>
      </c>
      <c r="E183" s="1">
        <v>46136.403935185182</v>
      </c>
      <c r="F183">
        <v>1481</v>
      </c>
      <c r="G183" t="s">
        <v>3370</v>
      </c>
      <c r="H183" t="s">
        <v>15</v>
      </c>
      <c r="I183" t="s">
        <v>1909</v>
      </c>
      <c r="J183" t="str">
        <f>RIGHT(D183,4)</f>
        <v>8125</v>
      </c>
      <c r="K183" t="str">
        <f>IFERROR(VLOOKUP(VALUE(J183),'Site Info'!$A:$G,3,FALSE),"")</f>
        <v>10735 W FLORISSANT AVE</v>
      </c>
      <c r="L183" t="str">
        <f>IFERROR(VLOOKUP(VALUE(J183),'Site Info'!$A:$G,4,FALSE),"")</f>
        <v>SAINT LOUIS</v>
      </c>
      <c r="M183" t="str">
        <f>IFERROR(VLOOKUP(VALUE(J183),'Site Info'!$A:$G,5,FALSE),"")</f>
        <v>MO</v>
      </c>
      <c r="N183" t="str">
        <f>IFERROR(VLOOKUP(VALUE(J183),'Site Info'!$A:$G,6,FALSE),"")</f>
        <v>63136-2403</v>
      </c>
      <c r="O183">
        <f>IFERROR(VLOOKUP(VALUE(J183),'Site Info'!$A:$G,7,FALSE),"")</f>
        <v>3145213800</v>
      </c>
    </row>
    <row r="184" spans="1:15" x14ac:dyDescent="0.45">
      <c r="A184" t="s">
        <v>1904</v>
      </c>
      <c r="B184" t="s">
        <v>1905</v>
      </c>
      <c r="C184" t="s">
        <v>1906</v>
      </c>
      <c r="D184" t="s">
        <v>1907</v>
      </c>
      <c r="E184" s="1">
        <v>46153.169965277775</v>
      </c>
      <c r="F184">
        <v>1481</v>
      </c>
      <c r="G184" t="s">
        <v>1908</v>
      </c>
      <c r="H184" t="s">
        <v>15</v>
      </c>
      <c r="I184" t="s">
        <v>1909</v>
      </c>
      <c r="J184" t="str">
        <f>RIGHT(D184,4)</f>
        <v>8125</v>
      </c>
      <c r="K184" t="str">
        <f>IFERROR(VLOOKUP(VALUE(J184),'Site Info'!$A:$G,3,FALSE),"")</f>
        <v>10735 W FLORISSANT AVE</v>
      </c>
      <c r="L184" t="str">
        <f>IFERROR(VLOOKUP(VALUE(J184),'Site Info'!$A:$G,4,FALSE),"")</f>
        <v>SAINT LOUIS</v>
      </c>
      <c r="M184" t="str">
        <f>IFERROR(VLOOKUP(VALUE(J184),'Site Info'!$A:$G,5,FALSE),"")</f>
        <v>MO</v>
      </c>
      <c r="N184" t="str">
        <f>IFERROR(VLOOKUP(VALUE(J184),'Site Info'!$A:$G,6,FALSE),"")</f>
        <v>63136-2403</v>
      </c>
      <c r="O184">
        <f>IFERROR(VLOOKUP(VALUE(J184),'Site Info'!$A:$G,7,FALSE),"")</f>
        <v>3145213800</v>
      </c>
    </row>
    <row r="185" spans="1:15" x14ac:dyDescent="0.45">
      <c r="A185" t="s">
        <v>12448</v>
      </c>
      <c r="B185" t="s">
        <v>12449</v>
      </c>
      <c r="C185" t="s">
        <v>12450</v>
      </c>
      <c r="D185" t="s">
        <v>593</v>
      </c>
      <c r="E185" s="1">
        <v>46148.281307870369</v>
      </c>
      <c r="F185">
        <v>1547</v>
      </c>
      <c r="G185" t="s">
        <v>12451</v>
      </c>
      <c r="H185" t="s">
        <v>15</v>
      </c>
      <c r="I185" t="s">
        <v>595</v>
      </c>
      <c r="J185" t="str">
        <f>RIGHT(D185,4)</f>
        <v>8106</v>
      </c>
      <c r="K185" t="str">
        <f>IFERROR(VLOOKUP(VALUE(J185),'Site Info'!$A:$G,3,FALSE),"")</f>
        <v>1080 EASTERN BLVD</v>
      </c>
      <c r="L185" t="str">
        <f>IFERROR(VLOOKUP(VALUE(J185),'Site Info'!$A:$G,4,FALSE),"")</f>
        <v>MONTGOMERY</v>
      </c>
      <c r="M185" t="str">
        <f>IFERROR(VLOOKUP(VALUE(J185),'Site Info'!$A:$G,5,FALSE),"")</f>
        <v>AL</v>
      </c>
      <c r="N185" t="str">
        <f>IFERROR(VLOOKUP(VALUE(J185),'Site Info'!$A:$G,6,FALSE),"")</f>
        <v>36117-1919</v>
      </c>
      <c r="O185">
        <f>IFERROR(VLOOKUP(VALUE(J185),'Site Info'!$A:$G,7,FALSE),"")</f>
        <v>3342720277</v>
      </c>
    </row>
    <row r="186" spans="1:15" x14ac:dyDescent="0.45">
      <c r="A186" t="s">
        <v>7057</v>
      </c>
      <c r="B186" t="s">
        <v>7058</v>
      </c>
      <c r="C186" t="s">
        <v>7059</v>
      </c>
      <c r="D186" t="s">
        <v>593</v>
      </c>
      <c r="E186" s="1">
        <v>46151.779398148145</v>
      </c>
      <c r="F186">
        <v>1547</v>
      </c>
      <c r="G186" t="s">
        <v>7060</v>
      </c>
      <c r="H186" t="s">
        <v>15</v>
      </c>
      <c r="I186" t="s">
        <v>595</v>
      </c>
      <c r="J186" t="str">
        <f>RIGHT(D186,4)</f>
        <v>8106</v>
      </c>
      <c r="K186" t="str">
        <f>IFERROR(VLOOKUP(VALUE(J186),'Site Info'!$A:$G,3,FALSE),"")</f>
        <v>1080 EASTERN BLVD</v>
      </c>
      <c r="L186" t="str">
        <f>IFERROR(VLOOKUP(VALUE(J186),'Site Info'!$A:$G,4,FALSE),"")</f>
        <v>MONTGOMERY</v>
      </c>
      <c r="M186" t="str">
        <f>IFERROR(VLOOKUP(VALUE(J186),'Site Info'!$A:$G,5,FALSE),"")</f>
        <v>AL</v>
      </c>
      <c r="N186" t="str">
        <f>IFERROR(VLOOKUP(VALUE(J186),'Site Info'!$A:$G,6,FALSE),"")</f>
        <v>36117-1919</v>
      </c>
      <c r="O186">
        <f>IFERROR(VLOOKUP(VALUE(J186),'Site Info'!$A:$G,7,FALSE),"")</f>
        <v>3342720277</v>
      </c>
    </row>
    <row r="187" spans="1:15" x14ac:dyDescent="0.45">
      <c r="A187" t="s">
        <v>14403</v>
      </c>
      <c r="B187" t="s">
        <v>14404</v>
      </c>
      <c r="C187" t="s">
        <v>14405</v>
      </c>
      <c r="D187" t="s">
        <v>593</v>
      </c>
      <c r="E187" s="1">
        <v>46152.669872685183</v>
      </c>
      <c r="F187">
        <v>1547</v>
      </c>
      <c r="G187" t="s">
        <v>14406</v>
      </c>
      <c r="H187" t="s">
        <v>15</v>
      </c>
      <c r="I187" t="s">
        <v>595</v>
      </c>
      <c r="J187" t="str">
        <f>RIGHT(D187,4)</f>
        <v>8106</v>
      </c>
      <c r="K187" t="str">
        <f>IFERROR(VLOOKUP(VALUE(J187),'Site Info'!$A:$G,3,FALSE),"")</f>
        <v>1080 EASTERN BLVD</v>
      </c>
      <c r="L187" t="str">
        <f>IFERROR(VLOOKUP(VALUE(J187),'Site Info'!$A:$G,4,FALSE),"")</f>
        <v>MONTGOMERY</v>
      </c>
      <c r="M187" t="str">
        <f>IFERROR(VLOOKUP(VALUE(J187),'Site Info'!$A:$G,5,FALSE),"")</f>
        <v>AL</v>
      </c>
      <c r="N187" t="str">
        <f>IFERROR(VLOOKUP(VALUE(J187),'Site Info'!$A:$G,6,FALSE),"")</f>
        <v>36117-1919</v>
      </c>
      <c r="O187">
        <f>IFERROR(VLOOKUP(VALUE(J187),'Site Info'!$A:$G,7,FALSE),"")</f>
        <v>3342720277</v>
      </c>
    </row>
    <row r="188" spans="1:15" x14ac:dyDescent="0.45">
      <c r="A188" t="s">
        <v>12080</v>
      </c>
      <c r="B188" t="s">
        <v>12081</v>
      </c>
      <c r="C188" t="s">
        <v>12082</v>
      </c>
      <c r="D188" t="s">
        <v>593</v>
      </c>
      <c r="E188" s="1">
        <v>46153.332916666666</v>
      </c>
      <c r="F188">
        <v>1547</v>
      </c>
      <c r="G188" t="s">
        <v>12083</v>
      </c>
      <c r="H188" t="s">
        <v>15</v>
      </c>
      <c r="I188" t="s">
        <v>595</v>
      </c>
      <c r="J188" t="str">
        <f>RIGHT(D188,4)</f>
        <v>8106</v>
      </c>
      <c r="K188" t="str">
        <f>IFERROR(VLOOKUP(VALUE(J188),'Site Info'!$A:$G,3,FALSE),"")</f>
        <v>1080 EASTERN BLVD</v>
      </c>
      <c r="L188" t="str">
        <f>IFERROR(VLOOKUP(VALUE(J188),'Site Info'!$A:$G,4,FALSE),"")</f>
        <v>MONTGOMERY</v>
      </c>
      <c r="M188" t="str">
        <f>IFERROR(VLOOKUP(VALUE(J188),'Site Info'!$A:$G,5,FALSE),"")</f>
        <v>AL</v>
      </c>
      <c r="N188" t="str">
        <f>IFERROR(VLOOKUP(VALUE(J188),'Site Info'!$A:$G,6,FALSE),"")</f>
        <v>36117-1919</v>
      </c>
      <c r="O188">
        <f>IFERROR(VLOOKUP(VALUE(J188),'Site Info'!$A:$G,7,FALSE),"")</f>
        <v>3342720277</v>
      </c>
    </row>
    <row r="189" spans="1:15" x14ac:dyDescent="0.45">
      <c r="A189" t="s">
        <v>666</v>
      </c>
      <c r="B189" t="s">
        <v>667</v>
      </c>
      <c r="C189" t="s">
        <v>668</v>
      </c>
      <c r="D189" t="s">
        <v>593</v>
      </c>
      <c r="E189" s="1">
        <v>46153.264756944445</v>
      </c>
      <c r="F189">
        <v>1481</v>
      </c>
      <c r="G189" t="s">
        <v>669</v>
      </c>
      <c r="H189" t="s">
        <v>15</v>
      </c>
      <c r="I189" t="s">
        <v>595</v>
      </c>
      <c r="J189" t="str">
        <f>RIGHT(D189,4)</f>
        <v>8106</v>
      </c>
      <c r="K189" t="str">
        <f>IFERROR(VLOOKUP(VALUE(J189),'Site Info'!$A:$G,3,FALSE),"")</f>
        <v>1080 EASTERN BLVD</v>
      </c>
      <c r="L189" t="str">
        <f>IFERROR(VLOOKUP(VALUE(J189),'Site Info'!$A:$G,4,FALSE),"")</f>
        <v>MONTGOMERY</v>
      </c>
      <c r="M189" t="str">
        <f>IFERROR(VLOOKUP(VALUE(J189),'Site Info'!$A:$G,5,FALSE),"")</f>
        <v>AL</v>
      </c>
      <c r="N189" t="str">
        <f>IFERROR(VLOOKUP(VALUE(J189),'Site Info'!$A:$G,6,FALSE),"")</f>
        <v>36117-1919</v>
      </c>
      <c r="O189">
        <f>IFERROR(VLOOKUP(VALUE(J189),'Site Info'!$A:$G,7,FALSE),"")</f>
        <v>3342720277</v>
      </c>
    </row>
    <row r="190" spans="1:15" x14ac:dyDescent="0.45">
      <c r="A190" t="s">
        <v>590</v>
      </c>
      <c r="B190" t="s">
        <v>591</v>
      </c>
      <c r="C190" t="s">
        <v>592</v>
      </c>
      <c r="D190" t="s">
        <v>593</v>
      </c>
      <c r="E190" s="1">
        <v>46153.286400462966</v>
      </c>
      <c r="F190">
        <v>1481</v>
      </c>
      <c r="G190" t="s">
        <v>594</v>
      </c>
      <c r="H190" t="s">
        <v>15</v>
      </c>
      <c r="I190" t="s">
        <v>595</v>
      </c>
      <c r="J190" t="str">
        <f>RIGHT(D190,4)</f>
        <v>8106</v>
      </c>
      <c r="K190" t="str">
        <f>IFERROR(VLOOKUP(VALUE(J190),'Site Info'!$A:$G,3,FALSE),"")</f>
        <v>1080 EASTERN BLVD</v>
      </c>
      <c r="L190" t="str">
        <f>IFERROR(VLOOKUP(VALUE(J190),'Site Info'!$A:$G,4,FALSE),"")</f>
        <v>MONTGOMERY</v>
      </c>
      <c r="M190" t="str">
        <f>IFERROR(VLOOKUP(VALUE(J190),'Site Info'!$A:$G,5,FALSE),"")</f>
        <v>AL</v>
      </c>
      <c r="N190" t="str">
        <f>IFERROR(VLOOKUP(VALUE(J190),'Site Info'!$A:$G,6,FALSE),"")</f>
        <v>36117-1919</v>
      </c>
      <c r="O190">
        <f>IFERROR(VLOOKUP(VALUE(J190),'Site Info'!$A:$G,7,FALSE),"")</f>
        <v>3342720277</v>
      </c>
    </row>
    <row r="191" spans="1:15" x14ac:dyDescent="0.45">
      <c r="A191" t="s">
        <v>4840</v>
      </c>
      <c r="B191" t="s">
        <v>4841</v>
      </c>
      <c r="C191" t="s">
        <v>4842</v>
      </c>
      <c r="D191" t="s">
        <v>236</v>
      </c>
      <c r="E191" s="1">
        <v>46151.623287037037</v>
      </c>
      <c r="F191">
        <v>1547</v>
      </c>
      <c r="G191" t="s">
        <v>4843</v>
      </c>
      <c r="H191" t="s">
        <v>15</v>
      </c>
      <c r="I191" t="s">
        <v>237</v>
      </c>
      <c r="J191" t="str">
        <f>RIGHT(D191,4)</f>
        <v>8150</v>
      </c>
      <c r="K191" t="str">
        <f>IFERROR(VLOOKUP(VALUE(J191),'Site Info'!$A:$G,3,FALSE),"")</f>
        <v>10900 S US HIGHWAY 1</v>
      </c>
      <c r="L191" t="str">
        <f>IFERROR(VLOOKUP(VALUE(J191),'Site Info'!$A:$G,4,FALSE),"")</f>
        <v>PORT ST LUCIE</v>
      </c>
      <c r="M191" t="str">
        <f>IFERROR(VLOOKUP(VALUE(J191),'Site Info'!$A:$G,5,FALSE),"")</f>
        <v>FL</v>
      </c>
      <c r="N191" t="str">
        <f>IFERROR(VLOOKUP(VALUE(J191),'Site Info'!$A:$G,6,FALSE),"")</f>
        <v>34952-6406</v>
      </c>
      <c r="O191">
        <f>IFERROR(VLOOKUP(VALUE(J191),'Site Info'!$A:$G,7,FALSE),"")</f>
        <v>7723353225</v>
      </c>
    </row>
    <row r="192" spans="1:15" x14ac:dyDescent="0.45">
      <c r="A192" t="s">
        <v>4436</v>
      </c>
      <c r="B192" t="s">
        <v>4437</v>
      </c>
      <c r="C192" t="s">
        <v>4438</v>
      </c>
      <c r="D192" t="s">
        <v>236</v>
      </c>
      <c r="E192" s="1">
        <v>46152.251527777778</v>
      </c>
      <c r="F192">
        <v>1547</v>
      </c>
      <c r="G192" t="s">
        <v>4439</v>
      </c>
      <c r="H192" t="s">
        <v>15</v>
      </c>
      <c r="I192" t="s">
        <v>237</v>
      </c>
      <c r="J192" t="str">
        <f>RIGHT(D192,4)</f>
        <v>8150</v>
      </c>
      <c r="K192" t="str">
        <f>IFERROR(VLOOKUP(VALUE(J192),'Site Info'!$A:$G,3,FALSE),"")</f>
        <v>10900 S US HIGHWAY 1</v>
      </c>
      <c r="L192" t="str">
        <f>IFERROR(VLOOKUP(VALUE(J192),'Site Info'!$A:$G,4,FALSE),"")</f>
        <v>PORT ST LUCIE</v>
      </c>
      <c r="M192" t="str">
        <f>IFERROR(VLOOKUP(VALUE(J192),'Site Info'!$A:$G,5,FALSE),"")</f>
        <v>FL</v>
      </c>
      <c r="N192" t="str">
        <f>IFERROR(VLOOKUP(VALUE(J192),'Site Info'!$A:$G,6,FALSE),"")</f>
        <v>34952-6406</v>
      </c>
      <c r="O192">
        <f>IFERROR(VLOOKUP(VALUE(J192),'Site Info'!$A:$G,7,FALSE),"")</f>
        <v>7723353225</v>
      </c>
    </row>
    <row r="193" spans="1:15" x14ac:dyDescent="0.45">
      <c r="A193" t="s">
        <v>4848</v>
      </c>
      <c r="B193" t="s">
        <v>4849</v>
      </c>
      <c r="C193" t="s">
        <v>4850</v>
      </c>
      <c r="D193" t="s">
        <v>236</v>
      </c>
      <c r="E193" s="1">
        <v>46153.318067129629</v>
      </c>
      <c r="F193">
        <v>1547</v>
      </c>
      <c r="G193" t="s">
        <v>4851</v>
      </c>
      <c r="H193" t="s">
        <v>15</v>
      </c>
      <c r="I193" t="s">
        <v>237</v>
      </c>
      <c r="J193" t="str">
        <f>RIGHT(D193,4)</f>
        <v>8150</v>
      </c>
      <c r="K193" t="str">
        <f>IFERROR(VLOOKUP(VALUE(J193),'Site Info'!$A:$G,3,FALSE),"")</f>
        <v>10900 S US HIGHWAY 1</v>
      </c>
      <c r="L193" t="str">
        <f>IFERROR(VLOOKUP(VALUE(J193),'Site Info'!$A:$G,4,FALSE),"")</f>
        <v>PORT ST LUCIE</v>
      </c>
      <c r="M193" t="str">
        <f>IFERROR(VLOOKUP(VALUE(J193),'Site Info'!$A:$G,5,FALSE),"")</f>
        <v>FL</v>
      </c>
      <c r="N193" t="str">
        <f>IFERROR(VLOOKUP(VALUE(J193),'Site Info'!$A:$G,6,FALSE),"")</f>
        <v>34952-6406</v>
      </c>
      <c r="O193">
        <f>IFERROR(VLOOKUP(VALUE(J193),'Site Info'!$A:$G,7,FALSE),"")</f>
        <v>7723353225</v>
      </c>
    </row>
    <row r="194" spans="1:15" x14ac:dyDescent="0.45">
      <c r="A194" t="s">
        <v>14355</v>
      </c>
      <c r="B194" t="s">
        <v>14356</v>
      </c>
      <c r="C194" t="s">
        <v>14357</v>
      </c>
      <c r="D194" t="s">
        <v>236</v>
      </c>
      <c r="E194" s="1">
        <v>46153.317870370367</v>
      </c>
      <c r="F194">
        <v>1484</v>
      </c>
      <c r="G194" t="s">
        <v>14358</v>
      </c>
      <c r="H194" t="s">
        <v>15</v>
      </c>
      <c r="I194" t="s">
        <v>237</v>
      </c>
      <c r="J194" t="str">
        <f>RIGHT(D194,4)</f>
        <v>8150</v>
      </c>
      <c r="K194" t="str">
        <f>IFERROR(VLOOKUP(VALUE(J194),'Site Info'!$A:$G,3,FALSE),"")</f>
        <v>10900 S US HIGHWAY 1</v>
      </c>
      <c r="L194" t="str">
        <f>IFERROR(VLOOKUP(VALUE(J194),'Site Info'!$A:$G,4,FALSE),"")</f>
        <v>PORT ST LUCIE</v>
      </c>
      <c r="M194" t="str">
        <f>IFERROR(VLOOKUP(VALUE(J194),'Site Info'!$A:$G,5,FALSE),"")</f>
        <v>FL</v>
      </c>
      <c r="N194" t="str">
        <f>IFERROR(VLOOKUP(VALUE(J194),'Site Info'!$A:$G,6,FALSE),"")</f>
        <v>34952-6406</v>
      </c>
      <c r="O194">
        <f>IFERROR(VLOOKUP(VALUE(J194),'Site Info'!$A:$G,7,FALSE),"")</f>
        <v>7723353225</v>
      </c>
    </row>
    <row r="195" spans="1:15" x14ac:dyDescent="0.45">
      <c r="A195" t="s">
        <v>13828</v>
      </c>
      <c r="B195" t="s">
        <v>13829</v>
      </c>
      <c r="C195" t="s">
        <v>13830</v>
      </c>
      <c r="D195" t="s">
        <v>2646</v>
      </c>
      <c r="E195" s="1">
        <v>46152.558437500003</v>
      </c>
      <c r="F195">
        <v>1548</v>
      </c>
      <c r="G195" t="s">
        <v>13831</v>
      </c>
      <c r="H195" t="s">
        <v>15</v>
      </c>
      <c r="I195" t="s">
        <v>2648</v>
      </c>
      <c r="J195" t="str">
        <f>RIGHT(D195,4)</f>
        <v>6188</v>
      </c>
      <c r="K195" t="str">
        <f>IFERROR(VLOOKUP(VALUE(J195),'Site Info'!$A:$G,3,FALSE),"")</f>
        <v>10901 LAKELINE MALL DR</v>
      </c>
      <c r="L195" t="str">
        <f>IFERROR(VLOOKUP(VALUE(J195),'Site Info'!$A:$G,4,FALSE),"")</f>
        <v>AUSTIN</v>
      </c>
      <c r="M195" t="str">
        <f>IFERROR(VLOOKUP(VALUE(J195),'Site Info'!$A:$G,5,FALSE),"")</f>
        <v>TX</v>
      </c>
      <c r="N195" t="str">
        <f>IFERROR(VLOOKUP(VALUE(J195),'Site Info'!$A:$G,6,FALSE),"")</f>
        <v>78717-0000</v>
      </c>
      <c r="O195">
        <f>IFERROR(VLOOKUP(VALUE(J195),'Site Info'!$A:$G,7,FALSE),"")</f>
        <v>5128728464</v>
      </c>
    </row>
    <row r="196" spans="1:15" x14ac:dyDescent="0.45">
      <c r="A196" t="s">
        <v>8693</v>
      </c>
      <c r="B196" t="s">
        <v>8694</v>
      </c>
      <c r="C196" t="s">
        <v>8695</v>
      </c>
      <c r="D196" t="s">
        <v>2646</v>
      </c>
      <c r="E196" s="1">
        <v>46150.108032407406</v>
      </c>
      <c r="F196">
        <v>1547</v>
      </c>
      <c r="G196" t="s">
        <v>8696</v>
      </c>
      <c r="H196" t="s">
        <v>15</v>
      </c>
      <c r="I196" t="s">
        <v>2648</v>
      </c>
      <c r="J196" t="str">
        <f>RIGHT(D196,4)</f>
        <v>6188</v>
      </c>
      <c r="K196" t="str">
        <f>IFERROR(VLOOKUP(VALUE(J196),'Site Info'!$A:$G,3,FALSE),"")</f>
        <v>10901 LAKELINE MALL DR</v>
      </c>
      <c r="L196" t="str">
        <f>IFERROR(VLOOKUP(VALUE(J196),'Site Info'!$A:$G,4,FALSE),"")</f>
        <v>AUSTIN</v>
      </c>
      <c r="M196" t="str">
        <f>IFERROR(VLOOKUP(VALUE(J196),'Site Info'!$A:$G,5,FALSE),"")</f>
        <v>TX</v>
      </c>
      <c r="N196" t="str">
        <f>IFERROR(VLOOKUP(VALUE(J196),'Site Info'!$A:$G,6,FALSE),"")</f>
        <v>78717-0000</v>
      </c>
      <c r="O196">
        <f>IFERROR(VLOOKUP(VALUE(J196),'Site Info'!$A:$G,7,FALSE),"")</f>
        <v>5128728464</v>
      </c>
    </row>
    <row r="197" spans="1:15" x14ac:dyDescent="0.45">
      <c r="A197" t="s">
        <v>5588</v>
      </c>
      <c r="B197" t="s">
        <v>5589</v>
      </c>
      <c r="C197" t="s">
        <v>5590</v>
      </c>
      <c r="D197" t="s">
        <v>2646</v>
      </c>
      <c r="E197" s="1">
        <v>46152.456180555557</v>
      </c>
      <c r="F197">
        <v>1547</v>
      </c>
      <c r="G197" t="s">
        <v>5591</v>
      </c>
      <c r="H197" t="s">
        <v>15</v>
      </c>
      <c r="I197" t="s">
        <v>2648</v>
      </c>
      <c r="J197" t="str">
        <f>RIGHT(D197,4)</f>
        <v>6188</v>
      </c>
      <c r="K197" t="str">
        <f>IFERROR(VLOOKUP(VALUE(J197),'Site Info'!$A:$G,3,FALSE),"")</f>
        <v>10901 LAKELINE MALL DR</v>
      </c>
      <c r="L197" t="str">
        <f>IFERROR(VLOOKUP(VALUE(J197),'Site Info'!$A:$G,4,FALSE),"")</f>
        <v>AUSTIN</v>
      </c>
      <c r="M197" t="str">
        <f>IFERROR(VLOOKUP(VALUE(J197),'Site Info'!$A:$G,5,FALSE),"")</f>
        <v>TX</v>
      </c>
      <c r="N197" t="str">
        <f>IFERROR(VLOOKUP(VALUE(J197),'Site Info'!$A:$G,6,FALSE),"")</f>
        <v>78717-0000</v>
      </c>
      <c r="O197">
        <f>IFERROR(VLOOKUP(VALUE(J197),'Site Info'!$A:$G,7,FALSE),"")</f>
        <v>5128728464</v>
      </c>
    </row>
    <row r="198" spans="1:15" x14ac:dyDescent="0.45">
      <c r="A198" t="s">
        <v>4102</v>
      </c>
      <c r="B198" t="s">
        <v>4103</v>
      </c>
      <c r="C198" t="s">
        <v>4104</v>
      </c>
      <c r="D198" t="s">
        <v>2646</v>
      </c>
      <c r="E198" s="1">
        <v>46152.666585648149</v>
      </c>
      <c r="F198">
        <v>1547</v>
      </c>
      <c r="G198" t="s">
        <v>4105</v>
      </c>
      <c r="H198" t="s">
        <v>15</v>
      </c>
      <c r="I198" t="s">
        <v>2648</v>
      </c>
      <c r="J198" t="str">
        <f>RIGHT(D198,4)</f>
        <v>6188</v>
      </c>
      <c r="K198" t="str">
        <f>IFERROR(VLOOKUP(VALUE(J198),'Site Info'!$A:$G,3,FALSE),"")</f>
        <v>10901 LAKELINE MALL DR</v>
      </c>
      <c r="L198" t="str">
        <f>IFERROR(VLOOKUP(VALUE(J198),'Site Info'!$A:$G,4,FALSE),"")</f>
        <v>AUSTIN</v>
      </c>
      <c r="M198" t="str">
        <f>IFERROR(VLOOKUP(VALUE(J198),'Site Info'!$A:$G,5,FALSE),"")</f>
        <v>TX</v>
      </c>
      <c r="N198" t="str">
        <f>IFERROR(VLOOKUP(VALUE(J198),'Site Info'!$A:$G,6,FALSE),"")</f>
        <v>78717-0000</v>
      </c>
      <c r="O198">
        <f>IFERROR(VLOOKUP(VALUE(J198),'Site Info'!$A:$G,7,FALSE),"")</f>
        <v>5128728464</v>
      </c>
    </row>
    <row r="199" spans="1:15" x14ac:dyDescent="0.45">
      <c r="A199" t="s">
        <v>13868</v>
      </c>
      <c r="B199" t="s">
        <v>13869</v>
      </c>
      <c r="C199" t="s">
        <v>13870</v>
      </c>
      <c r="D199" t="s">
        <v>2646</v>
      </c>
      <c r="E199" s="1">
        <v>46153.17428240741</v>
      </c>
      <c r="F199">
        <v>1547</v>
      </c>
      <c r="G199" t="s">
        <v>13871</v>
      </c>
      <c r="H199" t="s">
        <v>15</v>
      </c>
      <c r="I199" t="s">
        <v>2648</v>
      </c>
      <c r="J199" t="str">
        <f>RIGHT(D199,4)</f>
        <v>6188</v>
      </c>
      <c r="K199" t="str">
        <f>IFERROR(VLOOKUP(VALUE(J199),'Site Info'!$A:$G,3,FALSE),"")</f>
        <v>10901 LAKELINE MALL DR</v>
      </c>
      <c r="L199" t="str">
        <f>IFERROR(VLOOKUP(VALUE(J199),'Site Info'!$A:$G,4,FALSE),"")</f>
        <v>AUSTIN</v>
      </c>
      <c r="M199" t="str">
        <f>IFERROR(VLOOKUP(VALUE(J199),'Site Info'!$A:$G,5,FALSE),"")</f>
        <v>TX</v>
      </c>
      <c r="N199" t="str">
        <f>IFERROR(VLOOKUP(VALUE(J199),'Site Info'!$A:$G,6,FALSE),"")</f>
        <v>78717-0000</v>
      </c>
      <c r="O199">
        <f>IFERROR(VLOOKUP(VALUE(J199),'Site Info'!$A:$G,7,FALSE),"")</f>
        <v>5128728464</v>
      </c>
    </row>
    <row r="200" spans="1:15" x14ac:dyDescent="0.45">
      <c r="A200" t="s">
        <v>2643</v>
      </c>
      <c r="B200" t="s">
        <v>2644</v>
      </c>
      <c r="C200" t="s">
        <v>2645</v>
      </c>
      <c r="D200" t="s">
        <v>2646</v>
      </c>
      <c r="E200" s="1">
        <v>46153.175428240742</v>
      </c>
      <c r="F200">
        <v>1481</v>
      </c>
      <c r="G200" t="s">
        <v>2647</v>
      </c>
      <c r="H200" t="s">
        <v>15</v>
      </c>
      <c r="I200" t="s">
        <v>2648</v>
      </c>
      <c r="J200" t="str">
        <f>RIGHT(D200,4)</f>
        <v>6188</v>
      </c>
      <c r="K200" t="str">
        <f>IFERROR(VLOOKUP(VALUE(J200),'Site Info'!$A:$G,3,FALSE),"")</f>
        <v>10901 LAKELINE MALL DR</v>
      </c>
      <c r="L200" t="str">
        <f>IFERROR(VLOOKUP(VALUE(J200),'Site Info'!$A:$G,4,FALSE),"")</f>
        <v>AUSTIN</v>
      </c>
      <c r="M200" t="str">
        <f>IFERROR(VLOOKUP(VALUE(J200),'Site Info'!$A:$G,5,FALSE),"")</f>
        <v>TX</v>
      </c>
      <c r="N200" t="str">
        <f>IFERROR(VLOOKUP(VALUE(J200),'Site Info'!$A:$G,6,FALSE),"")</f>
        <v>78717-0000</v>
      </c>
      <c r="O200">
        <f>IFERROR(VLOOKUP(VALUE(J200),'Site Info'!$A:$G,7,FALSE),"")</f>
        <v>5128728464</v>
      </c>
    </row>
    <row r="201" spans="1:15" x14ac:dyDescent="0.45">
      <c r="A201" t="s">
        <v>8095</v>
      </c>
      <c r="B201" t="s">
        <v>8096</v>
      </c>
      <c r="C201" t="s">
        <v>8097</v>
      </c>
      <c r="D201" t="s">
        <v>2211</v>
      </c>
      <c r="E201" s="1">
        <v>46152.75885416667</v>
      </c>
      <c r="F201">
        <v>1547</v>
      </c>
      <c r="G201" t="s">
        <v>8098</v>
      </c>
      <c r="H201" t="s">
        <v>15</v>
      </c>
      <c r="I201" t="s">
        <v>2213</v>
      </c>
      <c r="J201" t="str">
        <f>RIGHT(D201,4)</f>
        <v>6373</v>
      </c>
      <c r="K201" t="str">
        <f>IFERROR(VLOOKUP(VALUE(J201),'Site Info'!$A:$G,3,FALSE),"")</f>
        <v>1100 GRAND CENTRAL AVE</v>
      </c>
      <c r="L201" t="str">
        <f>IFERROR(VLOOKUP(VALUE(J201),'Site Info'!$A:$G,4,FALSE),"")</f>
        <v>VIENNA</v>
      </c>
      <c r="M201" t="str">
        <f>IFERROR(VLOOKUP(VALUE(J201),'Site Info'!$A:$G,5,FALSE),"")</f>
        <v>WV</v>
      </c>
      <c r="N201" t="str">
        <f>IFERROR(VLOOKUP(VALUE(J201),'Site Info'!$A:$G,6,FALSE),"")</f>
        <v>26105-1049</v>
      </c>
      <c r="O201">
        <f>IFERROR(VLOOKUP(VALUE(J201),'Site Info'!$A:$G,7,FALSE),"")</f>
        <v>3042950280</v>
      </c>
    </row>
    <row r="202" spans="1:15" x14ac:dyDescent="0.45">
      <c r="A202" t="s">
        <v>8993</v>
      </c>
      <c r="B202" t="s">
        <v>8994</v>
      </c>
      <c r="C202" t="s">
        <v>8995</v>
      </c>
      <c r="D202" t="s">
        <v>2211</v>
      </c>
      <c r="E202" s="1">
        <v>46153.32739583333</v>
      </c>
      <c r="F202">
        <v>1547</v>
      </c>
      <c r="G202" t="s">
        <v>8996</v>
      </c>
      <c r="H202" t="s">
        <v>15</v>
      </c>
      <c r="I202" t="s">
        <v>2213</v>
      </c>
      <c r="J202" t="str">
        <f>RIGHT(D202,4)</f>
        <v>6373</v>
      </c>
      <c r="K202" t="str">
        <f>IFERROR(VLOOKUP(VALUE(J202),'Site Info'!$A:$G,3,FALSE),"")</f>
        <v>1100 GRAND CENTRAL AVE</v>
      </c>
      <c r="L202" t="str">
        <f>IFERROR(VLOOKUP(VALUE(J202),'Site Info'!$A:$G,4,FALSE),"")</f>
        <v>VIENNA</v>
      </c>
      <c r="M202" t="str">
        <f>IFERROR(VLOOKUP(VALUE(J202),'Site Info'!$A:$G,5,FALSE),"")</f>
        <v>WV</v>
      </c>
      <c r="N202" t="str">
        <f>IFERROR(VLOOKUP(VALUE(J202),'Site Info'!$A:$G,6,FALSE),"")</f>
        <v>26105-1049</v>
      </c>
      <c r="O202">
        <f>IFERROR(VLOOKUP(VALUE(J202),'Site Info'!$A:$G,7,FALSE),"")</f>
        <v>3042950280</v>
      </c>
    </row>
    <row r="203" spans="1:15" x14ac:dyDescent="0.45">
      <c r="A203" t="s">
        <v>8905</v>
      </c>
      <c r="B203" t="s">
        <v>8906</v>
      </c>
      <c r="C203" t="s">
        <v>8907</v>
      </c>
      <c r="D203" t="s">
        <v>2211</v>
      </c>
      <c r="E203" s="1">
        <v>46153.348194444443</v>
      </c>
      <c r="F203">
        <v>1547</v>
      </c>
      <c r="G203" t="s">
        <v>8908</v>
      </c>
      <c r="H203" t="s">
        <v>15</v>
      </c>
      <c r="I203" t="s">
        <v>2213</v>
      </c>
      <c r="J203" t="str">
        <f>RIGHT(D203,4)</f>
        <v>6373</v>
      </c>
      <c r="K203" t="str">
        <f>IFERROR(VLOOKUP(VALUE(J203),'Site Info'!$A:$G,3,FALSE),"")</f>
        <v>1100 GRAND CENTRAL AVE</v>
      </c>
      <c r="L203" t="str">
        <f>IFERROR(VLOOKUP(VALUE(J203),'Site Info'!$A:$G,4,FALSE),"")</f>
        <v>VIENNA</v>
      </c>
      <c r="M203" t="str">
        <f>IFERROR(VLOOKUP(VALUE(J203),'Site Info'!$A:$G,5,FALSE),"")</f>
        <v>WV</v>
      </c>
      <c r="N203" t="str">
        <f>IFERROR(VLOOKUP(VALUE(J203),'Site Info'!$A:$G,6,FALSE),"")</f>
        <v>26105-1049</v>
      </c>
      <c r="O203">
        <f>IFERROR(VLOOKUP(VALUE(J203),'Site Info'!$A:$G,7,FALSE),"")</f>
        <v>3042950280</v>
      </c>
    </row>
    <row r="204" spans="1:15" x14ac:dyDescent="0.45">
      <c r="A204" t="s">
        <v>8041</v>
      </c>
      <c r="B204" t="s">
        <v>8042</v>
      </c>
      <c r="C204" t="s">
        <v>8043</v>
      </c>
      <c r="D204" t="s">
        <v>2211</v>
      </c>
      <c r="E204" s="1">
        <v>46153.368506944447</v>
      </c>
      <c r="F204">
        <v>1547</v>
      </c>
      <c r="G204" t="s">
        <v>8044</v>
      </c>
      <c r="H204" t="s">
        <v>15</v>
      </c>
      <c r="I204" t="s">
        <v>2213</v>
      </c>
      <c r="J204" t="str">
        <f>RIGHT(D204,4)</f>
        <v>6373</v>
      </c>
      <c r="K204" t="str">
        <f>IFERROR(VLOOKUP(VALUE(J204),'Site Info'!$A:$G,3,FALSE),"")</f>
        <v>1100 GRAND CENTRAL AVE</v>
      </c>
      <c r="L204" t="str">
        <f>IFERROR(VLOOKUP(VALUE(J204),'Site Info'!$A:$G,4,FALSE),"")</f>
        <v>VIENNA</v>
      </c>
      <c r="M204" t="str">
        <f>IFERROR(VLOOKUP(VALUE(J204),'Site Info'!$A:$G,5,FALSE),"")</f>
        <v>WV</v>
      </c>
      <c r="N204" t="str">
        <f>IFERROR(VLOOKUP(VALUE(J204),'Site Info'!$A:$G,6,FALSE),"")</f>
        <v>26105-1049</v>
      </c>
      <c r="O204">
        <f>IFERROR(VLOOKUP(VALUE(J204),'Site Info'!$A:$G,7,FALSE),"")</f>
        <v>3042950280</v>
      </c>
    </row>
    <row r="205" spans="1:15" x14ac:dyDescent="0.45">
      <c r="A205" t="s">
        <v>2208</v>
      </c>
      <c r="B205" t="s">
        <v>2209</v>
      </c>
      <c r="C205" t="s">
        <v>2210</v>
      </c>
      <c r="D205" t="s">
        <v>2211</v>
      </c>
      <c r="E205" s="1">
        <v>46140.232546296298</v>
      </c>
      <c r="F205">
        <v>1481</v>
      </c>
      <c r="G205" t="s">
        <v>2212</v>
      </c>
      <c r="H205" t="s">
        <v>15</v>
      </c>
      <c r="I205" t="s">
        <v>2213</v>
      </c>
      <c r="J205" t="str">
        <f>RIGHT(D205,4)</f>
        <v>6373</v>
      </c>
      <c r="K205" t="str">
        <f>IFERROR(VLOOKUP(VALUE(J205),'Site Info'!$A:$G,3,FALSE),"")</f>
        <v>1100 GRAND CENTRAL AVE</v>
      </c>
      <c r="L205" t="str">
        <f>IFERROR(VLOOKUP(VALUE(J205),'Site Info'!$A:$G,4,FALSE),"")</f>
        <v>VIENNA</v>
      </c>
      <c r="M205" t="str">
        <f>IFERROR(VLOOKUP(VALUE(J205),'Site Info'!$A:$G,5,FALSE),"")</f>
        <v>WV</v>
      </c>
      <c r="N205" t="str">
        <f>IFERROR(VLOOKUP(VALUE(J205),'Site Info'!$A:$G,6,FALSE),"")</f>
        <v>26105-1049</v>
      </c>
      <c r="O205">
        <f>IFERROR(VLOOKUP(VALUE(J205),'Site Info'!$A:$G,7,FALSE),"")</f>
        <v>3042950280</v>
      </c>
    </row>
    <row r="206" spans="1:15" x14ac:dyDescent="0.45">
      <c r="A206" t="s">
        <v>2891</v>
      </c>
      <c r="B206" t="s">
        <v>2892</v>
      </c>
      <c r="C206" t="s">
        <v>2893</v>
      </c>
      <c r="D206" t="s">
        <v>2211</v>
      </c>
      <c r="E206" s="1">
        <v>46152.613842592589</v>
      </c>
      <c r="F206">
        <v>1481</v>
      </c>
      <c r="G206" t="s">
        <v>2894</v>
      </c>
      <c r="H206" t="s">
        <v>15</v>
      </c>
      <c r="I206" t="s">
        <v>2213</v>
      </c>
      <c r="J206" t="str">
        <f>RIGHT(D206,4)</f>
        <v>6373</v>
      </c>
      <c r="K206" t="str">
        <f>IFERROR(VLOOKUP(VALUE(J206),'Site Info'!$A:$G,3,FALSE),"")</f>
        <v>1100 GRAND CENTRAL AVE</v>
      </c>
      <c r="L206" t="str">
        <f>IFERROR(VLOOKUP(VALUE(J206),'Site Info'!$A:$G,4,FALSE),"")</f>
        <v>VIENNA</v>
      </c>
      <c r="M206" t="str">
        <f>IFERROR(VLOOKUP(VALUE(J206),'Site Info'!$A:$G,5,FALSE),"")</f>
        <v>WV</v>
      </c>
      <c r="N206" t="str">
        <f>IFERROR(VLOOKUP(VALUE(J206),'Site Info'!$A:$G,6,FALSE),"")</f>
        <v>26105-1049</v>
      </c>
      <c r="O206">
        <f>IFERROR(VLOOKUP(VALUE(J206),'Site Info'!$A:$G,7,FALSE),"")</f>
        <v>3042950280</v>
      </c>
    </row>
    <row r="207" spans="1:15" x14ac:dyDescent="0.45">
      <c r="A207" t="s">
        <v>3067</v>
      </c>
      <c r="B207" t="s">
        <v>3068</v>
      </c>
      <c r="C207" t="s">
        <v>3069</v>
      </c>
      <c r="D207" t="s">
        <v>2211</v>
      </c>
      <c r="E207" s="1">
        <v>46153.369293981479</v>
      </c>
      <c r="F207">
        <v>1481</v>
      </c>
      <c r="G207" t="s">
        <v>3070</v>
      </c>
      <c r="H207" t="s">
        <v>15</v>
      </c>
      <c r="I207" t="s">
        <v>2213</v>
      </c>
      <c r="J207" t="str">
        <f>RIGHT(D207,4)</f>
        <v>6373</v>
      </c>
      <c r="K207" t="str">
        <f>IFERROR(VLOOKUP(VALUE(J207),'Site Info'!$A:$G,3,FALSE),"")</f>
        <v>1100 GRAND CENTRAL AVE</v>
      </c>
      <c r="L207" t="str">
        <f>IFERROR(VLOOKUP(VALUE(J207),'Site Info'!$A:$G,4,FALSE),"")</f>
        <v>VIENNA</v>
      </c>
      <c r="M207" t="str">
        <f>IFERROR(VLOOKUP(VALUE(J207),'Site Info'!$A:$G,5,FALSE),"")</f>
        <v>WV</v>
      </c>
      <c r="N207" t="str">
        <f>IFERROR(VLOOKUP(VALUE(J207),'Site Info'!$A:$G,6,FALSE),"")</f>
        <v>26105-1049</v>
      </c>
      <c r="O207">
        <f>IFERROR(VLOOKUP(VALUE(J207),'Site Info'!$A:$G,7,FALSE),"")</f>
        <v>3042950280</v>
      </c>
    </row>
    <row r="208" spans="1:15" x14ac:dyDescent="0.45">
      <c r="A208" t="s">
        <v>16798</v>
      </c>
      <c r="B208" t="s">
        <v>16799</v>
      </c>
      <c r="C208" t="s">
        <v>16800</v>
      </c>
      <c r="D208" t="s">
        <v>2211</v>
      </c>
      <c r="E208" s="1">
        <v>46153.094270833331</v>
      </c>
      <c r="F208">
        <v>1481</v>
      </c>
      <c r="G208" t="s">
        <v>16801</v>
      </c>
      <c r="H208" t="s">
        <v>15</v>
      </c>
      <c r="I208" t="s">
        <v>2213</v>
      </c>
      <c r="J208" t="str">
        <f>RIGHT(D208,4)</f>
        <v>6373</v>
      </c>
      <c r="K208" t="str">
        <f>IFERROR(VLOOKUP(VALUE(J208),'Site Info'!$A:$G,3,FALSE),"")</f>
        <v>1100 GRAND CENTRAL AVE</v>
      </c>
      <c r="L208" t="str">
        <f>IFERROR(VLOOKUP(VALUE(J208),'Site Info'!$A:$G,4,FALSE),"")</f>
        <v>VIENNA</v>
      </c>
      <c r="M208" t="str">
        <f>IFERROR(VLOOKUP(VALUE(J208),'Site Info'!$A:$G,5,FALSE),"")</f>
        <v>WV</v>
      </c>
      <c r="N208" t="str">
        <f>IFERROR(VLOOKUP(VALUE(J208),'Site Info'!$A:$G,6,FALSE),"")</f>
        <v>26105-1049</v>
      </c>
      <c r="O208">
        <f>IFERROR(VLOOKUP(VALUE(J208),'Site Info'!$A:$G,7,FALSE),"")</f>
        <v>3042950280</v>
      </c>
    </row>
    <row r="209" spans="1:15" x14ac:dyDescent="0.45">
      <c r="A209" t="s">
        <v>16802</v>
      </c>
      <c r="B209" t="s">
        <v>16803</v>
      </c>
      <c r="C209" t="s">
        <v>16804</v>
      </c>
      <c r="D209" t="s">
        <v>2211</v>
      </c>
      <c r="E209" s="1">
        <v>46153.333275462966</v>
      </c>
      <c r="F209">
        <v>1481</v>
      </c>
      <c r="G209" t="s">
        <v>16805</v>
      </c>
      <c r="H209" t="s">
        <v>15</v>
      </c>
      <c r="I209" t="s">
        <v>2213</v>
      </c>
      <c r="J209" t="str">
        <f>RIGHT(D209,4)</f>
        <v>6373</v>
      </c>
      <c r="K209" t="str">
        <f>IFERROR(VLOOKUP(VALUE(J209),'Site Info'!$A:$G,3,FALSE),"")</f>
        <v>1100 GRAND CENTRAL AVE</v>
      </c>
      <c r="L209" t="str">
        <f>IFERROR(VLOOKUP(VALUE(J209),'Site Info'!$A:$G,4,FALSE),"")</f>
        <v>VIENNA</v>
      </c>
      <c r="M209" t="str">
        <f>IFERROR(VLOOKUP(VALUE(J209),'Site Info'!$A:$G,5,FALSE),"")</f>
        <v>WV</v>
      </c>
      <c r="N209" t="str">
        <f>IFERROR(VLOOKUP(VALUE(J209),'Site Info'!$A:$G,6,FALSE),"")</f>
        <v>26105-1049</v>
      </c>
      <c r="O209">
        <f>IFERROR(VLOOKUP(VALUE(J209),'Site Info'!$A:$G,7,FALSE),"")</f>
        <v>3042950280</v>
      </c>
    </row>
    <row r="210" spans="1:15" x14ac:dyDescent="0.45">
      <c r="A210" t="s">
        <v>11710</v>
      </c>
      <c r="B210" t="s">
        <v>11711</v>
      </c>
      <c r="C210" t="s">
        <v>11712</v>
      </c>
      <c r="D210" t="s">
        <v>3010</v>
      </c>
      <c r="E210" s="1">
        <v>46150.721770833334</v>
      </c>
      <c r="F210">
        <v>1547</v>
      </c>
      <c r="G210" t="s">
        <v>11713</v>
      </c>
      <c r="H210" t="s">
        <v>15</v>
      </c>
      <c r="I210" t="s">
        <v>3012</v>
      </c>
      <c r="J210" t="str">
        <f>RIGHT(D210,4)</f>
        <v>6344</v>
      </c>
      <c r="K210" t="str">
        <f>IFERROR(VLOOKUP(VALUE(J210),'Site Info'!$A:$G,3,FALSE),"")</f>
        <v>1101 73RD ST</v>
      </c>
      <c r="L210" t="str">
        <f>IFERROR(VLOOKUP(VALUE(J210),'Site Info'!$A:$G,4,FALSE),"")</f>
        <v>DES MOINES</v>
      </c>
      <c r="M210" t="str">
        <f>IFERROR(VLOOKUP(VALUE(J210),'Site Info'!$A:$G,5,FALSE),"")</f>
        <v>IA</v>
      </c>
      <c r="N210" t="str">
        <f>IFERROR(VLOOKUP(VALUE(J210),'Site Info'!$A:$G,6,FALSE),"")</f>
        <v>50324-1313</v>
      </c>
      <c r="O210">
        <f>IFERROR(VLOOKUP(VALUE(J210),'Site Info'!$A:$G,7,FALSE),"")</f>
        <v>5152552252</v>
      </c>
    </row>
    <row r="211" spans="1:15" x14ac:dyDescent="0.45">
      <c r="A211" t="s">
        <v>10316</v>
      </c>
      <c r="B211" t="s">
        <v>10317</v>
      </c>
      <c r="C211" t="s">
        <v>10318</v>
      </c>
      <c r="D211" t="s">
        <v>3010</v>
      </c>
      <c r="E211" s="1">
        <v>46151.440682870372</v>
      </c>
      <c r="F211">
        <v>1547</v>
      </c>
      <c r="G211" t="s">
        <v>10319</v>
      </c>
      <c r="H211" t="s">
        <v>15</v>
      </c>
      <c r="I211" t="s">
        <v>3012</v>
      </c>
      <c r="J211" t="str">
        <f>RIGHT(D211,4)</f>
        <v>6344</v>
      </c>
      <c r="K211" t="str">
        <f>IFERROR(VLOOKUP(VALUE(J211),'Site Info'!$A:$G,3,FALSE),"")</f>
        <v>1101 73RD ST</v>
      </c>
      <c r="L211" t="str">
        <f>IFERROR(VLOOKUP(VALUE(J211),'Site Info'!$A:$G,4,FALSE),"")</f>
        <v>DES MOINES</v>
      </c>
      <c r="M211" t="str">
        <f>IFERROR(VLOOKUP(VALUE(J211),'Site Info'!$A:$G,5,FALSE),"")</f>
        <v>IA</v>
      </c>
      <c r="N211" t="str">
        <f>IFERROR(VLOOKUP(VALUE(J211),'Site Info'!$A:$G,6,FALSE),"")</f>
        <v>50324-1313</v>
      </c>
      <c r="O211">
        <f>IFERROR(VLOOKUP(VALUE(J211),'Site Info'!$A:$G,7,FALSE),"")</f>
        <v>5152552252</v>
      </c>
    </row>
    <row r="212" spans="1:15" x14ac:dyDescent="0.45">
      <c r="A212" t="s">
        <v>10218</v>
      </c>
      <c r="B212" t="s">
        <v>10219</v>
      </c>
      <c r="C212" t="s">
        <v>10220</v>
      </c>
      <c r="D212" t="s">
        <v>3010</v>
      </c>
      <c r="E212" s="1">
        <v>46152.45548611111</v>
      </c>
      <c r="F212">
        <v>1547</v>
      </c>
      <c r="G212" t="s">
        <v>10221</v>
      </c>
      <c r="H212" t="s">
        <v>15</v>
      </c>
      <c r="I212" t="s">
        <v>3012</v>
      </c>
      <c r="J212" t="str">
        <f>RIGHT(D212,4)</f>
        <v>6344</v>
      </c>
      <c r="K212" t="str">
        <f>IFERROR(VLOOKUP(VALUE(J212),'Site Info'!$A:$G,3,FALSE),"")</f>
        <v>1101 73RD ST</v>
      </c>
      <c r="L212" t="str">
        <f>IFERROR(VLOOKUP(VALUE(J212),'Site Info'!$A:$G,4,FALSE),"")</f>
        <v>DES MOINES</v>
      </c>
      <c r="M212" t="str">
        <f>IFERROR(VLOOKUP(VALUE(J212),'Site Info'!$A:$G,5,FALSE),"")</f>
        <v>IA</v>
      </c>
      <c r="N212" t="str">
        <f>IFERROR(VLOOKUP(VALUE(J212),'Site Info'!$A:$G,6,FALSE),"")</f>
        <v>50324-1313</v>
      </c>
      <c r="O212">
        <f>IFERROR(VLOOKUP(VALUE(J212),'Site Info'!$A:$G,7,FALSE),"")</f>
        <v>5152552252</v>
      </c>
    </row>
    <row r="213" spans="1:15" x14ac:dyDescent="0.45">
      <c r="A213" t="s">
        <v>3007</v>
      </c>
      <c r="B213" t="s">
        <v>3008</v>
      </c>
      <c r="C213" t="s">
        <v>3009</v>
      </c>
      <c r="D213" t="s">
        <v>3010</v>
      </c>
      <c r="E213" s="1">
        <v>46153.361759259256</v>
      </c>
      <c r="F213">
        <v>1481</v>
      </c>
      <c r="G213" t="s">
        <v>3011</v>
      </c>
      <c r="H213" t="s">
        <v>15</v>
      </c>
      <c r="I213" t="s">
        <v>3012</v>
      </c>
      <c r="J213" t="str">
        <f>RIGHT(D213,4)</f>
        <v>6344</v>
      </c>
      <c r="K213" t="str">
        <f>IFERROR(VLOOKUP(VALUE(J213),'Site Info'!$A:$G,3,FALSE),"")</f>
        <v>1101 73RD ST</v>
      </c>
      <c r="L213" t="str">
        <f>IFERROR(VLOOKUP(VALUE(J213),'Site Info'!$A:$G,4,FALSE),"")</f>
        <v>DES MOINES</v>
      </c>
      <c r="M213" t="str">
        <f>IFERROR(VLOOKUP(VALUE(J213),'Site Info'!$A:$G,5,FALSE),"")</f>
        <v>IA</v>
      </c>
      <c r="N213" t="str">
        <f>IFERROR(VLOOKUP(VALUE(J213),'Site Info'!$A:$G,6,FALSE),"")</f>
        <v>50324-1313</v>
      </c>
      <c r="O213">
        <f>IFERROR(VLOOKUP(VALUE(J213),'Site Info'!$A:$G,7,FALSE),"")</f>
        <v>5152552252</v>
      </c>
    </row>
    <row r="214" spans="1:15" x14ac:dyDescent="0.45">
      <c r="A214" t="s">
        <v>16465</v>
      </c>
      <c r="B214" t="s">
        <v>16757</v>
      </c>
      <c r="C214" t="s">
        <v>16758</v>
      </c>
      <c r="D214" t="s">
        <v>3010</v>
      </c>
      <c r="E214" s="1">
        <v>46153.381249999999</v>
      </c>
      <c r="F214">
        <v>1863</v>
      </c>
      <c r="G214" t="s">
        <v>16759</v>
      </c>
      <c r="H214" t="s">
        <v>136</v>
      </c>
      <c r="I214" t="s">
        <v>3012</v>
      </c>
      <c r="J214" t="str">
        <f>RIGHT(D214,4)</f>
        <v>6344</v>
      </c>
      <c r="K214" t="str">
        <f>IFERROR(VLOOKUP(VALUE(J214),'Site Info'!$A:$G,3,FALSE),"")</f>
        <v>1101 73RD ST</v>
      </c>
      <c r="L214" t="str">
        <f>IFERROR(VLOOKUP(VALUE(J214),'Site Info'!$A:$G,4,FALSE),"")</f>
        <v>DES MOINES</v>
      </c>
      <c r="M214" t="str">
        <f>IFERROR(VLOOKUP(VALUE(J214),'Site Info'!$A:$G,5,FALSE),"")</f>
        <v>IA</v>
      </c>
      <c r="N214" t="str">
        <f>IFERROR(VLOOKUP(VALUE(J214),'Site Info'!$A:$G,6,FALSE),"")</f>
        <v>50324-1313</v>
      </c>
      <c r="O214">
        <f>IFERROR(VLOOKUP(VALUE(J214),'Site Info'!$A:$G,7,FALSE),"")</f>
        <v>5152552252</v>
      </c>
    </row>
    <row r="215" spans="1:15" x14ac:dyDescent="0.45">
      <c r="A215" t="s">
        <v>16760</v>
      </c>
      <c r="B215" t="s">
        <v>16761</v>
      </c>
      <c r="C215" t="s">
        <v>16762</v>
      </c>
      <c r="D215" t="s">
        <v>3010</v>
      </c>
      <c r="E215" s="1">
        <v>46153.372245370374</v>
      </c>
      <c r="F215">
        <v>1547</v>
      </c>
      <c r="G215" t="s">
        <v>16763</v>
      </c>
      <c r="H215" t="s">
        <v>15</v>
      </c>
      <c r="I215" t="s">
        <v>3012</v>
      </c>
      <c r="J215" t="str">
        <f>RIGHT(D215,4)</f>
        <v>6344</v>
      </c>
      <c r="K215" t="str">
        <f>IFERROR(VLOOKUP(VALUE(J215),'Site Info'!$A:$G,3,FALSE),"")</f>
        <v>1101 73RD ST</v>
      </c>
      <c r="L215" t="str">
        <f>IFERROR(VLOOKUP(VALUE(J215),'Site Info'!$A:$G,4,FALSE),"")</f>
        <v>DES MOINES</v>
      </c>
      <c r="M215" t="str">
        <f>IFERROR(VLOOKUP(VALUE(J215),'Site Info'!$A:$G,5,FALSE),"")</f>
        <v>IA</v>
      </c>
      <c r="N215" t="str">
        <f>IFERROR(VLOOKUP(VALUE(J215),'Site Info'!$A:$G,6,FALSE),"")</f>
        <v>50324-1313</v>
      </c>
      <c r="O215">
        <f>IFERROR(VLOOKUP(VALUE(J215),'Site Info'!$A:$G,7,FALSE),"")</f>
        <v>5152552252</v>
      </c>
    </row>
    <row r="216" spans="1:15" x14ac:dyDescent="0.45">
      <c r="A216" t="s">
        <v>13993</v>
      </c>
      <c r="B216" t="s">
        <v>13994</v>
      </c>
      <c r="C216" t="s">
        <v>13995</v>
      </c>
      <c r="D216" t="s">
        <v>196</v>
      </c>
      <c r="E216" s="1">
        <v>46148.976018518515</v>
      </c>
      <c r="F216">
        <v>1547</v>
      </c>
      <c r="G216" t="s">
        <v>13996</v>
      </c>
      <c r="H216" t="s">
        <v>15</v>
      </c>
      <c r="I216" t="s">
        <v>198</v>
      </c>
      <c r="J216" t="str">
        <f>RIGHT(D216,4)</f>
        <v>4785</v>
      </c>
      <c r="K216" t="str">
        <f>IFERROR(VLOOKUP(VALUE(J216),'Site Info'!$A:$G,3,FALSE),"")</f>
        <v>1101 RINEHART RD</v>
      </c>
      <c r="L216" t="str">
        <f>IFERROR(VLOOKUP(VALUE(J216),'Site Info'!$A:$G,4,FALSE),"")</f>
        <v>SANFORD</v>
      </c>
      <c r="M216" t="str">
        <f>IFERROR(VLOOKUP(VALUE(J216),'Site Info'!$A:$G,5,FALSE),"")</f>
        <v>FL</v>
      </c>
      <c r="N216" t="str">
        <f>IFERROR(VLOOKUP(VALUE(J216),'Site Info'!$A:$G,6,FALSE),"")</f>
        <v>32771-7390</v>
      </c>
      <c r="O216">
        <f>IFERROR(VLOOKUP(VALUE(J216),'Site Info'!$A:$G,7,FALSE),"")</f>
        <v>4073028355</v>
      </c>
    </row>
    <row r="217" spans="1:15" x14ac:dyDescent="0.45">
      <c r="A217" t="s">
        <v>4300</v>
      </c>
      <c r="B217" t="s">
        <v>4301</v>
      </c>
      <c r="C217" t="s">
        <v>4302</v>
      </c>
      <c r="D217" t="s">
        <v>196</v>
      </c>
      <c r="E217" s="1">
        <v>46151.414918981478</v>
      </c>
      <c r="F217">
        <v>1547</v>
      </c>
      <c r="G217" t="s">
        <v>4303</v>
      </c>
      <c r="H217" t="s">
        <v>15</v>
      </c>
      <c r="I217" t="s">
        <v>198</v>
      </c>
      <c r="J217" t="str">
        <f>RIGHT(D217,4)</f>
        <v>4785</v>
      </c>
      <c r="K217" t="str">
        <f>IFERROR(VLOOKUP(VALUE(J217),'Site Info'!$A:$G,3,FALSE),"")</f>
        <v>1101 RINEHART RD</v>
      </c>
      <c r="L217" t="str">
        <f>IFERROR(VLOOKUP(VALUE(J217),'Site Info'!$A:$G,4,FALSE),"")</f>
        <v>SANFORD</v>
      </c>
      <c r="M217" t="str">
        <f>IFERROR(VLOOKUP(VALUE(J217),'Site Info'!$A:$G,5,FALSE),"")</f>
        <v>FL</v>
      </c>
      <c r="N217" t="str">
        <f>IFERROR(VLOOKUP(VALUE(J217),'Site Info'!$A:$G,6,FALSE),"")</f>
        <v>32771-7390</v>
      </c>
      <c r="O217">
        <f>IFERROR(VLOOKUP(VALUE(J217),'Site Info'!$A:$G,7,FALSE),"")</f>
        <v>4073028355</v>
      </c>
    </row>
    <row r="218" spans="1:15" x14ac:dyDescent="0.45">
      <c r="A218" t="s">
        <v>4576</v>
      </c>
      <c r="B218" t="s">
        <v>4577</v>
      </c>
      <c r="C218" t="s">
        <v>4578</v>
      </c>
      <c r="D218" t="s">
        <v>196</v>
      </c>
      <c r="E218" s="1">
        <v>46152.624340277776</v>
      </c>
      <c r="F218">
        <v>1547</v>
      </c>
      <c r="G218" t="s">
        <v>4579</v>
      </c>
      <c r="H218" t="s">
        <v>15</v>
      </c>
      <c r="I218" t="s">
        <v>198</v>
      </c>
      <c r="J218" t="str">
        <f>RIGHT(D218,4)</f>
        <v>4785</v>
      </c>
      <c r="K218" t="str">
        <f>IFERROR(VLOOKUP(VALUE(J218),'Site Info'!$A:$G,3,FALSE),"")</f>
        <v>1101 RINEHART RD</v>
      </c>
      <c r="L218" t="str">
        <f>IFERROR(VLOOKUP(VALUE(J218),'Site Info'!$A:$G,4,FALSE),"")</f>
        <v>SANFORD</v>
      </c>
      <c r="M218" t="str">
        <f>IFERROR(VLOOKUP(VALUE(J218),'Site Info'!$A:$G,5,FALSE),"")</f>
        <v>FL</v>
      </c>
      <c r="N218" t="str">
        <f>IFERROR(VLOOKUP(VALUE(J218),'Site Info'!$A:$G,6,FALSE),"")</f>
        <v>32771-7390</v>
      </c>
      <c r="O218">
        <f>IFERROR(VLOOKUP(VALUE(J218),'Site Info'!$A:$G,7,FALSE),"")</f>
        <v>4073028355</v>
      </c>
    </row>
    <row r="219" spans="1:15" x14ac:dyDescent="0.45">
      <c r="A219" t="s">
        <v>4868</v>
      </c>
      <c r="B219" t="s">
        <v>4869</v>
      </c>
      <c r="C219" t="s">
        <v>4870</v>
      </c>
      <c r="D219" t="s">
        <v>196</v>
      </c>
      <c r="E219" s="1">
        <v>46152.711770833332</v>
      </c>
      <c r="F219">
        <v>1547</v>
      </c>
      <c r="G219" t="s">
        <v>4871</v>
      </c>
      <c r="H219" t="s">
        <v>15</v>
      </c>
      <c r="I219" t="s">
        <v>198</v>
      </c>
      <c r="J219" t="str">
        <f>RIGHT(D219,4)</f>
        <v>4785</v>
      </c>
      <c r="K219" t="str">
        <f>IFERROR(VLOOKUP(VALUE(J219),'Site Info'!$A:$G,3,FALSE),"")</f>
        <v>1101 RINEHART RD</v>
      </c>
      <c r="L219" t="str">
        <f>IFERROR(VLOOKUP(VALUE(J219),'Site Info'!$A:$G,4,FALSE),"")</f>
        <v>SANFORD</v>
      </c>
      <c r="M219" t="str">
        <f>IFERROR(VLOOKUP(VALUE(J219),'Site Info'!$A:$G,5,FALSE),"")</f>
        <v>FL</v>
      </c>
      <c r="N219" t="str">
        <f>IFERROR(VLOOKUP(VALUE(J219),'Site Info'!$A:$G,6,FALSE),"")</f>
        <v>32771-7390</v>
      </c>
      <c r="O219">
        <f>IFERROR(VLOOKUP(VALUE(J219),'Site Info'!$A:$G,7,FALSE),"")</f>
        <v>4073028355</v>
      </c>
    </row>
    <row r="220" spans="1:15" x14ac:dyDescent="0.45">
      <c r="A220" t="s">
        <v>12786</v>
      </c>
      <c r="B220" t="s">
        <v>12787</v>
      </c>
      <c r="C220" t="s">
        <v>12788</v>
      </c>
      <c r="D220" t="s">
        <v>196</v>
      </c>
      <c r="E220" s="1">
        <v>46153.210914351854</v>
      </c>
      <c r="F220">
        <v>1547</v>
      </c>
      <c r="G220" t="s">
        <v>12789</v>
      </c>
      <c r="H220" t="s">
        <v>15</v>
      </c>
      <c r="I220" t="s">
        <v>198</v>
      </c>
      <c r="J220" t="str">
        <f>RIGHT(D220,4)</f>
        <v>4785</v>
      </c>
      <c r="K220" t="str">
        <f>IFERROR(VLOOKUP(VALUE(J220),'Site Info'!$A:$G,3,FALSE),"")</f>
        <v>1101 RINEHART RD</v>
      </c>
      <c r="L220" t="str">
        <f>IFERROR(VLOOKUP(VALUE(J220),'Site Info'!$A:$G,4,FALSE),"")</f>
        <v>SANFORD</v>
      </c>
      <c r="M220" t="str">
        <f>IFERROR(VLOOKUP(VALUE(J220),'Site Info'!$A:$G,5,FALSE),"")</f>
        <v>FL</v>
      </c>
      <c r="N220" t="str">
        <f>IFERROR(VLOOKUP(VALUE(J220),'Site Info'!$A:$G,6,FALSE),"")</f>
        <v>32771-7390</v>
      </c>
      <c r="O220">
        <f>IFERROR(VLOOKUP(VALUE(J220),'Site Info'!$A:$G,7,FALSE),"")</f>
        <v>4073028355</v>
      </c>
    </row>
    <row r="221" spans="1:15" x14ac:dyDescent="0.45">
      <c r="A221" t="s">
        <v>12208</v>
      </c>
      <c r="B221" t="s">
        <v>12209</v>
      </c>
      <c r="C221" t="s">
        <v>12210</v>
      </c>
      <c r="D221" t="s">
        <v>196</v>
      </c>
      <c r="E221" s="1">
        <v>46153.253935185188</v>
      </c>
      <c r="F221">
        <v>1547</v>
      </c>
      <c r="G221" t="s">
        <v>12211</v>
      </c>
      <c r="H221" t="s">
        <v>15</v>
      </c>
      <c r="I221" t="s">
        <v>198</v>
      </c>
      <c r="J221" t="str">
        <f>RIGHT(D221,4)</f>
        <v>4785</v>
      </c>
      <c r="K221" t="str">
        <f>IFERROR(VLOOKUP(VALUE(J221),'Site Info'!$A:$G,3,FALSE),"")</f>
        <v>1101 RINEHART RD</v>
      </c>
      <c r="L221" t="str">
        <f>IFERROR(VLOOKUP(VALUE(J221),'Site Info'!$A:$G,4,FALSE),"")</f>
        <v>SANFORD</v>
      </c>
      <c r="M221" t="str">
        <f>IFERROR(VLOOKUP(VALUE(J221),'Site Info'!$A:$G,5,FALSE),"")</f>
        <v>FL</v>
      </c>
      <c r="N221" t="str">
        <f>IFERROR(VLOOKUP(VALUE(J221),'Site Info'!$A:$G,6,FALSE),"")</f>
        <v>32771-7390</v>
      </c>
      <c r="O221">
        <f>IFERROR(VLOOKUP(VALUE(J221),'Site Info'!$A:$G,7,FALSE),"")</f>
        <v>4073028355</v>
      </c>
    </row>
    <row r="222" spans="1:15" x14ac:dyDescent="0.45">
      <c r="A222" t="s">
        <v>12684</v>
      </c>
      <c r="B222" t="s">
        <v>12685</v>
      </c>
      <c r="C222" t="s">
        <v>12686</v>
      </c>
      <c r="D222" t="s">
        <v>196</v>
      </c>
      <c r="E222" s="1">
        <v>46153.364236111112</v>
      </c>
      <c r="F222">
        <v>1547</v>
      </c>
      <c r="G222" t="s">
        <v>12687</v>
      </c>
      <c r="H222" t="s">
        <v>15</v>
      </c>
      <c r="I222" t="s">
        <v>198</v>
      </c>
      <c r="J222" t="str">
        <f>RIGHT(D222,4)</f>
        <v>4785</v>
      </c>
      <c r="K222" t="str">
        <f>IFERROR(VLOOKUP(VALUE(J222),'Site Info'!$A:$G,3,FALSE),"")</f>
        <v>1101 RINEHART RD</v>
      </c>
      <c r="L222" t="str">
        <f>IFERROR(VLOOKUP(VALUE(J222),'Site Info'!$A:$G,4,FALSE),"")</f>
        <v>SANFORD</v>
      </c>
      <c r="M222" t="str">
        <f>IFERROR(VLOOKUP(VALUE(J222),'Site Info'!$A:$G,5,FALSE),"")</f>
        <v>FL</v>
      </c>
      <c r="N222" t="str">
        <f>IFERROR(VLOOKUP(VALUE(J222),'Site Info'!$A:$G,6,FALSE),"")</f>
        <v>32771-7390</v>
      </c>
      <c r="O222">
        <f>IFERROR(VLOOKUP(VALUE(J222),'Site Info'!$A:$G,7,FALSE),"")</f>
        <v>4073028355</v>
      </c>
    </row>
    <row r="223" spans="1:15" x14ac:dyDescent="0.45">
      <c r="A223" t="s">
        <v>3179</v>
      </c>
      <c r="B223" t="s">
        <v>3180</v>
      </c>
      <c r="C223" t="s">
        <v>3181</v>
      </c>
      <c r="D223" t="s">
        <v>196</v>
      </c>
      <c r="E223" s="1">
        <v>46153.253032407411</v>
      </c>
      <c r="F223">
        <v>1481</v>
      </c>
      <c r="G223" t="s">
        <v>3182</v>
      </c>
      <c r="H223" t="s">
        <v>15</v>
      </c>
      <c r="I223" t="s">
        <v>198</v>
      </c>
      <c r="J223" t="str">
        <f>RIGHT(D223,4)</f>
        <v>4785</v>
      </c>
      <c r="K223" t="str">
        <f>IFERROR(VLOOKUP(VALUE(J223),'Site Info'!$A:$G,3,FALSE),"")</f>
        <v>1101 RINEHART RD</v>
      </c>
      <c r="L223" t="str">
        <f>IFERROR(VLOOKUP(VALUE(J223),'Site Info'!$A:$G,4,FALSE),"")</f>
        <v>SANFORD</v>
      </c>
      <c r="M223" t="str">
        <f>IFERROR(VLOOKUP(VALUE(J223),'Site Info'!$A:$G,5,FALSE),"")</f>
        <v>FL</v>
      </c>
      <c r="N223" t="str">
        <f>IFERROR(VLOOKUP(VALUE(J223),'Site Info'!$A:$G,6,FALSE),"")</f>
        <v>32771-7390</v>
      </c>
      <c r="O223">
        <f>IFERROR(VLOOKUP(VALUE(J223),'Site Info'!$A:$G,7,FALSE),"")</f>
        <v>4073028355</v>
      </c>
    </row>
    <row r="224" spans="1:15" x14ac:dyDescent="0.45">
      <c r="A224" t="s">
        <v>96</v>
      </c>
      <c r="B224" t="s">
        <v>194</v>
      </c>
      <c r="C224" t="s">
        <v>195</v>
      </c>
      <c r="D224" t="s">
        <v>196</v>
      </c>
      <c r="E224" s="1">
        <v>46153.289131944446</v>
      </c>
      <c r="F224">
        <v>1481</v>
      </c>
      <c r="G224" t="s">
        <v>197</v>
      </c>
      <c r="H224" t="s">
        <v>15</v>
      </c>
      <c r="I224" t="s">
        <v>198</v>
      </c>
      <c r="J224" t="str">
        <f>RIGHT(D224,4)</f>
        <v>4785</v>
      </c>
      <c r="K224" t="str">
        <f>IFERROR(VLOOKUP(VALUE(J224),'Site Info'!$A:$G,3,FALSE),"")</f>
        <v>1101 RINEHART RD</v>
      </c>
      <c r="L224" t="str">
        <f>IFERROR(VLOOKUP(VALUE(J224),'Site Info'!$A:$G,4,FALSE),"")</f>
        <v>SANFORD</v>
      </c>
      <c r="M224" t="str">
        <f>IFERROR(VLOOKUP(VALUE(J224),'Site Info'!$A:$G,5,FALSE),"")</f>
        <v>FL</v>
      </c>
      <c r="N224" t="str">
        <f>IFERROR(VLOOKUP(VALUE(J224),'Site Info'!$A:$G,6,FALSE),"")</f>
        <v>32771-7390</v>
      </c>
      <c r="O224">
        <f>IFERROR(VLOOKUP(VALUE(J224),'Site Info'!$A:$G,7,FALSE),"")</f>
        <v>4073028355</v>
      </c>
    </row>
    <row r="225" spans="1:15" x14ac:dyDescent="0.45">
      <c r="A225" t="s">
        <v>14257</v>
      </c>
      <c r="B225" t="s">
        <v>14258</v>
      </c>
      <c r="C225" t="s">
        <v>14259</v>
      </c>
      <c r="D225" t="s">
        <v>3196</v>
      </c>
      <c r="E225" s="1">
        <v>46101.302291666667</v>
      </c>
      <c r="F225">
        <v>1863</v>
      </c>
      <c r="G225" t="s">
        <v>14260</v>
      </c>
      <c r="H225" t="s">
        <v>136</v>
      </c>
      <c r="I225" t="s">
        <v>3198</v>
      </c>
      <c r="J225" t="str">
        <f>RIGHT(D225,4)</f>
        <v>6325</v>
      </c>
      <c r="K225" t="str">
        <f>IFERROR(VLOOKUP(VALUE(J225),'Site Info'!$A:$G,3,FALSE),"")</f>
        <v>1101 WINDHORST WAY</v>
      </c>
      <c r="L225" t="str">
        <f>IFERROR(VLOOKUP(VALUE(J225),'Site Info'!$A:$G,4,FALSE),"")</f>
        <v>GREENWOOD</v>
      </c>
      <c r="M225" t="str">
        <f>IFERROR(VLOOKUP(VALUE(J225),'Site Info'!$A:$G,5,FALSE),"")</f>
        <v>IN</v>
      </c>
      <c r="N225" t="str">
        <f>IFERROR(VLOOKUP(VALUE(J225),'Site Info'!$A:$G,6,FALSE),"")</f>
        <v>46143-9067</v>
      </c>
      <c r="O225">
        <f>IFERROR(VLOOKUP(VALUE(J225),'Site Info'!$A:$G,7,FALSE),"")</f>
        <v>3178892582</v>
      </c>
    </row>
    <row r="226" spans="1:15" x14ac:dyDescent="0.45">
      <c r="A226" t="s">
        <v>4962</v>
      </c>
      <c r="B226" t="s">
        <v>4963</v>
      </c>
      <c r="C226" t="s">
        <v>4964</v>
      </c>
      <c r="D226" t="s">
        <v>3196</v>
      </c>
      <c r="E226" s="1">
        <v>46133.55269675926</v>
      </c>
      <c r="F226">
        <v>1547</v>
      </c>
      <c r="G226" t="s">
        <v>4965</v>
      </c>
      <c r="H226" t="s">
        <v>15</v>
      </c>
      <c r="I226" t="s">
        <v>3198</v>
      </c>
      <c r="J226" t="str">
        <f>RIGHT(D226,4)</f>
        <v>6325</v>
      </c>
      <c r="K226" t="str">
        <f>IFERROR(VLOOKUP(VALUE(J226),'Site Info'!$A:$G,3,FALSE),"")</f>
        <v>1101 WINDHORST WAY</v>
      </c>
      <c r="L226" t="str">
        <f>IFERROR(VLOOKUP(VALUE(J226),'Site Info'!$A:$G,4,FALSE),"")</f>
        <v>GREENWOOD</v>
      </c>
      <c r="M226" t="str">
        <f>IFERROR(VLOOKUP(VALUE(J226),'Site Info'!$A:$G,5,FALSE),"")</f>
        <v>IN</v>
      </c>
      <c r="N226" t="str">
        <f>IFERROR(VLOOKUP(VALUE(J226),'Site Info'!$A:$G,6,FALSE),"")</f>
        <v>46143-9067</v>
      </c>
      <c r="O226">
        <f>IFERROR(VLOOKUP(VALUE(J226),'Site Info'!$A:$G,7,FALSE),"")</f>
        <v>3178892582</v>
      </c>
    </row>
    <row r="227" spans="1:15" x14ac:dyDescent="0.45">
      <c r="A227" t="s">
        <v>4920</v>
      </c>
      <c r="B227" t="s">
        <v>4921</v>
      </c>
      <c r="C227" t="s">
        <v>4922</v>
      </c>
      <c r="D227" t="s">
        <v>3196</v>
      </c>
      <c r="E227" s="1">
        <v>46153.125509259262</v>
      </c>
      <c r="F227">
        <v>1547</v>
      </c>
      <c r="G227" t="s">
        <v>4923</v>
      </c>
      <c r="H227" t="s">
        <v>15</v>
      </c>
      <c r="I227" t="s">
        <v>3198</v>
      </c>
      <c r="J227" t="str">
        <f>RIGHT(D227,4)</f>
        <v>6325</v>
      </c>
      <c r="K227" t="str">
        <f>IFERROR(VLOOKUP(VALUE(J227),'Site Info'!$A:$G,3,FALSE),"")</f>
        <v>1101 WINDHORST WAY</v>
      </c>
      <c r="L227" t="str">
        <f>IFERROR(VLOOKUP(VALUE(J227),'Site Info'!$A:$G,4,FALSE),"")</f>
        <v>GREENWOOD</v>
      </c>
      <c r="M227" t="str">
        <f>IFERROR(VLOOKUP(VALUE(J227),'Site Info'!$A:$G,5,FALSE),"")</f>
        <v>IN</v>
      </c>
      <c r="N227" t="str">
        <f>IFERROR(VLOOKUP(VALUE(J227),'Site Info'!$A:$G,6,FALSE),"")</f>
        <v>46143-9067</v>
      </c>
      <c r="O227">
        <f>IFERROR(VLOOKUP(VALUE(J227),'Site Info'!$A:$G,7,FALSE),"")</f>
        <v>3178892582</v>
      </c>
    </row>
    <row r="228" spans="1:15" x14ac:dyDescent="0.45">
      <c r="A228" t="s">
        <v>9029</v>
      </c>
      <c r="B228" t="s">
        <v>9030</v>
      </c>
      <c r="C228" t="s">
        <v>9031</v>
      </c>
      <c r="D228" t="s">
        <v>3196</v>
      </c>
      <c r="E228" s="1">
        <v>46153.348263888889</v>
      </c>
      <c r="F228">
        <v>1547</v>
      </c>
      <c r="G228" t="s">
        <v>9032</v>
      </c>
      <c r="H228" t="s">
        <v>15</v>
      </c>
      <c r="I228" t="s">
        <v>3198</v>
      </c>
      <c r="J228" t="str">
        <f>RIGHT(D228,4)</f>
        <v>6325</v>
      </c>
      <c r="K228" t="str">
        <f>IFERROR(VLOOKUP(VALUE(J228),'Site Info'!$A:$G,3,FALSE),"")</f>
        <v>1101 WINDHORST WAY</v>
      </c>
      <c r="L228" t="str">
        <f>IFERROR(VLOOKUP(VALUE(J228),'Site Info'!$A:$G,4,FALSE),"")</f>
        <v>GREENWOOD</v>
      </c>
      <c r="M228" t="str">
        <f>IFERROR(VLOOKUP(VALUE(J228),'Site Info'!$A:$G,5,FALSE),"")</f>
        <v>IN</v>
      </c>
      <c r="N228" t="str">
        <f>IFERROR(VLOOKUP(VALUE(J228),'Site Info'!$A:$G,6,FALSE),"")</f>
        <v>46143-9067</v>
      </c>
      <c r="O228">
        <f>IFERROR(VLOOKUP(VALUE(J228),'Site Info'!$A:$G,7,FALSE),"")</f>
        <v>3178892582</v>
      </c>
    </row>
    <row r="229" spans="1:15" x14ac:dyDescent="0.45">
      <c r="A229" t="s">
        <v>5142</v>
      </c>
      <c r="B229" t="s">
        <v>5143</v>
      </c>
      <c r="C229" t="s">
        <v>5144</v>
      </c>
      <c r="D229" t="s">
        <v>3196</v>
      </c>
      <c r="E229" s="1">
        <v>46153.361192129632</v>
      </c>
      <c r="F229">
        <v>1547</v>
      </c>
      <c r="G229" t="s">
        <v>5145</v>
      </c>
      <c r="H229" t="s">
        <v>15</v>
      </c>
      <c r="I229" t="s">
        <v>3198</v>
      </c>
      <c r="J229" t="str">
        <f>RIGHT(D229,4)</f>
        <v>6325</v>
      </c>
      <c r="K229" t="str">
        <f>IFERROR(VLOOKUP(VALUE(J229),'Site Info'!$A:$G,3,FALSE),"")</f>
        <v>1101 WINDHORST WAY</v>
      </c>
      <c r="L229" t="str">
        <f>IFERROR(VLOOKUP(VALUE(J229),'Site Info'!$A:$G,4,FALSE),"")</f>
        <v>GREENWOOD</v>
      </c>
      <c r="M229" t="str">
        <f>IFERROR(VLOOKUP(VALUE(J229),'Site Info'!$A:$G,5,FALSE),"")</f>
        <v>IN</v>
      </c>
      <c r="N229" t="str">
        <f>IFERROR(VLOOKUP(VALUE(J229),'Site Info'!$A:$G,6,FALSE),"")</f>
        <v>46143-9067</v>
      </c>
      <c r="O229">
        <f>IFERROR(VLOOKUP(VALUE(J229),'Site Info'!$A:$G,7,FALSE),"")</f>
        <v>3178892582</v>
      </c>
    </row>
    <row r="230" spans="1:15" x14ac:dyDescent="0.45">
      <c r="A230" t="s">
        <v>4516</v>
      </c>
      <c r="B230" t="s">
        <v>4517</v>
      </c>
      <c r="C230" t="s">
        <v>4518</v>
      </c>
      <c r="D230" t="s">
        <v>3196</v>
      </c>
      <c r="E230" s="1">
        <v>46153.367488425924</v>
      </c>
      <c r="F230">
        <v>1547</v>
      </c>
      <c r="G230" t="s">
        <v>4519</v>
      </c>
      <c r="H230" t="s">
        <v>15</v>
      </c>
      <c r="I230" t="s">
        <v>3198</v>
      </c>
      <c r="J230" t="str">
        <f>RIGHT(D230,4)</f>
        <v>6325</v>
      </c>
      <c r="K230" t="str">
        <f>IFERROR(VLOOKUP(VALUE(J230),'Site Info'!$A:$G,3,FALSE),"")</f>
        <v>1101 WINDHORST WAY</v>
      </c>
      <c r="L230" t="str">
        <f>IFERROR(VLOOKUP(VALUE(J230),'Site Info'!$A:$G,4,FALSE),"")</f>
        <v>GREENWOOD</v>
      </c>
      <c r="M230" t="str">
        <f>IFERROR(VLOOKUP(VALUE(J230),'Site Info'!$A:$G,5,FALSE),"")</f>
        <v>IN</v>
      </c>
      <c r="N230" t="str">
        <f>IFERROR(VLOOKUP(VALUE(J230),'Site Info'!$A:$G,6,FALSE),"")</f>
        <v>46143-9067</v>
      </c>
      <c r="O230">
        <f>IFERROR(VLOOKUP(VALUE(J230),'Site Info'!$A:$G,7,FALSE),"")</f>
        <v>3178892582</v>
      </c>
    </row>
    <row r="231" spans="1:15" x14ac:dyDescent="0.45">
      <c r="A231" t="s">
        <v>3193</v>
      </c>
      <c r="B231" t="s">
        <v>3194</v>
      </c>
      <c r="C231" t="s">
        <v>3195</v>
      </c>
      <c r="D231" t="s">
        <v>3196</v>
      </c>
      <c r="E231" s="1">
        <v>46100.367013888892</v>
      </c>
      <c r="F231">
        <v>1481</v>
      </c>
      <c r="G231" t="s">
        <v>3197</v>
      </c>
      <c r="H231" t="s">
        <v>15</v>
      </c>
      <c r="I231" t="s">
        <v>3198</v>
      </c>
      <c r="J231" t="str">
        <f>RIGHT(D231,4)</f>
        <v>6325</v>
      </c>
      <c r="K231" t="str">
        <f>IFERROR(VLOOKUP(VALUE(J231),'Site Info'!$A:$G,3,FALSE),"")</f>
        <v>1101 WINDHORST WAY</v>
      </c>
      <c r="L231" t="str">
        <f>IFERROR(VLOOKUP(VALUE(J231),'Site Info'!$A:$G,4,FALSE),"")</f>
        <v>GREENWOOD</v>
      </c>
      <c r="M231" t="str">
        <f>IFERROR(VLOOKUP(VALUE(J231),'Site Info'!$A:$G,5,FALSE),"")</f>
        <v>IN</v>
      </c>
      <c r="N231" t="str">
        <f>IFERROR(VLOOKUP(VALUE(J231),'Site Info'!$A:$G,6,FALSE),"")</f>
        <v>46143-9067</v>
      </c>
      <c r="O231">
        <f>IFERROR(VLOOKUP(VALUE(J231),'Site Info'!$A:$G,7,FALSE),"")</f>
        <v>3178892582</v>
      </c>
    </row>
    <row r="232" spans="1:15" x14ac:dyDescent="0.45">
      <c r="A232" t="s">
        <v>3291</v>
      </c>
      <c r="B232" t="s">
        <v>3292</v>
      </c>
      <c r="C232" t="s">
        <v>3293</v>
      </c>
      <c r="D232" t="s">
        <v>3196</v>
      </c>
      <c r="E232" s="1">
        <v>46153.292326388888</v>
      </c>
      <c r="F232">
        <v>1481</v>
      </c>
      <c r="G232" t="s">
        <v>3294</v>
      </c>
      <c r="H232" t="s">
        <v>15</v>
      </c>
      <c r="I232" t="s">
        <v>3198</v>
      </c>
      <c r="J232" t="str">
        <f>RIGHT(D232,4)</f>
        <v>6325</v>
      </c>
      <c r="K232" t="str">
        <f>IFERROR(VLOOKUP(VALUE(J232),'Site Info'!$A:$G,3,FALSE),"")</f>
        <v>1101 WINDHORST WAY</v>
      </c>
      <c r="L232" t="str">
        <f>IFERROR(VLOOKUP(VALUE(J232),'Site Info'!$A:$G,4,FALSE),"")</f>
        <v>GREENWOOD</v>
      </c>
      <c r="M232" t="str">
        <f>IFERROR(VLOOKUP(VALUE(J232),'Site Info'!$A:$G,5,FALSE),"")</f>
        <v>IN</v>
      </c>
      <c r="N232" t="str">
        <f>IFERROR(VLOOKUP(VALUE(J232),'Site Info'!$A:$G,6,FALSE),"")</f>
        <v>46143-9067</v>
      </c>
      <c r="O232">
        <f>IFERROR(VLOOKUP(VALUE(J232),'Site Info'!$A:$G,7,FALSE),"")</f>
        <v>3178892582</v>
      </c>
    </row>
    <row r="233" spans="1:15" x14ac:dyDescent="0.45">
      <c r="A233" t="s">
        <v>11456</v>
      </c>
      <c r="B233" t="s">
        <v>11457</v>
      </c>
      <c r="C233" t="s">
        <v>11458</v>
      </c>
      <c r="D233" t="s">
        <v>4587</v>
      </c>
      <c r="E233" s="1">
        <v>46151.697164351855</v>
      </c>
      <c r="F233">
        <v>1547</v>
      </c>
      <c r="G233" t="s">
        <v>11459</v>
      </c>
      <c r="H233" t="s">
        <v>15</v>
      </c>
      <c r="I233" t="s">
        <v>4589</v>
      </c>
      <c r="J233" t="str">
        <f>RIGHT(D233,4)</f>
        <v>8244</v>
      </c>
      <c r="K233" t="str">
        <f>IFERROR(VLOOKUP(VALUE(J233),'Site Info'!$A:$G,3,FALSE),"")</f>
        <v>11101 FUQUA ST</v>
      </c>
      <c r="L233" t="str">
        <f>IFERROR(VLOOKUP(VALUE(J233),'Site Info'!$A:$G,4,FALSE),"")</f>
        <v>HOUSTON</v>
      </c>
      <c r="M233" t="str">
        <f>IFERROR(VLOOKUP(VALUE(J233),'Site Info'!$A:$G,5,FALSE),"")</f>
        <v>TX</v>
      </c>
      <c r="N233" t="str">
        <f>IFERROR(VLOOKUP(VALUE(J233),'Site Info'!$A:$G,6,FALSE),"")</f>
        <v>77089-2508</v>
      </c>
      <c r="O233">
        <f>IFERROR(VLOOKUP(VALUE(J233),'Site Info'!$A:$G,7,FALSE),"")</f>
        <v>7139418484</v>
      </c>
    </row>
    <row r="234" spans="1:15" x14ac:dyDescent="0.45">
      <c r="A234" t="s">
        <v>11324</v>
      </c>
      <c r="B234" t="s">
        <v>11325</v>
      </c>
      <c r="C234" t="s">
        <v>11326</v>
      </c>
      <c r="D234" t="s">
        <v>4587</v>
      </c>
      <c r="E234" s="1">
        <v>46151.782951388886</v>
      </c>
      <c r="F234">
        <v>1547</v>
      </c>
      <c r="G234" t="s">
        <v>11327</v>
      </c>
      <c r="H234" t="s">
        <v>15</v>
      </c>
      <c r="I234" t="s">
        <v>4589</v>
      </c>
      <c r="J234" t="str">
        <f>RIGHT(D234,4)</f>
        <v>8244</v>
      </c>
      <c r="K234" t="str">
        <f>IFERROR(VLOOKUP(VALUE(J234),'Site Info'!$A:$G,3,FALSE),"")</f>
        <v>11101 FUQUA ST</v>
      </c>
      <c r="L234" t="str">
        <f>IFERROR(VLOOKUP(VALUE(J234),'Site Info'!$A:$G,4,FALSE),"")</f>
        <v>HOUSTON</v>
      </c>
      <c r="M234" t="str">
        <f>IFERROR(VLOOKUP(VALUE(J234),'Site Info'!$A:$G,5,FALSE),"")</f>
        <v>TX</v>
      </c>
      <c r="N234" t="str">
        <f>IFERROR(VLOOKUP(VALUE(J234),'Site Info'!$A:$G,6,FALSE),"")</f>
        <v>77089-2508</v>
      </c>
      <c r="O234">
        <f>IFERROR(VLOOKUP(VALUE(J234),'Site Info'!$A:$G,7,FALSE),"")</f>
        <v>7139418484</v>
      </c>
    </row>
    <row r="235" spans="1:15" x14ac:dyDescent="0.45">
      <c r="A235" t="s">
        <v>6298</v>
      </c>
      <c r="B235" t="s">
        <v>6299</v>
      </c>
      <c r="C235" t="s">
        <v>6300</v>
      </c>
      <c r="D235" t="s">
        <v>4587</v>
      </c>
      <c r="E235" s="1">
        <v>46152.548032407409</v>
      </c>
      <c r="F235">
        <v>1547</v>
      </c>
      <c r="G235" t="s">
        <v>6301</v>
      </c>
      <c r="H235" t="s">
        <v>15</v>
      </c>
      <c r="I235" t="s">
        <v>4589</v>
      </c>
      <c r="J235" t="str">
        <f>RIGHT(D235,4)</f>
        <v>8244</v>
      </c>
      <c r="K235" t="str">
        <f>IFERROR(VLOOKUP(VALUE(J235),'Site Info'!$A:$G,3,FALSE),"")</f>
        <v>11101 FUQUA ST</v>
      </c>
      <c r="L235" t="str">
        <f>IFERROR(VLOOKUP(VALUE(J235),'Site Info'!$A:$G,4,FALSE),"")</f>
        <v>HOUSTON</v>
      </c>
      <c r="M235" t="str">
        <f>IFERROR(VLOOKUP(VALUE(J235),'Site Info'!$A:$G,5,FALSE),"")</f>
        <v>TX</v>
      </c>
      <c r="N235" t="str">
        <f>IFERROR(VLOOKUP(VALUE(J235),'Site Info'!$A:$G,6,FALSE),"")</f>
        <v>77089-2508</v>
      </c>
      <c r="O235">
        <f>IFERROR(VLOOKUP(VALUE(J235),'Site Info'!$A:$G,7,FALSE),"")</f>
        <v>7139418484</v>
      </c>
    </row>
    <row r="236" spans="1:15" x14ac:dyDescent="0.45">
      <c r="A236" t="s">
        <v>6400</v>
      </c>
      <c r="B236" t="s">
        <v>6401</v>
      </c>
      <c r="C236" t="s">
        <v>6402</v>
      </c>
      <c r="D236" t="s">
        <v>4587</v>
      </c>
      <c r="E236" s="1">
        <v>46152.613055555557</v>
      </c>
      <c r="F236">
        <v>1547</v>
      </c>
      <c r="G236" t="s">
        <v>6403</v>
      </c>
      <c r="H236" t="s">
        <v>15</v>
      </c>
      <c r="I236" t="s">
        <v>4589</v>
      </c>
      <c r="J236" t="str">
        <f>RIGHT(D236,4)</f>
        <v>8244</v>
      </c>
      <c r="K236" t="str">
        <f>IFERROR(VLOOKUP(VALUE(J236),'Site Info'!$A:$G,3,FALSE),"")</f>
        <v>11101 FUQUA ST</v>
      </c>
      <c r="L236" t="str">
        <f>IFERROR(VLOOKUP(VALUE(J236),'Site Info'!$A:$G,4,FALSE),"")</f>
        <v>HOUSTON</v>
      </c>
      <c r="M236" t="str">
        <f>IFERROR(VLOOKUP(VALUE(J236),'Site Info'!$A:$G,5,FALSE),"")</f>
        <v>TX</v>
      </c>
      <c r="N236" t="str">
        <f>IFERROR(VLOOKUP(VALUE(J236),'Site Info'!$A:$G,6,FALSE),"")</f>
        <v>77089-2508</v>
      </c>
      <c r="O236">
        <f>IFERROR(VLOOKUP(VALUE(J236),'Site Info'!$A:$G,7,FALSE),"")</f>
        <v>7139418484</v>
      </c>
    </row>
    <row r="237" spans="1:15" x14ac:dyDescent="0.45">
      <c r="A237" t="s">
        <v>6915</v>
      </c>
      <c r="B237" t="s">
        <v>6916</v>
      </c>
      <c r="C237" t="s">
        <v>6917</v>
      </c>
      <c r="D237" t="s">
        <v>4587</v>
      </c>
      <c r="E237" s="1">
        <v>46153.207719907405</v>
      </c>
      <c r="F237">
        <v>1547</v>
      </c>
      <c r="G237" t="s">
        <v>6918</v>
      </c>
      <c r="H237" t="s">
        <v>15</v>
      </c>
      <c r="I237" t="s">
        <v>4589</v>
      </c>
      <c r="J237" t="str">
        <f>RIGHT(D237,4)</f>
        <v>8244</v>
      </c>
      <c r="K237" t="str">
        <f>IFERROR(VLOOKUP(VALUE(J237),'Site Info'!$A:$G,3,FALSE),"")</f>
        <v>11101 FUQUA ST</v>
      </c>
      <c r="L237" t="str">
        <f>IFERROR(VLOOKUP(VALUE(J237),'Site Info'!$A:$G,4,FALSE),"")</f>
        <v>HOUSTON</v>
      </c>
      <c r="M237" t="str">
        <f>IFERROR(VLOOKUP(VALUE(J237),'Site Info'!$A:$G,5,FALSE),"")</f>
        <v>TX</v>
      </c>
      <c r="N237" t="str">
        <f>IFERROR(VLOOKUP(VALUE(J237),'Site Info'!$A:$G,6,FALSE),"")</f>
        <v>77089-2508</v>
      </c>
      <c r="O237">
        <f>IFERROR(VLOOKUP(VALUE(J237),'Site Info'!$A:$G,7,FALSE),"")</f>
        <v>7139418484</v>
      </c>
    </row>
    <row r="238" spans="1:15" x14ac:dyDescent="0.45">
      <c r="A238" t="s">
        <v>4584</v>
      </c>
      <c r="B238" t="s">
        <v>4585</v>
      </c>
      <c r="C238" t="s">
        <v>4586</v>
      </c>
      <c r="D238" t="s">
        <v>4587</v>
      </c>
      <c r="E238" s="1">
        <v>46153.355844907404</v>
      </c>
      <c r="F238">
        <v>1547</v>
      </c>
      <c r="G238" t="s">
        <v>4588</v>
      </c>
      <c r="H238" t="s">
        <v>15</v>
      </c>
      <c r="I238" t="s">
        <v>4589</v>
      </c>
      <c r="J238" t="str">
        <f>RIGHT(D238,4)</f>
        <v>8244</v>
      </c>
      <c r="K238" t="str">
        <f>IFERROR(VLOOKUP(VALUE(J238),'Site Info'!$A:$G,3,FALSE),"")</f>
        <v>11101 FUQUA ST</v>
      </c>
      <c r="L238" t="str">
        <f>IFERROR(VLOOKUP(VALUE(J238),'Site Info'!$A:$G,4,FALSE),"")</f>
        <v>HOUSTON</v>
      </c>
      <c r="M238" t="str">
        <f>IFERROR(VLOOKUP(VALUE(J238),'Site Info'!$A:$G,5,FALSE),"")</f>
        <v>TX</v>
      </c>
      <c r="N238" t="str">
        <f>IFERROR(VLOOKUP(VALUE(J238),'Site Info'!$A:$G,6,FALSE),"")</f>
        <v>77089-2508</v>
      </c>
      <c r="O238">
        <f>IFERROR(VLOOKUP(VALUE(J238),'Site Info'!$A:$G,7,FALSE),"")</f>
        <v>7139418484</v>
      </c>
    </row>
    <row r="239" spans="1:15" x14ac:dyDescent="0.45">
      <c r="A239" t="s">
        <v>6302</v>
      </c>
      <c r="B239" t="s">
        <v>6303</v>
      </c>
      <c r="C239" t="s">
        <v>6304</v>
      </c>
      <c r="D239" t="s">
        <v>4587</v>
      </c>
      <c r="E239" s="1">
        <v>46153.364861111113</v>
      </c>
      <c r="F239">
        <v>1547</v>
      </c>
      <c r="G239" t="s">
        <v>6305</v>
      </c>
      <c r="H239" t="s">
        <v>15</v>
      </c>
      <c r="I239" t="s">
        <v>4589</v>
      </c>
      <c r="J239" t="str">
        <f>RIGHT(D239,4)</f>
        <v>8244</v>
      </c>
      <c r="K239" t="str">
        <f>IFERROR(VLOOKUP(VALUE(J239),'Site Info'!$A:$G,3,FALSE),"")</f>
        <v>11101 FUQUA ST</v>
      </c>
      <c r="L239" t="str">
        <f>IFERROR(VLOOKUP(VALUE(J239),'Site Info'!$A:$G,4,FALSE),"")</f>
        <v>HOUSTON</v>
      </c>
      <c r="M239" t="str">
        <f>IFERROR(VLOOKUP(VALUE(J239),'Site Info'!$A:$G,5,FALSE),"")</f>
        <v>TX</v>
      </c>
      <c r="N239" t="str">
        <f>IFERROR(VLOOKUP(VALUE(J239),'Site Info'!$A:$G,6,FALSE),"")</f>
        <v>77089-2508</v>
      </c>
      <c r="O239">
        <f>IFERROR(VLOOKUP(VALUE(J239),'Site Info'!$A:$G,7,FALSE),"")</f>
        <v>7139418484</v>
      </c>
    </row>
    <row r="240" spans="1:15" x14ac:dyDescent="0.45">
      <c r="A240" t="s">
        <v>7981</v>
      </c>
      <c r="B240" t="s">
        <v>7982</v>
      </c>
      <c r="C240" t="s">
        <v>7983</v>
      </c>
      <c r="D240" t="s">
        <v>1133</v>
      </c>
      <c r="E240" s="1">
        <v>46152.495798611111</v>
      </c>
      <c r="F240">
        <v>1547</v>
      </c>
      <c r="G240" t="s">
        <v>7984</v>
      </c>
      <c r="H240" t="s">
        <v>15</v>
      </c>
      <c r="I240" t="s">
        <v>1135</v>
      </c>
      <c r="J240" t="str">
        <f>RIGHT(D240,4)</f>
        <v>8136</v>
      </c>
      <c r="K240" t="str">
        <f>IFERROR(VLOOKUP(VALUE(J240),'Site Info'!$A:$G,3,FALSE),"")</f>
        <v>1111 MIAMISBURG CENTERVILLE RD</v>
      </c>
      <c r="L240" t="str">
        <f>IFERROR(VLOOKUP(VALUE(J240),'Site Info'!$A:$G,4,FALSE),"")</f>
        <v>WASHINGTON TOWNSHIP</v>
      </c>
      <c r="M240" t="str">
        <f>IFERROR(VLOOKUP(VALUE(J240),'Site Info'!$A:$G,5,FALSE),"")</f>
        <v>OH</v>
      </c>
      <c r="N240" t="str">
        <f>IFERROR(VLOOKUP(VALUE(J240),'Site Info'!$A:$G,6,FALSE),"")</f>
        <v>45459-6713</v>
      </c>
      <c r="O240">
        <f>IFERROR(VLOOKUP(VALUE(J240),'Site Info'!$A:$G,7,FALSE),"")</f>
        <v>9374360299</v>
      </c>
    </row>
    <row r="241" spans="1:15" x14ac:dyDescent="0.45">
      <c r="A241" t="s">
        <v>7949</v>
      </c>
      <c r="B241" t="s">
        <v>7950</v>
      </c>
      <c r="C241" t="s">
        <v>7951</v>
      </c>
      <c r="D241" t="s">
        <v>1133</v>
      </c>
      <c r="E241" s="1">
        <v>46152.707280092596</v>
      </c>
      <c r="F241">
        <v>1547</v>
      </c>
      <c r="G241" t="s">
        <v>7952</v>
      </c>
      <c r="H241" t="s">
        <v>15</v>
      </c>
      <c r="I241" t="s">
        <v>1135</v>
      </c>
      <c r="J241" t="str">
        <f>RIGHT(D241,4)</f>
        <v>8136</v>
      </c>
      <c r="K241" t="str">
        <f>IFERROR(VLOOKUP(VALUE(J241),'Site Info'!$A:$G,3,FALSE),"")</f>
        <v>1111 MIAMISBURG CENTERVILLE RD</v>
      </c>
      <c r="L241" t="str">
        <f>IFERROR(VLOOKUP(VALUE(J241),'Site Info'!$A:$G,4,FALSE),"")</f>
        <v>WASHINGTON TOWNSHIP</v>
      </c>
      <c r="M241" t="str">
        <f>IFERROR(VLOOKUP(VALUE(J241),'Site Info'!$A:$G,5,FALSE),"")</f>
        <v>OH</v>
      </c>
      <c r="N241" t="str">
        <f>IFERROR(VLOOKUP(VALUE(J241),'Site Info'!$A:$G,6,FALSE),"")</f>
        <v>45459-6713</v>
      </c>
      <c r="O241">
        <f>IFERROR(VLOOKUP(VALUE(J241),'Site Info'!$A:$G,7,FALSE),"")</f>
        <v>9374360299</v>
      </c>
    </row>
    <row r="242" spans="1:15" x14ac:dyDescent="0.45">
      <c r="A242" t="s">
        <v>7935</v>
      </c>
      <c r="B242" t="s">
        <v>7936</v>
      </c>
      <c r="C242" t="s">
        <v>7937</v>
      </c>
      <c r="D242" t="s">
        <v>1133</v>
      </c>
      <c r="E242" s="1">
        <v>46152.810532407406</v>
      </c>
      <c r="F242">
        <v>1547</v>
      </c>
      <c r="G242" t="s">
        <v>7938</v>
      </c>
      <c r="H242" t="s">
        <v>15</v>
      </c>
      <c r="I242" t="s">
        <v>1135</v>
      </c>
      <c r="J242" t="str">
        <f>RIGHT(D242,4)</f>
        <v>8136</v>
      </c>
      <c r="K242" t="str">
        <f>IFERROR(VLOOKUP(VALUE(J242),'Site Info'!$A:$G,3,FALSE),"")</f>
        <v>1111 MIAMISBURG CENTERVILLE RD</v>
      </c>
      <c r="L242" t="str">
        <f>IFERROR(VLOOKUP(VALUE(J242),'Site Info'!$A:$G,4,FALSE),"")</f>
        <v>WASHINGTON TOWNSHIP</v>
      </c>
      <c r="M242" t="str">
        <f>IFERROR(VLOOKUP(VALUE(J242),'Site Info'!$A:$G,5,FALSE),"")</f>
        <v>OH</v>
      </c>
      <c r="N242" t="str">
        <f>IFERROR(VLOOKUP(VALUE(J242),'Site Info'!$A:$G,6,FALSE),"")</f>
        <v>45459-6713</v>
      </c>
      <c r="O242">
        <f>IFERROR(VLOOKUP(VALUE(J242),'Site Info'!$A:$G,7,FALSE),"")</f>
        <v>9374360299</v>
      </c>
    </row>
    <row r="243" spans="1:15" x14ac:dyDescent="0.45">
      <c r="A243" t="s">
        <v>7523</v>
      </c>
      <c r="B243" t="s">
        <v>7524</v>
      </c>
      <c r="C243" t="s">
        <v>7525</v>
      </c>
      <c r="D243" t="s">
        <v>1133</v>
      </c>
      <c r="E243" s="1">
        <v>46153.270115740743</v>
      </c>
      <c r="F243">
        <v>1547</v>
      </c>
      <c r="G243" t="s">
        <v>7526</v>
      </c>
      <c r="H243" t="s">
        <v>15</v>
      </c>
      <c r="I243" t="s">
        <v>1135</v>
      </c>
      <c r="J243" t="str">
        <f>RIGHT(D243,4)</f>
        <v>8136</v>
      </c>
      <c r="K243" t="str">
        <f>IFERROR(VLOOKUP(VALUE(J243),'Site Info'!$A:$G,3,FALSE),"")</f>
        <v>1111 MIAMISBURG CENTERVILLE RD</v>
      </c>
      <c r="L243" t="str">
        <f>IFERROR(VLOOKUP(VALUE(J243),'Site Info'!$A:$G,4,FALSE),"")</f>
        <v>WASHINGTON TOWNSHIP</v>
      </c>
      <c r="M243" t="str">
        <f>IFERROR(VLOOKUP(VALUE(J243),'Site Info'!$A:$G,5,FALSE),"")</f>
        <v>OH</v>
      </c>
      <c r="N243" t="str">
        <f>IFERROR(VLOOKUP(VALUE(J243),'Site Info'!$A:$G,6,FALSE),"")</f>
        <v>45459-6713</v>
      </c>
      <c r="O243">
        <f>IFERROR(VLOOKUP(VALUE(J243),'Site Info'!$A:$G,7,FALSE),"")</f>
        <v>9374360299</v>
      </c>
    </row>
    <row r="244" spans="1:15" x14ac:dyDescent="0.45">
      <c r="A244" t="s">
        <v>7729</v>
      </c>
      <c r="B244" t="s">
        <v>7730</v>
      </c>
      <c r="C244" t="s">
        <v>7731</v>
      </c>
      <c r="D244" t="s">
        <v>1133</v>
      </c>
      <c r="E244" s="1">
        <v>46153.359317129631</v>
      </c>
      <c r="F244">
        <v>1547</v>
      </c>
      <c r="G244" t="s">
        <v>7732</v>
      </c>
      <c r="H244" t="s">
        <v>15</v>
      </c>
      <c r="I244" t="s">
        <v>1135</v>
      </c>
      <c r="J244" t="str">
        <f>RIGHT(D244,4)</f>
        <v>8136</v>
      </c>
      <c r="K244" t="str">
        <f>IFERROR(VLOOKUP(VALUE(J244),'Site Info'!$A:$G,3,FALSE),"")</f>
        <v>1111 MIAMISBURG CENTERVILLE RD</v>
      </c>
      <c r="L244" t="str">
        <f>IFERROR(VLOOKUP(VALUE(J244),'Site Info'!$A:$G,4,FALSE),"")</f>
        <v>WASHINGTON TOWNSHIP</v>
      </c>
      <c r="M244" t="str">
        <f>IFERROR(VLOOKUP(VALUE(J244),'Site Info'!$A:$G,5,FALSE),"")</f>
        <v>OH</v>
      </c>
      <c r="N244" t="str">
        <f>IFERROR(VLOOKUP(VALUE(J244),'Site Info'!$A:$G,6,FALSE),"")</f>
        <v>45459-6713</v>
      </c>
      <c r="O244">
        <f>IFERROR(VLOOKUP(VALUE(J244),'Site Info'!$A:$G,7,FALSE),"")</f>
        <v>9374360299</v>
      </c>
    </row>
    <row r="245" spans="1:15" x14ac:dyDescent="0.45">
      <c r="A245" t="s">
        <v>7801</v>
      </c>
      <c r="B245" t="s">
        <v>7802</v>
      </c>
      <c r="C245" t="s">
        <v>7803</v>
      </c>
      <c r="D245" t="s">
        <v>1133</v>
      </c>
      <c r="E245" s="1">
        <v>46153.362187500003</v>
      </c>
      <c r="F245">
        <v>1547</v>
      </c>
      <c r="G245" t="s">
        <v>7804</v>
      </c>
      <c r="H245" t="s">
        <v>15</v>
      </c>
      <c r="I245" t="s">
        <v>1135</v>
      </c>
      <c r="J245" t="str">
        <f>RIGHT(D245,4)</f>
        <v>8136</v>
      </c>
      <c r="K245" t="str">
        <f>IFERROR(VLOOKUP(VALUE(J245),'Site Info'!$A:$G,3,FALSE),"")</f>
        <v>1111 MIAMISBURG CENTERVILLE RD</v>
      </c>
      <c r="L245" t="str">
        <f>IFERROR(VLOOKUP(VALUE(J245),'Site Info'!$A:$G,4,FALSE),"")</f>
        <v>WASHINGTON TOWNSHIP</v>
      </c>
      <c r="M245" t="str">
        <f>IFERROR(VLOOKUP(VALUE(J245),'Site Info'!$A:$G,5,FALSE),"")</f>
        <v>OH</v>
      </c>
      <c r="N245" t="str">
        <f>IFERROR(VLOOKUP(VALUE(J245),'Site Info'!$A:$G,6,FALSE),"")</f>
        <v>45459-6713</v>
      </c>
      <c r="O245">
        <f>IFERROR(VLOOKUP(VALUE(J245),'Site Info'!$A:$G,7,FALSE),"")</f>
        <v>9374360299</v>
      </c>
    </row>
    <row r="246" spans="1:15" x14ac:dyDescent="0.45">
      <c r="A246" t="s">
        <v>7047</v>
      </c>
      <c r="B246" t="s">
        <v>7048</v>
      </c>
      <c r="C246" t="s">
        <v>7049</v>
      </c>
      <c r="D246" t="s">
        <v>1133</v>
      </c>
      <c r="E246" s="1">
        <v>46153.363449074073</v>
      </c>
      <c r="F246">
        <v>1547</v>
      </c>
      <c r="G246" t="s">
        <v>7050</v>
      </c>
      <c r="H246" t="s">
        <v>15</v>
      </c>
      <c r="I246" t="s">
        <v>1135</v>
      </c>
      <c r="J246" t="str">
        <f>RIGHT(D246,4)</f>
        <v>8136</v>
      </c>
      <c r="K246" t="str">
        <f>IFERROR(VLOOKUP(VALUE(J246),'Site Info'!$A:$G,3,FALSE),"")</f>
        <v>1111 MIAMISBURG CENTERVILLE RD</v>
      </c>
      <c r="L246" t="str">
        <f>IFERROR(VLOOKUP(VALUE(J246),'Site Info'!$A:$G,4,FALSE),"")</f>
        <v>WASHINGTON TOWNSHIP</v>
      </c>
      <c r="M246" t="str">
        <f>IFERROR(VLOOKUP(VALUE(J246),'Site Info'!$A:$G,5,FALSE),"")</f>
        <v>OH</v>
      </c>
      <c r="N246" t="str">
        <f>IFERROR(VLOOKUP(VALUE(J246),'Site Info'!$A:$G,6,FALSE),"")</f>
        <v>45459-6713</v>
      </c>
      <c r="O246">
        <f>IFERROR(VLOOKUP(VALUE(J246),'Site Info'!$A:$G,7,FALSE),"")</f>
        <v>9374360299</v>
      </c>
    </row>
    <row r="247" spans="1:15" x14ac:dyDescent="0.45">
      <c r="A247" t="s">
        <v>2369</v>
      </c>
      <c r="B247" t="s">
        <v>2370</v>
      </c>
      <c r="C247" t="s">
        <v>2371</v>
      </c>
      <c r="D247" t="s">
        <v>1133</v>
      </c>
      <c r="E247" s="1">
        <v>46087.580775462964</v>
      </c>
      <c r="F247">
        <v>1481</v>
      </c>
      <c r="G247" t="s">
        <v>2372</v>
      </c>
      <c r="H247" t="s">
        <v>15</v>
      </c>
      <c r="I247" t="s">
        <v>1135</v>
      </c>
      <c r="J247" t="str">
        <f>RIGHT(D247,4)</f>
        <v>8136</v>
      </c>
      <c r="K247" t="str">
        <f>IFERROR(VLOOKUP(VALUE(J247),'Site Info'!$A:$G,3,FALSE),"")</f>
        <v>1111 MIAMISBURG CENTERVILLE RD</v>
      </c>
      <c r="L247" t="str">
        <f>IFERROR(VLOOKUP(VALUE(J247),'Site Info'!$A:$G,4,FALSE),"")</f>
        <v>WASHINGTON TOWNSHIP</v>
      </c>
      <c r="M247" t="str">
        <f>IFERROR(VLOOKUP(VALUE(J247),'Site Info'!$A:$G,5,FALSE),"")</f>
        <v>OH</v>
      </c>
      <c r="N247" t="str">
        <f>IFERROR(VLOOKUP(VALUE(J247),'Site Info'!$A:$G,6,FALSE),"")</f>
        <v>45459-6713</v>
      </c>
      <c r="O247">
        <f>IFERROR(VLOOKUP(VALUE(J247),'Site Info'!$A:$G,7,FALSE),"")</f>
        <v>9374360299</v>
      </c>
    </row>
    <row r="248" spans="1:15" x14ac:dyDescent="0.45">
      <c r="A248" t="s">
        <v>1130</v>
      </c>
      <c r="B248" t="s">
        <v>1131</v>
      </c>
      <c r="C248" t="s">
        <v>1132</v>
      </c>
      <c r="D248" t="s">
        <v>1133</v>
      </c>
      <c r="E248" s="1">
        <v>46153.373773148145</v>
      </c>
      <c r="F248">
        <v>1481</v>
      </c>
      <c r="G248" t="s">
        <v>1134</v>
      </c>
      <c r="H248" t="s">
        <v>15</v>
      </c>
      <c r="I248" t="s">
        <v>1135</v>
      </c>
      <c r="J248" t="str">
        <f>RIGHT(D248,4)</f>
        <v>8136</v>
      </c>
      <c r="K248" t="str">
        <f>IFERROR(VLOOKUP(VALUE(J248),'Site Info'!$A:$G,3,FALSE),"")</f>
        <v>1111 MIAMISBURG CENTERVILLE RD</v>
      </c>
      <c r="L248" t="str">
        <f>IFERROR(VLOOKUP(VALUE(J248),'Site Info'!$A:$G,4,FALSE),"")</f>
        <v>WASHINGTON TOWNSHIP</v>
      </c>
      <c r="M248" t="str">
        <f>IFERROR(VLOOKUP(VALUE(J248),'Site Info'!$A:$G,5,FALSE),"")</f>
        <v>OH</v>
      </c>
      <c r="N248" t="str">
        <f>IFERROR(VLOOKUP(VALUE(J248),'Site Info'!$A:$G,6,FALSE),"")</f>
        <v>45459-6713</v>
      </c>
      <c r="O248">
        <f>IFERROR(VLOOKUP(VALUE(J248),'Site Info'!$A:$G,7,FALSE),"")</f>
        <v>9374360299</v>
      </c>
    </row>
    <row r="249" spans="1:15" x14ac:dyDescent="0.45">
      <c r="A249" t="s">
        <v>6368</v>
      </c>
      <c r="B249" t="s">
        <v>6369</v>
      </c>
      <c r="C249" t="s">
        <v>6370</v>
      </c>
      <c r="D249" t="s">
        <v>2442</v>
      </c>
      <c r="E249" s="1">
        <v>46087.491388888891</v>
      </c>
      <c r="F249">
        <v>1547</v>
      </c>
      <c r="G249" t="s">
        <v>6371</v>
      </c>
      <c r="H249" t="s">
        <v>15</v>
      </c>
      <c r="I249" t="s">
        <v>2444</v>
      </c>
      <c r="J249" t="str">
        <f>RIGHT(D249,4)</f>
        <v>6267</v>
      </c>
      <c r="K249" t="str">
        <f>IFERROR(VLOOKUP(VALUE(J249),'Site Info'!$A:$G,3,FALSE),"")</f>
        <v>1117 WEST I-35 FRONTAGE ROAD</v>
      </c>
      <c r="L249" t="str">
        <f>IFERROR(VLOOKUP(VALUE(J249),'Site Info'!$A:$G,4,FALSE),"")</f>
        <v>EDMOND</v>
      </c>
      <c r="M249" t="str">
        <f>IFERROR(VLOOKUP(VALUE(J249),'Site Info'!$A:$G,5,FALSE),"")</f>
        <v>OK</v>
      </c>
      <c r="N249" t="str">
        <f>IFERROR(VLOOKUP(VALUE(J249),'Site Info'!$A:$G,6,FALSE),"")</f>
        <v>73034-0000</v>
      </c>
      <c r="O249">
        <f>IFERROR(VLOOKUP(VALUE(J249),'Site Info'!$A:$G,7,FALSE),"")</f>
        <v>4057573222</v>
      </c>
    </row>
    <row r="250" spans="1:15" x14ac:dyDescent="0.45">
      <c r="A250" t="s">
        <v>6452</v>
      </c>
      <c r="B250" t="s">
        <v>6453</v>
      </c>
      <c r="C250" t="s">
        <v>6454</v>
      </c>
      <c r="D250" t="s">
        <v>2442</v>
      </c>
      <c r="E250" s="1">
        <v>46153.306562500002</v>
      </c>
      <c r="F250">
        <v>1547</v>
      </c>
      <c r="G250" t="s">
        <v>6455</v>
      </c>
      <c r="H250" t="s">
        <v>15</v>
      </c>
      <c r="I250" t="s">
        <v>2444</v>
      </c>
      <c r="J250" t="str">
        <f>RIGHT(D250,4)</f>
        <v>6267</v>
      </c>
      <c r="K250" t="str">
        <f>IFERROR(VLOOKUP(VALUE(J250),'Site Info'!$A:$G,3,FALSE),"")</f>
        <v>1117 WEST I-35 FRONTAGE ROAD</v>
      </c>
      <c r="L250" t="str">
        <f>IFERROR(VLOOKUP(VALUE(J250),'Site Info'!$A:$G,4,FALSE),"")</f>
        <v>EDMOND</v>
      </c>
      <c r="M250" t="str">
        <f>IFERROR(VLOOKUP(VALUE(J250),'Site Info'!$A:$G,5,FALSE),"")</f>
        <v>OK</v>
      </c>
      <c r="N250" t="str">
        <f>IFERROR(VLOOKUP(VALUE(J250),'Site Info'!$A:$G,6,FALSE),"")</f>
        <v>73034-0000</v>
      </c>
      <c r="O250">
        <f>IFERROR(VLOOKUP(VALUE(J250),'Site Info'!$A:$G,7,FALSE),"")</f>
        <v>4057573222</v>
      </c>
    </row>
    <row r="251" spans="1:15" x14ac:dyDescent="0.45">
      <c r="A251" t="s">
        <v>8009</v>
      </c>
      <c r="B251" t="s">
        <v>8010</v>
      </c>
      <c r="C251" t="s">
        <v>8011</v>
      </c>
      <c r="D251" t="s">
        <v>2442</v>
      </c>
      <c r="E251" s="1">
        <v>46153.352997685186</v>
      </c>
      <c r="F251">
        <v>1547</v>
      </c>
      <c r="G251" t="s">
        <v>8012</v>
      </c>
      <c r="H251" t="s">
        <v>15</v>
      </c>
      <c r="I251" t="s">
        <v>2444</v>
      </c>
      <c r="J251" t="str">
        <f>RIGHT(D251,4)</f>
        <v>6267</v>
      </c>
      <c r="K251" t="str">
        <f>IFERROR(VLOOKUP(VALUE(J251),'Site Info'!$A:$G,3,FALSE),"")</f>
        <v>1117 WEST I-35 FRONTAGE ROAD</v>
      </c>
      <c r="L251" t="str">
        <f>IFERROR(VLOOKUP(VALUE(J251),'Site Info'!$A:$G,4,FALSE),"")</f>
        <v>EDMOND</v>
      </c>
      <c r="M251" t="str">
        <f>IFERROR(VLOOKUP(VALUE(J251),'Site Info'!$A:$G,5,FALSE),"")</f>
        <v>OK</v>
      </c>
      <c r="N251" t="str">
        <f>IFERROR(VLOOKUP(VALUE(J251),'Site Info'!$A:$G,6,FALSE),"")</f>
        <v>73034-0000</v>
      </c>
      <c r="O251">
        <f>IFERROR(VLOOKUP(VALUE(J251),'Site Info'!$A:$G,7,FALSE),"")</f>
        <v>4057573222</v>
      </c>
    </row>
    <row r="252" spans="1:15" x14ac:dyDescent="0.45">
      <c r="A252" t="s">
        <v>2439</v>
      </c>
      <c r="B252" t="s">
        <v>2440</v>
      </c>
      <c r="C252" t="s">
        <v>2441</v>
      </c>
      <c r="D252" t="s">
        <v>2442</v>
      </c>
      <c r="E252" s="1">
        <v>46153.179398148146</v>
      </c>
      <c r="F252">
        <v>1481</v>
      </c>
      <c r="G252" t="s">
        <v>2443</v>
      </c>
      <c r="H252" t="s">
        <v>15</v>
      </c>
      <c r="I252" t="s">
        <v>2444</v>
      </c>
      <c r="J252" t="str">
        <f>RIGHT(D252,4)</f>
        <v>6267</v>
      </c>
      <c r="K252" t="str">
        <f>IFERROR(VLOOKUP(VALUE(J252),'Site Info'!$A:$G,3,FALSE),"")</f>
        <v>1117 WEST I-35 FRONTAGE ROAD</v>
      </c>
      <c r="L252" t="str">
        <f>IFERROR(VLOOKUP(VALUE(J252),'Site Info'!$A:$G,4,FALSE),"")</f>
        <v>EDMOND</v>
      </c>
      <c r="M252" t="str">
        <f>IFERROR(VLOOKUP(VALUE(J252),'Site Info'!$A:$G,5,FALSE),"")</f>
        <v>OK</v>
      </c>
      <c r="N252" t="str">
        <f>IFERROR(VLOOKUP(VALUE(J252),'Site Info'!$A:$G,6,FALSE),"")</f>
        <v>73034-0000</v>
      </c>
      <c r="O252">
        <f>IFERROR(VLOOKUP(VALUE(J252),'Site Info'!$A:$G,7,FALSE),"")</f>
        <v>4057573222</v>
      </c>
    </row>
    <row r="253" spans="1:15" x14ac:dyDescent="0.45">
      <c r="A253" t="s">
        <v>3475</v>
      </c>
      <c r="B253" t="s">
        <v>3476</v>
      </c>
      <c r="C253" t="s">
        <v>3477</v>
      </c>
      <c r="D253" t="s">
        <v>2442</v>
      </c>
      <c r="E253" s="1">
        <v>46153.218356481484</v>
      </c>
      <c r="F253">
        <v>1481</v>
      </c>
      <c r="G253" t="s">
        <v>3478</v>
      </c>
      <c r="H253" t="s">
        <v>15</v>
      </c>
      <c r="I253" t="s">
        <v>2444</v>
      </c>
      <c r="J253" t="str">
        <f>RIGHT(D253,4)</f>
        <v>6267</v>
      </c>
      <c r="K253" t="str">
        <f>IFERROR(VLOOKUP(VALUE(J253),'Site Info'!$A:$G,3,FALSE),"")</f>
        <v>1117 WEST I-35 FRONTAGE ROAD</v>
      </c>
      <c r="L253" t="str">
        <f>IFERROR(VLOOKUP(VALUE(J253),'Site Info'!$A:$G,4,FALSE),"")</f>
        <v>EDMOND</v>
      </c>
      <c r="M253" t="str">
        <f>IFERROR(VLOOKUP(VALUE(J253),'Site Info'!$A:$G,5,FALSE),"")</f>
        <v>OK</v>
      </c>
      <c r="N253" t="str">
        <f>IFERROR(VLOOKUP(VALUE(J253),'Site Info'!$A:$G,6,FALSE),"")</f>
        <v>73034-0000</v>
      </c>
      <c r="O253">
        <f>IFERROR(VLOOKUP(VALUE(J253),'Site Info'!$A:$G,7,FALSE),"")</f>
        <v>4057573222</v>
      </c>
    </row>
    <row r="254" spans="1:15" x14ac:dyDescent="0.45">
      <c r="A254" t="s">
        <v>16427</v>
      </c>
      <c r="B254" t="s">
        <v>16683</v>
      </c>
      <c r="C254" t="s">
        <v>16684</v>
      </c>
      <c r="D254" t="s">
        <v>2442</v>
      </c>
      <c r="E254" s="1">
        <v>46152.444618055553</v>
      </c>
      <c r="F254">
        <v>1863</v>
      </c>
      <c r="G254" t="s">
        <v>16685</v>
      </c>
      <c r="H254" t="s">
        <v>136</v>
      </c>
      <c r="I254" t="s">
        <v>2444</v>
      </c>
      <c r="J254" t="str">
        <f>RIGHT(D254,4)</f>
        <v>6267</v>
      </c>
      <c r="K254" t="str">
        <f>IFERROR(VLOOKUP(VALUE(J254),'Site Info'!$A:$G,3,FALSE),"")</f>
        <v>1117 WEST I-35 FRONTAGE ROAD</v>
      </c>
      <c r="L254" t="str">
        <f>IFERROR(VLOOKUP(VALUE(J254),'Site Info'!$A:$G,4,FALSE),"")</f>
        <v>EDMOND</v>
      </c>
      <c r="M254" t="str">
        <f>IFERROR(VLOOKUP(VALUE(J254),'Site Info'!$A:$G,5,FALSE),"")</f>
        <v>OK</v>
      </c>
      <c r="N254" t="str">
        <f>IFERROR(VLOOKUP(VALUE(J254),'Site Info'!$A:$G,6,FALSE),"")</f>
        <v>73034-0000</v>
      </c>
      <c r="O254">
        <f>IFERROR(VLOOKUP(VALUE(J254),'Site Info'!$A:$G,7,FALSE),"")</f>
        <v>4057573222</v>
      </c>
    </row>
    <row r="255" spans="1:15" x14ac:dyDescent="0.45">
      <c r="A255" t="s">
        <v>14632</v>
      </c>
      <c r="B255" t="s">
        <v>16686</v>
      </c>
      <c r="C255" t="s">
        <v>16687</v>
      </c>
      <c r="D255" t="s">
        <v>2442</v>
      </c>
      <c r="E255" s="1">
        <v>46152.66033564815</v>
      </c>
      <c r="F255">
        <v>1863</v>
      </c>
      <c r="G255" t="s">
        <v>16688</v>
      </c>
      <c r="H255" t="s">
        <v>136</v>
      </c>
      <c r="I255" t="s">
        <v>2444</v>
      </c>
      <c r="J255" t="str">
        <f>RIGHT(D255,4)</f>
        <v>6267</v>
      </c>
      <c r="K255" t="str">
        <f>IFERROR(VLOOKUP(VALUE(J255),'Site Info'!$A:$G,3,FALSE),"")</f>
        <v>1117 WEST I-35 FRONTAGE ROAD</v>
      </c>
      <c r="L255" t="str">
        <f>IFERROR(VLOOKUP(VALUE(J255),'Site Info'!$A:$G,4,FALSE),"")</f>
        <v>EDMOND</v>
      </c>
      <c r="M255" t="str">
        <f>IFERROR(VLOOKUP(VALUE(J255),'Site Info'!$A:$G,5,FALSE),"")</f>
        <v>OK</v>
      </c>
      <c r="N255" t="str">
        <f>IFERROR(VLOOKUP(VALUE(J255),'Site Info'!$A:$G,6,FALSE),"")</f>
        <v>73034-0000</v>
      </c>
      <c r="O255">
        <f>IFERROR(VLOOKUP(VALUE(J255),'Site Info'!$A:$G,7,FALSE),"")</f>
        <v>4057573222</v>
      </c>
    </row>
    <row r="256" spans="1:15" x14ac:dyDescent="0.45">
      <c r="A256" t="s">
        <v>4174</v>
      </c>
      <c r="B256" t="s">
        <v>4175</v>
      </c>
      <c r="C256" t="s">
        <v>4176</v>
      </c>
      <c r="D256" t="s">
        <v>4177</v>
      </c>
      <c r="E256" s="1">
        <v>46152.216921296298</v>
      </c>
      <c r="F256">
        <v>1547</v>
      </c>
      <c r="G256" t="s">
        <v>4178</v>
      </c>
      <c r="H256" t="s">
        <v>15</v>
      </c>
      <c r="I256" t="s">
        <v>4179</v>
      </c>
      <c r="J256" t="str">
        <f>RIGHT(D256,4)</f>
        <v>4718</v>
      </c>
      <c r="K256" t="str">
        <f>IFERROR(VLOOKUP(VALUE(J256),'Site Info'!$A:$G,3,FALSE),"")</f>
        <v>11278 S JORDAN GTWY</v>
      </c>
      <c r="L256" t="str">
        <f>IFERROR(VLOOKUP(VALUE(J256),'Site Info'!$A:$G,4,FALSE),"")</f>
        <v>SOUTH JORDAN</v>
      </c>
      <c r="M256" t="str">
        <f>IFERROR(VLOOKUP(VALUE(J256),'Site Info'!$A:$G,5,FALSE),"")</f>
        <v>UT</v>
      </c>
      <c r="N256" t="str">
        <f>IFERROR(VLOOKUP(VALUE(J256),'Site Info'!$A:$G,6,FALSE),"")</f>
        <v>84095-4111</v>
      </c>
      <c r="O256">
        <f>IFERROR(VLOOKUP(VALUE(J256),'Site Info'!$A:$G,7,FALSE),"")</f>
        <v>8015459801</v>
      </c>
    </row>
    <row r="257" spans="1:15" x14ac:dyDescent="0.45">
      <c r="A257" t="s">
        <v>6565</v>
      </c>
      <c r="B257" t="s">
        <v>6566</v>
      </c>
      <c r="C257" t="s">
        <v>6567</v>
      </c>
      <c r="D257" t="s">
        <v>4177</v>
      </c>
      <c r="E257" s="1">
        <v>46152.71</v>
      </c>
      <c r="F257">
        <v>1547</v>
      </c>
      <c r="G257" t="s">
        <v>6568</v>
      </c>
      <c r="H257" t="s">
        <v>15</v>
      </c>
      <c r="I257" t="s">
        <v>4179</v>
      </c>
      <c r="J257" t="str">
        <f>RIGHT(D257,4)</f>
        <v>4718</v>
      </c>
      <c r="K257" t="str">
        <f>IFERROR(VLOOKUP(VALUE(J257),'Site Info'!$A:$G,3,FALSE),"")</f>
        <v>11278 S JORDAN GTWY</v>
      </c>
      <c r="L257" t="str">
        <f>IFERROR(VLOOKUP(VALUE(J257),'Site Info'!$A:$G,4,FALSE),"")</f>
        <v>SOUTH JORDAN</v>
      </c>
      <c r="M257" t="str">
        <f>IFERROR(VLOOKUP(VALUE(J257),'Site Info'!$A:$G,5,FALSE),"")</f>
        <v>UT</v>
      </c>
      <c r="N257" t="str">
        <f>IFERROR(VLOOKUP(VALUE(J257),'Site Info'!$A:$G,6,FALSE),"")</f>
        <v>84095-4111</v>
      </c>
      <c r="O257">
        <f>IFERROR(VLOOKUP(VALUE(J257),'Site Info'!$A:$G,7,FALSE),"")</f>
        <v>8015459801</v>
      </c>
    </row>
    <row r="258" spans="1:15" x14ac:dyDescent="0.45">
      <c r="A258" t="s">
        <v>4204</v>
      </c>
      <c r="B258" t="s">
        <v>4205</v>
      </c>
      <c r="C258" t="s">
        <v>4206</v>
      </c>
      <c r="D258" t="s">
        <v>4177</v>
      </c>
      <c r="E258" s="1">
        <v>46152.710416666669</v>
      </c>
      <c r="F258">
        <v>1547</v>
      </c>
      <c r="G258" t="s">
        <v>4207</v>
      </c>
      <c r="H258" t="s">
        <v>15</v>
      </c>
      <c r="I258" t="s">
        <v>4179</v>
      </c>
      <c r="J258" t="str">
        <f>RIGHT(D258,4)</f>
        <v>4718</v>
      </c>
      <c r="K258" t="str">
        <f>IFERROR(VLOOKUP(VALUE(J258),'Site Info'!$A:$G,3,FALSE),"")</f>
        <v>11278 S JORDAN GTWY</v>
      </c>
      <c r="L258" t="str">
        <f>IFERROR(VLOOKUP(VALUE(J258),'Site Info'!$A:$G,4,FALSE),"")</f>
        <v>SOUTH JORDAN</v>
      </c>
      <c r="M258" t="str">
        <f>IFERROR(VLOOKUP(VALUE(J258),'Site Info'!$A:$G,5,FALSE),"")</f>
        <v>UT</v>
      </c>
      <c r="N258" t="str">
        <f>IFERROR(VLOOKUP(VALUE(J258),'Site Info'!$A:$G,6,FALSE),"")</f>
        <v>84095-4111</v>
      </c>
      <c r="O258">
        <f>IFERROR(VLOOKUP(VALUE(J258),'Site Info'!$A:$G,7,FALSE),"")</f>
        <v>8015459801</v>
      </c>
    </row>
    <row r="259" spans="1:15" x14ac:dyDescent="0.45">
      <c r="A259" t="s">
        <v>6573</v>
      </c>
      <c r="B259" t="s">
        <v>6574</v>
      </c>
      <c r="C259" t="s">
        <v>6575</v>
      </c>
      <c r="D259" t="s">
        <v>4177</v>
      </c>
      <c r="E259" s="1">
        <v>46153.305162037039</v>
      </c>
      <c r="F259">
        <v>1547</v>
      </c>
      <c r="G259" t="s">
        <v>6576</v>
      </c>
      <c r="H259" t="s">
        <v>15</v>
      </c>
      <c r="I259" t="s">
        <v>4179</v>
      </c>
      <c r="J259" t="str">
        <f>RIGHT(D259,4)</f>
        <v>4718</v>
      </c>
      <c r="K259" t="str">
        <f>IFERROR(VLOOKUP(VALUE(J259),'Site Info'!$A:$G,3,FALSE),"")</f>
        <v>11278 S JORDAN GTWY</v>
      </c>
      <c r="L259" t="str">
        <f>IFERROR(VLOOKUP(VALUE(J259),'Site Info'!$A:$G,4,FALSE),"")</f>
        <v>SOUTH JORDAN</v>
      </c>
      <c r="M259" t="str">
        <f>IFERROR(VLOOKUP(VALUE(J259),'Site Info'!$A:$G,5,FALSE),"")</f>
        <v>UT</v>
      </c>
      <c r="N259" t="str">
        <f>IFERROR(VLOOKUP(VALUE(J259),'Site Info'!$A:$G,6,FALSE),"")</f>
        <v>84095-4111</v>
      </c>
      <c r="O259">
        <f>IFERROR(VLOOKUP(VALUE(J259),'Site Info'!$A:$G,7,FALSE),"")</f>
        <v>8015459801</v>
      </c>
    </row>
    <row r="260" spans="1:15" x14ac:dyDescent="0.45">
      <c r="A260" t="s">
        <v>14175</v>
      </c>
      <c r="B260" t="s">
        <v>14176</v>
      </c>
      <c r="C260" t="s">
        <v>14177</v>
      </c>
      <c r="D260" t="s">
        <v>3904</v>
      </c>
      <c r="E260" s="1">
        <v>46151.769884259258</v>
      </c>
      <c r="F260">
        <v>1863</v>
      </c>
      <c r="G260" t="s">
        <v>14178</v>
      </c>
      <c r="H260" t="s">
        <v>136</v>
      </c>
      <c r="I260" t="s">
        <v>3906</v>
      </c>
      <c r="J260" t="str">
        <f>RIGHT(D260,4)</f>
        <v>8280</v>
      </c>
      <c r="K260" t="str">
        <f>IFERROR(VLOOKUP(VALUE(J260),'Site Info'!$A:$G,3,FALSE),"")</f>
        <v>11360 PELLICANO DR</v>
      </c>
      <c r="L260" t="str">
        <f>IFERROR(VLOOKUP(VALUE(J260),'Site Info'!$A:$G,4,FALSE),"")</f>
        <v>EL PASO</v>
      </c>
      <c r="M260" t="str">
        <f>IFERROR(VLOOKUP(VALUE(J260),'Site Info'!$A:$G,5,FALSE),"")</f>
        <v>TX</v>
      </c>
      <c r="N260" t="str">
        <f>IFERROR(VLOOKUP(VALUE(J260),'Site Info'!$A:$G,6,FALSE),"")</f>
        <v>79936-5904</v>
      </c>
      <c r="O260">
        <f>IFERROR(VLOOKUP(VALUE(J260),'Site Info'!$A:$G,7,FALSE),"")</f>
        <v>9155916688</v>
      </c>
    </row>
    <row r="261" spans="1:15" x14ac:dyDescent="0.45">
      <c r="A261" t="s">
        <v>14277</v>
      </c>
      <c r="B261" t="s">
        <v>14278</v>
      </c>
      <c r="C261" t="s">
        <v>14279</v>
      </c>
      <c r="D261" t="s">
        <v>3904</v>
      </c>
      <c r="E261" s="1">
        <v>46153.358993055554</v>
      </c>
      <c r="F261">
        <v>1863</v>
      </c>
      <c r="G261" t="s">
        <v>14280</v>
      </c>
      <c r="H261" t="s">
        <v>136</v>
      </c>
      <c r="I261" t="s">
        <v>3906</v>
      </c>
      <c r="J261" t="str">
        <f>RIGHT(D261,4)</f>
        <v>8280</v>
      </c>
      <c r="K261" t="str">
        <f>IFERROR(VLOOKUP(VALUE(J261),'Site Info'!$A:$G,3,FALSE),"")</f>
        <v>11360 PELLICANO DR</v>
      </c>
      <c r="L261" t="str">
        <f>IFERROR(VLOOKUP(VALUE(J261),'Site Info'!$A:$G,4,FALSE),"")</f>
        <v>EL PASO</v>
      </c>
      <c r="M261" t="str">
        <f>IFERROR(VLOOKUP(VALUE(J261),'Site Info'!$A:$G,5,FALSE),"")</f>
        <v>TX</v>
      </c>
      <c r="N261" t="str">
        <f>IFERROR(VLOOKUP(VALUE(J261),'Site Info'!$A:$G,6,FALSE),"")</f>
        <v>79936-5904</v>
      </c>
      <c r="O261">
        <f>IFERROR(VLOOKUP(VALUE(J261),'Site Info'!$A:$G,7,FALSE),"")</f>
        <v>9155916688</v>
      </c>
    </row>
    <row r="262" spans="1:15" x14ac:dyDescent="0.45">
      <c r="A262" t="s">
        <v>4404</v>
      </c>
      <c r="B262" t="s">
        <v>4405</v>
      </c>
      <c r="C262" t="s">
        <v>4406</v>
      </c>
      <c r="D262" t="s">
        <v>3904</v>
      </c>
      <c r="E262" s="1">
        <v>46151.622025462966</v>
      </c>
      <c r="F262">
        <v>1547</v>
      </c>
      <c r="G262" t="s">
        <v>4407</v>
      </c>
      <c r="H262" t="s">
        <v>15</v>
      </c>
      <c r="I262" t="s">
        <v>3906</v>
      </c>
      <c r="J262" t="str">
        <f>RIGHT(D262,4)</f>
        <v>8280</v>
      </c>
      <c r="K262" t="str">
        <f>IFERROR(VLOOKUP(VALUE(J262),'Site Info'!$A:$G,3,FALSE),"")</f>
        <v>11360 PELLICANO DR</v>
      </c>
      <c r="L262" t="str">
        <f>IFERROR(VLOOKUP(VALUE(J262),'Site Info'!$A:$G,4,FALSE),"")</f>
        <v>EL PASO</v>
      </c>
      <c r="M262" t="str">
        <f>IFERROR(VLOOKUP(VALUE(J262),'Site Info'!$A:$G,5,FALSE),"")</f>
        <v>TX</v>
      </c>
      <c r="N262" t="str">
        <f>IFERROR(VLOOKUP(VALUE(J262),'Site Info'!$A:$G,6,FALSE),"")</f>
        <v>79936-5904</v>
      </c>
      <c r="O262">
        <f>IFERROR(VLOOKUP(VALUE(J262),'Site Info'!$A:$G,7,FALSE),"")</f>
        <v>9155916688</v>
      </c>
    </row>
    <row r="263" spans="1:15" x14ac:dyDescent="0.45">
      <c r="A263" t="s">
        <v>11200</v>
      </c>
      <c r="B263" t="s">
        <v>11201</v>
      </c>
      <c r="C263" t="s">
        <v>11202</v>
      </c>
      <c r="D263" t="s">
        <v>3904</v>
      </c>
      <c r="E263" s="1">
        <v>46151.778935185182</v>
      </c>
      <c r="F263">
        <v>1547</v>
      </c>
      <c r="G263" t="s">
        <v>11203</v>
      </c>
      <c r="H263" t="s">
        <v>15</v>
      </c>
      <c r="I263" t="s">
        <v>3906</v>
      </c>
      <c r="J263" t="str">
        <f>RIGHT(D263,4)</f>
        <v>8280</v>
      </c>
      <c r="K263" t="str">
        <f>IFERROR(VLOOKUP(VALUE(J263),'Site Info'!$A:$G,3,FALSE),"")</f>
        <v>11360 PELLICANO DR</v>
      </c>
      <c r="L263" t="str">
        <f>IFERROR(VLOOKUP(VALUE(J263),'Site Info'!$A:$G,4,FALSE),"")</f>
        <v>EL PASO</v>
      </c>
      <c r="M263" t="str">
        <f>IFERROR(VLOOKUP(VALUE(J263),'Site Info'!$A:$G,5,FALSE),"")</f>
        <v>TX</v>
      </c>
      <c r="N263" t="str">
        <f>IFERROR(VLOOKUP(VALUE(J263),'Site Info'!$A:$G,6,FALSE),"")</f>
        <v>79936-5904</v>
      </c>
      <c r="O263">
        <f>IFERROR(VLOOKUP(VALUE(J263),'Site Info'!$A:$G,7,FALSE),"")</f>
        <v>9155916688</v>
      </c>
    </row>
    <row r="264" spans="1:15" x14ac:dyDescent="0.45">
      <c r="A264" t="s">
        <v>4500</v>
      </c>
      <c r="B264" t="s">
        <v>4501</v>
      </c>
      <c r="C264" t="s">
        <v>4502</v>
      </c>
      <c r="D264" t="s">
        <v>3904</v>
      </c>
      <c r="E264" s="1">
        <v>46152.698564814818</v>
      </c>
      <c r="F264">
        <v>1547</v>
      </c>
      <c r="G264" t="s">
        <v>4503</v>
      </c>
      <c r="H264" t="s">
        <v>15</v>
      </c>
      <c r="I264" t="s">
        <v>3906</v>
      </c>
      <c r="J264" t="str">
        <f>RIGHT(D264,4)</f>
        <v>8280</v>
      </c>
      <c r="K264" t="str">
        <f>IFERROR(VLOOKUP(VALUE(J264),'Site Info'!$A:$G,3,FALSE),"")</f>
        <v>11360 PELLICANO DR</v>
      </c>
      <c r="L264" t="str">
        <f>IFERROR(VLOOKUP(VALUE(J264),'Site Info'!$A:$G,4,FALSE),"")</f>
        <v>EL PASO</v>
      </c>
      <c r="M264" t="str">
        <f>IFERROR(VLOOKUP(VALUE(J264),'Site Info'!$A:$G,5,FALSE),"")</f>
        <v>TX</v>
      </c>
      <c r="N264" t="str">
        <f>IFERROR(VLOOKUP(VALUE(J264),'Site Info'!$A:$G,6,FALSE),"")</f>
        <v>79936-5904</v>
      </c>
      <c r="O264">
        <f>IFERROR(VLOOKUP(VALUE(J264),'Site Info'!$A:$G,7,FALSE),"")</f>
        <v>9155916688</v>
      </c>
    </row>
    <row r="265" spans="1:15" x14ac:dyDescent="0.45">
      <c r="A265" t="s">
        <v>4462</v>
      </c>
      <c r="B265" t="s">
        <v>4463</v>
      </c>
      <c r="C265" t="s">
        <v>4464</v>
      </c>
      <c r="D265" t="s">
        <v>3904</v>
      </c>
      <c r="E265" s="1">
        <v>46152.90824074074</v>
      </c>
      <c r="F265">
        <v>1547</v>
      </c>
      <c r="G265" t="s">
        <v>4465</v>
      </c>
      <c r="H265" t="s">
        <v>15</v>
      </c>
      <c r="I265" t="s">
        <v>3906</v>
      </c>
      <c r="J265" t="str">
        <f>RIGHT(D265,4)</f>
        <v>8280</v>
      </c>
      <c r="K265" t="str">
        <f>IFERROR(VLOOKUP(VALUE(J265),'Site Info'!$A:$G,3,FALSE),"")</f>
        <v>11360 PELLICANO DR</v>
      </c>
      <c r="L265" t="str">
        <f>IFERROR(VLOOKUP(VALUE(J265),'Site Info'!$A:$G,4,FALSE),"")</f>
        <v>EL PASO</v>
      </c>
      <c r="M265" t="str">
        <f>IFERROR(VLOOKUP(VALUE(J265),'Site Info'!$A:$G,5,FALSE),"")</f>
        <v>TX</v>
      </c>
      <c r="N265" t="str">
        <f>IFERROR(VLOOKUP(VALUE(J265),'Site Info'!$A:$G,6,FALSE),"")</f>
        <v>79936-5904</v>
      </c>
      <c r="O265">
        <f>IFERROR(VLOOKUP(VALUE(J265),'Site Info'!$A:$G,7,FALSE),"")</f>
        <v>9155916688</v>
      </c>
    </row>
    <row r="266" spans="1:15" x14ac:dyDescent="0.45">
      <c r="A266" t="s">
        <v>4504</v>
      </c>
      <c r="B266" t="s">
        <v>4505</v>
      </c>
      <c r="C266" t="s">
        <v>4506</v>
      </c>
      <c r="D266" t="s">
        <v>3904</v>
      </c>
      <c r="E266" s="1">
        <v>46153.334780092591</v>
      </c>
      <c r="F266">
        <v>1547</v>
      </c>
      <c r="G266" t="s">
        <v>4507</v>
      </c>
      <c r="H266" t="s">
        <v>15</v>
      </c>
      <c r="I266" t="s">
        <v>3906</v>
      </c>
      <c r="J266" t="str">
        <f>RIGHT(D266,4)</f>
        <v>8280</v>
      </c>
      <c r="K266" t="str">
        <f>IFERROR(VLOOKUP(VALUE(J266),'Site Info'!$A:$G,3,FALSE),"")</f>
        <v>11360 PELLICANO DR</v>
      </c>
      <c r="L266" t="str">
        <f>IFERROR(VLOOKUP(VALUE(J266),'Site Info'!$A:$G,4,FALSE),"")</f>
        <v>EL PASO</v>
      </c>
      <c r="M266" t="str">
        <f>IFERROR(VLOOKUP(VALUE(J266),'Site Info'!$A:$G,5,FALSE),"")</f>
        <v>TX</v>
      </c>
      <c r="N266" t="str">
        <f>IFERROR(VLOOKUP(VALUE(J266),'Site Info'!$A:$G,6,FALSE),"")</f>
        <v>79936-5904</v>
      </c>
      <c r="O266">
        <f>IFERROR(VLOOKUP(VALUE(J266),'Site Info'!$A:$G,7,FALSE),"")</f>
        <v>9155916688</v>
      </c>
    </row>
    <row r="267" spans="1:15" x14ac:dyDescent="0.45">
      <c r="A267" t="s">
        <v>3901</v>
      </c>
      <c r="B267" t="s">
        <v>3902</v>
      </c>
      <c r="C267" t="s">
        <v>3903</v>
      </c>
      <c r="D267" t="s">
        <v>3904</v>
      </c>
      <c r="E267" s="1">
        <v>46125.545416666668</v>
      </c>
      <c r="F267">
        <v>1481</v>
      </c>
      <c r="G267" t="s">
        <v>3905</v>
      </c>
      <c r="H267" t="s">
        <v>15</v>
      </c>
      <c r="I267" t="s">
        <v>3906</v>
      </c>
      <c r="J267" t="str">
        <f>RIGHT(D267,4)</f>
        <v>8280</v>
      </c>
      <c r="K267" t="str">
        <f>IFERROR(VLOOKUP(VALUE(J267),'Site Info'!$A:$G,3,FALSE),"")</f>
        <v>11360 PELLICANO DR</v>
      </c>
      <c r="L267" t="str">
        <f>IFERROR(VLOOKUP(VALUE(J267),'Site Info'!$A:$G,4,FALSE),"")</f>
        <v>EL PASO</v>
      </c>
      <c r="M267" t="str">
        <f>IFERROR(VLOOKUP(VALUE(J267),'Site Info'!$A:$G,5,FALSE),"")</f>
        <v>TX</v>
      </c>
      <c r="N267" t="str">
        <f>IFERROR(VLOOKUP(VALUE(J267),'Site Info'!$A:$G,6,FALSE),"")</f>
        <v>79936-5904</v>
      </c>
      <c r="O267">
        <f>IFERROR(VLOOKUP(VALUE(J267),'Site Info'!$A:$G,7,FALSE),"")</f>
        <v>9155916688</v>
      </c>
    </row>
    <row r="268" spans="1:15" x14ac:dyDescent="0.45">
      <c r="A268" t="s">
        <v>3911</v>
      </c>
      <c r="B268" t="s">
        <v>3912</v>
      </c>
      <c r="C268" t="s">
        <v>3913</v>
      </c>
      <c r="D268" t="s">
        <v>3904</v>
      </c>
      <c r="E268" s="1">
        <v>46150.4533912037</v>
      </c>
      <c r="F268">
        <v>1481</v>
      </c>
      <c r="G268" t="s">
        <v>3914</v>
      </c>
      <c r="H268" t="s">
        <v>15</v>
      </c>
      <c r="I268" t="s">
        <v>3906</v>
      </c>
      <c r="J268" t="str">
        <f>RIGHT(D268,4)</f>
        <v>8280</v>
      </c>
      <c r="K268" t="str">
        <f>IFERROR(VLOOKUP(VALUE(J268),'Site Info'!$A:$G,3,FALSE),"")</f>
        <v>11360 PELLICANO DR</v>
      </c>
      <c r="L268" t="str">
        <f>IFERROR(VLOOKUP(VALUE(J268),'Site Info'!$A:$G,4,FALSE),"")</f>
        <v>EL PASO</v>
      </c>
      <c r="M268" t="str">
        <f>IFERROR(VLOOKUP(VALUE(J268),'Site Info'!$A:$G,5,FALSE),"")</f>
        <v>TX</v>
      </c>
      <c r="N268" t="str">
        <f>IFERROR(VLOOKUP(VALUE(J268),'Site Info'!$A:$G,6,FALSE),"")</f>
        <v>79936-5904</v>
      </c>
      <c r="O268">
        <f>IFERROR(VLOOKUP(VALUE(J268),'Site Info'!$A:$G,7,FALSE),"")</f>
        <v>9155916688</v>
      </c>
    </row>
    <row r="269" spans="1:15" x14ac:dyDescent="0.45">
      <c r="A269" t="s">
        <v>3945</v>
      </c>
      <c r="B269" t="s">
        <v>3946</v>
      </c>
      <c r="C269" t="s">
        <v>3947</v>
      </c>
      <c r="D269" t="s">
        <v>3904</v>
      </c>
      <c r="E269" s="1">
        <v>46153.311238425929</v>
      </c>
      <c r="F269">
        <v>1481</v>
      </c>
      <c r="G269" t="s">
        <v>3948</v>
      </c>
      <c r="H269" t="s">
        <v>15</v>
      </c>
      <c r="I269" t="s">
        <v>3906</v>
      </c>
      <c r="J269" t="str">
        <f>RIGHT(D269,4)</f>
        <v>8280</v>
      </c>
      <c r="K269" t="str">
        <f>IFERROR(VLOOKUP(VALUE(J269),'Site Info'!$A:$G,3,FALSE),"")</f>
        <v>11360 PELLICANO DR</v>
      </c>
      <c r="L269" t="str">
        <f>IFERROR(VLOOKUP(VALUE(J269),'Site Info'!$A:$G,4,FALSE),"")</f>
        <v>EL PASO</v>
      </c>
      <c r="M269" t="str">
        <f>IFERROR(VLOOKUP(VALUE(J269),'Site Info'!$A:$G,5,FALSE),"")</f>
        <v>TX</v>
      </c>
      <c r="N269" t="str">
        <f>IFERROR(VLOOKUP(VALUE(J269),'Site Info'!$A:$G,6,FALSE),"")</f>
        <v>79936-5904</v>
      </c>
      <c r="O269">
        <f>IFERROR(VLOOKUP(VALUE(J269),'Site Info'!$A:$G,7,FALSE),"")</f>
        <v>9155916688</v>
      </c>
    </row>
    <row r="270" spans="1:15" x14ac:dyDescent="0.45">
      <c r="A270" t="s">
        <v>4009</v>
      </c>
      <c r="B270" t="s">
        <v>4010</v>
      </c>
      <c r="C270" t="s">
        <v>4011</v>
      </c>
      <c r="D270" t="s">
        <v>3904</v>
      </c>
      <c r="E270" s="1">
        <v>46153.334861111114</v>
      </c>
      <c r="F270">
        <v>1481</v>
      </c>
      <c r="G270" t="s">
        <v>4012</v>
      </c>
      <c r="H270" t="s">
        <v>15</v>
      </c>
      <c r="I270" t="s">
        <v>3906</v>
      </c>
      <c r="J270" t="str">
        <f>RIGHT(D270,4)</f>
        <v>8280</v>
      </c>
      <c r="K270" t="str">
        <f>IFERROR(VLOOKUP(VALUE(J270),'Site Info'!$A:$G,3,FALSE),"")</f>
        <v>11360 PELLICANO DR</v>
      </c>
      <c r="L270" t="str">
        <f>IFERROR(VLOOKUP(VALUE(J270),'Site Info'!$A:$G,4,FALSE),"")</f>
        <v>EL PASO</v>
      </c>
      <c r="M270" t="str">
        <f>IFERROR(VLOOKUP(VALUE(J270),'Site Info'!$A:$G,5,FALSE),"")</f>
        <v>TX</v>
      </c>
      <c r="N270" t="str">
        <f>IFERROR(VLOOKUP(VALUE(J270),'Site Info'!$A:$G,6,FALSE),"")</f>
        <v>79936-5904</v>
      </c>
      <c r="O270">
        <f>IFERROR(VLOOKUP(VALUE(J270),'Site Info'!$A:$G,7,FALSE),"")</f>
        <v>9155916688</v>
      </c>
    </row>
    <row r="271" spans="1:15" x14ac:dyDescent="0.45">
      <c r="A271" t="s">
        <v>17275</v>
      </c>
      <c r="B271" t="s">
        <v>17276</v>
      </c>
      <c r="C271" t="s">
        <v>17277</v>
      </c>
      <c r="D271" t="s">
        <v>3904</v>
      </c>
      <c r="E271" s="1">
        <v>46152.906712962962</v>
      </c>
      <c r="F271">
        <v>1481</v>
      </c>
      <c r="G271" t="s">
        <v>17278</v>
      </c>
      <c r="H271" t="s">
        <v>15</v>
      </c>
      <c r="I271" t="s">
        <v>3906</v>
      </c>
      <c r="J271" t="str">
        <f>RIGHT(D271,4)</f>
        <v>8280</v>
      </c>
      <c r="K271" t="str">
        <f>IFERROR(VLOOKUP(VALUE(J271),'Site Info'!$A:$G,3,FALSE),"")</f>
        <v>11360 PELLICANO DR</v>
      </c>
      <c r="L271" t="str">
        <f>IFERROR(VLOOKUP(VALUE(J271),'Site Info'!$A:$G,4,FALSE),"")</f>
        <v>EL PASO</v>
      </c>
      <c r="M271" t="str">
        <f>IFERROR(VLOOKUP(VALUE(J271),'Site Info'!$A:$G,5,FALSE),"")</f>
        <v>TX</v>
      </c>
      <c r="N271" t="str">
        <f>IFERROR(VLOOKUP(VALUE(J271),'Site Info'!$A:$G,6,FALSE),"")</f>
        <v>79936-5904</v>
      </c>
      <c r="O271">
        <f>IFERROR(VLOOKUP(VALUE(J271),'Site Info'!$A:$G,7,FALSE),"")</f>
        <v>9155916688</v>
      </c>
    </row>
    <row r="272" spans="1:15" x14ac:dyDescent="0.45">
      <c r="A272" t="s">
        <v>10829</v>
      </c>
      <c r="B272" t="s">
        <v>10830</v>
      </c>
      <c r="C272" t="s">
        <v>10831</v>
      </c>
      <c r="D272" t="s">
        <v>69</v>
      </c>
      <c r="E272" s="1">
        <v>46151.70579861111</v>
      </c>
      <c r="F272">
        <v>1547</v>
      </c>
      <c r="G272" t="s">
        <v>10832</v>
      </c>
      <c r="H272" t="s">
        <v>15</v>
      </c>
      <c r="I272" t="s">
        <v>71</v>
      </c>
      <c r="J272" t="str">
        <f>RIGHT(D272,4)</f>
        <v>6348</v>
      </c>
      <c r="K272" t="str">
        <f>IFERROR(VLOOKUP(VALUE(J272),'Site Info'!$A:$G,3,FALSE),"")</f>
        <v>11425 CAROLINA PLACE PKWY</v>
      </c>
      <c r="L272" t="str">
        <f>IFERROR(VLOOKUP(VALUE(J272),'Site Info'!$A:$G,4,FALSE),"")</f>
        <v>PINEVILLE</v>
      </c>
      <c r="M272" t="str">
        <f>IFERROR(VLOOKUP(VALUE(J272),'Site Info'!$A:$G,5,FALSE),"")</f>
        <v>NC</v>
      </c>
      <c r="N272" t="str">
        <f>IFERROR(VLOOKUP(VALUE(J272),'Site Info'!$A:$G,6,FALSE),"")</f>
        <v>28134-8816</v>
      </c>
      <c r="O272">
        <f>IFERROR(VLOOKUP(VALUE(J272),'Site Info'!$A:$G,7,FALSE),"")</f>
        <v>7045411234</v>
      </c>
    </row>
    <row r="273" spans="1:15" x14ac:dyDescent="0.45">
      <c r="A273" t="s">
        <v>66</v>
      </c>
      <c r="B273" t="s">
        <v>67</v>
      </c>
      <c r="C273" t="s">
        <v>68</v>
      </c>
      <c r="D273" t="s">
        <v>69</v>
      </c>
      <c r="E273" s="1">
        <v>46152.563923611109</v>
      </c>
      <c r="F273">
        <v>1547</v>
      </c>
      <c r="G273" t="s">
        <v>70</v>
      </c>
      <c r="H273" t="s">
        <v>15</v>
      </c>
      <c r="I273" t="s">
        <v>71</v>
      </c>
      <c r="J273" t="str">
        <f>RIGHT(D273,4)</f>
        <v>6348</v>
      </c>
      <c r="K273" t="str">
        <f>IFERROR(VLOOKUP(VALUE(J273),'Site Info'!$A:$G,3,FALSE),"")</f>
        <v>11425 CAROLINA PLACE PKWY</v>
      </c>
      <c r="L273" t="str">
        <f>IFERROR(VLOOKUP(VALUE(J273),'Site Info'!$A:$G,4,FALSE),"")</f>
        <v>PINEVILLE</v>
      </c>
      <c r="M273" t="str">
        <f>IFERROR(VLOOKUP(VALUE(J273),'Site Info'!$A:$G,5,FALSE),"")</f>
        <v>NC</v>
      </c>
      <c r="N273" t="str">
        <f>IFERROR(VLOOKUP(VALUE(J273),'Site Info'!$A:$G,6,FALSE),"")</f>
        <v>28134-8816</v>
      </c>
      <c r="O273">
        <f>IFERROR(VLOOKUP(VALUE(J273),'Site Info'!$A:$G,7,FALSE),"")</f>
        <v>7045411234</v>
      </c>
    </row>
    <row r="274" spans="1:15" x14ac:dyDescent="0.45">
      <c r="A274" t="s">
        <v>10596</v>
      </c>
      <c r="B274" t="s">
        <v>10597</v>
      </c>
      <c r="C274" t="s">
        <v>10598</v>
      </c>
      <c r="D274" t="s">
        <v>69</v>
      </c>
      <c r="E274" s="1">
        <v>46153.354027777779</v>
      </c>
      <c r="F274">
        <v>1547</v>
      </c>
      <c r="G274" t="s">
        <v>10599</v>
      </c>
      <c r="H274" t="s">
        <v>15</v>
      </c>
      <c r="I274" t="s">
        <v>71</v>
      </c>
      <c r="J274" t="str">
        <f>RIGHT(D274,4)</f>
        <v>6348</v>
      </c>
      <c r="K274" t="str">
        <f>IFERROR(VLOOKUP(VALUE(J274),'Site Info'!$A:$G,3,FALSE),"")</f>
        <v>11425 CAROLINA PLACE PKWY</v>
      </c>
      <c r="L274" t="str">
        <f>IFERROR(VLOOKUP(VALUE(J274),'Site Info'!$A:$G,4,FALSE),"")</f>
        <v>PINEVILLE</v>
      </c>
      <c r="M274" t="str">
        <f>IFERROR(VLOOKUP(VALUE(J274),'Site Info'!$A:$G,5,FALSE),"")</f>
        <v>NC</v>
      </c>
      <c r="N274" t="str">
        <f>IFERROR(VLOOKUP(VALUE(J274),'Site Info'!$A:$G,6,FALSE),"")</f>
        <v>28134-8816</v>
      </c>
      <c r="O274">
        <f>IFERROR(VLOOKUP(VALUE(J274),'Site Info'!$A:$G,7,FALSE),"")</f>
        <v>7045411234</v>
      </c>
    </row>
    <row r="275" spans="1:15" x14ac:dyDescent="0.45">
      <c r="A275" t="s">
        <v>9265</v>
      </c>
      <c r="B275" t="s">
        <v>9266</v>
      </c>
      <c r="C275" t="s">
        <v>9267</v>
      </c>
      <c r="D275" t="s">
        <v>69</v>
      </c>
      <c r="E275" s="1">
        <v>46153.355046296296</v>
      </c>
      <c r="F275">
        <v>1547</v>
      </c>
      <c r="G275" t="s">
        <v>9268</v>
      </c>
      <c r="H275" t="s">
        <v>15</v>
      </c>
      <c r="I275" t="s">
        <v>71</v>
      </c>
      <c r="J275" t="str">
        <f>RIGHT(D275,4)</f>
        <v>6348</v>
      </c>
      <c r="K275" t="str">
        <f>IFERROR(VLOOKUP(VALUE(J275),'Site Info'!$A:$G,3,FALSE),"")</f>
        <v>11425 CAROLINA PLACE PKWY</v>
      </c>
      <c r="L275" t="str">
        <f>IFERROR(VLOOKUP(VALUE(J275),'Site Info'!$A:$G,4,FALSE),"")</f>
        <v>PINEVILLE</v>
      </c>
      <c r="M275" t="str">
        <f>IFERROR(VLOOKUP(VALUE(J275),'Site Info'!$A:$G,5,FALSE),"")</f>
        <v>NC</v>
      </c>
      <c r="N275" t="str">
        <f>IFERROR(VLOOKUP(VALUE(J275),'Site Info'!$A:$G,6,FALSE),"")</f>
        <v>28134-8816</v>
      </c>
      <c r="O275">
        <f>IFERROR(VLOOKUP(VALUE(J275),'Site Info'!$A:$G,7,FALSE),"")</f>
        <v>7045411234</v>
      </c>
    </row>
    <row r="276" spans="1:15" x14ac:dyDescent="0.45">
      <c r="A276" t="s">
        <v>3079</v>
      </c>
      <c r="B276" t="s">
        <v>3080</v>
      </c>
      <c r="C276" t="s">
        <v>3081</v>
      </c>
      <c r="D276" t="s">
        <v>69</v>
      </c>
      <c r="E276" s="1">
        <v>46152.823113425926</v>
      </c>
      <c r="F276">
        <v>1481</v>
      </c>
      <c r="G276" t="s">
        <v>3082</v>
      </c>
      <c r="H276" t="s">
        <v>15</v>
      </c>
      <c r="I276" t="s">
        <v>71</v>
      </c>
      <c r="J276" t="str">
        <f>RIGHT(D276,4)</f>
        <v>6348</v>
      </c>
      <c r="K276" t="str">
        <f>IFERROR(VLOOKUP(VALUE(J276),'Site Info'!$A:$G,3,FALSE),"")</f>
        <v>11425 CAROLINA PLACE PKWY</v>
      </c>
      <c r="L276" t="str">
        <f>IFERROR(VLOOKUP(VALUE(J276),'Site Info'!$A:$G,4,FALSE),"")</f>
        <v>PINEVILLE</v>
      </c>
      <c r="M276" t="str">
        <f>IFERROR(VLOOKUP(VALUE(J276),'Site Info'!$A:$G,5,FALSE),"")</f>
        <v>NC</v>
      </c>
      <c r="N276" t="str">
        <f>IFERROR(VLOOKUP(VALUE(J276),'Site Info'!$A:$G,6,FALSE),"")</f>
        <v>28134-8816</v>
      </c>
      <c r="O276">
        <f>IFERROR(VLOOKUP(VALUE(J276),'Site Info'!$A:$G,7,FALSE),"")</f>
        <v>7045411234</v>
      </c>
    </row>
    <row r="277" spans="1:15" x14ac:dyDescent="0.45">
      <c r="A277" t="s">
        <v>11730</v>
      </c>
      <c r="B277" t="s">
        <v>11731</v>
      </c>
      <c r="C277" t="s">
        <v>11732</v>
      </c>
      <c r="D277" t="s">
        <v>81</v>
      </c>
      <c r="E277" s="1">
        <v>46152.467129629629</v>
      </c>
      <c r="F277">
        <v>1547</v>
      </c>
      <c r="G277" t="s">
        <v>11733</v>
      </c>
      <c r="H277" t="s">
        <v>15</v>
      </c>
      <c r="I277" t="s">
        <v>83</v>
      </c>
      <c r="J277" t="str">
        <f>RIGHT(D277,4)</f>
        <v>6976</v>
      </c>
      <c r="K277" t="str">
        <f>IFERROR(VLOOKUP(VALUE(J277),'Site Info'!$A:$G,3,FALSE),"")</f>
        <v>11460 ROYALL COTTON ROAD</v>
      </c>
      <c r="L277" t="str">
        <f>IFERROR(VLOOKUP(VALUE(J277),'Site Info'!$A:$G,4,FALSE),"")</f>
        <v>WAKE FOREST</v>
      </c>
      <c r="M277" t="str">
        <f>IFERROR(VLOOKUP(VALUE(J277),'Site Info'!$A:$G,5,FALSE),"")</f>
        <v>NC</v>
      </c>
      <c r="N277" t="str">
        <f>IFERROR(VLOOKUP(VALUE(J277),'Site Info'!$A:$G,6,FALSE),"")</f>
        <v>27587-0000</v>
      </c>
      <c r="O277">
        <f>IFERROR(VLOOKUP(VALUE(J277),'Site Info'!$A:$G,7,FALSE),"")</f>
        <v>9192636134</v>
      </c>
    </row>
    <row r="278" spans="1:15" x14ac:dyDescent="0.45">
      <c r="A278" t="s">
        <v>9387</v>
      </c>
      <c r="B278" t="s">
        <v>9388</v>
      </c>
      <c r="C278" t="s">
        <v>9389</v>
      </c>
      <c r="D278" t="s">
        <v>81</v>
      </c>
      <c r="E278" s="1">
        <v>46152.502812500003</v>
      </c>
      <c r="F278">
        <v>1547</v>
      </c>
      <c r="G278" t="s">
        <v>9390</v>
      </c>
      <c r="H278" t="s">
        <v>15</v>
      </c>
      <c r="I278" t="s">
        <v>83</v>
      </c>
      <c r="J278" t="str">
        <f>RIGHT(D278,4)</f>
        <v>6976</v>
      </c>
      <c r="K278" t="str">
        <f>IFERROR(VLOOKUP(VALUE(J278),'Site Info'!$A:$G,3,FALSE),"")</f>
        <v>11460 ROYALL COTTON ROAD</v>
      </c>
      <c r="L278" t="str">
        <f>IFERROR(VLOOKUP(VALUE(J278),'Site Info'!$A:$G,4,FALSE),"")</f>
        <v>WAKE FOREST</v>
      </c>
      <c r="M278" t="str">
        <f>IFERROR(VLOOKUP(VALUE(J278),'Site Info'!$A:$G,5,FALSE),"")</f>
        <v>NC</v>
      </c>
      <c r="N278" t="str">
        <f>IFERROR(VLOOKUP(VALUE(J278),'Site Info'!$A:$G,6,FALSE),"")</f>
        <v>27587-0000</v>
      </c>
      <c r="O278">
        <f>IFERROR(VLOOKUP(VALUE(J278),'Site Info'!$A:$G,7,FALSE),"")</f>
        <v>9192636134</v>
      </c>
    </row>
    <row r="279" spans="1:15" x14ac:dyDescent="0.45">
      <c r="A279" t="s">
        <v>78</v>
      </c>
      <c r="B279" t="s">
        <v>79</v>
      </c>
      <c r="C279" t="s">
        <v>80</v>
      </c>
      <c r="D279" t="s">
        <v>81</v>
      </c>
      <c r="E279" s="1">
        <v>46153.256840277776</v>
      </c>
      <c r="F279">
        <v>1547</v>
      </c>
      <c r="G279" t="s">
        <v>82</v>
      </c>
      <c r="H279" t="s">
        <v>15</v>
      </c>
      <c r="I279" t="s">
        <v>83</v>
      </c>
      <c r="J279" t="str">
        <f>RIGHT(D279,4)</f>
        <v>6976</v>
      </c>
      <c r="K279" t="str">
        <f>IFERROR(VLOOKUP(VALUE(J279),'Site Info'!$A:$G,3,FALSE),"")</f>
        <v>11460 ROYALL COTTON ROAD</v>
      </c>
      <c r="L279" t="str">
        <f>IFERROR(VLOOKUP(VALUE(J279),'Site Info'!$A:$G,4,FALSE),"")</f>
        <v>WAKE FOREST</v>
      </c>
      <c r="M279" t="str">
        <f>IFERROR(VLOOKUP(VALUE(J279),'Site Info'!$A:$G,5,FALSE),"")</f>
        <v>NC</v>
      </c>
      <c r="N279" t="str">
        <f>IFERROR(VLOOKUP(VALUE(J279),'Site Info'!$A:$G,6,FALSE),"")</f>
        <v>27587-0000</v>
      </c>
      <c r="O279">
        <f>IFERROR(VLOOKUP(VALUE(J279),'Site Info'!$A:$G,7,FALSE),"")</f>
        <v>9192636134</v>
      </c>
    </row>
    <row r="280" spans="1:15" x14ac:dyDescent="0.45">
      <c r="A280" t="s">
        <v>9213</v>
      </c>
      <c r="B280" t="s">
        <v>9214</v>
      </c>
      <c r="C280" t="s">
        <v>9215</v>
      </c>
      <c r="D280" t="s">
        <v>81</v>
      </c>
      <c r="E280" s="1">
        <v>46153.335219907407</v>
      </c>
      <c r="F280">
        <v>1547</v>
      </c>
      <c r="G280" t="s">
        <v>9216</v>
      </c>
      <c r="H280" t="s">
        <v>15</v>
      </c>
      <c r="I280" t="s">
        <v>83</v>
      </c>
      <c r="J280" t="str">
        <f>RIGHT(D280,4)</f>
        <v>6976</v>
      </c>
      <c r="K280" t="str">
        <f>IFERROR(VLOOKUP(VALUE(J280),'Site Info'!$A:$G,3,FALSE),"")</f>
        <v>11460 ROYALL COTTON ROAD</v>
      </c>
      <c r="L280" t="str">
        <f>IFERROR(VLOOKUP(VALUE(J280),'Site Info'!$A:$G,4,FALSE),"")</f>
        <v>WAKE FOREST</v>
      </c>
      <c r="M280" t="str">
        <f>IFERROR(VLOOKUP(VALUE(J280),'Site Info'!$A:$G,5,FALSE),"")</f>
        <v>NC</v>
      </c>
      <c r="N280" t="str">
        <f>IFERROR(VLOOKUP(VALUE(J280),'Site Info'!$A:$G,6,FALSE),"")</f>
        <v>27587-0000</v>
      </c>
      <c r="O280">
        <f>IFERROR(VLOOKUP(VALUE(J280),'Site Info'!$A:$G,7,FALSE),"")</f>
        <v>9192636134</v>
      </c>
    </row>
    <row r="281" spans="1:15" x14ac:dyDescent="0.45">
      <c r="A281" t="s">
        <v>1212</v>
      </c>
      <c r="B281" t="s">
        <v>1213</v>
      </c>
      <c r="C281" t="s">
        <v>1214</v>
      </c>
      <c r="D281" t="s">
        <v>81</v>
      </c>
      <c r="E281" s="1">
        <v>46152.066377314812</v>
      </c>
      <c r="F281">
        <v>1481</v>
      </c>
      <c r="G281" t="s">
        <v>1215</v>
      </c>
      <c r="H281" t="s">
        <v>15</v>
      </c>
      <c r="I281" t="s">
        <v>83</v>
      </c>
      <c r="J281" t="str">
        <f>RIGHT(D281,4)</f>
        <v>6976</v>
      </c>
      <c r="K281" t="str">
        <f>IFERROR(VLOOKUP(VALUE(J281),'Site Info'!$A:$G,3,FALSE),"")</f>
        <v>11460 ROYALL COTTON ROAD</v>
      </c>
      <c r="L281" t="str">
        <f>IFERROR(VLOOKUP(VALUE(J281),'Site Info'!$A:$G,4,FALSE),"")</f>
        <v>WAKE FOREST</v>
      </c>
      <c r="M281" t="str">
        <f>IFERROR(VLOOKUP(VALUE(J281),'Site Info'!$A:$G,5,FALSE),"")</f>
        <v>NC</v>
      </c>
      <c r="N281" t="str">
        <f>IFERROR(VLOOKUP(VALUE(J281),'Site Info'!$A:$G,6,FALSE),"")</f>
        <v>27587-0000</v>
      </c>
      <c r="O281">
        <f>IFERROR(VLOOKUP(VALUE(J281),'Site Info'!$A:$G,7,FALSE),"")</f>
        <v>9192636134</v>
      </c>
    </row>
    <row r="282" spans="1:15" x14ac:dyDescent="0.45">
      <c r="A282" t="s">
        <v>3377</v>
      </c>
      <c r="B282" t="s">
        <v>3378</v>
      </c>
      <c r="C282" t="s">
        <v>3379</v>
      </c>
      <c r="D282" t="s">
        <v>81</v>
      </c>
      <c r="E282" s="1">
        <v>46153.052442129629</v>
      </c>
      <c r="F282">
        <v>1481</v>
      </c>
      <c r="G282" t="s">
        <v>3380</v>
      </c>
      <c r="H282" t="s">
        <v>15</v>
      </c>
      <c r="I282" t="s">
        <v>83</v>
      </c>
      <c r="J282" t="str">
        <f>RIGHT(D282,4)</f>
        <v>6976</v>
      </c>
      <c r="K282" t="str">
        <f>IFERROR(VLOOKUP(VALUE(J282),'Site Info'!$A:$G,3,FALSE),"")</f>
        <v>11460 ROYALL COTTON ROAD</v>
      </c>
      <c r="L282" t="str">
        <f>IFERROR(VLOOKUP(VALUE(J282),'Site Info'!$A:$G,4,FALSE),"")</f>
        <v>WAKE FOREST</v>
      </c>
      <c r="M282" t="str">
        <f>IFERROR(VLOOKUP(VALUE(J282),'Site Info'!$A:$G,5,FALSE),"")</f>
        <v>NC</v>
      </c>
      <c r="N282" t="str">
        <f>IFERROR(VLOOKUP(VALUE(J282),'Site Info'!$A:$G,6,FALSE),"")</f>
        <v>27587-0000</v>
      </c>
      <c r="O282">
        <f>IFERROR(VLOOKUP(VALUE(J282),'Site Info'!$A:$G,7,FALSE),"")</f>
        <v>9192636134</v>
      </c>
    </row>
    <row r="283" spans="1:15" x14ac:dyDescent="0.45">
      <c r="A283" t="s">
        <v>696</v>
      </c>
      <c r="B283" t="s">
        <v>697</v>
      </c>
      <c r="C283" t="s">
        <v>698</v>
      </c>
      <c r="D283" t="s">
        <v>81</v>
      </c>
      <c r="E283" s="1">
        <v>46153.344513888886</v>
      </c>
      <c r="F283">
        <v>1481</v>
      </c>
      <c r="G283" t="s">
        <v>699</v>
      </c>
      <c r="H283" t="s">
        <v>15</v>
      </c>
      <c r="I283" t="s">
        <v>83</v>
      </c>
      <c r="J283" t="str">
        <f>RIGHT(D283,4)</f>
        <v>6976</v>
      </c>
      <c r="K283" t="str">
        <f>IFERROR(VLOOKUP(VALUE(J283),'Site Info'!$A:$G,3,FALSE),"")</f>
        <v>11460 ROYALL COTTON ROAD</v>
      </c>
      <c r="L283" t="str">
        <f>IFERROR(VLOOKUP(VALUE(J283),'Site Info'!$A:$G,4,FALSE),"")</f>
        <v>WAKE FOREST</v>
      </c>
      <c r="M283" t="str">
        <f>IFERROR(VLOOKUP(VALUE(J283),'Site Info'!$A:$G,5,FALSE),"")</f>
        <v>NC</v>
      </c>
      <c r="N283" t="str">
        <f>IFERROR(VLOOKUP(VALUE(J283),'Site Info'!$A:$G,6,FALSE),"")</f>
        <v>27587-0000</v>
      </c>
      <c r="O283">
        <f>IFERROR(VLOOKUP(VALUE(J283),'Site Info'!$A:$G,7,FALSE),"")</f>
        <v>9192636134</v>
      </c>
    </row>
    <row r="284" spans="1:15" x14ac:dyDescent="0.45">
      <c r="A284" t="s">
        <v>6775</v>
      </c>
      <c r="B284" t="s">
        <v>6776</v>
      </c>
      <c r="C284" t="s">
        <v>6777</v>
      </c>
      <c r="D284" t="s">
        <v>2842</v>
      </c>
      <c r="E284" s="1">
        <v>46151.636377314811</v>
      </c>
      <c r="F284">
        <v>1547</v>
      </c>
      <c r="G284" t="s">
        <v>6778</v>
      </c>
      <c r="H284" t="s">
        <v>15</v>
      </c>
      <c r="I284" t="s">
        <v>2844</v>
      </c>
      <c r="J284" t="str">
        <f>RIGHT(D284,4)</f>
        <v>6375</v>
      </c>
      <c r="K284" t="str">
        <f>IFERROR(VLOOKUP(VALUE(J284),'Site Info'!$A:$G,3,FALSE),"")</f>
        <v>1150 GREELY CHAPEL RD</v>
      </c>
      <c r="L284" t="str">
        <f>IFERROR(VLOOKUP(VALUE(J284),'Site Info'!$A:$G,4,FALSE),"")</f>
        <v>LIMA</v>
      </c>
      <c r="M284" t="str">
        <f>IFERROR(VLOOKUP(VALUE(J284),'Site Info'!$A:$G,5,FALSE),"")</f>
        <v>OH</v>
      </c>
      <c r="N284" t="str">
        <f>IFERROR(VLOOKUP(VALUE(J284),'Site Info'!$A:$G,6,FALSE),"")</f>
        <v>45804-4162</v>
      </c>
      <c r="O284">
        <f>IFERROR(VLOOKUP(VALUE(J284),'Site Info'!$A:$G,7,FALSE),"")</f>
        <v>4192224050</v>
      </c>
    </row>
    <row r="285" spans="1:15" x14ac:dyDescent="0.45">
      <c r="A285" t="s">
        <v>6817</v>
      </c>
      <c r="B285" t="s">
        <v>6818</v>
      </c>
      <c r="C285" t="s">
        <v>6819</v>
      </c>
      <c r="D285" t="s">
        <v>2842</v>
      </c>
      <c r="E285" s="1">
        <v>46152.626585648148</v>
      </c>
      <c r="F285">
        <v>1547</v>
      </c>
      <c r="G285" t="s">
        <v>6820</v>
      </c>
      <c r="H285" t="s">
        <v>15</v>
      </c>
      <c r="I285" t="s">
        <v>2844</v>
      </c>
      <c r="J285" t="str">
        <f>RIGHT(D285,4)</f>
        <v>6375</v>
      </c>
      <c r="K285" t="str">
        <f>IFERROR(VLOOKUP(VALUE(J285),'Site Info'!$A:$G,3,FALSE),"")</f>
        <v>1150 GREELY CHAPEL RD</v>
      </c>
      <c r="L285" t="str">
        <f>IFERROR(VLOOKUP(VALUE(J285),'Site Info'!$A:$G,4,FALSE),"")</f>
        <v>LIMA</v>
      </c>
      <c r="M285" t="str">
        <f>IFERROR(VLOOKUP(VALUE(J285),'Site Info'!$A:$G,5,FALSE),"")</f>
        <v>OH</v>
      </c>
      <c r="N285" t="str">
        <f>IFERROR(VLOOKUP(VALUE(J285),'Site Info'!$A:$G,6,FALSE),"")</f>
        <v>45804-4162</v>
      </c>
      <c r="O285">
        <f>IFERROR(VLOOKUP(VALUE(J285),'Site Info'!$A:$G,7,FALSE),"")</f>
        <v>4192224050</v>
      </c>
    </row>
    <row r="286" spans="1:15" x14ac:dyDescent="0.45">
      <c r="A286" t="s">
        <v>13507</v>
      </c>
      <c r="B286" t="s">
        <v>13508</v>
      </c>
      <c r="C286" t="s">
        <v>13509</v>
      </c>
      <c r="D286" t="s">
        <v>2842</v>
      </c>
      <c r="E286" s="1">
        <v>46153.348229166666</v>
      </c>
      <c r="F286">
        <v>1547</v>
      </c>
      <c r="G286" t="s">
        <v>13510</v>
      </c>
      <c r="H286" t="s">
        <v>15</v>
      </c>
      <c r="I286" t="s">
        <v>2844</v>
      </c>
      <c r="J286" t="str">
        <f>RIGHT(D286,4)</f>
        <v>6375</v>
      </c>
      <c r="K286" t="str">
        <f>IFERROR(VLOOKUP(VALUE(J286),'Site Info'!$A:$G,3,FALSE),"")</f>
        <v>1150 GREELY CHAPEL RD</v>
      </c>
      <c r="L286" t="str">
        <f>IFERROR(VLOOKUP(VALUE(J286),'Site Info'!$A:$G,4,FALSE),"")</f>
        <v>LIMA</v>
      </c>
      <c r="M286" t="str">
        <f>IFERROR(VLOOKUP(VALUE(J286),'Site Info'!$A:$G,5,FALSE),"")</f>
        <v>OH</v>
      </c>
      <c r="N286" t="str">
        <f>IFERROR(VLOOKUP(VALUE(J286),'Site Info'!$A:$G,6,FALSE),"")</f>
        <v>45804-4162</v>
      </c>
      <c r="O286">
        <f>IFERROR(VLOOKUP(VALUE(J286),'Site Info'!$A:$G,7,FALSE),"")</f>
        <v>4192224050</v>
      </c>
    </row>
    <row r="287" spans="1:15" x14ac:dyDescent="0.45">
      <c r="A287" t="s">
        <v>6286</v>
      </c>
      <c r="B287" t="s">
        <v>6287</v>
      </c>
      <c r="C287" t="s">
        <v>6288</v>
      </c>
      <c r="D287" t="s">
        <v>2842</v>
      </c>
      <c r="E287" s="1">
        <v>46153.362986111111</v>
      </c>
      <c r="F287">
        <v>1547</v>
      </c>
      <c r="G287" t="s">
        <v>6289</v>
      </c>
      <c r="H287" t="s">
        <v>15</v>
      </c>
      <c r="I287" t="s">
        <v>2844</v>
      </c>
      <c r="J287" t="str">
        <f>RIGHT(D287,4)</f>
        <v>6375</v>
      </c>
      <c r="K287" t="str">
        <f>IFERROR(VLOOKUP(VALUE(J287),'Site Info'!$A:$G,3,FALSE),"")</f>
        <v>1150 GREELY CHAPEL RD</v>
      </c>
      <c r="L287" t="str">
        <f>IFERROR(VLOOKUP(VALUE(J287),'Site Info'!$A:$G,4,FALSE),"")</f>
        <v>LIMA</v>
      </c>
      <c r="M287" t="str">
        <f>IFERROR(VLOOKUP(VALUE(J287),'Site Info'!$A:$G,5,FALSE),"")</f>
        <v>OH</v>
      </c>
      <c r="N287" t="str">
        <f>IFERROR(VLOOKUP(VALUE(J287),'Site Info'!$A:$G,6,FALSE),"")</f>
        <v>45804-4162</v>
      </c>
      <c r="O287">
        <f>IFERROR(VLOOKUP(VALUE(J287),'Site Info'!$A:$G,7,FALSE),"")</f>
        <v>4192224050</v>
      </c>
    </row>
    <row r="288" spans="1:15" x14ac:dyDescent="0.45">
      <c r="A288" t="s">
        <v>2839</v>
      </c>
      <c r="B288" t="s">
        <v>2840</v>
      </c>
      <c r="C288" t="s">
        <v>2841</v>
      </c>
      <c r="D288" t="s">
        <v>2842</v>
      </c>
      <c r="E288" s="1">
        <v>46147.549456018518</v>
      </c>
      <c r="F288">
        <v>1481</v>
      </c>
      <c r="G288" t="s">
        <v>2843</v>
      </c>
      <c r="H288" t="s">
        <v>15</v>
      </c>
      <c r="I288" t="s">
        <v>2844</v>
      </c>
      <c r="J288" t="str">
        <f>RIGHT(D288,4)</f>
        <v>6375</v>
      </c>
      <c r="K288" t="str">
        <f>IFERROR(VLOOKUP(VALUE(J288),'Site Info'!$A:$G,3,FALSE),"")</f>
        <v>1150 GREELY CHAPEL RD</v>
      </c>
      <c r="L288" t="str">
        <f>IFERROR(VLOOKUP(VALUE(J288),'Site Info'!$A:$G,4,FALSE),"")</f>
        <v>LIMA</v>
      </c>
      <c r="M288" t="str">
        <f>IFERROR(VLOOKUP(VALUE(J288),'Site Info'!$A:$G,5,FALSE),"")</f>
        <v>OH</v>
      </c>
      <c r="N288" t="str">
        <f>IFERROR(VLOOKUP(VALUE(J288),'Site Info'!$A:$G,6,FALSE),"")</f>
        <v>45804-4162</v>
      </c>
      <c r="O288">
        <f>IFERROR(VLOOKUP(VALUE(J288),'Site Info'!$A:$G,7,FALSE),"")</f>
        <v>4192224050</v>
      </c>
    </row>
    <row r="289" spans="1:15" x14ac:dyDescent="0.45">
      <c r="A289" t="s">
        <v>5404</v>
      </c>
      <c r="B289" t="s">
        <v>5405</v>
      </c>
      <c r="C289" t="s">
        <v>5406</v>
      </c>
      <c r="D289" t="s">
        <v>4016</v>
      </c>
      <c r="E289" s="1">
        <v>46152.597939814812</v>
      </c>
      <c r="F289">
        <v>1547</v>
      </c>
      <c r="G289" t="s">
        <v>5407</v>
      </c>
      <c r="H289" t="s">
        <v>15</v>
      </c>
      <c r="I289" t="s">
        <v>4018</v>
      </c>
      <c r="J289" t="str">
        <f>RIGHT(D289,4)</f>
        <v>6573</v>
      </c>
      <c r="K289" t="str">
        <f>IFERROR(VLOOKUP(VALUE(J289),'Site Info'!$A:$G,3,FALSE),"")</f>
        <v>1170 WESTERN BLVD</v>
      </c>
      <c r="L289" t="str">
        <f>IFERROR(VLOOKUP(VALUE(J289),'Site Info'!$A:$G,4,FALSE),"")</f>
        <v>JACKSONVILLE</v>
      </c>
      <c r="M289" t="str">
        <f>IFERROR(VLOOKUP(VALUE(J289),'Site Info'!$A:$G,5,FALSE),"")</f>
        <v>NC</v>
      </c>
      <c r="N289" t="str">
        <f>IFERROR(VLOOKUP(VALUE(J289),'Site Info'!$A:$G,6,FALSE),"")</f>
        <v>28546-6651</v>
      </c>
      <c r="O289">
        <f>IFERROR(VLOOKUP(VALUE(J289),'Site Info'!$A:$G,7,FALSE),"")</f>
        <v>9103462148</v>
      </c>
    </row>
    <row r="290" spans="1:15" x14ac:dyDescent="0.45">
      <c r="A290" t="s">
        <v>5074</v>
      </c>
      <c r="B290" t="s">
        <v>5075</v>
      </c>
      <c r="C290" t="s">
        <v>5076</v>
      </c>
      <c r="D290" t="s">
        <v>4016</v>
      </c>
      <c r="E290" s="1">
        <v>46153.294976851852</v>
      </c>
      <c r="F290">
        <v>1547</v>
      </c>
      <c r="G290" t="s">
        <v>5077</v>
      </c>
      <c r="H290" t="s">
        <v>15</v>
      </c>
      <c r="I290" t="s">
        <v>4018</v>
      </c>
      <c r="J290" t="str">
        <f>RIGHT(D290,4)</f>
        <v>6573</v>
      </c>
      <c r="K290" t="str">
        <f>IFERROR(VLOOKUP(VALUE(J290),'Site Info'!$A:$G,3,FALSE),"")</f>
        <v>1170 WESTERN BLVD</v>
      </c>
      <c r="L290" t="str">
        <f>IFERROR(VLOOKUP(VALUE(J290),'Site Info'!$A:$G,4,FALSE),"")</f>
        <v>JACKSONVILLE</v>
      </c>
      <c r="M290" t="str">
        <f>IFERROR(VLOOKUP(VALUE(J290),'Site Info'!$A:$G,5,FALSE),"")</f>
        <v>NC</v>
      </c>
      <c r="N290" t="str">
        <f>IFERROR(VLOOKUP(VALUE(J290),'Site Info'!$A:$G,6,FALSE),"")</f>
        <v>28546-6651</v>
      </c>
      <c r="O290">
        <f>IFERROR(VLOOKUP(VALUE(J290),'Site Info'!$A:$G,7,FALSE),"")</f>
        <v>9103462148</v>
      </c>
    </row>
    <row r="291" spans="1:15" x14ac:dyDescent="0.45">
      <c r="A291" t="s">
        <v>4013</v>
      </c>
      <c r="B291" t="s">
        <v>4014</v>
      </c>
      <c r="C291" t="s">
        <v>4015</v>
      </c>
      <c r="D291" t="s">
        <v>4016</v>
      </c>
      <c r="E291" s="1">
        <v>46153.370162037034</v>
      </c>
      <c r="F291">
        <v>1481</v>
      </c>
      <c r="G291" t="s">
        <v>4017</v>
      </c>
      <c r="H291" t="s">
        <v>15</v>
      </c>
      <c r="I291" t="s">
        <v>4018</v>
      </c>
      <c r="J291" t="str">
        <f>RIGHT(D291,4)</f>
        <v>6573</v>
      </c>
      <c r="K291" t="str">
        <f>IFERROR(VLOOKUP(VALUE(J291),'Site Info'!$A:$G,3,FALSE),"")</f>
        <v>1170 WESTERN BLVD</v>
      </c>
      <c r="L291" t="str">
        <f>IFERROR(VLOOKUP(VALUE(J291),'Site Info'!$A:$G,4,FALSE),"")</f>
        <v>JACKSONVILLE</v>
      </c>
      <c r="M291" t="str">
        <f>IFERROR(VLOOKUP(VALUE(J291),'Site Info'!$A:$G,5,FALSE),"")</f>
        <v>NC</v>
      </c>
      <c r="N291" t="str">
        <f>IFERROR(VLOOKUP(VALUE(J291),'Site Info'!$A:$G,6,FALSE),"")</f>
        <v>28546-6651</v>
      </c>
      <c r="O291">
        <f>IFERROR(VLOOKUP(VALUE(J291),'Site Info'!$A:$G,7,FALSE),"")</f>
        <v>9103462148</v>
      </c>
    </row>
    <row r="292" spans="1:15" x14ac:dyDescent="0.45">
      <c r="A292" t="s">
        <v>6388</v>
      </c>
      <c r="B292" t="s">
        <v>6389</v>
      </c>
      <c r="C292" t="s">
        <v>6390</v>
      </c>
      <c r="D292" t="s">
        <v>212</v>
      </c>
      <c r="E292" s="1">
        <v>46153.306064814817</v>
      </c>
      <c r="F292">
        <v>1547</v>
      </c>
      <c r="G292" t="s">
        <v>6391</v>
      </c>
      <c r="H292" t="s">
        <v>15</v>
      </c>
      <c r="I292" t="s">
        <v>213</v>
      </c>
      <c r="J292" t="str">
        <f>RIGHT(D292,4)</f>
        <v>7191</v>
      </c>
      <c r="K292" t="str">
        <f>IFERROR(VLOOKUP(VALUE(J292),'Site Info'!$A:$G,3,FALSE),"")</f>
        <v>11700 MIRAMAR PARKWAY</v>
      </c>
      <c r="L292" t="str">
        <f>IFERROR(VLOOKUP(VALUE(J292),'Site Info'!$A:$G,4,FALSE),"")</f>
        <v>MIRAMAR</v>
      </c>
      <c r="M292" t="str">
        <f>IFERROR(VLOOKUP(VALUE(J292),'Site Info'!$A:$G,5,FALSE),"")</f>
        <v>FL</v>
      </c>
      <c r="N292" t="str">
        <f>IFERROR(VLOOKUP(VALUE(J292),'Site Info'!$A:$G,6,FALSE),"")</f>
        <v>33025-0000</v>
      </c>
      <c r="O292">
        <f>IFERROR(VLOOKUP(VALUE(J292),'Site Info'!$A:$G,7,FALSE),"")</f>
        <v>7542606077</v>
      </c>
    </row>
    <row r="293" spans="1:15" x14ac:dyDescent="0.45">
      <c r="A293" t="s">
        <v>3027</v>
      </c>
      <c r="B293" t="s">
        <v>3028</v>
      </c>
      <c r="C293" t="s">
        <v>3029</v>
      </c>
      <c r="D293" t="s">
        <v>212</v>
      </c>
      <c r="E293" s="1">
        <v>46153.288032407407</v>
      </c>
      <c r="F293">
        <v>1481</v>
      </c>
      <c r="G293" t="s">
        <v>3030</v>
      </c>
      <c r="H293" t="s">
        <v>15</v>
      </c>
      <c r="I293" t="s">
        <v>213</v>
      </c>
      <c r="J293" t="str">
        <f>RIGHT(D293,4)</f>
        <v>7191</v>
      </c>
      <c r="K293" t="str">
        <f>IFERROR(VLOOKUP(VALUE(J293),'Site Info'!$A:$G,3,FALSE),"")</f>
        <v>11700 MIRAMAR PARKWAY</v>
      </c>
      <c r="L293" t="str">
        <f>IFERROR(VLOOKUP(VALUE(J293),'Site Info'!$A:$G,4,FALSE),"")</f>
        <v>MIRAMAR</v>
      </c>
      <c r="M293" t="str">
        <f>IFERROR(VLOOKUP(VALUE(J293),'Site Info'!$A:$G,5,FALSE),"")</f>
        <v>FL</v>
      </c>
      <c r="N293" t="str">
        <f>IFERROR(VLOOKUP(VALUE(J293),'Site Info'!$A:$G,6,FALSE),"")</f>
        <v>33025-0000</v>
      </c>
      <c r="O293">
        <f>IFERROR(VLOOKUP(VALUE(J293),'Site Info'!$A:$G,7,FALSE),"")</f>
        <v>7542606077</v>
      </c>
    </row>
    <row r="294" spans="1:15" x14ac:dyDescent="0.45">
      <c r="A294" t="s">
        <v>504</v>
      </c>
      <c r="B294" t="s">
        <v>505</v>
      </c>
      <c r="C294" t="s">
        <v>506</v>
      </c>
      <c r="D294" t="s">
        <v>212</v>
      </c>
      <c r="E294" s="1">
        <v>46153.338958333334</v>
      </c>
      <c r="F294">
        <v>1481</v>
      </c>
      <c r="G294" t="s">
        <v>507</v>
      </c>
      <c r="H294" t="s">
        <v>15</v>
      </c>
      <c r="I294" t="s">
        <v>213</v>
      </c>
      <c r="J294" t="str">
        <f>RIGHT(D294,4)</f>
        <v>7191</v>
      </c>
      <c r="K294" t="str">
        <f>IFERROR(VLOOKUP(VALUE(J294),'Site Info'!$A:$G,3,FALSE),"")</f>
        <v>11700 MIRAMAR PARKWAY</v>
      </c>
      <c r="L294" t="str">
        <f>IFERROR(VLOOKUP(VALUE(J294),'Site Info'!$A:$G,4,FALSE),"")</f>
        <v>MIRAMAR</v>
      </c>
      <c r="M294" t="str">
        <f>IFERROR(VLOOKUP(VALUE(J294),'Site Info'!$A:$G,5,FALSE),"")</f>
        <v>FL</v>
      </c>
      <c r="N294" t="str">
        <f>IFERROR(VLOOKUP(VALUE(J294),'Site Info'!$A:$G,6,FALSE),"")</f>
        <v>33025-0000</v>
      </c>
      <c r="O294">
        <f>IFERROR(VLOOKUP(VALUE(J294),'Site Info'!$A:$G,7,FALSE),"")</f>
        <v>7542606077</v>
      </c>
    </row>
    <row r="295" spans="1:15" x14ac:dyDescent="0.45">
      <c r="A295" t="s">
        <v>12738</v>
      </c>
      <c r="B295" t="s">
        <v>12739</v>
      </c>
      <c r="C295" t="s">
        <v>12740</v>
      </c>
      <c r="D295" t="s">
        <v>1009</v>
      </c>
      <c r="E295" s="1">
        <v>46151.510138888887</v>
      </c>
      <c r="F295">
        <v>1547</v>
      </c>
      <c r="G295" t="s">
        <v>12741</v>
      </c>
      <c r="H295" t="s">
        <v>15</v>
      </c>
      <c r="I295" t="s">
        <v>1011</v>
      </c>
      <c r="J295" t="str">
        <f>RIGHT(D295,4)</f>
        <v>4930</v>
      </c>
      <c r="K295" t="str">
        <f>IFERROR(VLOOKUP(VALUE(J295),'Site Info'!$A:$G,3,FALSE),"")</f>
        <v>1177 SAMS ST</v>
      </c>
      <c r="L295" t="str">
        <f>IFERROR(VLOOKUP(VALUE(J295),'Site Info'!$A:$G,4,FALSE),"")</f>
        <v>COOKEVILLE</v>
      </c>
      <c r="M295" t="str">
        <f>IFERROR(VLOOKUP(VALUE(J295),'Site Info'!$A:$G,5,FALSE),"")</f>
        <v>TN</v>
      </c>
      <c r="N295" t="str">
        <f>IFERROR(VLOOKUP(VALUE(J295),'Site Info'!$A:$G,6,FALSE),"")</f>
        <v>38506-4007</v>
      </c>
      <c r="O295">
        <f>IFERROR(VLOOKUP(VALUE(J295),'Site Info'!$A:$G,7,FALSE),"")</f>
        <v>9315282070</v>
      </c>
    </row>
    <row r="296" spans="1:15" x14ac:dyDescent="0.45">
      <c r="A296" t="s">
        <v>10492</v>
      </c>
      <c r="B296" t="s">
        <v>10493</v>
      </c>
      <c r="C296" t="s">
        <v>10494</v>
      </c>
      <c r="D296" t="s">
        <v>1009</v>
      </c>
      <c r="E296" s="1">
        <v>46151.629965277774</v>
      </c>
      <c r="F296">
        <v>1547</v>
      </c>
      <c r="G296" t="s">
        <v>10495</v>
      </c>
      <c r="H296" t="s">
        <v>15</v>
      </c>
      <c r="I296" t="s">
        <v>1011</v>
      </c>
      <c r="J296" t="str">
        <f>RIGHT(D296,4)</f>
        <v>4930</v>
      </c>
      <c r="K296" t="str">
        <f>IFERROR(VLOOKUP(VALUE(J296),'Site Info'!$A:$G,3,FALSE),"")</f>
        <v>1177 SAMS ST</v>
      </c>
      <c r="L296" t="str">
        <f>IFERROR(VLOOKUP(VALUE(J296),'Site Info'!$A:$G,4,FALSE),"")</f>
        <v>COOKEVILLE</v>
      </c>
      <c r="M296" t="str">
        <f>IFERROR(VLOOKUP(VALUE(J296),'Site Info'!$A:$G,5,FALSE),"")</f>
        <v>TN</v>
      </c>
      <c r="N296" t="str">
        <f>IFERROR(VLOOKUP(VALUE(J296),'Site Info'!$A:$G,6,FALSE),"")</f>
        <v>38506-4007</v>
      </c>
      <c r="O296">
        <f>IFERROR(VLOOKUP(VALUE(J296),'Site Info'!$A:$G,7,FALSE),"")</f>
        <v>9315282070</v>
      </c>
    </row>
    <row r="297" spans="1:15" x14ac:dyDescent="0.45">
      <c r="A297" t="s">
        <v>13171</v>
      </c>
      <c r="B297" t="s">
        <v>13172</v>
      </c>
      <c r="C297" t="s">
        <v>13173</v>
      </c>
      <c r="D297" t="s">
        <v>1009</v>
      </c>
      <c r="E297" s="1">
        <v>46153.193692129629</v>
      </c>
      <c r="F297">
        <v>1547</v>
      </c>
      <c r="G297" t="s">
        <v>13174</v>
      </c>
      <c r="H297" t="s">
        <v>15</v>
      </c>
      <c r="I297" t="s">
        <v>1011</v>
      </c>
      <c r="J297" t="str">
        <f>RIGHT(D297,4)</f>
        <v>4930</v>
      </c>
      <c r="K297" t="str">
        <f>IFERROR(VLOOKUP(VALUE(J297),'Site Info'!$A:$G,3,FALSE),"")</f>
        <v>1177 SAMS ST</v>
      </c>
      <c r="L297" t="str">
        <f>IFERROR(VLOOKUP(VALUE(J297),'Site Info'!$A:$G,4,FALSE),"")</f>
        <v>COOKEVILLE</v>
      </c>
      <c r="M297" t="str">
        <f>IFERROR(VLOOKUP(VALUE(J297),'Site Info'!$A:$G,5,FALSE),"")</f>
        <v>TN</v>
      </c>
      <c r="N297" t="str">
        <f>IFERROR(VLOOKUP(VALUE(J297),'Site Info'!$A:$G,6,FALSE),"")</f>
        <v>38506-4007</v>
      </c>
      <c r="O297">
        <f>IFERROR(VLOOKUP(VALUE(J297),'Site Info'!$A:$G,7,FALSE),"")</f>
        <v>9315282070</v>
      </c>
    </row>
    <row r="298" spans="1:15" x14ac:dyDescent="0.45">
      <c r="A298" t="s">
        <v>1006</v>
      </c>
      <c r="B298" t="s">
        <v>1007</v>
      </c>
      <c r="C298" t="s">
        <v>1008</v>
      </c>
      <c r="D298" t="s">
        <v>1009</v>
      </c>
      <c r="E298" s="1">
        <v>46153.349814814814</v>
      </c>
      <c r="F298">
        <v>1481</v>
      </c>
      <c r="G298" t="s">
        <v>1010</v>
      </c>
      <c r="H298" t="s">
        <v>15</v>
      </c>
      <c r="I298" t="s">
        <v>1011</v>
      </c>
      <c r="J298" t="str">
        <f>RIGHT(D298,4)</f>
        <v>4930</v>
      </c>
      <c r="K298" t="str">
        <f>IFERROR(VLOOKUP(VALUE(J298),'Site Info'!$A:$G,3,FALSE),"")</f>
        <v>1177 SAMS ST</v>
      </c>
      <c r="L298" t="str">
        <f>IFERROR(VLOOKUP(VALUE(J298),'Site Info'!$A:$G,4,FALSE),"")</f>
        <v>COOKEVILLE</v>
      </c>
      <c r="M298" t="str">
        <f>IFERROR(VLOOKUP(VALUE(J298),'Site Info'!$A:$G,5,FALSE),"")</f>
        <v>TN</v>
      </c>
      <c r="N298" t="str">
        <f>IFERROR(VLOOKUP(VALUE(J298),'Site Info'!$A:$G,6,FALSE),"")</f>
        <v>38506-4007</v>
      </c>
      <c r="O298">
        <f>IFERROR(VLOOKUP(VALUE(J298),'Site Info'!$A:$G,7,FALSE),"")</f>
        <v>9315282070</v>
      </c>
    </row>
    <row r="299" spans="1:15" x14ac:dyDescent="0.45">
      <c r="A299" t="s">
        <v>2829</v>
      </c>
      <c r="B299" t="s">
        <v>2830</v>
      </c>
      <c r="C299" t="s">
        <v>2831</v>
      </c>
      <c r="D299" t="s">
        <v>1009</v>
      </c>
      <c r="E299" s="1">
        <v>46153.367037037038</v>
      </c>
      <c r="F299">
        <v>1481</v>
      </c>
      <c r="G299" t="s">
        <v>2832</v>
      </c>
      <c r="H299" t="s">
        <v>15</v>
      </c>
      <c r="I299" t="s">
        <v>1011</v>
      </c>
      <c r="J299" t="str">
        <f>RIGHT(D299,4)</f>
        <v>4930</v>
      </c>
      <c r="K299" t="str">
        <f>IFERROR(VLOOKUP(VALUE(J299),'Site Info'!$A:$G,3,FALSE),"")</f>
        <v>1177 SAMS ST</v>
      </c>
      <c r="L299" t="str">
        <f>IFERROR(VLOOKUP(VALUE(J299),'Site Info'!$A:$G,4,FALSE),"")</f>
        <v>COOKEVILLE</v>
      </c>
      <c r="M299" t="str">
        <f>IFERROR(VLOOKUP(VALUE(J299),'Site Info'!$A:$G,5,FALSE),"")</f>
        <v>TN</v>
      </c>
      <c r="N299" t="str">
        <f>IFERROR(VLOOKUP(VALUE(J299),'Site Info'!$A:$G,6,FALSE),"")</f>
        <v>38506-4007</v>
      </c>
      <c r="O299">
        <f>IFERROR(VLOOKUP(VALUE(J299),'Site Info'!$A:$G,7,FALSE),"")</f>
        <v>9315282070</v>
      </c>
    </row>
    <row r="300" spans="1:15" x14ac:dyDescent="0.45">
      <c r="A300" t="s">
        <v>8591</v>
      </c>
      <c r="B300" t="s">
        <v>8592</v>
      </c>
      <c r="C300" t="s">
        <v>8593</v>
      </c>
      <c r="D300" t="s">
        <v>6892</v>
      </c>
      <c r="E300" s="1">
        <v>46151.408888888887</v>
      </c>
      <c r="F300">
        <v>1547</v>
      </c>
      <c r="G300" t="s">
        <v>8594</v>
      </c>
      <c r="H300" t="s">
        <v>15</v>
      </c>
      <c r="I300" t="s">
        <v>6894</v>
      </c>
      <c r="J300" t="str">
        <f>RIGHT(D300,4)</f>
        <v>4750</v>
      </c>
      <c r="K300" t="str">
        <f>IFERROR(VLOOKUP(VALUE(J300),'Site Info'!$A:$G,3,FALSE),"")</f>
        <v>1189 BUCHHOLZER BLVD</v>
      </c>
      <c r="L300" t="str">
        <f>IFERROR(VLOOKUP(VALUE(J300),'Site Info'!$A:$G,4,FALSE),"")</f>
        <v>CUYAHOGA FALLS</v>
      </c>
      <c r="M300" t="str">
        <f>IFERROR(VLOOKUP(VALUE(J300),'Site Info'!$A:$G,5,FALSE),"")</f>
        <v>OH</v>
      </c>
      <c r="N300" t="str">
        <f>IFERROR(VLOOKUP(VALUE(J300),'Site Info'!$A:$G,6,FALSE),"")</f>
        <v>44221-5145</v>
      </c>
      <c r="O300">
        <f>IFERROR(VLOOKUP(VALUE(J300),'Site Info'!$A:$G,7,FALSE),"")</f>
        <v>3309293789</v>
      </c>
    </row>
    <row r="301" spans="1:15" x14ac:dyDescent="0.45">
      <c r="A301" t="s">
        <v>6889</v>
      </c>
      <c r="B301" t="s">
        <v>6890</v>
      </c>
      <c r="C301" t="s">
        <v>6891</v>
      </c>
      <c r="D301" t="s">
        <v>6892</v>
      </c>
      <c r="E301" s="1">
        <v>46152.62228009259</v>
      </c>
      <c r="F301">
        <v>1547</v>
      </c>
      <c r="G301" t="s">
        <v>6893</v>
      </c>
      <c r="H301" t="s">
        <v>15</v>
      </c>
      <c r="I301" t="s">
        <v>6894</v>
      </c>
      <c r="J301" t="str">
        <f>RIGHT(D301,4)</f>
        <v>4750</v>
      </c>
      <c r="K301" t="str">
        <f>IFERROR(VLOOKUP(VALUE(J301),'Site Info'!$A:$G,3,FALSE),"")</f>
        <v>1189 BUCHHOLZER BLVD</v>
      </c>
      <c r="L301" t="str">
        <f>IFERROR(VLOOKUP(VALUE(J301),'Site Info'!$A:$G,4,FALSE),"")</f>
        <v>CUYAHOGA FALLS</v>
      </c>
      <c r="M301" t="str">
        <f>IFERROR(VLOOKUP(VALUE(J301),'Site Info'!$A:$G,5,FALSE),"")</f>
        <v>OH</v>
      </c>
      <c r="N301" t="str">
        <f>IFERROR(VLOOKUP(VALUE(J301),'Site Info'!$A:$G,6,FALSE),"")</f>
        <v>44221-5145</v>
      </c>
      <c r="O301">
        <f>IFERROR(VLOOKUP(VALUE(J301),'Site Info'!$A:$G,7,FALSE),"")</f>
        <v>3309293789</v>
      </c>
    </row>
    <row r="302" spans="1:15" x14ac:dyDescent="0.45">
      <c r="A302" t="s">
        <v>8561</v>
      </c>
      <c r="B302" t="s">
        <v>8562</v>
      </c>
      <c r="C302" t="s">
        <v>8563</v>
      </c>
      <c r="D302" t="s">
        <v>6892</v>
      </c>
      <c r="E302" s="1">
        <v>46153.354085648149</v>
      </c>
      <c r="F302">
        <v>1547</v>
      </c>
      <c r="G302" t="s">
        <v>8564</v>
      </c>
      <c r="H302" t="s">
        <v>15</v>
      </c>
      <c r="I302" t="s">
        <v>6894</v>
      </c>
      <c r="J302" t="str">
        <f>RIGHT(D302,4)</f>
        <v>4750</v>
      </c>
      <c r="K302" t="str">
        <f>IFERROR(VLOOKUP(VALUE(J302),'Site Info'!$A:$G,3,FALSE),"")</f>
        <v>1189 BUCHHOLZER BLVD</v>
      </c>
      <c r="L302" t="str">
        <f>IFERROR(VLOOKUP(VALUE(J302),'Site Info'!$A:$G,4,FALSE),"")</f>
        <v>CUYAHOGA FALLS</v>
      </c>
      <c r="M302" t="str">
        <f>IFERROR(VLOOKUP(VALUE(J302),'Site Info'!$A:$G,5,FALSE),"")</f>
        <v>OH</v>
      </c>
      <c r="N302" t="str">
        <f>IFERROR(VLOOKUP(VALUE(J302),'Site Info'!$A:$G,6,FALSE),"")</f>
        <v>44221-5145</v>
      </c>
      <c r="O302">
        <f>IFERROR(VLOOKUP(VALUE(J302),'Site Info'!$A:$G,7,FALSE),"")</f>
        <v>3309293789</v>
      </c>
    </row>
    <row r="303" spans="1:15" x14ac:dyDescent="0.45">
      <c r="A303" t="s">
        <v>13583</v>
      </c>
      <c r="B303" t="s">
        <v>13584</v>
      </c>
      <c r="C303" t="s">
        <v>13585</v>
      </c>
      <c r="D303" t="s">
        <v>6892</v>
      </c>
      <c r="E303" s="1">
        <v>46153.361284722225</v>
      </c>
      <c r="F303">
        <v>1547</v>
      </c>
      <c r="G303" t="s">
        <v>13586</v>
      </c>
      <c r="H303" t="s">
        <v>15</v>
      </c>
      <c r="I303" t="s">
        <v>6894</v>
      </c>
      <c r="J303" t="str">
        <f>RIGHT(D303,4)</f>
        <v>4750</v>
      </c>
      <c r="K303" t="str">
        <f>IFERROR(VLOOKUP(VALUE(J303),'Site Info'!$A:$G,3,FALSE),"")</f>
        <v>1189 BUCHHOLZER BLVD</v>
      </c>
      <c r="L303" t="str">
        <f>IFERROR(VLOOKUP(VALUE(J303),'Site Info'!$A:$G,4,FALSE),"")</f>
        <v>CUYAHOGA FALLS</v>
      </c>
      <c r="M303" t="str">
        <f>IFERROR(VLOOKUP(VALUE(J303),'Site Info'!$A:$G,5,FALSE),"")</f>
        <v>OH</v>
      </c>
      <c r="N303" t="str">
        <f>IFERROR(VLOOKUP(VALUE(J303),'Site Info'!$A:$G,6,FALSE),"")</f>
        <v>44221-5145</v>
      </c>
      <c r="O303">
        <f>IFERROR(VLOOKUP(VALUE(J303),'Site Info'!$A:$G,7,FALSE),"")</f>
        <v>3309293789</v>
      </c>
    </row>
    <row r="304" spans="1:15" x14ac:dyDescent="0.45">
      <c r="A304" t="s">
        <v>9435</v>
      </c>
      <c r="B304" t="s">
        <v>9436</v>
      </c>
      <c r="C304" t="s">
        <v>9437</v>
      </c>
      <c r="D304" t="s">
        <v>543</v>
      </c>
      <c r="E304" s="1">
        <v>46149.599328703705</v>
      </c>
      <c r="F304">
        <v>1548</v>
      </c>
      <c r="G304" t="s">
        <v>9438</v>
      </c>
      <c r="H304" t="s">
        <v>15</v>
      </c>
      <c r="I304" t="s">
        <v>545</v>
      </c>
      <c r="J304" t="str">
        <f>RIGHT(D304,4)</f>
        <v>4828</v>
      </c>
      <c r="K304" t="str">
        <f>IFERROR(VLOOKUP(VALUE(J304),'Site Info'!$A:$G,3,FALSE),"")</f>
        <v>11920 NARCOOSSEE RD</v>
      </c>
      <c r="L304" t="str">
        <f>IFERROR(VLOOKUP(VALUE(J304),'Site Info'!$A:$G,4,FALSE),"")</f>
        <v>ORLANDO</v>
      </c>
      <c r="M304" t="str">
        <f>IFERROR(VLOOKUP(VALUE(J304),'Site Info'!$A:$G,5,FALSE),"")</f>
        <v>FL</v>
      </c>
      <c r="N304" t="str">
        <f>IFERROR(VLOOKUP(VALUE(J304),'Site Info'!$A:$G,6,FALSE),"")</f>
        <v>32832-0000</v>
      </c>
      <c r="O304">
        <f>IFERROR(VLOOKUP(VALUE(J304),'Site Info'!$A:$G,7,FALSE),"")</f>
        <v>4072048629</v>
      </c>
    </row>
    <row r="305" spans="1:15" x14ac:dyDescent="0.45">
      <c r="A305" t="s">
        <v>9269</v>
      </c>
      <c r="B305" t="s">
        <v>9270</v>
      </c>
      <c r="C305" t="s">
        <v>9271</v>
      </c>
      <c r="D305" t="s">
        <v>543</v>
      </c>
      <c r="E305" s="1">
        <v>46150.516493055555</v>
      </c>
      <c r="F305">
        <v>1547</v>
      </c>
      <c r="G305" t="s">
        <v>9272</v>
      </c>
      <c r="H305" t="s">
        <v>15</v>
      </c>
      <c r="I305" t="s">
        <v>545</v>
      </c>
      <c r="J305" t="str">
        <f>RIGHT(D305,4)</f>
        <v>4828</v>
      </c>
      <c r="K305" t="str">
        <f>IFERROR(VLOOKUP(VALUE(J305),'Site Info'!$A:$G,3,FALSE),"")</f>
        <v>11920 NARCOOSSEE RD</v>
      </c>
      <c r="L305" t="str">
        <f>IFERROR(VLOOKUP(VALUE(J305),'Site Info'!$A:$G,4,FALSE),"")</f>
        <v>ORLANDO</v>
      </c>
      <c r="M305" t="str">
        <f>IFERROR(VLOOKUP(VALUE(J305),'Site Info'!$A:$G,5,FALSE),"")</f>
        <v>FL</v>
      </c>
      <c r="N305" t="str">
        <f>IFERROR(VLOOKUP(VALUE(J305),'Site Info'!$A:$G,6,FALSE),"")</f>
        <v>32832-0000</v>
      </c>
      <c r="O305">
        <f>IFERROR(VLOOKUP(VALUE(J305),'Site Info'!$A:$G,7,FALSE),"")</f>
        <v>4072048629</v>
      </c>
    </row>
    <row r="306" spans="1:15" x14ac:dyDescent="0.45">
      <c r="A306" t="s">
        <v>9391</v>
      </c>
      <c r="B306" t="s">
        <v>9392</v>
      </c>
      <c r="C306" t="s">
        <v>9393</v>
      </c>
      <c r="D306" t="s">
        <v>543</v>
      </c>
      <c r="E306" s="1">
        <v>46152.373877314814</v>
      </c>
      <c r="F306">
        <v>1547</v>
      </c>
      <c r="G306" t="s">
        <v>9394</v>
      </c>
      <c r="H306" t="s">
        <v>15</v>
      </c>
      <c r="I306" t="s">
        <v>545</v>
      </c>
      <c r="J306" t="str">
        <f>RIGHT(D306,4)</f>
        <v>4828</v>
      </c>
      <c r="K306" t="str">
        <f>IFERROR(VLOOKUP(VALUE(J306),'Site Info'!$A:$G,3,FALSE),"")</f>
        <v>11920 NARCOOSSEE RD</v>
      </c>
      <c r="L306" t="str">
        <f>IFERROR(VLOOKUP(VALUE(J306),'Site Info'!$A:$G,4,FALSE),"")</f>
        <v>ORLANDO</v>
      </c>
      <c r="M306" t="str">
        <f>IFERROR(VLOOKUP(VALUE(J306),'Site Info'!$A:$G,5,FALSE),"")</f>
        <v>FL</v>
      </c>
      <c r="N306" t="str">
        <f>IFERROR(VLOOKUP(VALUE(J306),'Site Info'!$A:$G,6,FALSE),"")</f>
        <v>32832-0000</v>
      </c>
      <c r="O306">
        <f>IFERROR(VLOOKUP(VALUE(J306),'Site Info'!$A:$G,7,FALSE),"")</f>
        <v>4072048629</v>
      </c>
    </row>
    <row r="307" spans="1:15" x14ac:dyDescent="0.45">
      <c r="A307" t="s">
        <v>9313</v>
      </c>
      <c r="B307" t="s">
        <v>9314</v>
      </c>
      <c r="C307" t="s">
        <v>9315</v>
      </c>
      <c r="D307" t="s">
        <v>543</v>
      </c>
      <c r="E307" s="1">
        <v>46152.626620370371</v>
      </c>
      <c r="F307">
        <v>1547</v>
      </c>
      <c r="G307" t="s">
        <v>9316</v>
      </c>
      <c r="H307" t="s">
        <v>15</v>
      </c>
      <c r="I307" t="s">
        <v>545</v>
      </c>
      <c r="J307" t="str">
        <f>RIGHT(D307,4)</f>
        <v>4828</v>
      </c>
      <c r="K307" t="str">
        <f>IFERROR(VLOOKUP(VALUE(J307),'Site Info'!$A:$G,3,FALSE),"")</f>
        <v>11920 NARCOOSSEE RD</v>
      </c>
      <c r="L307" t="str">
        <f>IFERROR(VLOOKUP(VALUE(J307),'Site Info'!$A:$G,4,FALSE),"")</f>
        <v>ORLANDO</v>
      </c>
      <c r="M307" t="str">
        <f>IFERROR(VLOOKUP(VALUE(J307),'Site Info'!$A:$G,5,FALSE),"")</f>
        <v>FL</v>
      </c>
      <c r="N307" t="str">
        <f>IFERROR(VLOOKUP(VALUE(J307),'Site Info'!$A:$G,6,FALSE),"")</f>
        <v>32832-0000</v>
      </c>
      <c r="O307">
        <f>IFERROR(VLOOKUP(VALUE(J307),'Site Info'!$A:$G,7,FALSE),"")</f>
        <v>4072048629</v>
      </c>
    </row>
    <row r="308" spans="1:15" x14ac:dyDescent="0.45">
      <c r="A308" t="s">
        <v>9293</v>
      </c>
      <c r="B308" t="s">
        <v>9294</v>
      </c>
      <c r="C308" t="s">
        <v>9295</v>
      </c>
      <c r="D308" t="s">
        <v>543</v>
      </c>
      <c r="E308" s="1">
        <v>46153.33252314815</v>
      </c>
      <c r="F308">
        <v>1547</v>
      </c>
      <c r="G308" t="s">
        <v>9296</v>
      </c>
      <c r="H308" t="s">
        <v>15</v>
      </c>
      <c r="I308" t="s">
        <v>545</v>
      </c>
      <c r="J308" t="str">
        <f>RIGHT(D308,4)</f>
        <v>4828</v>
      </c>
      <c r="K308" t="str">
        <f>IFERROR(VLOOKUP(VALUE(J308),'Site Info'!$A:$G,3,FALSE),"")</f>
        <v>11920 NARCOOSSEE RD</v>
      </c>
      <c r="L308" t="str">
        <f>IFERROR(VLOOKUP(VALUE(J308),'Site Info'!$A:$G,4,FALSE),"")</f>
        <v>ORLANDO</v>
      </c>
      <c r="M308" t="str">
        <f>IFERROR(VLOOKUP(VALUE(J308),'Site Info'!$A:$G,5,FALSE),"")</f>
        <v>FL</v>
      </c>
      <c r="N308" t="str">
        <f>IFERROR(VLOOKUP(VALUE(J308),'Site Info'!$A:$G,6,FALSE),"")</f>
        <v>32832-0000</v>
      </c>
      <c r="O308">
        <f>IFERROR(VLOOKUP(VALUE(J308),'Site Info'!$A:$G,7,FALSE),"")</f>
        <v>4072048629</v>
      </c>
    </row>
    <row r="309" spans="1:15" x14ac:dyDescent="0.45">
      <c r="A309" t="s">
        <v>9303</v>
      </c>
      <c r="B309" t="s">
        <v>9304</v>
      </c>
      <c r="C309" t="s">
        <v>9305</v>
      </c>
      <c r="D309" t="s">
        <v>543</v>
      </c>
      <c r="E309" s="1">
        <v>46153.354618055557</v>
      </c>
      <c r="F309">
        <v>1547</v>
      </c>
      <c r="G309" t="s">
        <v>9306</v>
      </c>
      <c r="H309" t="s">
        <v>15</v>
      </c>
      <c r="I309" t="s">
        <v>545</v>
      </c>
      <c r="J309" t="str">
        <f>RIGHT(D309,4)</f>
        <v>4828</v>
      </c>
      <c r="K309" t="str">
        <f>IFERROR(VLOOKUP(VALUE(J309),'Site Info'!$A:$G,3,FALSE),"")</f>
        <v>11920 NARCOOSSEE RD</v>
      </c>
      <c r="L309" t="str">
        <f>IFERROR(VLOOKUP(VALUE(J309),'Site Info'!$A:$G,4,FALSE),"")</f>
        <v>ORLANDO</v>
      </c>
      <c r="M309" t="str">
        <f>IFERROR(VLOOKUP(VALUE(J309),'Site Info'!$A:$G,5,FALSE),"")</f>
        <v>FL</v>
      </c>
      <c r="N309" t="str">
        <f>IFERROR(VLOOKUP(VALUE(J309),'Site Info'!$A:$G,6,FALSE),"")</f>
        <v>32832-0000</v>
      </c>
      <c r="O309">
        <f>IFERROR(VLOOKUP(VALUE(J309),'Site Info'!$A:$G,7,FALSE),"")</f>
        <v>4072048629</v>
      </c>
    </row>
    <row r="310" spans="1:15" x14ac:dyDescent="0.45">
      <c r="A310" t="s">
        <v>9343</v>
      </c>
      <c r="B310" t="s">
        <v>9344</v>
      </c>
      <c r="C310" t="s">
        <v>9345</v>
      </c>
      <c r="D310" t="s">
        <v>543</v>
      </c>
      <c r="E310" s="1">
        <v>46153.370752314811</v>
      </c>
      <c r="F310">
        <v>1547</v>
      </c>
      <c r="G310" t="s">
        <v>9346</v>
      </c>
      <c r="H310" t="s">
        <v>15</v>
      </c>
      <c r="I310" t="s">
        <v>545</v>
      </c>
      <c r="J310" t="str">
        <f>RIGHT(D310,4)</f>
        <v>4828</v>
      </c>
      <c r="K310" t="str">
        <f>IFERROR(VLOOKUP(VALUE(J310),'Site Info'!$A:$G,3,FALSE),"")</f>
        <v>11920 NARCOOSSEE RD</v>
      </c>
      <c r="L310" t="str">
        <f>IFERROR(VLOOKUP(VALUE(J310),'Site Info'!$A:$G,4,FALSE),"")</f>
        <v>ORLANDO</v>
      </c>
      <c r="M310" t="str">
        <f>IFERROR(VLOOKUP(VALUE(J310),'Site Info'!$A:$G,5,FALSE),"")</f>
        <v>FL</v>
      </c>
      <c r="N310" t="str">
        <f>IFERROR(VLOOKUP(VALUE(J310),'Site Info'!$A:$G,6,FALSE),"")</f>
        <v>32832-0000</v>
      </c>
      <c r="O310">
        <f>IFERROR(VLOOKUP(VALUE(J310),'Site Info'!$A:$G,7,FALSE),"")</f>
        <v>4072048629</v>
      </c>
    </row>
    <row r="311" spans="1:15" x14ac:dyDescent="0.45">
      <c r="A311" t="s">
        <v>854</v>
      </c>
      <c r="B311" t="s">
        <v>855</v>
      </c>
      <c r="C311" t="s">
        <v>856</v>
      </c>
      <c r="D311" t="s">
        <v>543</v>
      </c>
      <c r="E311" s="1">
        <v>46152.532870370371</v>
      </c>
      <c r="F311">
        <v>1481</v>
      </c>
      <c r="G311" t="s">
        <v>857</v>
      </c>
      <c r="H311" t="s">
        <v>15</v>
      </c>
      <c r="I311" t="s">
        <v>545</v>
      </c>
      <c r="J311" t="str">
        <f>RIGHT(D311,4)</f>
        <v>4828</v>
      </c>
      <c r="K311" t="str">
        <f>IFERROR(VLOOKUP(VALUE(J311),'Site Info'!$A:$G,3,FALSE),"")</f>
        <v>11920 NARCOOSSEE RD</v>
      </c>
      <c r="L311" t="str">
        <f>IFERROR(VLOOKUP(VALUE(J311),'Site Info'!$A:$G,4,FALSE),"")</f>
        <v>ORLANDO</v>
      </c>
      <c r="M311" t="str">
        <f>IFERROR(VLOOKUP(VALUE(J311),'Site Info'!$A:$G,5,FALSE),"")</f>
        <v>FL</v>
      </c>
      <c r="N311" t="str">
        <f>IFERROR(VLOOKUP(VALUE(J311),'Site Info'!$A:$G,6,FALSE),"")</f>
        <v>32832-0000</v>
      </c>
      <c r="O311">
        <f>IFERROR(VLOOKUP(VALUE(J311),'Site Info'!$A:$G,7,FALSE),"")</f>
        <v>4072048629</v>
      </c>
    </row>
    <row r="312" spans="1:15" x14ac:dyDescent="0.45">
      <c r="A312" t="s">
        <v>540</v>
      </c>
      <c r="B312" t="s">
        <v>541</v>
      </c>
      <c r="C312" t="s">
        <v>542</v>
      </c>
      <c r="D312" t="s">
        <v>543</v>
      </c>
      <c r="E312" s="1">
        <v>46153.172268518516</v>
      </c>
      <c r="F312">
        <v>1481</v>
      </c>
      <c r="G312" t="s">
        <v>544</v>
      </c>
      <c r="H312" t="s">
        <v>15</v>
      </c>
      <c r="I312" t="s">
        <v>545</v>
      </c>
      <c r="J312" t="str">
        <f>RIGHT(D312,4)</f>
        <v>4828</v>
      </c>
      <c r="K312" t="str">
        <f>IFERROR(VLOOKUP(VALUE(J312),'Site Info'!$A:$G,3,FALSE),"")</f>
        <v>11920 NARCOOSSEE RD</v>
      </c>
      <c r="L312" t="str">
        <f>IFERROR(VLOOKUP(VALUE(J312),'Site Info'!$A:$G,4,FALSE),"")</f>
        <v>ORLANDO</v>
      </c>
      <c r="M312" t="str">
        <f>IFERROR(VLOOKUP(VALUE(J312),'Site Info'!$A:$G,5,FALSE),"")</f>
        <v>FL</v>
      </c>
      <c r="N312" t="str">
        <f>IFERROR(VLOOKUP(VALUE(J312),'Site Info'!$A:$G,6,FALSE),"")</f>
        <v>32832-0000</v>
      </c>
      <c r="O312">
        <f>IFERROR(VLOOKUP(VALUE(J312),'Site Info'!$A:$G,7,FALSE),"")</f>
        <v>4072048629</v>
      </c>
    </row>
    <row r="313" spans="1:15" x14ac:dyDescent="0.45">
      <c r="A313" t="s">
        <v>1802</v>
      </c>
      <c r="B313" t="s">
        <v>1803</v>
      </c>
      <c r="C313" t="s">
        <v>1804</v>
      </c>
      <c r="D313" t="s">
        <v>543</v>
      </c>
      <c r="E313" s="1">
        <v>46153.220219907409</v>
      </c>
      <c r="F313">
        <v>1481</v>
      </c>
      <c r="G313" t="s">
        <v>1805</v>
      </c>
      <c r="H313" t="s">
        <v>15</v>
      </c>
      <c r="I313" t="s">
        <v>545</v>
      </c>
      <c r="J313" t="str">
        <f>RIGHT(D313,4)</f>
        <v>4828</v>
      </c>
      <c r="K313" t="str">
        <f>IFERROR(VLOOKUP(VALUE(J313),'Site Info'!$A:$G,3,FALSE),"")</f>
        <v>11920 NARCOOSSEE RD</v>
      </c>
      <c r="L313" t="str">
        <f>IFERROR(VLOOKUP(VALUE(J313),'Site Info'!$A:$G,4,FALSE),"")</f>
        <v>ORLANDO</v>
      </c>
      <c r="M313" t="str">
        <f>IFERROR(VLOOKUP(VALUE(J313),'Site Info'!$A:$G,5,FALSE),"")</f>
        <v>FL</v>
      </c>
      <c r="N313" t="str">
        <f>IFERROR(VLOOKUP(VALUE(J313),'Site Info'!$A:$G,6,FALSE),"")</f>
        <v>32832-0000</v>
      </c>
      <c r="O313">
        <f>IFERROR(VLOOKUP(VALUE(J313),'Site Info'!$A:$G,7,FALSE),"")</f>
        <v>4072048629</v>
      </c>
    </row>
    <row r="314" spans="1:15" x14ac:dyDescent="0.45">
      <c r="A314" t="s">
        <v>1472</v>
      </c>
      <c r="B314" t="s">
        <v>1473</v>
      </c>
      <c r="C314" t="s">
        <v>1474</v>
      </c>
      <c r="D314" t="s">
        <v>543</v>
      </c>
      <c r="E314" s="1">
        <v>46153.345370370371</v>
      </c>
      <c r="F314">
        <v>1481</v>
      </c>
      <c r="G314" t="s">
        <v>1475</v>
      </c>
      <c r="H314" t="s">
        <v>15</v>
      </c>
      <c r="I314" t="s">
        <v>545</v>
      </c>
      <c r="J314" t="str">
        <f>RIGHT(D314,4)</f>
        <v>4828</v>
      </c>
      <c r="K314" t="str">
        <f>IFERROR(VLOOKUP(VALUE(J314),'Site Info'!$A:$G,3,FALSE),"")</f>
        <v>11920 NARCOOSSEE RD</v>
      </c>
      <c r="L314" t="str">
        <f>IFERROR(VLOOKUP(VALUE(J314),'Site Info'!$A:$G,4,FALSE),"")</f>
        <v>ORLANDO</v>
      </c>
      <c r="M314" t="str">
        <f>IFERROR(VLOOKUP(VALUE(J314),'Site Info'!$A:$G,5,FALSE),"")</f>
        <v>FL</v>
      </c>
      <c r="N314" t="str">
        <f>IFERROR(VLOOKUP(VALUE(J314),'Site Info'!$A:$G,6,FALSE),"")</f>
        <v>32832-0000</v>
      </c>
      <c r="O314">
        <f>IFERROR(VLOOKUP(VALUE(J314),'Site Info'!$A:$G,7,FALSE),"")</f>
        <v>4072048629</v>
      </c>
    </row>
    <row r="315" spans="1:15" x14ac:dyDescent="0.45">
      <c r="A315" t="s">
        <v>16481</v>
      </c>
      <c r="B315" t="s">
        <v>16482</v>
      </c>
      <c r="C315" t="s">
        <v>16483</v>
      </c>
      <c r="D315" t="s">
        <v>543</v>
      </c>
      <c r="E315" s="1">
        <v>46152.819756944446</v>
      </c>
      <c r="F315">
        <v>1481</v>
      </c>
      <c r="G315" t="s">
        <v>16484</v>
      </c>
      <c r="H315" t="s">
        <v>15</v>
      </c>
      <c r="I315" t="s">
        <v>545</v>
      </c>
      <c r="J315" t="str">
        <f>RIGHT(D315,4)</f>
        <v>4828</v>
      </c>
      <c r="K315" t="str">
        <f>IFERROR(VLOOKUP(VALUE(J315),'Site Info'!$A:$G,3,FALSE),"")</f>
        <v>11920 NARCOOSSEE RD</v>
      </c>
      <c r="L315" t="str">
        <f>IFERROR(VLOOKUP(VALUE(J315),'Site Info'!$A:$G,4,FALSE),"")</f>
        <v>ORLANDO</v>
      </c>
      <c r="M315" t="str">
        <f>IFERROR(VLOOKUP(VALUE(J315),'Site Info'!$A:$G,5,FALSE),"")</f>
        <v>FL</v>
      </c>
      <c r="N315" t="str">
        <f>IFERROR(VLOOKUP(VALUE(J315),'Site Info'!$A:$G,6,FALSE),"")</f>
        <v>32832-0000</v>
      </c>
      <c r="O315">
        <f>IFERROR(VLOOKUP(VALUE(J315),'Site Info'!$A:$G,7,FALSE),"")</f>
        <v>4072048629</v>
      </c>
    </row>
    <row r="316" spans="1:15" x14ac:dyDescent="0.45">
      <c r="A316" t="s">
        <v>6262</v>
      </c>
      <c r="B316" t="s">
        <v>6263</v>
      </c>
      <c r="C316" t="s">
        <v>6264</v>
      </c>
      <c r="D316" t="s">
        <v>997</v>
      </c>
      <c r="E316" s="1">
        <v>46150.881921296299</v>
      </c>
      <c r="F316">
        <v>1547</v>
      </c>
      <c r="G316" t="s">
        <v>6265</v>
      </c>
      <c r="H316" t="s">
        <v>15</v>
      </c>
      <c r="I316" t="s">
        <v>999</v>
      </c>
      <c r="J316" t="str">
        <f>RIGHT(D316,4)</f>
        <v>6315</v>
      </c>
      <c r="K316" t="str">
        <f>IFERROR(VLOOKUP(VALUE(J316),'Site Info'!$A:$G,3,FALSE),"")</f>
        <v>120 INDIAN RIDGE BLVD</v>
      </c>
      <c r="L316" t="str">
        <f>IFERROR(VLOOKUP(VALUE(J316),'Site Info'!$A:$G,4,FALSE),"")</f>
        <v>MISHAWAKA</v>
      </c>
      <c r="M316" t="str">
        <f>IFERROR(VLOOKUP(VALUE(J316),'Site Info'!$A:$G,5,FALSE),"")</f>
        <v>IN</v>
      </c>
      <c r="N316" t="str">
        <f>IFERROR(VLOOKUP(VALUE(J316),'Site Info'!$A:$G,6,FALSE),"")</f>
        <v>46545-9033</v>
      </c>
      <c r="O316">
        <f>IFERROR(VLOOKUP(VALUE(J316),'Site Info'!$A:$G,7,FALSE),"")</f>
        <v>5742438048</v>
      </c>
    </row>
    <row r="317" spans="1:15" x14ac:dyDescent="0.45">
      <c r="A317" t="s">
        <v>5098</v>
      </c>
      <c r="B317" t="s">
        <v>5099</v>
      </c>
      <c r="C317" t="s">
        <v>5100</v>
      </c>
      <c r="D317" t="s">
        <v>997</v>
      </c>
      <c r="E317" s="1">
        <v>46152.864942129629</v>
      </c>
      <c r="F317">
        <v>1547</v>
      </c>
      <c r="G317" t="s">
        <v>5101</v>
      </c>
      <c r="H317" t="s">
        <v>15</v>
      </c>
      <c r="I317" t="s">
        <v>999</v>
      </c>
      <c r="J317" t="str">
        <f>RIGHT(D317,4)</f>
        <v>6315</v>
      </c>
      <c r="K317" t="str">
        <f>IFERROR(VLOOKUP(VALUE(J317),'Site Info'!$A:$G,3,FALSE),"")</f>
        <v>120 INDIAN RIDGE BLVD</v>
      </c>
      <c r="L317" t="str">
        <f>IFERROR(VLOOKUP(VALUE(J317),'Site Info'!$A:$G,4,FALSE),"")</f>
        <v>MISHAWAKA</v>
      </c>
      <c r="M317" t="str">
        <f>IFERROR(VLOOKUP(VALUE(J317),'Site Info'!$A:$G,5,FALSE),"")</f>
        <v>IN</v>
      </c>
      <c r="N317" t="str">
        <f>IFERROR(VLOOKUP(VALUE(J317),'Site Info'!$A:$G,6,FALSE),"")</f>
        <v>46545-9033</v>
      </c>
      <c r="O317">
        <f>IFERROR(VLOOKUP(VALUE(J317),'Site Info'!$A:$G,7,FALSE),"")</f>
        <v>5742438048</v>
      </c>
    </row>
    <row r="318" spans="1:15" x14ac:dyDescent="0.45">
      <c r="A318" t="s">
        <v>5110</v>
      </c>
      <c r="B318" t="s">
        <v>5111</v>
      </c>
      <c r="C318" t="s">
        <v>5112</v>
      </c>
      <c r="D318" t="s">
        <v>997</v>
      </c>
      <c r="E318" s="1">
        <v>46153.361585648148</v>
      </c>
      <c r="F318">
        <v>1547</v>
      </c>
      <c r="G318" t="s">
        <v>5113</v>
      </c>
      <c r="H318" t="s">
        <v>15</v>
      </c>
      <c r="I318" t="s">
        <v>999</v>
      </c>
      <c r="J318" t="str">
        <f>RIGHT(D318,4)</f>
        <v>6315</v>
      </c>
      <c r="K318" t="str">
        <f>IFERROR(VLOOKUP(VALUE(J318),'Site Info'!$A:$G,3,FALSE),"")</f>
        <v>120 INDIAN RIDGE BLVD</v>
      </c>
      <c r="L318" t="str">
        <f>IFERROR(VLOOKUP(VALUE(J318),'Site Info'!$A:$G,4,FALSE),"")</f>
        <v>MISHAWAKA</v>
      </c>
      <c r="M318" t="str">
        <f>IFERROR(VLOOKUP(VALUE(J318),'Site Info'!$A:$G,5,FALSE),"")</f>
        <v>IN</v>
      </c>
      <c r="N318" t="str">
        <f>IFERROR(VLOOKUP(VALUE(J318),'Site Info'!$A:$G,6,FALSE),"")</f>
        <v>46545-9033</v>
      </c>
      <c r="O318">
        <f>IFERROR(VLOOKUP(VALUE(J318),'Site Info'!$A:$G,7,FALSE),"")</f>
        <v>5742438048</v>
      </c>
    </row>
    <row r="319" spans="1:15" x14ac:dyDescent="0.45">
      <c r="A319" t="s">
        <v>3315</v>
      </c>
      <c r="B319" t="s">
        <v>3316</v>
      </c>
      <c r="C319" t="s">
        <v>3317</v>
      </c>
      <c r="D319" t="s">
        <v>997</v>
      </c>
      <c r="E319" s="1">
        <v>46153.12841435185</v>
      </c>
      <c r="F319">
        <v>1481</v>
      </c>
      <c r="G319" t="s">
        <v>3318</v>
      </c>
      <c r="H319" t="s">
        <v>15</v>
      </c>
      <c r="I319" t="s">
        <v>999</v>
      </c>
      <c r="J319" t="str">
        <f>RIGHT(D319,4)</f>
        <v>6315</v>
      </c>
      <c r="K319" t="str">
        <f>IFERROR(VLOOKUP(VALUE(J319),'Site Info'!$A:$G,3,FALSE),"")</f>
        <v>120 INDIAN RIDGE BLVD</v>
      </c>
      <c r="L319" t="str">
        <f>IFERROR(VLOOKUP(VALUE(J319),'Site Info'!$A:$G,4,FALSE),"")</f>
        <v>MISHAWAKA</v>
      </c>
      <c r="M319" t="str">
        <f>IFERROR(VLOOKUP(VALUE(J319),'Site Info'!$A:$G,5,FALSE),"")</f>
        <v>IN</v>
      </c>
      <c r="N319" t="str">
        <f>IFERROR(VLOOKUP(VALUE(J319),'Site Info'!$A:$G,6,FALSE),"")</f>
        <v>46545-9033</v>
      </c>
      <c r="O319">
        <f>IFERROR(VLOOKUP(VALUE(J319),'Site Info'!$A:$G,7,FALSE),"")</f>
        <v>5742438048</v>
      </c>
    </row>
    <row r="320" spans="1:15" x14ac:dyDescent="0.45">
      <c r="A320" t="s">
        <v>994</v>
      </c>
      <c r="B320" t="s">
        <v>995</v>
      </c>
      <c r="C320" t="s">
        <v>996</v>
      </c>
      <c r="D320" t="s">
        <v>997</v>
      </c>
      <c r="E320" s="1">
        <v>46153.284525462965</v>
      </c>
      <c r="F320">
        <v>1481</v>
      </c>
      <c r="G320" t="s">
        <v>998</v>
      </c>
      <c r="H320" t="s">
        <v>15</v>
      </c>
      <c r="I320" t="s">
        <v>999</v>
      </c>
      <c r="J320" t="str">
        <f>RIGHT(D320,4)</f>
        <v>6315</v>
      </c>
      <c r="K320" t="str">
        <f>IFERROR(VLOOKUP(VALUE(J320),'Site Info'!$A:$G,3,FALSE),"")</f>
        <v>120 INDIAN RIDGE BLVD</v>
      </c>
      <c r="L320" t="str">
        <f>IFERROR(VLOOKUP(VALUE(J320),'Site Info'!$A:$G,4,FALSE),"")</f>
        <v>MISHAWAKA</v>
      </c>
      <c r="M320" t="str">
        <f>IFERROR(VLOOKUP(VALUE(J320),'Site Info'!$A:$G,5,FALSE),"")</f>
        <v>IN</v>
      </c>
      <c r="N320" t="str">
        <f>IFERROR(VLOOKUP(VALUE(J320),'Site Info'!$A:$G,6,FALSE),"")</f>
        <v>46545-9033</v>
      </c>
      <c r="O320">
        <f>IFERROR(VLOOKUP(VALUE(J320),'Site Info'!$A:$G,7,FALSE),"")</f>
        <v>5742438048</v>
      </c>
    </row>
    <row r="321" spans="1:15" x14ac:dyDescent="0.45">
      <c r="A321" t="s">
        <v>2349</v>
      </c>
      <c r="B321" t="s">
        <v>2350</v>
      </c>
      <c r="C321" t="s">
        <v>2351</v>
      </c>
      <c r="D321" t="s">
        <v>997</v>
      </c>
      <c r="E321" s="1">
        <v>46153.327523148146</v>
      </c>
      <c r="F321">
        <v>1481</v>
      </c>
      <c r="G321" t="s">
        <v>2352</v>
      </c>
      <c r="H321" t="s">
        <v>15</v>
      </c>
      <c r="I321" t="s">
        <v>999</v>
      </c>
      <c r="J321" t="str">
        <f>RIGHT(D321,4)</f>
        <v>6315</v>
      </c>
      <c r="K321" t="str">
        <f>IFERROR(VLOOKUP(VALUE(J321),'Site Info'!$A:$G,3,FALSE),"")</f>
        <v>120 INDIAN RIDGE BLVD</v>
      </c>
      <c r="L321" t="str">
        <f>IFERROR(VLOOKUP(VALUE(J321),'Site Info'!$A:$G,4,FALSE),"")</f>
        <v>MISHAWAKA</v>
      </c>
      <c r="M321" t="str">
        <f>IFERROR(VLOOKUP(VALUE(J321),'Site Info'!$A:$G,5,FALSE),"")</f>
        <v>IN</v>
      </c>
      <c r="N321" t="str">
        <f>IFERROR(VLOOKUP(VALUE(J321),'Site Info'!$A:$G,6,FALSE),"")</f>
        <v>46545-9033</v>
      </c>
      <c r="O321">
        <f>IFERROR(VLOOKUP(VALUE(J321),'Site Info'!$A:$G,7,FALSE),"")</f>
        <v>5742438048</v>
      </c>
    </row>
    <row r="322" spans="1:15" x14ac:dyDescent="0.45">
      <c r="A322" t="s">
        <v>6062</v>
      </c>
      <c r="B322" t="s">
        <v>6063</v>
      </c>
      <c r="C322" t="s">
        <v>6064</v>
      </c>
      <c r="D322" t="s">
        <v>1431</v>
      </c>
      <c r="E322" s="1">
        <v>46152.072395833333</v>
      </c>
      <c r="F322">
        <v>1547</v>
      </c>
      <c r="G322" t="s">
        <v>6065</v>
      </c>
      <c r="H322" t="s">
        <v>15</v>
      </c>
      <c r="I322" t="s">
        <v>1433</v>
      </c>
      <c r="J322" t="str">
        <f>RIGHT(D322,4)</f>
        <v>8147</v>
      </c>
      <c r="K322" t="str">
        <f>IFERROR(VLOOKUP(VALUE(J322),'Site Info'!$A:$G,3,FALSE),"")</f>
        <v>1200 E EISENHOWER BLVD</v>
      </c>
      <c r="L322" t="str">
        <f>IFERROR(VLOOKUP(VALUE(J322),'Site Info'!$A:$G,4,FALSE),"")</f>
        <v>LOVELAND</v>
      </c>
      <c r="M322" t="str">
        <f>IFERROR(VLOOKUP(VALUE(J322),'Site Info'!$A:$G,5,FALSE),"")</f>
        <v>CO</v>
      </c>
      <c r="N322" t="str">
        <f>IFERROR(VLOOKUP(VALUE(J322),'Site Info'!$A:$G,6,FALSE),"")</f>
        <v>80537-3924</v>
      </c>
      <c r="O322">
        <f>IFERROR(VLOOKUP(VALUE(J322),'Site Info'!$A:$G,7,FALSE),"")</f>
        <v>9706696100</v>
      </c>
    </row>
    <row r="323" spans="1:15" x14ac:dyDescent="0.45">
      <c r="A323" t="s">
        <v>5974</v>
      </c>
      <c r="B323" t="s">
        <v>5975</v>
      </c>
      <c r="C323" t="s">
        <v>5976</v>
      </c>
      <c r="D323" t="s">
        <v>1431</v>
      </c>
      <c r="E323" s="1">
        <v>46152.72483796296</v>
      </c>
      <c r="F323">
        <v>1547</v>
      </c>
      <c r="G323" t="s">
        <v>5977</v>
      </c>
      <c r="H323" t="s">
        <v>15</v>
      </c>
      <c r="I323" t="s">
        <v>1433</v>
      </c>
      <c r="J323" t="str">
        <f>RIGHT(D323,4)</f>
        <v>8147</v>
      </c>
      <c r="K323" t="str">
        <f>IFERROR(VLOOKUP(VALUE(J323),'Site Info'!$A:$G,3,FALSE),"")</f>
        <v>1200 E EISENHOWER BLVD</v>
      </c>
      <c r="L323" t="str">
        <f>IFERROR(VLOOKUP(VALUE(J323),'Site Info'!$A:$G,4,FALSE),"")</f>
        <v>LOVELAND</v>
      </c>
      <c r="M323" t="str">
        <f>IFERROR(VLOOKUP(VALUE(J323),'Site Info'!$A:$G,5,FALSE),"")</f>
        <v>CO</v>
      </c>
      <c r="N323" t="str">
        <f>IFERROR(VLOOKUP(VALUE(J323),'Site Info'!$A:$G,6,FALSE),"")</f>
        <v>80537-3924</v>
      </c>
      <c r="O323">
        <f>IFERROR(VLOOKUP(VALUE(J323),'Site Info'!$A:$G,7,FALSE),"")</f>
        <v>9706696100</v>
      </c>
    </row>
    <row r="324" spans="1:15" x14ac:dyDescent="0.45">
      <c r="A324" t="s">
        <v>6090</v>
      </c>
      <c r="B324" t="s">
        <v>6091</v>
      </c>
      <c r="C324" t="s">
        <v>6092</v>
      </c>
      <c r="D324" t="s">
        <v>1431</v>
      </c>
      <c r="E324" s="1">
        <v>46153.226388888892</v>
      </c>
      <c r="F324">
        <v>1547</v>
      </c>
      <c r="G324" t="s">
        <v>6093</v>
      </c>
      <c r="H324" t="s">
        <v>15</v>
      </c>
      <c r="I324" t="s">
        <v>1433</v>
      </c>
      <c r="J324" t="str">
        <f>RIGHT(D324,4)</f>
        <v>8147</v>
      </c>
      <c r="K324" t="str">
        <f>IFERROR(VLOOKUP(VALUE(J324),'Site Info'!$A:$G,3,FALSE),"")</f>
        <v>1200 E EISENHOWER BLVD</v>
      </c>
      <c r="L324" t="str">
        <f>IFERROR(VLOOKUP(VALUE(J324),'Site Info'!$A:$G,4,FALSE),"")</f>
        <v>LOVELAND</v>
      </c>
      <c r="M324" t="str">
        <f>IFERROR(VLOOKUP(VALUE(J324),'Site Info'!$A:$G,5,FALSE),"")</f>
        <v>CO</v>
      </c>
      <c r="N324" t="str">
        <f>IFERROR(VLOOKUP(VALUE(J324),'Site Info'!$A:$G,6,FALSE),"")</f>
        <v>80537-3924</v>
      </c>
      <c r="O324">
        <f>IFERROR(VLOOKUP(VALUE(J324),'Site Info'!$A:$G,7,FALSE),"")</f>
        <v>9706696100</v>
      </c>
    </row>
    <row r="325" spans="1:15" x14ac:dyDescent="0.45">
      <c r="A325" t="s">
        <v>6102</v>
      </c>
      <c r="B325" t="s">
        <v>6103</v>
      </c>
      <c r="C325" t="s">
        <v>6104</v>
      </c>
      <c r="D325" t="s">
        <v>1431</v>
      </c>
      <c r="E325" s="1">
        <v>46153.372164351851</v>
      </c>
      <c r="F325">
        <v>1547</v>
      </c>
      <c r="G325" t="s">
        <v>6105</v>
      </c>
      <c r="H325" t="s">
        <v>15</v>
      </c>
      <c r="I325" t="s">
        <v>1433</v>
      </c>
      <c r="J325" t="str">
        <f>RIGHT(D325,4)</f>
        <v>8147</v>
      </c>
      <c r="K325" t="str">
        <f>IFERROR(VLOOKUP(VALUE(J325),'Site Info'!$A:$G,3,FALSE),"")</f>
        <v>1200 E EISENHOWER BLVD</v>
      </c>
      <c r="L325" t="str">
        <f>IFERROR(VLOOKUP(VALUE(J325),'Site Info'!$A:$G,4,FALSE),"")</f>
        <v>LOVELAND</v>
      </c>
      <c r="M325" t="str">
        <f>IFERROR(VLOOKUP(VALUE(J325),'Site Info'!$A:$G,5,FALSE),"")</f>
        <v>CO</v>
      </c>
      <c r="N325" t="str">
        <f>IFERROR(VLOOKUP(VALUE(J325),'Site Info'!$A:$G,6,FALSE),"")</f>
        <v>80537-3924</v>
      </c>
      <c r="O325">
        <f>IFERROR(VLOOKUP(VALUE(J325),'Site Info'!$A:$G,7,FALSE),"")</f>
        <v>9706696100</v>
      </c>
    </row>
    <row r="326" spans="1:15" x14ac:dyDescent="0.45">
      <c r="A326" t="s">
        <v>1428</v>
      </c>
      <c r="B326" t="s">
        <v>1429</v>
      </c>
      <c r="C326" t="s">
        <v>1430</v>
      </c>
      <c r="D326" t="s">
        <v>1431</v>
      </c>
      <c r="E326" s="1">
        <v>46148.273912037039</v>
      </c>
      <c r="F326">
        <v>1481</v>
      </c>
      <c r="G326" t="s">
        <v>1432</v>
      </c>
      <c r="H326" t="s">
        <v>15</v>
      </c>
      <c r="I326" t="s">
        <v>1433</v>
      </c>
      <c r="J326" t="str">
        <f>RIGHT(D326,4)</f>
        <v>8147</v>
      </c>
      <c r="K326" t="str">
        <f>IFERROR(VLOOKUP(VALUE(J326),'Site Info'!$A:$G,3,FALSE),"")</f>
        <v>1200 E EISENHOWER BLVD</v>
      </c>
      <c r="L326" t="str">
        <f>IFERROR(VLOOKUP(VALUE(J326),'Site Info'!$A:$G,4,FALSE),"")</f>
        <v>LOVELAND</v>
      </c>
      <c r="M326" t="str">
        <f>IFERROR(VLOOKUP(VALUE(J326),'Site Info'!$A:$G,5,FALSE),"")</f>
        <v>CO</v>
      </c>
      <c r="N326" t="str">
        <f>IFERROR(VLOOKUP(VALUE(J326),'Site Info'!$A:$G,6,FALSE),"")</f>
        <v>80537-3924</v>
      </c>
      <c r="O326">
        <f>IFERROR(VLOOKUP(VALUE(J326),'Site Info'!$A:$G,7,FALSE),"")</f>
        <v>9706696100</v>
      </c>
    </row>
    <row r="327" spans="1:15" x14ac:dyDescent="0.45">
      <c r="A327" t="s">
        <v>2016</v>
      </c>
      <c r="B327" t="s">
        <v>2017</v>
      </c>
      <c r="C327" t="s">
        <v>2018</v>
      </c>
      <c r="D327" t="s">
        <v>1431</v>
      </c>
      <c r="E327" s="1">
        <v>46152.159143518518</v>
      </c>
      <c r="F327">
        <v>1481</v>
      </c>
      <c r="G327" t="s">
        <v>2019</v>
      </c>
      <c r="H327" t="s">
        <v>15</v>
      </c>
      <c r="I327" t="s">
        <v>1433</v>
      </c>
      <c r="J327" t="str">
        <f>RIGHT(D327,4)</f>
        <v>8147</v>
      </c>
      <c r="K327" t="str">
        <f>IFERROR(VLOOKUP(VALUE(J327),'Site Info'!$A:$G,3,FALSE),"")</f>
        <v>1200 E EISENHOWER BLVD</v>
      </c>
      <c r="L327" t="str">
        <f>IFERROR(VLOOKUP(VALUE(J327),'Site Info'!$A:$G,4,FALSE),"")</f>
        <v>LOVELAND</v>
      </c>
      <c r="M327" t="str">
        <f>IFERROR(VLOOKUP(VALUE(J327),'Site Info'!$A:$G,5,FALSE),"")</f>
        <v>CO</v>
      </c>
      <c r="N327" t="str">
        <f>IFERROR(VLOOKUP(VALUE(J327),'Site Info'!$A:$G,6,FALSE),"")</f>
        <v>80537-3924</v>
      </c>
      <c r="O327">
        <f>IFERROR(VLOOKUP(VALUE(J327),'Site Info'!$A:$G,7,FALSE),"")</f>
        <v>9706696100</v>
      </c>
    </row>
    <row r="328" spans="1:15" x14ac:dyDescent="0.45">
      <c r="A328" t="s">
        <v>10763</v>
      </c>
      <c r="B328" t="s">
        <v>10764</v>
      </c>
      <c r="C328" t="s">
        <v>10765</v>
      </c>
      <c r="D328" t="s">
        <v>841</v>
      </c>
      <c r="E328" s="1">
        <v>46151.740578703706</v>
      </c>
      <c r="F328">
        <v>1547</v>
      </c>
      <c r="G328" t="s">
        <v>10766</v>
      </c>
      <c r="H328" t="s">
        <v>15</v>
      </c>
      <c r="I328" t="s">
        <v>843</v>
      </c>
      <c r="J328" t="str">
        <f>RIGHT(D328,4)</f>
        <v>4743</v>
      </c>
      <c r="K328" t="str">
        <f>IFERROR(VLOOKUP(VALUE(J328),'Site Info'!$A:$G,3,FALSE),"")</f>
        <v>1200 E SPRING CREEK PKWY</v>
      </c>
      <c r="L328" t="str">
        <f>IFERROR(VLOOKUP(VALUE(J328),'Site Info'!$A:$G,4,FALSE),"")</f>
        <v>PLANO</v>
      </c>
      <c r="M328" t="str">
        <f>IFERROR(VLOOKUP(VALUE(J328),'Site Info'!$A:$G,5,FALSE),"")</f>
        <v>TX</v>
      </c>
      <c r="N328" t="str">
        <f>IFERROR(VLOOKUP(VALUE(J328),'Site Info'!$A:$G,6,FALSE),"")</f>
        <v>75074-3023</v>
      </c>
      <c r="O328">
        <f>IFERROR(VLOOKUP(VALUE(J328),'Site Info'!$A:$G,7,FALSE),"")</f>
        <v>9725168520</v>
      </c>
    </row>
    <row r="329" spans="1:15" x14ac:dyDescent="0.45">
      <c r="A329" t="s">
        <v>9455</v>
      </c>
      <c r="B329" t="s">
        <v>9456</v>
      </c>
      <c r="C329" t="s">
        <v>9457</v>
      </c>
      <c r="D329" t="s">
        <v>841</v>
      </c>
      <c r="E329" s="1">
        <v>46152.370104166665</v>
      </c>
      <c r="F329">
        <v>1547</v>
      </c>
      <c r="G329" t="s">
        <v>9458</v>
      </c>
      <c r="H329" t="s">
        <v>15</v>
      </c>
      <c r="I329" t="s">
        <v>843</v>
      </c>
      <c r="J329" t="str">
        <f>RIGHT(D329,4)</f>
        <v>4743</v>
      </c>
      <c r="K329" t="str">
        <f>IFERROR(VLOOKUP(VALUE(J329),'Site Info'!$A:$G,3,FALSE),"")</f>
        <v>1200 E SPRING CREEK PKWY</v>
      </c>
      <c r="L329" t="str">
        <f>IFERROR(VLOOKUP(VALUE(J329),'Site Info'!$A:$G,4,FALSE),"")</f>
        <v>PLANO</v>
      </c>
      <c r="M329" t="str">
        <f>IFERROR(VLOOKUP(VALUE(J329),'Site Info'!$A:$G,5,FALSE),"")</f>
        <v>TX</v>
      </c>
      <c r="N329" t="str">
        <f>IFERROR(VLOOKUP(VALUE(J329),'Site Info'!$A:$G,6,FALSE),"")</f>
        <v>75074-3023</v>
      </c>
      <c r="O329">
        <f>IFERROR(VLOOKUP(VALUE(J329),'Site Info'!$A:$G,7,FALSE),"")</f>
        <v>9725168520</v>
      </c>
    </row>
    <row r="330" spans="1:15" x14ac:dyDescent="0.45">
      <c r="A330" t="s">
        <v>10903</v>
      </c>
      <c r="B330" t="s">
        <v>10904</v>
      </c>
      <c r="C330" t="s">
        <v>10905</v>
      </c>
      <c r="D330" t="s">
        <v>841</v>
      </c>
      <c r="E330" s="1">
        <v>46152.669085648151</v>
      </c>
      <c r="F330">
        <v>1547</v>
      </c>
      <c r="G330" t="s">
        <v>10906</v>
      </c>
      <c r="H330" t="s">
        <v>15</v>
      </c>
      <c r="I330" t="s">
        <v>843</v>
      </c>
      <c r="J330" t="str">
        <f>RIGHT(D330,4)</f>
        <v>4743</v>
      </c>
      <c r="K330" t="str">
        <f>IFERROR(VLOOKUP(VALUE(J330),'Site Info'!$A:$G,3,FALSE),"")</f>
        <v>1200 E SPRING CREEK PKWY</v>
      </c>
      <c r="L330" t="str">
        <f>IFERROR(VLOOKUP(VALUE(J330),'Site Info'!$A:$G,4,FALSE),"")</f>
        <v>PLANO</v>
      </c>
      <c r="M330" t="str">
        <f>IFERROR(VLOOKUP(VALUE(J330),'Site Info'!$A:$G,5,FALSE),"")</f>
        <v>TX</v>
      </c>
      <c r="N330" t="str">
        <f>IFERROR(VLOOKUP(VALUE(J330),'Site Info'!$A:$G,6,FALSE),"")</f>
        <v>75074-3023</v>
      </c>
      <c r="O330">
        <f>IFERROR(VLOOKUP(VALUE(J330),'Site Info'!$A:$G,7,FALSE),"")</f>
        <v>9725168520</v>
      </c>
    </row>
    <row r="331" spans="1:15" x14ac:dyDescent="0.45">
      <c r="A331" t="s">
        <v>9543</v>
      </c>
      <c r="B331" t="s">
        <v>9544</v>
      </c>
      <c r="C331" t="s">
        <v>9545</v>
      </c>
      <c r="D331" t="s">
        <v>841</v>
      </c>
      <c r="E331" s="1">
        <v>46152.706469907411</v>
      </c>
      <c r="F331">
        <v>1547</v>
      </c>
      <c r="G331" t="s">
        <v>9546</v>
      </c>
      <c r="H331" t="s">
        <v>15</v>
      </c>
      <c r="I331" t="s">
        <v>843</v>
      </c>
      <c r="J331" t="str">
        <f>RIGHT(D331,4)</f>
        <v>4743</v>
      </c>
      <c r="K331" t="str">
        <f>IFERROR(VLOOKUP(VALUE(J331),'Site Info'!$A:$G,3,FALSE),"")</f>
        <v>1200 E SPRING CREEK PKWY</v>
      </c>
      <c r="L331" t="str">
        <f>IFERROR(VLOOKUP(VALUE(J331),'Site Info'!$A:$G,4,FALSE),"")</f>
        <v>PLANO</v>
      </c>
      <c r="M331" t="str">
        <f>IFERROR(VLOOKUP(VALUE(J331),'Site Info'!$A:$G,5,FALSE),"")</f>
        <v>TX</v>
      </c>
      <c r="N331" t="str">
        <f>IFERROR(VLOOKUP(VALUE(J331),'Site Info'!$A:$G,6,FALSE),"")</f>
        <v>75074-3023</v>
      </c>
      <c r="O331">
        <f>IFERROR(VLOOKUP(VALUE(J331),'Site Info'!$A:$G,7,FALSE),"")</f>
        <v>9725168520</v>
      </c>
    </row>
    <row r="332" spans="1:15" x14ac:dyDescent="0.45">
      <c r="A332" t="s">
        <v>3969</v>
      </c>
      <c r="B332" t="s">
        <v>3970</v>
      </c>
      <c r="C332" t="s">
        <v>3971</v>
      </c>
      <c r="D332" t="s">
        <v>841</v>
      </c>
      <c r="E332" s="1">
        <v>46152.2809837963</v>
      </c>
      <c r="F332">
        <v>1481</v>
      </c>
      <c r="G332" t="s">
        <v>3972</v>
      </c>
      <c r="H332" t="s">
        <v>15</v>
      </c>
      <c r="I332" t="s">
        <v>843</v>
      </c>
      <c r="J332" t="str">
        <f>RIGHT(D332,4)</f>
        <v>4743</v>
      </c>
      <c r="K332" t="str">
        <f>IFERROR(VLOOKUP(VALUE(J332),'Site Info'!$A:$G,3,FALSE),"")</f>
        <v>1200 E SPRING CREEK PKWY</v>
      </c>
      <c r="L332" t="str">
        <f>IFERROR(VLOOKUP(VALUE(J332),'Site Info'!$A:$G,4,FALSE),"")</f>
        <v>PLANO</v>
      </c>
      <c r="M332" t="str">
        <f>IFERROR(VLOOKUP(VALUE(J332),'Site Info'!$A:$G,5,FALSE),"")</f>
        <v>TX</v>
      </c>
      <c r="N332" t="str">
        <f>IFERROR(VLOOKUP(VALUE(J332),'Site Info'!$A:$G,6,FALSE),"")</f>
        <v>75074-3023</v>
      </c>
      <c r="O332">
        <f>IFERROR(VLOOKUP(VALUE(J332),'Site Info'!$A:$G,7,FALSE),"")</f>
        <v>9725168520</v>
      </c>
    </row>
    <row r="333" spans="1:15" x14ac:dyDescent="0.45">
      <c r="A333" t="s">
        <v>838</v>
      </c>
      <c r="B333" t="s">
        <v>839</v>
      </c>
      <c r="C333" t="s">
        <v>840</v>
      </c>
      <c r="D333" t="s">
        <v>841</v>
      </c>
      <c r="E333" s="1">
        <v>46152.445590277777</v>
      </c>
      <c r="F333">
        <v>1481</v>
      </c>
      <c r="G333" t="s">
        <v>842</v>
      </c>
      <c r="H333" t="s">
        <v>15</v>
      </c>
      <c r="I333" t="s">
        <v>843</v>
      </c>
      <c r="J333" t="str">
        <f>RIGHT(D333,4)</f>
        <v>4743</v>
      </c>
      <c r="K333" t="str">
        <f>IFERROR(VLOOKUP(VALUE(J333),'Site Info'!$A:$G,3,FALSE),"")</f>
        <v>1200 E SPRING CREEK PKWY</v>
      </c>
      <c r="L333" t="str">
        <f>IFERROR(VLOOKUP(VALUE(J333),'Site Info'!$A:$G,4,FALSE),"")</f>
        <v>PLANO</v>
      </c>
      <c r="M333" t="str">
        <f>IFERROR(VLOOKUP(VALUE(J333),'Site Info'!$A:$G,5,FALSE),"")</f>
        <v>TX</v>
      </c>
      <c r="N333" t="str">
        <f>IFERROR(VLOOKUP(VALUE(J333),'Site Info'!$A:$G,6,FALSE),"")</f>
        <v>75074-3023</v>
      </c>
      <c r="O333">
        <f>IFERROR(VLOOKUP(VALUE(J333),'Site Info'!$A:$G,7,FALSE),"")</f>
        <v>9725168520</v>
      </c>
    </row>
    <row r="334" spans="1:15" x14ac:dyDescent="0.45">
      <c r="A334" t="s">
        <v>3325</v>
      </c>
      <c r="B334" t="s">
        <v>3326</v>
      </c>
      <c r="C334" t="s">
        <v>3327</v>
      </c>
      <c r="D334" t="s">
        <v>841</v>
      </c>
      <c r="E334" s="1">
        <v>46153.285381944443</v>
      </c>
      <c r="F334">
        <v>1481</v>
      </c>
      <c r="G334" t="s">
        <v>3328</v>
      </c>
      <c r="H334" t="s">
        <v>15</v>
      </c>
      <c r="I334" t="s">
        <v>843</v>
      </c>
      <c r="J334" t="str">
        <f>RIGHT(D334,4)</f>
        <v>4743</v>
      </c>
      <c r="K334" t="str">
        <f>IFERROR(VLOOKUP(VALUE(J334),'Site Info'!$A:$G,3,FALSE),"")</f>
        <v>1200 E SPRING CREEK PKWY</v>
      </c>
      <c r="L334" t="str">
        <f>IFERROR(VLOOKUP(VALUE(J334),'Site Info'!$A:$G,4,FALSE),"")</f>
        <v>PLANO</v>
      </c>
      <c r="M334" t="str">
        <f>IFERROR(VLOOKUP(VALUE(J334),'Site Info'!$A:$G,5,FALSE),"")</f>
        <v>TX</v>
      </c>
      <c r="N334" t="str">
        <f>IFERROR(VLOOKUP(VALUE(J334),'Site Info'!$A:$G,6,FALSE),"")</f>
        <v>75074-3023</v>
      </c>
      <c r="O334">
        <f>IFERROR(VLOOKUP(VALUE(J334),'Site Info'!$A:$G,7,FALSE),"")</f>
        <v>9725168520</v>
      </c>
    </row>
    <row r="335" spans="1:15" x14ac:dyDescent="0.45">
      <c r="A335" t="s">
        <v>1576</v>
      </c>
      <c r="B335" t="s">
        <v>1577</v>
      </c>
      <c r="C335" t="s">
        <v>1578</v>
      </c>
      <c r="D335" t="s">
        <v>841</v>
      </c>
      <c r="E335" s="1">
        <v>46153.338101851848</v>
      </c>
      <c r="F335">
        <v>1481</v>
      </c>
      <c r="G335" t="s">
        <v>1579</v>
      </c>
      <c r="H335" t="s">
        <v>15</v>
      </c>
      <c r="I335" t="s">
        <v>843</v>
      </c>
      <c r="J335" t="str">
        <f>RIGHT(D335,4)</f>
        <v>4743</v>
      </c>
      <c r="K335" t="str">
        <f>IFERROR(VLOOKUP(VALUE(J335),'Site Info'!$A:$G,3,FALSE),"")</f>
        <v>1200 E SPRING CREEK PKWY</v>
      </c>
      <c r="L335" t="str">
        <f>IFERROR(VLOOKUP(VALUE(J335),'Site Info'!$A:$G,4,FALSE),"")</f>
        <v>PLANO</v>
      </c>
      <c r="M335" t="str">
        <f>IFERROR(VLOOKUP(VALUE(J335),'Site Info'!$A:$G,5,FALSE),"")</f>
        <v>TX</v>
      </c>
      <c r="N335" t="str">
        <f>IFERROR(VLOOKUP(VALUE(J335),'Site Info'!$A:$G,6,FALSE),"")</f>
        <v>75074-3023</v>
      </c>
      <c r="O335">
        <f>IFERROR(VLOOKUP(VALUE(J335),'Site Info'!$A:$G,7,FALSE),"")</f>
        <v>9725168520</v>
      </c>
    </row>
    <row r="336" spans="1:15" x14ac:dyDescent="0.45">
      <c r="A336" t="s">
        <v>5462</v>
      </c>
      <c r="B336" t="s">
        <v>5463</v>
      </c>
      <c r="C336" t="s">
        <v>5464</v>
      </c>
      <c r="D336" t="s">
        <v>5203</v>
      </c>
      <c r="E336" s="1">
        <v>46152.740752314814</v>
      </c>
      <c r="F336">
        <v>1547</v>
      </c>
      <c r="G336" t="s">
        <v>5465</v>
      </c>
      <c r="H336" t="s">
        <v>15</v>
      </c>
      <c r="I336" t="s">
        <v>5205</v>
      </c>
      <c r="J336" t="str">
        <f>RIGHT(D336,4)</f>
        <v>4987</v>
      </c>
      <c r="K336" t="str">
        <f>IFERROR(VLOOKUP(VALUE(J336),'Site Info'!$A:$G,3,FALSE),"")</f>
        <v>1200 SOUTH HOVER</v>
      </c>
      <c r="L336" t="str">
        <f>IFERROR(VLOOKUP(VALUE(J336),'Site Info'!$A:$G,4,FALSE),"")</f>
        <v>LONGMONT</v>
      </c>
      <c r="M336" t="str">
        <f>IFERROR(VLOOKUP(VALUE(J336),'Site Info'!$A:$G,5,FALSE),"")</f>
        <v>CO</v>
      </c>
      <c r="N336" t="str">
        <f>IFERROR(VLOOKUP(VALUE(J336),'Site Info'!$A:$G,6,FALSE),"")</f>
        <v>80501-0000</v>
      </c>
      <c r="O336">
        <f>IFERROR(VLOOKUP(VALUE(J336),'Site Info'!$A:$G,7,FALSE),"")</f>
        <v>3038454223</v>
      </c>
    </row>
    <row r="337" spans="1:15" x14ac:dyDescent="0.45">
      <c r="A337" t="s">
        <v>5548</v>
      </c>
      <c r="B337" t="s">
        <v>5549</v>
      </c>
      <c r="C337" t="s">
        <v>5550</v>
      </c>
      <c r="D337" t="s">
        <v>5203</v>
      </c>
      <c r="E337" s="1">
        <v>46152.995648148149</v>
      </c>
      <c r="F337">
        <v>1547</v>
      </c>
      <c r="G337" t="s">
        <v>5551</v>
      </c>
      <c r="H337" t="s">
        <v>15</v>
      </c>
      <c r="I337" t="s">
        <v>5205</v>
      </c>
      <c r="J337" t="str">
        <f>RIGHT(D337,4)</f>
        <v>4987</v>
      </c>
      <c r="K337" t="str">
        <f>IFERROR(VLOOKUP(VALUE(J337),'Site Info'!$A:$G,3,FALSE),"")</f>
        <v>1200 SOUTH HOVER</v>
      </c>
      <c r="L337" t="str">
        <f>IFERROR(VLOOKUP(VALUE(J337),'Site Info'!$A:$G,4,FALSE),"")</f>
        <v>LONGMONT</v>
      </c>
      <c r="M337" t="str">
        <f>IFERROR(VLOOKUP(VALUE(J337),'Site Info'!$A:$G,5,FALSE),"")</f>
        <v>CO</v>
      </c>
      <c r="N337" t="str">
        <f>IFERROR(VLOOKUP(VALUE(J337),'Site Info'!$A:$G,6,FALSE),"")</f>
        <v>80501-0000</v>
      </c>
      <c r="O337">
        <f>IFERROR(VLOOKUP(VALUE(J337),'Site Info'!$A:$G,7,FALSE),"")</f>
        <v>3038454223</v>
      </c>
    </row>
    <row r="338" spans="1:15" x14ac:dyDescent="0.45">
      <c r="A338" t="s">
        <v>5200</v>
      </c>
      <c r="B338" t="s">
        <v>5201</v>
      </c>
      <c r="C338" t="s">
        <v>5202</v>
      </c>
      <c r="D338" t="s">
        <v>5203</v>
      </c>
      <c r="E338" s="1">
        <v>46153.255324074074</v>
      </c>
      <c r="F338">
        <v>1547</v>
      </c>
      <c r="G338" t="s">
        <v>5204</v>
      </c>
      <c r="H338" t="s">
        <v>15</v>
      </c>
      <c r="I338" t="s">
        <v>5205</v>
      </c>
      <c r="J338" t="str">
        <f>RIGHT(D338,4)</f>
        <v>4987</v>
      </c>
      <c r="K338" t="str">
        <f>IFERROR(VLOOKUP(VALUE(J338),'Site Info'!$A:$G,3,FALSE),"")</f>
        <v>1200 SOUTH HOVER</v>
      </c>
      <c r="L338" t="str">
        <f>IFERROR(VLOOKUP(VALUE(J338),'Site Info'!$A:$G,4,FALSE),"")</f>
        <v>LONGMONT</v>
      </c>
      <c r="M338" t="str">
        <f>IFERROR(VLOOKUP(VALUE(J338),'Site Info'!$A:$G,5,FALSE),"")</f>
        <v>CO</v>
      </c>
      <c r="N338" t="str">
        <f>IFERROR(VLOOKUP(VALUE(J338),'Site Info'!$A:$G,6,FALSE),"")</f>
        <v>80501-0000</v>
      </c>
      <c r="O338">
        <f>IFERROR(VLOOKUP(VALUE(J338),'Site Info'!$A:$G,7,FALSE),"")</f>
        <v>3038454223</v>
      </c>
    </row>
    <row r="339" spans="1:15" x14ac:dyDescent="0.45">
      <c r="A339" t="s">
        <v>5436</v>
      </c>
      <c r="B339" t="s">
        <v>5437</v>
      </c>
      <c r="C339" t="s">
        <v>5438</v>
      </c>
      <c r="D339" t="s">
        <v>5203</v>
      </c>
      <c r="E339" s="1">
        <v>46153.325266203705</v>
      </c>
      <c r="F339">
        <v>1547</v>
      </c>
      <c r="G339" t="s">
        <v>5439</v>
      </c>
      <c r="H339" t="s">
        <v>15</v>
      </c>
      <c r="I339" t="s">
        <v>5205</v>
      </c>
      <c r="J339" t="str">
        <f>RIGHT(D339,4)</f>
        <v>4987</v>
      </c>
      <c r="K339" t="str">
        <f>IFERROR(VLOOKUP(VALUE(J339),'Site Info'!$A:$G,3,FALSE),"")</f>
        <v>1200 SOUTH HOVER</v>
      </c>
      <c r="L339" t="str">
        <f>IFERROR(VLOOKUP(VALUE(J339),'Site Info'!$A:$G,4,FALSE),"")</f>
        <v>LONGMONT</v>
      </c>
      <c r="M339" t="str">
        <f>IFERROR(VLOOKUP(VALUE(J339),'Site Info'!$A:$G,5,FALSE),"")</f>
        <v>CO</v>
      </c>
      <c r="N339" t="str">
        <f>IFERROR(VLOOKUP(VALUE(J339),'Site Info'!$A:$G,6,FALSE),"")</f>
        <v>80501-0000</v>
      </c>
      <c r="O339">
        <f>IFERROR(VLOOKUP(VALUE(J339),'Site Info'!$A:$G,7,FALSE),"")</f>
        <v>3038454223</v>
      </c>
    </row>
    <row r="340" spans="1:15" x14ac:dyDescent="0.45">
      <c r="A340" t="s">
        <v>16572</v>
      </c>
      <c r="B340" t="s">
        <v>16573</v>
      </c>
      <c r="C340" t="s">
        <v>16574</v>
      </c>
      <c r="D340" t="s">
        <v>5203</v>
      </c>
      <c r="E340" s="1">
        <v>46153.211400462962</v>
      </c>
      <c r="F340">
        <v>1547</v>
      </c>
      <c r="G340" t="s">
        <v>16575</v>
      </c>
      <c r="H340" t="s">
        <v>15</v>
      </c>
      <c r="I340" t="s">
        <v>5205</v>
      </c>
      <c r="J340" t="str">
        <f>RIGHT(D340,4)</f>
        <v>4987</v>
      </c>
      <c r="K340" t="str">
        <f>IFERROR(VLOOKUP(VALUE(J340),'Site Info'!$A:$G,3,FALSE),"")</f>
        <v>1200 SOUTH HOVER</v>
      </c>
      <c r="L340" t="str">
        <f>IFERROR(VLOOKUP(VALUE(J340),'Site Info'!$A:$G,4,FALSE),"")</f>
        <v>LONGMONT</v>
      </c>
      <c r="M340" t="str">
        <f>IFERROR(VLOOKUP(VALUE(J340),'Site Info'!$A:$G,5,FALSE),"")</f>
        <v>CO</v>
      </c>
      <c r="N340" t="str">
        <f>IFERROR(VLOOKUP(VALUE(J340),'Site Info'!$A:$G,6,FALSE),"")</f>
        <v>80501-0000</v>
      </c>
      <c r="O340">
        <f>IFERROR(VLOOKUP(VALUE(J340),'Site Info'!$A:$G,7,FALSE),"")</f>
        <v>3038454223</v>
      </c>
    </row>
    <row r="341" spans="1:15" x14ac:dyDescent="0.45">
      <c r="A341" t="s">
        <v>6098</v>
      </c>
      <c r="B341" t="s">
        <v>6099</v>
      </c>
      <c r="C341" t="s">
        <v>6100</v>
      </c>
      <c r="D341" t="s">
        <v>2254</v>
      </c>
      <c r="E341" s="1">
        <v>46149.656759259262</v>
      </c>
      <c r="F341">
        <v>1547</v>
      </c>
      <c r="G341" t="s">
        <v>6101</v>
      </c>
      <c r="H341" t="s">
        <v>15</v>
      </c>
      <c r="I341" t="s">
        <v>2256</v>
      </c>
      <c r="J341" t="str">
        <f>RIGHT(D341,4)</f>
        <v>8242</v>
      </c>
      <c r="K341" t="str">
        <f>IFERROR(VLOOKUP(VALUE(J341),'Site Info'!$A:$G,3,FALSE),"")</f>
        <v>12000 MCCREE RD</v>
      </c>
      <c r="L341" t="str">
        <f>IFERROR(VLOOKUP(VALUE(J341),'Site Info'!$A:$G,4,FALSE),"")</f>
        <v>DALLAS</v>
      </c>
      <c r="M341" t="str">
        <f>IFERROR(VLOOKUP(VALUE(J341),'Site Info'!$A:$G,5,FALSE),"")</f>
        <v>TX</v>
      </c>
      <c r="N341" t="str">
        <f>IFERROR(VLOOKUP(VALUE(J341),'Site Info'!$A:$G,6,FALSE),"")</f>
        <v>75238-3275</v>
      </c>
      <c r="O341">
        <f>IFERROR(VLOOKUP(VALUE(J341),'Site Info'!$A:$G,7,FALSE),"")</f>
        <v>2143429810</v>
      </c>
    </row>
    <row r="342" spans="1:15" x14ac:dyDescent="0.45">
      <c r="A342" t="s">
        <v>6140</v>
      </c>
      <c r="B342" t="s">
        <v>6141</v>
      </c>
      <c r="C342" t="s">
        <v>6142</v>
      </c>
      <c r="D342" t="s">
        <v>2254</v>
      </c>
      <c r="E342" s="1">
        <v>46151.540555555555</v>
      </c>
      <c r="F342">
        <v>1547</v>
      </c>
      <c r="G342" t="s">
        <v>6143</v>
      </c>
      <c r="H342" t="s">
        <v>15</v>
      </c>
      <c r="I342" t="s">
        <v>2256</v>
      </c>
      <c r="J342" t="str">
        <f>RIGHT(D342,4)</f>
        <v>8242</v>
      </c>
      <c r="K342" t="str">
        <f>IFERROR(VLOOKUP(VALUE(J342),'Site Info'!$A:$G,3,FALSE),"")</f>
        <v>12000 MCCREE RD</v>
      </c>
      <c r="L342" t="str">
        <f>IFERROR(VLOOKUP(VALUE(J342),'Site Info'!$A:$G,4,FALSE),"")</f>
        <v>DALLAS</v>
      </c>
      <c r="M342" t="str">
        <f>IFERROR(VLOOKUP(VALUE(J342),'Site Info'!$A:$G,5,FALSE),"")</f>
        <v>TX</v>
      </c>
      <c r="N342" t="str">
        <f>IFERROR(VLOOKUP(VALUE(J342),'Site Info'!$A:$G,6,FALSE),"")</f>
        <v>75238-3275</v>
      </c>
      <c r="O342">
        <f>IFERROR(VLOOKUP(VALUE(J342),'Site Info'!$A:$G,7,FALSE),"")</f>
        <v>2143429810</v>
      </c>
    </row>
    <row r="343" spans="1:15" x14ac:dyDescent="0.45">
      <c r="A343" t="s">
        <v>6050</v>
      </c>
      <c r="B343" t="s">
        <v>6051</v>
      </c>
      <c r="C343" t="s">
        <v>6052</v>
      </c>
      <c r="D343" t="s">
        <v>2254</v>
      </c>
      <c r="E343" s="1">
        <v>46152.412083333336</v>
      </c>
      <c r="F343">
        <v>1547</v>
      </c>
      <c r="G343" t="s">
        <v>6053</v>
      </c>
      <c r="H343" t="s">
        <v>15</v>
      </c>
      <c r="I343" t="s">
        <v>2256</v>
      </c>
      <c r="J343" t="str">
        <f>RIGHT(D343,4)</f>
        <v>8242</v>
      </c>
      <c r="K343" t="str">
        <f>IFERROR(VLOOKUP(VALUE(J343),'Site Info'!$A:$G,3,FALSE),"")</f>
        <v>12000 MCCREE RD</v>
      </c>
      <c r="L343" t="str">
        <f>IFERROR(VLOOKUP(VALUE(J343),'Site Info'!$A:$G,4,FALSE),"")</f>
        <v>DALLAS</v>
      </c>
      <c r="M343" t="str">
        <f>IFERROR(VLOOKUP(VALUE(J343),'Site Info'!$A:$G,5,FALSE),"")</f>
        <v>TX</v>
      </c>
      <c r="N343" t="str">
        <f>IFERROR(VLOOKUP(VALUE(J343),'Site Info'!$A:$G,6,FALSE),"")</f>
        <v>75238-3275</v>
      </c>
      <c r="O343">
        <f>IFERROR(VLOOKUP(VALUE(J343),'Site Info'!$A:$G,7,FALSE),"")</f>
        <v>2143429810</v>
      </c>
    </row>
    <row r="344" spans="1:15" x14ac:dyDescent="0.45">
      <c r="A344" t="s">
        <v>6456</v>
      </c>
      <c r="B344" t="s">
        <v>6457</v>
      </c>
      <c r="C344" t="s">
        <v>6458</v>
      </c>
      <c r="D344" t="s">
        <v>2254</v>
      </c>
      <c r="E344" s="1">
        <v>46153.336168981485</v>
      </c>
      <c r="F344">
        <v>1547</v>
      </c>
      <c r="G344" t="s">
        <v>6459</v>
      </c>
      <c r="H344" t="s">
        <v>15</v>
      </c>
      <c r="I344" t="s">
        <v>2256</v>
      </c>
      <c r="J344" t="str">
        <f>RIGHT(D344,4)</f>
        <v>8242</v>
      </c>
      <c r="K344" t="str">
        <f>IFERROR(VLOOKUP(VALUE(J344),'Site Info'!$A:$G,3,FALSE),"")</f>
        <v>12000 MCCREE RD</v>
      </c>
      <c r="L344" t="str">
        <f>IFERROR(VLOOKUP(VALUE(J344),'Site Info'!$A:$G,4,FALSE),"")</f>
        <v>DALLAS</v>
      </c>
      <c r="M344" t="str">
        <f>IFERROR(VLOOKUP(VALUE(J344),'Site Info'!$A:$G,5,FALSE),"")</f>
        <v>TX</v>
      </c>
      <c r="N344" t="str">
        <f>IFERROR(VLOOKUP(VALUE(J344),'Site Info'!$A:$G,6,FALSE),"")</f>
        <v>75238-3275</v>
      </c>
      <c r="O344">
        <f>IFERROR(VLOOKUP(VALUE(J344),'Site Info'!$A:$G,7,FALSE),"")</f>
        <v>2143429810</v>
      </c>
    </row>
    <row r="345" spans="1:15" x14ac:dyDescent="0.45">
      <c r="A345" t="s">
        <v>6030</v>
      </c>
      <c r="B345" t="s">
        <v>6031</v>
      </c>
      <c r="C345" t="s">
        <v>6032</v>
      </c>
      <c r="D345" t="s">
        <v>2254</v>
      </c>
      <c r="E345" s="1">
        <v>46153.359768518516</v>
      </c>
      <c r="F345">
        <v>1547</v>
      </c>
      <c r="G345" t="s">
        <v>6033</v>
      </c>
      <c r="H345" t="s">
        <v>15</v>
      </c>
      <c r="I345" t="s">
        <v>2256</v>
      </c>
      <c r="J345" t="str">
        <f>RIGHT(D345,4)</f>
        <v>8242</v>
      </c>
      <c r="K345" t="str">
        <f>IFERROR(VLOOKUP(VALUE(J345),'Site Info'!$A:$G,3,FALSE),"")</f>
        <v>12000 MCCREE RD</v>
      </c>
      <c r="L345" t="str">
        <f>IFERROR(VLOOKUP(VALUE(J345),'Site Info'!$A:$G,4,FALSE),"")</f>
        <v>DALLAS</v>
      </c>
      <c r="M345" t="str">
        <f>IFERROR(VLOOKUP(VALUE(J345),'Site Info'!$A:$G,5,FALSE),"")</f>
        <v>TX</v>
      </c>
      <c r="N345" t="str">
        <f>IFERROR(VLOOKUP(VALUE(J345),'Site Info'!$A:$G,6,FALSE),"")</f>
        <v>75238-3275</v>
      </c>
      <c r="O345">
        <f>IFERROR(VLOOKUP(VALUE(J345),'Site Info'!$A:$G,7,FALSE),"")</f>
        <v>2143429810</v>
      </c>
    </row>
    <row r="346" spans="1:15" x14ac:dyDescent="0.45">
      <c r="A346" t="s">
        <v>5952</v>
      </c>
      <c r="B346" t="s">
        <v>5953</v>
      </c>
      <c r="C346" t="s">
        <v>5954</v>
      </c>
      <c r="D346" t="s">
        <v>2254</v>
      </c>
      <c r="E346" s="1">
        <v>46153.365046296298</v>
      </c>
      <c r="F346">
        <v>1547</v>
      </c>
      <c r="G346" t="s">
        <v>5955</v>
      </c>
      <c r="H346" t="s">
        <v>15</v>
      </c>
      <c r="I346" t="s">
        <v>2256</v>
      </c>
      <c r="J346" t="str">
        <f>RIGHT(D346,4)</f>
        <v>8242</v>
      </c>
      <c r="K346" t="str">
        <f>IFERROR(VLOOKUP(VALUE(J346),'Site Info'!$A:$G,3,FALSE),"")</f>
        <v>12000 MCCREE RD</v>
      </c>
      <c r="L346" t="str">
        <f>IFERROR(VLOOKUP(VALUE(J346),'Site Info'!$A:$G,4,FALSE),"")</f>
        <v>DALLAS</v>
      </c>
      <c r="M346" t="str">
        <f>IFERROR(VLOOKUP(VALUE(J346),'Site Info'!$A:$G,5,FALSE),"")</f>
        <v>TX</v>
      </c>
      <c r="N346" t="str">
        <f>IFERROR(VLOOKUP(VALUE(J346),'Site Info'!$A:$G,6,FALSE),"")</f>
        <v>75238-3275</v>
      </c>
      <c r="O346">
        <f>IFERROR(VLOOKUP(VALUE(J346),'Site Info'!$A:$G,7,FALSE),"")</f>
        <v>2143429810</v>
      </c>
    </row>
    <row r="347" spans="1:15" x14ac:dyDescent="0.45">
      <c r="A347" t="s">
        <v>2251</v>
      </c>
      <c r="B347" t="s">
        <v>2252</v>
      </c>
      <c r="C347" t="s">
        <v>2253</v>
      </c>
      <c r="D347" t="s">
        <v>2254</v>
      </c>
      <c r="E347" s="1">
        <v>46150.473171296297</v>
      </c>
      <c r="F347">
        <v>1481</v>
      </c>
      <c r="G347" t="s">
        <v>2255</v>
      </c>
      <c r="H347" t="s">
        <v>15</v>
      </c>
      <c r="I347" t="s">
        <v>2256</v>
      </c>
      <c r="J347" t="str">
        <f>RIGHT(D347,4)</f>
        <v>8242</v>
      </c>
      <c r="K347" t="str">
        <f>IFERROR(VLOOKUP(VALUE(J347),'Site Info'!$A:$G,3,FALSE),"")</f>
        <v>12000 MCCREE RD</v>
      </c>
      <c r="L347" t="str">
        <f>IFERROR(VLOOKUP(VALUE(J347),'Site Info'!$A:$G,4,FALSE),"")</f>
        <v>DALLAS</v>
      </c>
      <c r="M347" t="str">
        <f>IFERROR(VLOOKUP(VALUE(J347),'Site Info'!$A:$G,5,FALSE),"")</f>
        <v>TX</v>
      </c>
      <c r="N347" t="str">
        <f>IFERROR(VLOOKUP(VALUE(J347),'Site Info'!$A:$G,6,FALSE),"")</f>
        <v>75238-3275</v>
      </c>
      <c r="O347">
        <f>IFERROR(VLOOKUP(VALUE(J347),'Site Info'!$A:$G,7,FALSE),"")</f>
        <v>2143429810</v>
      </c>
    </row>
    <row r="348" spans="1:15" x14ac:dyDescent="0.45">
      <c r="A348" t="s">
        <v>2721</v>
      </c>
      <c r="B348" t="s">
        <v>2722</v>
      </c>
      <c r="C348" t="s">
        <v>2723</v>
      </c>
      <c r="D348" t="s">
        <v>2254</v>
      </c>
      <c r="E348" s="1">
        <v>46153.17759259259</v>
      </c>
      <c r="F348">
        <v>1481</v>
      </c>
      <c r="G348" t="s">
        <v>2724</v>
      </c>
      <c r="H348" t="s">
        <v>15</v>
      </c>
      <c r="I348" t="s">
        <v>2256</v>
      </c>
      <c r="J348" t="str">
        <f>RIGHT(D348,4)</f>
        <v>8242</v>
      </c>
      <c r="K348" t="str">
        <f>IFERROR(VLOOKUP(VALUE(J348),'Site Info'!$A:$G,3,FALSE),"")</f>
        <v>12000 MCCREE RD</v>
      </c>
      <c r="L348" t="str">
        <f>IFERROR(VLOOKUP(VALUE(J348),'Site Info'!$A:$G,4,FALSE),"")</f>
        <v>DALLAS</v>
      </c>
      <c r="M348" t="str">
        <f>IFERROR(VLOOKUP(VALUE(J348),'Site Info'!$A:$G,5,FALSE),"")</f>
        <v>TX</v>
      </c>
      <c r="N348" t="str">
        <f>IFERROR(VLOOKUP(VALUE(J348),'Site Info'!$A:$G,6,FALSE),"")</f>
        <v>75238-3275</v>
      </c>
      <c r="O348">
        <f>IFERROR(VLOOKUP(VALUE(J348),'Site Info'!$A:$G,7,FALSE),"")</f>
        <v>2143429810</v>
      </c>
    </row>
    <row r="349" spans="1:15" x14ac:dyDescent="0.45">
      <c r="A349" t="s">
        <v>8417</v>
      </c>
      <c r="B349" t="s">
        <v>8418</v>
      </c>
      <c r="C349" t="s">
        <v>8419</v>
      </c>
      <c r="D349" t="s">
        <v>3114</v>
      </c>
      <c r="E349" s="1">
        <v>46152.798738425925</v>
      </c>
      <c r="F349">
        <v>1547</v>
      </c>
      <c r="G349" t="s">
        <v>8420</v>
      </c>
      <c r="H349" t="s">
        <v>15</v>
      </c>
      <c r="I349" t="s">
        <v>3116</v>
      </c>
      <c r="J349" t="str">
        <f>RIGHT(D349,4)</f>
        <v>6506</v>
      </c>
      <c r="K349" t="str">
        <f>IFERROR(VLOOKUP(VALUE(J349),'Site Info'!$A:$G,3,FALSE),"")</f>
        <v>1201 N WESTOVER BLVD</v>
      </c>
      <c r="L349" t="str">
        <f>IFERROR(VLOOKUP(VALUE(J349),'Site Info'!$A:$G,4,FALSE),"")</f>
        <v>ALBANY</v>
      </c>
      <c r="M349" t="str">
        <f>IFERROR(VLOOKUP(VALUE(J349),'Site Info'!$A:$G,5,FALSE),"")</f>
        <v>GA</v>
      </c>
      <c r="N349" t="str">
        <f>IFERROR(VLOOKUP(VALUE(J349),'Site Info'!$A:$G,6,FALSE),"")</f>
        <v>31707-6600</v>
      </c>
      <c r="O349">
        <f>IFERROR(VLOOKUP(VALUE(J349),'Site Info'!$A:$G,7,FALSE),"")</f>
        <v>2298883400</v>
      </c>
    </row>
    <row r="350" spans="1:15" x14ac:dyDescent="0.45">
      <c r="A350" t="s">
        <v>7733</v>
      </c>
      <c r="B350" t="s">
        <v>7734</v>
      </c>
      <c r="C350" t="s">
        <v>7735</v>
      </c>
      <c r="D350" t="s">
        <v>3114</v>
      </c>
      <c r="E350" s="1">
        <v>46153.164918981478</v>
      </c>
      <c r="F350">
        <v>1547</v>
      </c>
      <c r="G350" t="s">
        <v>7736</v>
      </c>
      <c r="H350" t="s">
        <v>15</v>
      </c>
      <c r="I350" t="s">
        <v>3116</v>
      </c>
      <c r="J350" t="str">
        <f>RIGHT(D350,4)</f>
        <v>6506</v>
      </c>
      <c r="K350" t="str">
        <f>IFERROR(VLOOKUP(VALUE(J350),'Site Info'!$A:$G,3,FALSE),"")</f>
        <v>1201 N WESTOVER BLVD</v>
      </c>
      <c r="L350" t="str">
        <f>IFERROR(VLOOKUP(VALUE(J350),'Site Info'!$A:$G,4,FALSE),"")</f>
        <v>ALBANY</v>
      </c>
      <c r="M350" t="str">
        <f>IFERROR(VLOOKUP(VALUE(J350),'Site Info'!$A:$G,5,FALSE),"")</f>
        <v>GA</v>
      </c>
      <c r="N350" t="str">
        <f>IFERROR(VLOOKUP(VALUE(J350),'Site Info'!$A:$G,6,FALSE),"")</f>
        <v>31707-6600</v>
      </c>
      <c r="O350">
        <f>IFERROR(VLOOKUP(VALUE(J350),'Site Info'!$A:$G,7,FALSE),"")</f>
        <v>2298883400</v>
      </c>
    </row>
    <row r="351" spans="1:15" x14ac:dyDescent="0.45">
      <c r="A351" t="s">
        <v>3125</v>
      </c>
      <c r="B351" t="s">
        <v>3126</v>
      </c>
      <c r="C351" t="s">
        <v>3127</v>
      </c>
      <c r="D351" t="s">
        <v>3114</v>
      </c>
      <c r="E351" s="1">
        <v>46153.371053240742</v>
      </c>
      <c r="F351">
        <v>1481</v>
      </c>
      <c r="G351" t="s">
        <v>3128</v>
      </c>
      <c r="H351" t="s">
        <v>15</v>
      </c>
      <c r="I351" t="s">
        <v>3116</v>
      </c>
      <c r="J351" t="str">
        <f>RIGHT(D351,4)</f>
        <v>6506</v>
      </c>
      <c r="K351" t="str">
        <f>IFERROR(VLOOKUP(VALUE(J351),'Site Info'!$A:$G,3,FALSE),"")</f>
        <v>1201 N WESTOVER BLVD</v>
      </c>
      <c r="L351" t="str">
        <f>IFERROR(VLOOKUP(VALUE(J351),'Site Info'!$A:$G,4,FALSE),"")</f>
        <v>ALBANY</v>
      </c>
      <c r="M351" t="str">
        <f>IFERROR(VLOOKUP(VALUE(J351),'Site Info'!$A:$G,5,FALSE),"")</f>
        <v>GA</v>
      </c>
      <c r="N351" t="str">
        <f>IFERROR(VLOOKUP(VALUE(J351),'Site Info'!$A:$G,6,FALSE),"")</f>
        <v>31707-6600</v>
      </c>
      <c r="O351">
        <f>IFERROR(VLOOKUP(VALUE(J351),'Site Info'!$A:$G,7,FALSE),"")</f>
        <v>2298883400</v>
      </c>
    </row>
    <row r="352" spans="1:15" x14ac:dyDescent="0.45">
      <c r="A352" t="s">
        <v>3111</v>
      </c>
      <c r="B352" t="s">
        <v>3112</v>
      </c>
      <c r="C352" t="s">
        <v>3113</v>
      </c>
      <c r="D352" t="s">
        <v>3114</v>
      </c>
      <c r="E352" s="1">
        <v>46153.373055555552</v>
      </c>
      <c r="F352">
        <v>1481</v>
      </c>
      <c r="G352" t="s">
        <v>3115</v>
      </c>
      <c r="H352" t="s">
        <v>15</v>
      </c>
      <c r="I352" t="s">
        <v>3116</v>
      </c>
      <c r="J352" t="str">
        <f>RIGHT(D352,4)</f>
        <v>6506</v>
      </c>
      <c r="K352" t="str">
        <f>IFERROR(VLOOKUP(VALUE(J352),'Site Info'!$A:$G,3,FALSE),"")</f>
        <v>1201 N WESTOVER BLVD</v>
      </c>
      <c r="L352" t="str">
        <f>IFERROR(VLOOKUP(VALUE(J352),'Site Info'!$A:$G,4,FALSE),"")</f>
        <v>ALBANY</v>
      </c>
      <c r="M352" t="str">
        <f>IFERROR(VLOOKUP(VALUE(J352),'Site Info'!$A:$G,5,FALSE),"")</f>
        <v>GA</v>
      </c>
      <c r="N352" t="str">
        <f>IFERROR(VLOOKUP(VALUE(J352),'Site Info'!$A:$G,6,FALSE),"")</f>
        <v>31707-6600</v>
      </c>
      <c r="O352">
        <f>IFERROR(VLOOKUP(VALUE(J352),'Site Info'!$A:$G,7,FALSE),"")</f>
        <v>2298883400</v>
      </c>
    </row>
    <row r="353" spans="1:15" x14ac:dyDescent="0.45">
      <c r="A353" t="s">
        <v>8369</v>
      </c>
      <c r="B353" t="s">
        <v>8370</v>
      </c>
      <c r="C353" t="s">
        <v>8371</v>
      </c>
      <c r="D353" t="s">
        <v>501</v>
      </c>
      <c r="E353" s="1">
        <v>46114.275462962964</v>
      </c>
      <c r="F353">
        <v>1547</v>
      </c>
      <c r="G353" t="s">
        <v>8372</v>
      </c>
      <c r="H353" t="s">
        <v>15</v>
      </c>
      <c r="I353" t="s">
        <v>503</v>
      </c>
      <c r="J353" t="str">
        <f>RIGHT(D353,4)</f>
        <v>6436</v>
      </c>
      <c r="K353" t="str">
        <f>IFERROR(VLOOKUP(VALUE(J353),'Site Info'!$A:$G,3,FALSE),"")</f>
        <v>1211 CROSSING MEADOWS DR</v>
      </c>
      <c r="L353" t="str">
        <f>IFERROR(VLOOKUP(VALUE(J353),'Site Info'!$A:$G,4,FALSE),"")</f>
        <v>ONALASKA</v>
      </c>
      <c r="M353" t="str">
        <f>IFERROR(VLOOKUP(VALUE(J353),'Site Info'!$A:$G,5,FALSE),"")</f>
        <v>WI</v>
      </c>
      <c r="N353" t="str">
        <f>IFERROR(VLOOKUP(VALUE(J353),'Site Info'!$A:$G,6,FALSE),"")</f>
        <v>54650-8560</v>
      </c>
      <c r="O353">
        <f>IFERROR(VLOOKUP(VALUE(J353),'Site Info'!$A:$G,7,FALSE),"")</f>
        <v>6087811670</v>
      </c>
    </row>
    <row r="354" spans="1:15" x14ac:dyDescent="0.45">
      <c r="A354" t="s">
        <v>8341</v>
      </c>
      <c r="B354" t="s">
        <v>8342</v>
      </c>
      <c r="C354" t="s">
        <v>8343</v>
      </c>
      <c r="D354" t="s">
        <v>501</v>
      </c>
      <c r="E354" s="1">
        <v>46151.65662037037</v>
      </c>
      <c r="F354">
        <v>1547</v>
      </c>
      <c r="G354" t="s">
        <v>8344</v>
      </c>
      <c r="H354" t="s">
        <v>15</v>
      </c>
      <c r="I354" t="s">
        <v>503</v>
      </c>
      <c r="J354" t="str">
        <f>RIGHT(D354,4)</f>
        <v>6436</v>
      </c>
      <c r="K354" t="str">
        <f>IFERROR(VLOOKUP(VALUE(J354),'Site Info'!$A:$G,3,FALSE),"")</f>
        <v>1211 CROSSING MEADOWS DR</v>
      </c>
      <c r="L354" t="str">
        <f>IFERROR(VLOOKUP(VALUE(J354),'Site Info'!$A:$G,4,FALSE),"")</f>
        <v>ONALASKA</v>
      </c>
      <c r="M354" t="str">
        <f>IFERROR(VLOOKUP(VALUE(J354),'Site Info'!$A:$G,5,FALSE),"")</f>
        <v>WI</v>
      </c>
      <c r="N354" t="str">
        <f>IFERROR(VLOOKUP(VALUE(J354),'Site Info'!$A:$G,6,FALSE),"")</f>
        <v>54650-8560</v>
      </c>
      <c r="O354">
        <f>IFERROR(VLOOKUP(VALUE(J354),'Site Info'!$A:$G,7,FALSE),"")</f>
        <v>6087811670</v>
      </c>
    </row>
    <row r="355" spans="1:15" x14ac:dyDescent="0.45">
      <c r="A355" t="s">
        <v>8469</v>
      </c>
      <c r="B355" t="s">
        <v>8470</v>
      </c>
      <c r="C355" t="s">
        <v>8471</v>
      </c>
      <c r="D355" t="s">
        <v>501</v>
      </c>
      <c r="E355" s="1">
        <v>46152.541932870372</v>
      </c>
      <c r="F355">
        <v>1547</v>
      </c>
      <c r="G355" t="s">
        <v>8472</v>
      </c>
      <c r="H355" t="s">
        <v>15</v>
      </c>
      <c r="I355" t="s">
        <v>503</v>
      </c>
      <c r="J355" t="str">
        <f>RIGHT(D355,4)</f>
        <v>6436</v>
      </c>
      <c r="K355" t="str">
        <f>IFERROR(VLOOKUP(VALUE(J355),'Site Info'!$A:$G,3,FALSE),"")</f>
        <v>1211 CROSSING MEADOWS DR</v>
      </c>
      <c r="L355" t="str">
        <f>IFERROR(VLOOKUP(VALUE(J355),'Site Info'!$A:$G,4,FALSE),"")</f>
        <v>ONALASKA</v>
      </c>
      <c r="M355" t="str">
        <f>IFERROR(VLOOKUP(VALUE(J355),'Site Info'!$A:$G,5,FALSE),"")</f>
        <v>WI</v>
      </c>
      <c r="N355" t="str">
        <f>IFERROR(VLOOKUP(VALUE(J355),'Site Info'!$A:$G,6,FALSE),"")</f>
        <v>54650-8560</v>
      </c>
      <c r="O355">
        <f>IFERROR(VLOOKUP(VALUE(J355),'Site Info'!$A:$G,7,FALSE),"")</f>
        <v>6087811670</v>
      </c>
    </row>
    <row r="356" spans="1:15" x14ac:dyDescent="0.45">
      <c r="A356" t="s">
        <v>7101</v>
      </c>
      <c r="B356" t="s">
        <v>7102</v>
      </c>
      <c r="C356" t="s">
        <v>7103</v>
      </c>
      <c r="D356" t="s">
        <v>501</v>
      </c>
      <c r="E356" s="1">
        <v>46153.284791666665</v>
      </c>
      <c r="F356">
        <v>1547</v>
      </c>
      <c r="G356" t="s">
        <v>7104</v>
      </c>
      <c r="H356" t="s">
        <v>15</v>
      </c>
      <c r="I356" t="s">
        <v>503</v>
      </c>
      <c r="J356" t="str">
        <f>RIGHT(D356,4)</f>
        <v>6436</v>
      </c>
      <c r="K356" t="str">
        <f>IFERROR(VLOOKUP(VALUE(J356),'Site Info'!$A:$G,3,FALSE),"")</f>
        <v>1211 CROSSING MEADOWS DR</v>
      </c>
      <c r="L356" t="str">
        <f>IFERROR(VLOOKUP(VALUE(J356),'Site Info'!$A:$G,4,FALSE),"")</f>
        <v>ONALASKA</v>
      </c>
      <c r="M356" t="str">
        <f>IFERROR(VLOOKUP(VALUE(J356),'Site Info'!$A:$G,5,FALSE),"")</f>
        <v>WI</v>
      </c>
      <c r="N356" t="str">
        <f>IFERROR(VLOOKUP(VALUE(J356),'Site Info'!$A:$G,6,FALSE),"")</f>
        <v>54650-8560</v>
      </c>
      <c r="O356">
        <f>IFERROR(VLOOKUP(VALUE(J356),'Site Info'!$A:$G,7,FALSE),"")</f>
        <v>6087811670</v>
      </c>
    </row>
    <row r="357" spans="1:15" x14ac:dyDescent="0.45">
      <c r="A357" t="s">
        <v>498</v>
      </c>
      <c r="B357" t="s">
        <v>499</v>
      </c>
      <c r="C357" t="s">
        <v>500</v>
      </c>
      <c r="D357" t="s">
        <v>501</v>
      </c>
      <c r="E357" s="1">
        <v>46153.297835648147</v>
      </c>
      <c r="F357">
        <v>1481</v>
      </c>
      <c r="G357" t="s">
        <v>502</v>
      </c>
      <c r="H357" t="s">
        <v>15</v>
      </c>
      <c r="I357" t="s">
        <v>503</v>
      </c>
      <c r="J357" t="str">
        <f>RIGHT(D357,4)</f>
        <v>6436</v>
      </c>
      <c r="K357" t="str">
        <f>IFERROR(VLOOKUP(VALUE(J357),'Site Info'!$A:$G,3,FALSE),"")</f>
        <v>1211 CROSSING MEADOWS DR</v>
      </c>
      <c r="L357" t="str">
        <f>IFERROR(VLOOKUP(VALUE(J357),'Site Info'!$A:$G,4,FALSE),"")</f>
        <v>ONALASKA</v>
      </c>
      <c r="M357" t="str">
        <f>IFERROR(VLOOKUP(VALUE(J357),'Site Info'!$A:$G,5,FALSE),"")</f>
        <v>WI</v>
      </c>
      <c r="N357" t="str">
        <f>IFERROR(VLOOKUP(VALUE(J357),'Site Info'!$A:$G,6,FALSE),"")</f>
        <v>54650-8560</v>
      </c>
      <c r="O357">
        <f>IFERROR(VLOOKUP(VALUE(J357),'Site Info'!$A:$G,7,FALSE),"")</f>
        <v>6087811670</v>
      </c>
    </row>
    <row r="358" spans="1:15" x14ac:dyDescent="0.45">
      <c r="A358" t="s">
        <v>16866</v>
      </c>
      <c r="B358" t="s">
        <v>16867</v>
      </c>
      <c r="C358" t="s">
        <v>16868</v>
      </c>
      <c r="D358" t="s">
        <v>501</v>
      </c>
      <c r="E358" s="1">
        <v>46153.362118055556</v>
      </c>
      <c r="F358">
        <v>1547</v>
      </c>
      <c r="G358" t="s">
        <v>16869</v>
      </c>
      <c r="H358" t="s">
        <v>15</v>
      </c>
      <c r="I358" t="s">
        <v>503</v>
      </c>
      <c r="J358" t="str">
        <f>RIGHT(D358,4)</f>
        <v>6436</v>
      </c>
      <c r="K358" t="str">
        <f>IFERROR(VLOOKUP(VALUE(J358),'Site Info'!$A:$G,3,FALSE),"")</f>
        <v>1211 CROSSING MEADOWS DR</v>
      </c>
      <c r="L358" t="str">
        <f>IFERROR(VLOOKUP(VALUE(J358),'Site Info'!$A:$G,4,FALSE),"")</f>
        <v>ONALASKA</v>
      </c>
      <c r="M358" t="str">
        <f>IFERROR(VLOOKUP(VALUE(J358),'Site Info'!$A:$G,5,FALSE),"")</f>
        <v>WI</v>
      </c>
      <c r="N358" t="str">
        <f>IFERROR(VLOOKUP(VALUE(J358),'Site Info'!$A:$G,6,FALSE),"")</f>
        <v>54650-8560</v>
      </c>
      <c r="O358">
        <f>IFERROR(VLOOKUP(VALUE(J358),'Site Info'!$A:$G,7,FALSE),"")</f>
        <v>6087811670</v>
      </c>
    </row>
    <row r="359" spans="1:15" x14ac:dyDescent="0.45">
      <c r="A359" t="s">
        <v>8005</v>
      </c>
      <c r="B359" t="s">
        <v>8006</v>
      </c>
      <c r="C359" t="s">
        <v>8007</v>
      </c>
      <c r="D359" t="s">
        <v>751</v>
      </c>
      <c r="E359" s="1">
        <v>46152.580196759256</v>
      </c>
      <c r="F359">
        <v>1547</v>
      </c>
      <c r="G359" t="s">
        <v>8008</v>
      </c>
      <c r="H359" t="s">
        <v>15</v>
      </c>
      <c r="I359" t="s">
        <v>753</v>
      </c>
      <c r="J359" t="str">
        <f>RIGHT(D359,4)</f>
        <v>8278</v>
      </c>
      <c r="K359" t="str">
        <f>IFERROR(VLOOKUP(VALUE(J359),'Site Info'!$A:$G,3,FALSE),"")</f>
        <v>1211 WOODRUFF RD</v>
      </c>
      <c r="L359" t="str">
        <f>IFERROR(VLOOKUP(VALUE(J359),'Site Info'!$A:$G,4,FALSE),"")</f>
        <v>GREENVILLE</v>
      </c>
      <c r="M359" t="str">
        <f>IFERROR(VLOOKUP(VALUE(J359),'Site Info'!$A:$G,5,FALSE),"")</f>
        <v>SC</v>
      </c>
      <c r="N359" t="str">
        <f>IFERROR(VLOOKUP(VALUE(J359),'Site Info'!$A:$G,6,FALSE),"")</f>
        <v>29607-5737</v>
      </c>
      <c r="O359">
        <f>IFERROR(VLOOKUP(VALUE(J359),'Site Info'!$A:$G,7,FALSE),"")</f>
        <v>8649877220</v>
      </c>
    </row>
    <row r="360" spans="1:15" x14ac:dyDescent="0.45">
      <c r="A360" t="s">
        <v>7923</v>
      </c>
      <c r="B360" t="s">
        <v>7924</v>
      </c>
      <c r="C360" t="s">
        <v>7925</v>
      </c>
      <c r="D360" t="s">
        <v>751</v>
      </c>
      <c r="E360" s="1">
        <v>46152.624050925922</v>
      </c>
      <c r="F360">
        <v>1547</v>
      </c>
      <c r="G360" t="s">
        <v>7926</v>
      </c>
      <c r="H360" t="s">
        <v>15</v>
      </c>
      <c r="I360" t="s">
        <v>753</v>
      </c>
      <c r="J360" t="str">
        <f>RIGHT(D360,4)</f>
        <v>8278</v>
      </c>
      <c r="K360" t="str">
        <f>IFERROR(VLOOKUP(VALUE(J360),'Site Info'!$A:$G,3,FALSE),"")</f>
        <v>1211 WOODRUFF RD</v>
      </c>
      <c r="L360" t="str">
        <f>IFERROR(VLOOKUP(VALUE(J360),'Site Info'!$A:$G,4,FALSE),"")</f>
        <v>GREENVILLE</v>
      </c>
      <c r="M360" t="str">
        <f>IFERROR(VLOOKUP(VALUE(J360),'Site Info'!$A:$G,5,FALSE),"")</f>
        <v>SC</v>
      </c>
      <c r="N360" t="str">
        <f>IFERROR(VLOOKUP(VALUE(J360),'Site Info'!$A:$G,6,FALSE),"")</f>
        <v>29607-5737</v>
      </c>
      <c r="O360">
        <f>IFERROR(VLOOKUP(VALUE(J360),'Site Info'!$A:$G,7,FALSE),"")</f>
        <v>8649877220</v>
      </c>
    </row>
    <row r="361" spans="1:15" x14ac:dyDescent="0.45">
      <c r="A361" t="s">
        <v>8085</v>
      </c>
      <c r="B361" t="s">
        <v>8086</v>
      </c>
      <c r="C361" t="s">
        <v>8087</v>
      </c>
      <c r="D361" t="s">
        <v>751</v>
      </c>
      <c r="E361" s="1">
        <v>46153.311412037037</v>
      </c>
      <c r="F361">
        <v>1547</v>
      </c>
      <c r="G361" t="s">
        <v>8088</v>
      </c>
      <c r="H361" t="s">
        <v>15</v>
      </c>
      <c r="I361" t="s">
        <v>753</v>
      </c>
      <c r="J361" t="str">
        <f>RIGHT(D361,4)</f>
        <v>8278</v>
      </c>
      <c r="K361" t="str">
        <f>IFERROR(VLOOKUP(VALUE(J361),'Site Info'!$A:$G,3,FALSE),"")</f>
        <v>1211 WOODRUFF RD</v>
      </c>
      <c r="L361" t="str">
        <f>IFERROR(VLOOKUP(VALUE(J361),'Site Info'!$A:$G,4,FALSE),"")</f>
        <v>GREENVILLE</v>
      </c>
      <c r="M361" t="str">
        <f>IFERROR(VLOOKUP(VALUE(J361),'Site Info'!$A:$G,5,FALSE),"")</f>
        <v>SC</v>
      </c>
      <c r="N361" t="str">
        <f>IFERROR(VLOOKUP(VALUE(J361),'Site Info'!$A:$G,6,FALSE),"")</f>
        <v>29607-5737</v>
      </c>
      <c r="O361">
        <f>IFERROR(VLOOKUP(VALUE(J361),'Site Info'!$A:$G,7,FALSE),"")</f>
        <v>8649877220</v>
      </c>
    </row>
    <row r="362" spans="1:15" x14ac:dyDescent="0.45">
      <c r="A362" t="s">
        <v>748</v>
      </c>
      <c r="B362" t="s">
        <v>749</v>
      </c>
      <c r="C362" t="s">
        <v>750</v>
      </c>
      <c r="D362" t="s">
        <v>751</v>
      </c>
      <c r="E362" s="1">
        <v>46153.329363425924</v>
      </c>
      <c r="F362">
        <v>1481</v>
      </c>
      <c r="G362" t="s">
        <v>752</v>
      </c>
      <c r="H362" t="s">
        <v>15</v>
      </c>
      <c r="I362" t="s">
        <v>753</v>
      </c>
      <c r="J362" t="str">
        <f>RIGHT(D362,4)</f>
        <v>8278</v>
      </c>
      <c r="K362" t="str">
        <f>IFERROR(VLOOKUP(VALUE(J362),'Site Info'!$A:$G,3,FALSE),"")</f>
        <v>1211 WOODRUFF RD</v>
      </c>
      <c r="L362" t="str">
        <f>IFERROR(VLOOKUP(VALUE(J362),'Site Info'!$A:$G,4,FALSE),"")</f>
        <v>GREENVILLE</v>
      </c>
      <c r="M362" t="str">
        <f>IFERROR(VLOOKUP(VALUE(J362),'Site Info'!$A:$G,5,FALSE),"")</f>
        <v>SC</v>
      </c>
      <c r="N362" t="str">
        <f>IFERROR(VLOOKUP(VALUE(J362),'Site Info'!$A:$G,6,FALSE),"")</f>
        <v>29607-5737</v>
      </c>
      <c r="O362">
        <f>IFERROR(VLOOKUP(VALUE(J362),'Site Info'!$A:$G,7,FALSE),"")</f>
        <v>8649877220</v>
      </c>
    </row>
    <row r="363" spans="1:15" x14ac:dyDescent="0.45">
      <c r="A363" t="s">
        <v>16465</v>
      </c>
      <c r="B363" t="s">
        <v>17264</v>
      </c>
      <c r="C363" t="s">
        <v>17265</v>
      </c>
      <c r="D363" t="s">
        <v>751</v>
      </c>
      <c r="E363" s="1">
        <v>46153.340868055559</v>
      </c>
      <c r="F363">
        <v>1628</v>
      </c>
      <c r="G363" t="s">
        <v>17266</v>
      </c>
      <c r="H363" t="s">
        <v>13988</v>
      </c>
      <c r="I363" t="s">
        <v>753</v>
      </c>
      <c r="J363" t="str">
        <f>RIGHT(D363,4)</f>
        <v>8278</v>
      </c>
      <c r="K363" t="str">
        <f>IFERROR(VLOOKUP(VALUE(J363),'Site Info'!$A:$G,3,FALSE),"")</f>
        <v>1211 WOODRUFF RD</v>
      </c>
      <c r="L363" t="str">
        <f>IFERROR(VLOOKUP(VALUE(J363),'Site Info'!$A:$G,4,FALSE),"")</f>
        <v>GREENVILLE</v>
      </c>
      <c r="M363" t="str">
        <f>IFERROR(VLOOKUP(VALUE(J363),'Site Info'!$A:$G,5,FALSE),"")</f>
        <v>SC</v>
      </c>
      <c r="N363" t="str">
        <f>IFERROR(VLOOKUP(VALUE(J363),'Site Info'!$A:$G,6,FALSE),"")</f>
        <v>29607-5737</v>
      </c>
      <c r="O363">
        <f>IFERROR(VLOOKUP(VALUE(J363),'Site Info'!$A:$G,7,FALSE),"")</f>
        <v>8649877220</v>
      </c>
    </row>
    <row r="364" spans="1:15" x14ac:dyDescent="0.45">
      <c r="A364" t="s">
        <v>4158</v>
      </c>
      <c r="B364" t="s">
        <v>4159</v>
      </c>
      <c r="C364" t="s">
        <v>4160</v>
      </c>
      <c r="D364" t="s">
        <v>2738</v>
      </c>
      <c r="E364" s="1">
        <v>46150.267916666664</v>
      </c>
      <c r="F364">
        <v>1547</v>
      </c>
      <c r="G364" t="s">
        <v>4161</v>
      </c>
      <c r="H364" t="s">
        <v>15</v>
      </c>
      <c r="I364" t="s">
        <v>2740</v>
      </c>
      <c r="J364" t="str">
        <f>RIGHT(D364,4)</f>
        <v>6265</v>
      </c>
      <c r="K364" t="str">
        <f>IFERROR(VLOOKUP(VALUE(J364),'Site Info'!$A:$G,3,FALSE),"")</f>
        <v>1213 MARKET PLACE BLVD</v>
      </c>
      <c r="L364" t="str">
        <f>IFERROR(VLOOKUP(VALUE(J364),'Site Info'!$A:$G,4,FALSE),"")</f>
        <v>IRVING</v>
      </c>
      <c r="M364" t="str">
        <f>IFERROR(VLOOKUP(VALUE(J364),'Site Info'!$A:$G,5,FALSE),"")</f>
        <v>TX</v>
      </c>
      <c r="N364" t="str">
        <f>IFERROR(VLOOKUP(VALUE(J364),'Site Info'!$A:$G,6,FALSE),"")</f>
        <v>75063-7235</v>
      </c>
      <c r="O364">
        <f>IFERROR(VLOOKUP(VALUE(J364),'Site Info'!$A:$G,7,FALSE),"")</f>
        <v>9724010143</v>
      </c>
    </row>
    <row r="365" spans="1:15" x14ac:dyDescent="0.45">
      <c r="A365" t="s">
        <v>6414</v>
      </c>
      <c r="B365" t="s">
        <v>6415</v>
      </c>
      <c r="C365" t="s">
        <v>6416</v>
      </c>
      <c r="D365" t="s">
        <v>2738</v>
      </c>
      <c r="E365" s="1">
        <v>46152.233252314814</v>
      </c>
      <c r="F365">
        <v>1547</v>
      </c>
      <c r="G365" t="s">
        <v>6417</v>
      </c>
      <c r="H365" t="s">
        <v>15</v>
      </c>
      <c r="I365" t="s">
        <v>2740</v>
      </c>
      <c r="J365" t="str">
        <f>RIGHT(D365,4)</f>
        <v>6265</v>
      </c>
      <c r="K365" t="str">
        <f>IFERROR(VLOOKUP(VALUE(J365),'Site Info'!$A:$G,3,FALSE),"")</f>
        <v>1213 MARKET PLACE BLVD</v>
      </c>
      <c r="L365" t="str">
        <f>IFERROR(VLOOKUP(VALUE(J365),'Site Info'!$A:$G,4,FALSE),"")</f>
        <v>IRVING</v>
      </c>
      <c r="M365" t="str">
        <f>IFERROR(VLOOKUP(VALUE(J365),'Site Info'!$A:$G,5,FALSE),"")</f>
        <v>TX</v>
      </c>
      <c r="N365" t="str">
        <f>IFERROR(VLOOKUP(VALUE(J365),'Site Info'!$A:$G,6,FALSE),"")</f>
        <v>75063-7235</v>
      </c>
      <c r="O365">
        <f>IFERROR(VLOOKUP(VALUE(J365),'Site Info'!$A:$G,7,FALSE),"")</f>
        <v>9724010143</v>
      </c>
    </row>
    <row r="366" spans="1:15" x14ac:dyDescent="0.45">
      <c r="A366" t="s">
        <v>9974</v>
      </c>
      <c r="B366" t="s">
        <v>9975</v>
      </c>
      <c r="C366" t="s">
        <v>9976</v>
      </c>
      <c r="D366" t="s">
        <v>2738</v>
      </c>
      <c r="E366" s="1">
        <v>46152.507268518515</v>
      </c>
      <c r="F366">
        <v>1547</v>
      </c>
      <c r="G366" t="s">
        <v>9977</v>
      </c>
      <c r="H366" t="s">
        <v>15</v>
      </c>
      <c r="I366" t="s">
        <v>2740</v>
      </c>
      <c r="J366" t="str">
        <f>RIGHT(D366,4)</f>
        <v>6265</v>
      </c>
      <c r="K366" t="str">
        <f>IFERROR(VLOOKUP(VALUE(J366),'Site Info'!$A:$G,3,FALSE),"")</f>
        <v>1213 MARKET PLACE BLVD</v>
      </c>
      <c r="L366" t="str">
        <f>IFERROR(VLOOKUP(VALUE(J366),'Site Info'!$A:$G,4,FALSE),"")</f>
        <v>IRVING</v>
      </c>
      <c r="M366" t="str">
        <f>IFERROR(VLOOKUP(VALUE(J366),'Site Info'!$A:$G,5,FALSE),"")</f>
        <v>TX</v>
      </c>
      <c r="N366" t="str">
        <f>IFERROR(VLOOKUP(VALUE(J366),'Site Info'!$A:$G,6,FALSE),"")</f>
        <v>75063-7235</v>
      </c>
      <c r="O366">
        <f>IFERROR(VLOOKUP(VALUE(J366),'Site Info'!$A:$G,7,FALSE),"")</f>
        <v>9724010143</v>
      </c>
    </row>
    <row r="367" spans="1:15" x14ac:dyDescent="0.45">
      <c r="A367" t="s">
        <v>9832</v>
      </c>
      <c r="B367" t="s">
        <v>9833</v>
      </c>
      <c r="C367" t="s">
        <v>9834</v>
      </c>
      <c r="D367" t="s">
        <v>2738</v>
      </c>
      <c r="E367" s="1">
        <v>46152.568425925929</v>
      </c>
      <c r="F367">
        <v>1547</v>
      </c>
      <c r="G367" t="s">
        <v>9835</v>
      </c>
      <c r="H367" t="s">
        <v>15</v>
      </c>
      <c r="I367" t="s">
        <v>2740</v>
      </c>
      <c r="J367" t="str">
        <f>RIGHT(D367,4)</f>
        <v>6265</v>
      </c>
      <c r="K367" t="str">
        <f>IFERROR(VLOOKUP(VALUE(J367),'Site Info'!$A:$G,3,FALSE),"")</f>
        <v>1213 MARKET PLACE BLVD</v>
      </c>
      <c r="L367" t="str">
        <f>IFERROR(VLOOKUP(VALUE(J367),'Site Info'!$A:$G,4,FALSE),"")</f>
        <v>IRVING</v>
      </c>
      <c r="M367" t="str">
        <f>IFERROR(VLOOKUP(VALUE(J367),'Site Info'!$A:$G,5,FALSE),"")</f>
        <v>TX</v>
      </c>
      <c r="N367" t="str">
        <f>IFERROR(VLOOKUP(VALUE(J367),'Site Info'!$A:$G,6,FALSE),"")</f>
        <v>75063-7235</v>
      </c>
      <c r="O367">
        <f>IFERROR(VLOOKUP(VALUE(J367),'Site Info'!$A:$G,7,FALSE),"")</f>
        <v>9724010143</v>
      </c>
    </row>
    <row r="368" spans="1:15" x14ac:dyDescent="0.45">
      <c r="A368" t="s">
        <v>6238</v>
      </c>
      <c r="B368" t="s">
        <v>6239</v>
      </c>
      <c r="C368" t="s">
        <v>6240</v>
      </c>
      <c r="D368" t="s">
        <v>2738</v>
      </c>
      <c r="E368" s="1">
        <v>46152.679085648146</v>
      </c>
      <c r="F368">
        <v>1547</v>
      </c>
      <c r="G368" t="s">
        <v>6241</v>
      </c>
      <c r="H368" t="s">
        <v>15</v>
      </c>
      <c r="I368" t="s">
        <v>2740</v>
      </c>
      <c r="J368" t="str">
        <f>RIGHT(D368,4)</f>
        <v>6265</v>
      </c>
      <c r="K368" t="str">
        <f>IFERROR(VLOOKUP(VALUE(J368),'Site Info'!$A:$G,3,FALSE),"")</f>
        <v>1213 MARKET PLACE BLVD</v>
      </c>
      <c r="L368" t="str">
        <f>IFERROR(VLOOKUP(VALUE(J368),'Site Info'!$A:$G,4,FALSE),"")</f>
        <v>IRVING</v>
      </c>
      <c r="M368" t="str">
        <f>IFERROR(VLOOKUP(VALUE(J368),'Site Info'!$A:$G,5,FALSE),"")</f>
        <v>TX</v>
      </c>
      <c r="N368" t="str">
        <f>IFERROR(VLOOKUP(VALUE(J368),'Site Info'!$A:$G,6,FALSE),"")</f>
        <v>75063-7235</v>
      </c>
      <c r="O368">
        <f>IFERROR(VLOOKUP(VALUE(J368),'Site Info'!$A:$G,7,FALSE),"")</f>
        <v>9724010143</v>
      </c>
    </row>
    <row r="369" spans="1:15" x14ac:dyDescent="0.45">
      <c r="A369" t="s">
        <v>6396</v>
      </c>
      <c r="B369" t="s">
        <v>6397</v>
      </c>
      <c r="C369" t="s">
        <v>6398</v>
      </c>
      <c r="D369" t="s">
        <v>2738</v>
      </c>
      <c r="E369" s="1">
        <v>46153.35728009259</v>
      </c>
      <c r="F369">
        <v>1547</v>
      </c>
      <c r="G369" t="s">
        <v>6399</v>
      </c>
      <c r="H369" t="s">
        <v>15</v>
      </c>
      <c r="I369" t="s">
        <v>2740</v>
      </c>
      <c r="J369" t="str">
        <f>RIGHT(D369,4)</f>
        <v>6265</v>
      </c>
      <c r="K369" t="str">
        <f>IFERROR(VLOOKUP(VALUE(J369),'Site Info'!$A:$G,3,FALSE),"")</f>
        <v>1213 MARKET PLACE BLVD</v>
      </c>
      <c r="L369" t="str">
        <f>IFERROR(VLOOKUP(VALUE(J369),'Site Info'!$A:$G,4,FALSE),"")</f>
        <v>IRVING</v>
      </c>
      <c r="M369" t="str">
        <f>IFERROR(VLOOKUP(VALUE(J369),'Site Info'!$A:$G,5,FALSE),"")</f>
        <v>TX</v>
      </c>
      <c r="N369" t="str">
        <f>IFERROR(VLOOKUP(VALUE(J369),'Site Info'!$A:$G,6,FALSE),"")</f>
        <v>75063-7235</v>
      </c>
      <c r="O369">
        <f>IFERROR(VLOOKUP(VALUE(J369),'Site Info'!$A:$G,7,FALSE),"")</f>
        <v>9724010143</v>
      </c>
    </row>
    <row r="370" spans="1:15" x14ac:dyDescent="0.45">
      <c r="A370" t="s">
        <v>2735</v>
      </c>
      <c r="B370" t="s">
        <v>2736</v>
      </c>
      <c r="C370" t="s">
        <v>2737</v>
      </c>
      <c r="D370" t="s">
        <v>2738</v>
      </c>
      <c r="E370" s="1">
        <v>46148.760405092595</v>
      </c>
      <c r="F370">
        <v>1481</v>
      </c>
      <c r="G370" t="s">
        <v>2739</v>
      </c>
      <c r="H370" t="s">
        <v>15</v>
      </c>
      <c r="I370" t="s">
        <v>2740</v>
      </c>
      <c r="J370" t="str">
        <f>RIGHT(D370,4)</f>
        <v>6265</v>
      </c>
      <c r="K370" t="str">
        <f>IFERROR(VLOOKUP(VALUE(J370),'Site Info'!$A:$G,3,FALSE),"")</f>
        <v>1213 MARKET PLACE BLVD</v>
      </c>
      <c r="L370" t="str">
        <f>IFERROR(VLOOKUP(VALUE(J370),'Site Info'!$A:$G,4,FALSE),"")</f>
        <v>IRVING</v>
      </c>
      <c r="M370" t="str">
        <f>IFERROR(VLOOKUP(VALUE(J370),'Site Info'!$A:$G,5,FALSE),"")</f>
        <v>TX</v>
      </c>
      <c r="N370" t="str">
        <f>IFERROR(VLOOKUP(VALUE(J370),'Site Info'!$A:$G,6,FALSE),"")</f>
        <v>75063-7235</v>
      </c>
      <c r="O370">
        <f>IFERROR(VLOOKUP(VALUE(J370),'Site Info'!$A:$G,7,FALSE),"")</f>
        <v>9724010143</v>
      </c>
    </row>
    <row r="371" spans="1:15" x14ac:dyDescent="0.45">
      <c r="A371" t="s">
        <v>16679</v>
      </c>
      <c r="B371" t="s">
        <v>16680</v>
      </c>
      <c r="C371" t="s">
        <v>16681</v>
      </c>
      <c r="D371" t="s">
        <v>2738</v>
      </c>
      <c r="E371" s="1">
        <v>46151.010474537034</v>
      </c>
      <c r="F371">
        <v>1481</v>
      </c>
      <c r="G371" t="s">
        <v>16682</v>
      </c>
      <c r="H371" t="s">
        <v>15</v>
      </c>
      <c r="I371" t="s">
        <v>2740</v>
      </c>
      <c r="J371" t="str">
        <f>RIGHT(D371,4)</f>
        <v>6265</v>
      </c>
      <c r="K371" t="str">
        <f>IFERROR(VLOOKUP(VALUE(J371),'Site Info'!$A:$G,3,FALSE),"")</f>
        <v>1213 MARKET PLACE BLVD</v>
      </c>
      <c r="L371" t="str">
        <f>IFERROR(VLOOKUP(VALUE(J371),'Site Info'!$A:$G,4,FALSE),"")</f>
        <v>IRVING</v>
      </c>
      <c r="M371" t="str">
        <f>IFERROR(VLOOKUP(VALUE(J371),'Site Info'!$A:$G,5,FALSE),"")</f>
        <v>TX</v>
      </c>
      <c r="N371" t="str">
        <f>IFERROR(VLOOKUP(VALUE(J371),'Site Info'!$A:$G,6,FALSE),"")</f>
        <v>75063-7235</v>
      </c>
      <c r="O371">
        <f>IFERROR(VLOOKUP(VALUE(J371),'Site Info'!$A:$G,7,FALSE),"")</f>
        <v>9724010143</v>
      </c>
    </row>
    <row r="372" spans="1:15" x14ac:dyDescent="0.45">
      <c r="A372" t="s">
        <v>7805</v>
      </c>
      <c r="B372" t="s">
        <v>7806</v>
      </c>
      <c r="C372" t="s">
        <v>7807</v>
      </c>
      <c r="D372" t="s">
        <v>3228</v>
      </c>
      <c r="E372" s="1">
        <v>46151.60765046296</v>
      </c>
      <c r="F372">
        <v>1547</v>
      </c>
      <c r="G372" t="s">
        <v>7808</v>
      </c>
      <c r="H372" t="s">
        <v>15</v>
      </c>
      <c r="I372" t="s">
        <v>3230</v>
      </c>
      <c r="J372" t="str">
        <f>RIGHT(D372,4)</f>
        <v>4860</v>
      </c>
      <c r="K372" t="str">
        <f>IFERROR(VLOOKUP(VALUE(J372),'Site Info'!$A:$G,3,FALSE),"")</f>
        <v>1220 N EISENHOWER DR</v>
      </c>
      <c r="L372" t="str">
        <f>IFERROR(VLOOKUP(VALUE(J372),'Site Info'!$A:$G,4,FALSE),"")</f>
        <v>BECKLEY</v>
      </c>
      <c r="M372" t="str">
        <f>IFERROR(VLOOKUP(VALUE(J372),'Site Info'!$A:$G,5,FALSE),"")</f>
        <v>WV</v>
      </c>
      <c r="N372" t="str">
        <f>IFERROR(VLOOKUP(VALUE(J372),'Site Info'!$A:$G,6,FALSE),"")</f>
        <v>25801-3120</v>
      </c>
      <c r="O372">
        <f>IFERROR(VLOOKUP(VALUE(J372),'Site Info'!$A:$G,7,FALSE),"")</f>
        <v>3042526508</v>
      </c>
    </row>
    <row r="373" spans="1:15" x14ac:dyDescent="0.45">
      <c r="A373" t="s">
        <v>7459</v>
      </c>
      <c r="B373" t="s">
        <v>7460</v>
      </c>
      <c r="C373" t="s">
        <v>7461</v>
      </c>
      <c r="D373" t="s">
        <v>3228</v>
      </c>
      <c r="E373" s="1">
        <v>46151.815324074072</v>
      </c>
      <c r="F373">
        <v>1547</v>
      </c>
      <c r="G373" t="s">
        <v>7462</v>
      </c>
      <c r="H373" t="s">
        <v>15</v>
      </c>
      <c r="I373" t="s">
        <v>3230</v>
      </c>
      <c r="J373" t="str">
        <f>RIGHT(D373,4)</f>
        <v>4860</v>
      </c>
      <c r="K373" t="str">
        <f>IFERROR(VLOOKUP(VALUE(J373),'Site Info'!$A:$G,3,FALSE),"")</f>
        <v>1220 N EISENHOWER DR</v>
      </c>
      <c r="L373" t="str">
        <f>IFERROR(VLOOKUP(VALUE(J373),'Site Info'!$A:$G,4,FALSE),"")</f>
        <v>BECKLEY</v>
      </c>
      <c r="M373" t="str">
        <f>IFERROR(VLOOKUP(VALUE(J373),'Site Info'!$A:$G,5,FALSE),"")</f>
        <v>WV</v>
      </c>
      <c r="N373" t="str">
        <f>IFERROR(VLOOKUP(VALUE(J373),'Site Info'!$A:$G,6,FALSE),"")</f>
        <v>25801-3120</v>
      </c>
      <c r="O373">
        <f>IFERROR(VLOOKUP(VALUE(J373),'Site Info'!$A:$G,7,FALSE),"")</f>
        <v>3042526508</v>
      </c>
    </row>
    <row r="374" spans="1:15" x14ac:dyDescent="0.45">
      <c r="A374" t="s">
        <v>9121</v>
      </c>
      <c r="B374" t="s">
        <v>9122</v>
      </c>
      <c r="C374" t="s">
        <v>9123</v>
      </c>
      <c r="D374" t="s">
        <v>3228</v>
      </c>
      <c r="E374" s="1">
        <v>46153.135914351849</v>
      </c>
      <c r="F374">
        <v>1547</v>
      </c>
      <c r="G374" t="s">
        <v>9124</v>
      </c>
      <c r="H374" t="s">
        <v>15</v>
      </c>
      <c r="I374" t="s">
        <v>3230</v>
      </c>
      <c r="J374" t="str">
        <f>RIGHT(D374,4)</f>
        <v>4860</v>
      </c>
      <c r="K374" t="str">
        <f>IFERROR(VLOOKUP(VALUE(J374),'Site Info'!$A:$G,3,FALSE),"")</f>
        <v>1220 N EISENHOWER DR</v>
      </c>
      <c r="L374" t="str">
        <f>IFERROR(VLOOKUP(VALUE(J374),'Site Info'!$A:$G,4,FALSE),"")</f>
        <v>BECKLEY</v>
      </c>
      <c r="M374" t="str">
        <f>IFERROR(VLOOKUP(VALUE(J374),'Site Info'!$A:$G,5,FALSE),"")</f>
        <v>WV</v>
      </c>
      <c r="N374" t="str">
        <f>IFERROR(VLOOKUP(VALUE(J374),'Site Info'!$A:$G,6,FALSE),"")</f>
        <v>25801-3120</v>
      </c>
      <c r="O374">
        <f>IFERROR(VLOOKUP(VALUE(J374),'Site Info'!$A:$G,7,FALSE),"")</f>
        <v>3042526508</v>
      </c>
    </row>
    <row r="375" spans="1:15" x14ac:dyDescent="0.45">
      <c r="A375" t="s">
        <v>8281</v>
      </c>
      <c r="B375" t="s">
        <v>8282</v>
      </c>
      <c r="C375" t="s">
        <v>8283</v>
      </c>
      <c r="D375" t="s">
        <v>3228</v>
      </c>
      <c r="E375" s="1">
        <v>46153.324074074073</v>
      </c>
      <c r="F375">
        <v>1547</v>
      </c>
      <c r="G375" t="s">
        <v>8284</v>
      </c>
      <c r="H375" t="s">
        <v>15</v>
      </c>
      <c r="I375" t="s">
        <v>3230</v>
      </c>
      <c r="J375" t="str">
        <f>RIGHT(D375,4)</f>
        <v>4860</v>
      </c>
      <c r="K375" t="str">
        <f>IFERROR(VLOOKUP(VALUE(J375),'Site Info'!$A:$G,3,FALSE),"")</f>
        <v>1220 N EISENHOWER DR</v>
      </c>
      <c r="L375" t="str">
        <f>IFERROR(VLOOKUP(VALUE(J375),'Site Info'!$A:$G,4,FALSE),"")</f>
        <v>BECKLEY</v>
      </c>
      <c r="M375" t="str">
        <f>IFERROR(VLOOKUP(VALUE(J375),'Site Info'!$A:$G,5,FALSE),"")</f>
        <v>WV</v>
      </c>
      <c r="N375" t="str">
        <f>IFERROR(VLOOKUP(VALUE(J375),'Site Info'!$A:$G,6,FALSE),"")</f>
        <v>25801-3120</v>
      </c>
      <c r="O375">
        <f>IFERROR(VLOOKUP(VALUE(J375),'Site Info'!$A:$G,7,FALSE),"")</f>
        <v>3042526508</v>
      </c>
    </row>
    <row r="376" spans="1:15" x14ac:dyDescent="0.45">
      <c r="A376" t="s">
        <v>7437</v>
      </c>
      <c r="B376" t="s">
        <v>7438</v>
      </c>
      <c r="C376" t="s">
        <v>7439</v>
      </c>
      <c r="D376" t="s">
        <v>3228</v>
      </c>
      <c r="E376" s="1">
        <v>46153.334976851853</v>
      </c>
      <c r="F376">
        <v>1547</v>
      </c>
      <c r="G376" t="s">
        <v>7440</v>
      </c>
      <c r="H376" t="s">
        <v>15</v>
      </c>
      <c r="I376" t="s">
        <v>3230</v>
      </c>
      <c r="J376" t="str">
        <f>RIGHT(D376,4)</f>
        <v>4860</v>
      </c>
      <c r="K376" t="str">
        <f>IFERROR(VLOOKUP(VALUE(J376),'Site Info'!$A:$G,3,FALSE),"")</f>
        <v>1220 N EISENHOWER DR</v>
      </c>
      <c r="L376" t="str">
        <f>IFERROR(VLOOKUP(VALUE(J376),'Site Info'!$A:$G,4,FALSE),"")</f>
        <v>BECKLEY</v>
      </c>
      <c r="M376" t="str">
        <f>IFERROR(VLOOKUP(VALUE(J376),'Site Info'!$A:$G,5,FALSE),"")</f>
        <v>WV</v>
      </c>
      <c r="N376" t="str">
        <f>IFERROR(VLOOKUP(VALUE(J376),'Site Info'!$A:$G,6,FALSE),"")</f>
        <v>25801-3120</v>
      </c>
      <c r="O376">
        <f>IFERROR(VLOOKUP(VALUE(J376),'Site Info'!$A:$G,7,FALSE),"")</f>
        <v>3042526508</v>
      </c>
    </row>
    <row r="377" spans="1:15" x14ac:dyDescent="0.45">
      <c r="A377" t="s">
        <v>8153</v>
      </c>
      <c r="B377" t="s">
        <v>8154</v>
      </c>
      <c r="C377" t="s">
        <v>8155</v>
      </c>
      <c r="D377" t="s">
        <v>3228</v>
      </c>
      <c r="E377" s="1">
        <v>46153.359386574077</v>
      </c>
      <c r="F377">
        <v>1547</v>
      </c>
      <c r="G377" t="s">
        <v>8156</v>
      </c>
      <c r="H377" t="s">
        <v>15</v>
      </c>
      <c r="I377" t="s">
        <v>3230</v>
      </c>
      <c r="J377" t="str">
        <f>RIGHT(D377,4)</f>
        <v>4860</v>
      </c>
      <c r="K377" t="str">
        <f>IFERROR(VLOOKUP(VALUE(J377),'Site Info'!$A:$G,3,FALSE),"")</f>
        <v>1220 N EISENHOWER DR</v>
      </c>
      <c r="L377" t="str">
        <f>IFERROR(VLOOKUP(VALUE(J377),'Site Info'!$A:$G,4,FALSE),"")</f>
        <v>BECKLEY</v>
      </c>
      <c r="M377" t="str">
        <f>IFERROR(VLOOKUP(VALUE(J377),'Site Info'!$A:$G,5,FALSE),"")</f>
        <v>WV</v>
      </c>
      <c r="N377" t="str">
        <f>IFERROR(VLOOKUP(VALUE(J377),'Site Info'!$A:$G,6,FALSE),"")</f>
        <v>25801-3120</v>
      </c>
      <c r="O377">
        <f>IFERROR(VLOOKUP(VALUE(J377),'Site Info'!$A:$G,7,FALSE),"")</f>
        <v>3042526508</v>
      </c>
    </row>
    <row r="378" spans="1:15" x14ac:dyDescent="0.45">
      <c r="A378" t="s">
        <v>3225</v>
      </c>
      <c r="B378" t="s">
        <v>3226</v>
      </c>
      <c r="C378" t="s">
        <v>3227</v>
      </c>
      <c r="D378" t="s">
        <v>3228</v>
      </c>
      <c r="E378" s="1">
        <v>46150.996620370373</v>
      </c>
      <c r="F378">
        <v>1481</v>
      </c>
      <c r="G378" t="s">
        <v>3229</v>
      </c>
      <c r="H378" t="s">
        <v>15</v>
      </c>
      <c r="I378" t="s">
        <v>3230</v>
      </c>
      <c r="J378" t="str">
        <f>RIGHT(D378,4)</f>
        <v>4860</v>
      </c>
      <c r="K378" t="str">
        <f>IFERROR(VLOOKUP(VALUE(J378),'Site Info'!$A:$G,3,FALSE),"")</f>
        <v>1220 N EISENHOWER DR</v>
      </c>
      <c r="L378" t="str">
        <f>IFERROR(VLOOKUP(VALUE(J378),'Site Info'!$A:$G,4,FALSE),"")</f>
        <v>BECKLEY</v>
      </c>
      <c r="M378" t="str">
        <f>IFERROR(VLOOKUP(VALUE(J378),'Site Info'!$A:$G,5,FALSE),"")</f>
        <v>WV</v>
      </c>
      <c r="N378" t="str">
        <f>IFERROR(VLOOKUP(VALUE(J378),'Site Info'!$A:$G,6,FALSE),"")</f>
        <v>25801-3120</v>
      </c>
      <c r="O378">
        <f>IFERROR(VLOOKUP(VALUE(J378),'Site Info'!$A:$G,7,FALSE),"")</f>
        <v>3042526508</v>
      </c>
    </row>
    <row r="379" spans="1:15" x14ac:dyDescent="0.45">
      <c r="A379" t="s">
        <v>16504</v>
      </c>
      <c r="B379" t="s">
        <v>16505</v>
      </c>
      <c r="C379" t="s">
        <v>16506</v>
      </c>
      <c r="D379" t="s">
        <v>3228</v>
      </c>
      <c r="E379" s="1">
        <v>46153.323298611111</v>
      </c>
      <c r="F379">
        <v>1628</v>
      </c>
      <c r="G379" t="s">
        <v>16507</v>
      </c>
      <c r="H379" t="s">
        <v>13988</v>
      </c>
      <c r="I379" t="s">
        <v>3230</v>
      </c>
      <c r="J379" t="str">
        <f>RIGHT(D379,4)</f>
        <v>4860</v>
      </c>
      <c r="K379" t="str">
        <f>IFERROR(VLOOKUP(VALUE(J379),'Site Info'!$A:$G,3,FALSE),"")</f>
        <v>1220 N EISENHOWER DR</v>
      </c>
      <c r="L379" t="str">
        <f>IFERROR(VLOOKUP(VALUE(J379),'Site Info'!$A:$G,4,FALSE),"")</f>
        <v>BECKLEY</v>
      </c>
      <c r="M379" t="str">
        <f>IFERROR(VLOOKUP(VALUE(J379),'Site Info'!$A:$G,5,FALSE),"")</f>
        <v>WV</v>
      </c>
      <c r="N379" t="str">
        <f>IFERROR(VLOOKUP(VALUE(J379),'Site Info'!$A:$G,6,FALSE),"")</f>
        <v>25801-3120</v>
      </c>
      <c r="O379">
        <f>IFERROR(VLOOKUP(VALUE(J379),'Site Info'!$A:$G,7,FALSE),"")</f>
        <v>3042526508</v>
      </c>
    </row>
    <row r="380" spans="1:15" x14ac:dyDescent="0.45">
      <c r="A380" t="s">
        <v>11128</v>
      </c>
      <c r="B380" t="s">
        <v>11129</v>
      </c>
      <c r="C380" t="s">
        <v>11130</v>
      </c>
      <c r="D380" t="s">
        <v>11131</v>
      </c>
      <c r="E380" s="1">
        <v>46151.786990740744</v>
      </c>
      <c r="F380">
        <v>1547</v>
      </c>
      <c r="G380" t="s">
        <v>11132</v>
      </c>
      <c r="H380" t="s">
        <v>15</v>
      </c>
      <c r="I380" t="s">
        <v>11133</v>
      </c>
      <c r="J380" t="str">
        <f>RIGHT(D380,4)</f>
        <v>8208</v>
      </c>
      <c r="K380" t="str">
        <f>IFERROR(VLOOKUP(VALUE(J380),'Site Info'!$A:$G,3,FALSE),"")</f>
        <v>12200 W 95TH ST</v>
      </c>
      <c r="L380" t="str">
        <f>IFERROR(VLOOKUP(VALUE(J380),'Site Info'!$A:$G,4,FALSE),"")</f>
        <v>LENEXA</v>
      </c>
      <c r="M380" t="str">
        <f>IFERROR(VLOOKUP(VALUE(J380),'Site Info'!$A:$G,5,FALSE),"")</f>
        <v>KS</v>
      </c>
      <c r="N380" t="str">
        <f>IFERROR(VLOOKUP(VALUE(J380),'Site Info'!$A:$G,6,FALSE),"")</f>
        <v>66215-3806</v>
      </c>
      <c r="O380">
        <f>IFERROR(VLOOKUP(VALUE(J380),'Site Info'!$A:$G,7,FALSE),"")</f>
        <v>9138940084</v>
      </c>
    </row>
    <row r="381" spans="1:15" x14ac:dyDescent="0.45">
      <c r="A381" t="s">
        <v>11460</v>
      </c>
      <c r="B381" t="s">
        <v>11461</v>
      </c>
      <c r="C381" t="s">
        <v>11462</v>
      </c>
      <c r="D381" t="s">
        <v>11131</v>
      </c>
      <c r="E381" s="1">
        <v>46152.749224537038</v>
      </c>
      <c r="F381">
        <v>1547</v>
      </c>
      <c r="G381" t="s">
        <v>11463</v>
      </c>
      <c r="H381" t="s">
        <v>15</v>
      </c>
      <c r="I381" t="s">
        <v>11133</v>
      </c>
      <c r="J381" t="str">
        <f>RIGHT(D381,4)</f>
        <v>8208</v>
      </c>
      <c r="K381" t="str">
        <f>IFERROR(VLOOKUP(VALUE(J381),'Site Info'!$A:$G,3,FALSE),"")</f>
        <v>12200 W 95TH ST</v>
      </c>
      <c r="L381" t="str">
        <f>IFERROR(VLOOKUP(VALUE(J381),'Site Info'!$A:$G,4,FALSE),"")</f>
        <v>LENEXA</v>
      </c>
      <c r="M381" t="str">
        <f>IFERROR(VLOOKUP(VALUE(J381),'Site Info'!$A:$G,5,FALSE),"")</f>
        <v>KS</v>
      </c>
      <c r="N381" t="str">
        <f>IFERROR(VLOOKUP(VALUE(J381),'Site Info'!$A:$G,6,FALSE),"")</f>
        <v>66215-3806</v>
      </c>
      <c r="O381">
        <f>IFERROR(VLOOKUP(VALUE(J381),'Site Info'!$A:$G,7,FALSE),"")</f>
        <v>9138940084</v>
      </c>
    </row>
    <row r="382" spans="1:15" x14ac:dyDescent="0.45">
      <c r="A382" t="s">
        <v>11546</v>
      </c>
      <c r="B382" t="s">
        <v>11547</v>
      </c>
      <c r="C382" t="s">
        <v>11548</v>
      </c>
      <c r="D382" t="s">
        <v>11131</v>
      </c>
      <c r="E382" s="1">
        <v>46153.257800925923</v>
      </c>
      <c r="F382">
        <v>1547</v>
      </c>
      <c r="G382" t="s">
        <v>11549</v>
      </c>
      <c r="H382" t="s">
        <v>15</v>
      </c>
      <c r="I382" t="s">
        <v>11133</v>
      </c>
      <c r="J382" t="str">
        <f>RIGHT(D382,4)</f>
        <v>8208</v>
      </c>
      <c r="K382" t="str">
        <f>IFERROR(VLOOKUP(VALUE(J382),'Site Info'!$A:$G,3,FALSE),"")</f>
        <v>12200 W 95TH ST</v>
      </c>
      <c r="L382" t="str">
        <f>IFERROR(VLOOKUP(VALUE(J382),'Site Info'!$A:$G,4,FALSE),"")</f>
        <v>LENEXA</v>
      </c>
      <c r="M382" t="str">
        <f>IFERROR(VLOOKUP(VALUE(J382),'Site Info'!$A:$G,5,FALSE),"")</f>
        <v>KS</v>
      </c>
      <c r="N382" t="str">
        <f>IFERROR(VLOOKUP(VALUE(J382),'Site Info'!$A:$G,6,FALSE),"")</f>
        <v>66215-3806</v>
      </c>
      <c r="O382">
        <f>IFERROR(VLOOKUP(VALUE(J382),'Site Info'!$A:$G,7,FALSE),"")</f>
        <v>9138940084</v>
      </c>
    </row>
    <row r="383" spans="1:15" x14ac:dyDescent="0.45">
      <c r="A383" t="s">
        <v>13515</v>
      </c>
      <c r="B383" t="s">
        <v>13516</v>
      </c>
      <c r="C383" t="s">
        <v>13517</v>
      </c>
      <c r="D383" t="s">
        <v>11131</v>
      </c>
      <c r="E383" s="1">
        <v>46153.327951388892</v>
      </c>
      <c r="F383">
        <v>1547</v>
      </c>
      <c r="G383" t="s">
        <v>13518</v>
      </c>
      <c r="H383" t="s">
        <v>15</v>
      </c>
      <c r="I383" t="s">
        <v>11133</v>
      </c>
      <c r="J383" t="str">
        <f>RIGHT(D383,4)</f>
        <v>8208</v>
      </c>
      <c r="K383" t="str">
        <f>IFERROR(VLOOKUP(VALUE(J383),'Site Info'!$A:$G,3,FALSE),"")</f>
        <v>12200 W 95TH ST</v>
      </c>
      <c r="L383" t="str">
        <f>IFERROR(VLOOKUP(VALUE(J383),'Site Info'!$A:$G,4,FALSE),"")</f>
        <v>LENEXA</v>
      </c>
      <c r="M383" t="str">
        <f>IFERROR(VLOOKUP(VALUE(J383),'Site Info'!$A:$G,5,FALSE),"")</f>
        <v>KS</v>
      </c>
      <c r="N383" t="str">
        <f>IFERROR(VLOOKUP(VALUE(J383),'Site Info'!$A:$G,6,FALSE),"")</f>
        <v>66215-3806</v>
      </c>
      <c r="O383">
        <f>IFERROR(VLOOKUP(VALUE(J383),'Site Info'!$A:$G,7,FALSE),"")</f>
        <v>9138940084</v>
      </c>
    </row>
    <row r="384" spans="1:15" x14ac:dyDescent="0.45">
      <c r="A384" t="s">
        <v>11172</v>
      </c>
      <c r="B384" t="s">
        <v>11173</v>
      </c>
      <c r="C384" t="s">
        <v>11174</v>
      </c>
      <c r="D384" t="s">
        <v>11131</v>
      </c>
      <c r="E384" s="1">
        <v>46153.342048611114</v>
      </c>
      <c r="F384">
        <v>1547</v>
      </c>
      <c r="G384" t="s">
        <v>11175</v>
      </c>
      <c r="H384" t="s">
        <v>15</v>
      </c>
      <c r="I384" t="s">
        <v>11133</v>
      </c>
      <c r="J384" t="str">
        <f>RIGHT(D384,4)</f>
        <v>8208</v>
      </c>
      <c r="K384" t="str">
        <f>IFERROR(VLOOKUP(VALUE(J384),'Site Info'!$A:$G,3,FALSE),"")</f>
        <v>12200 W 95TH ST</v>
      </c>
      <c r="L384" t="str">
        <f>IFERROR(VLOOKUP(VALUE(J384),'Site Info'!$A:$G,4,FALSE),"")</f>
        <v>LENEXA</v>
      </c>
      <c r="M384" t="str">
        <f>IFERROR(VLOOKUP(VALUE(J384),'Site Info'!$A:$G,5,FALSE),"")</f>
        <v>KS</v>
      </c>
      <c r="N384" t="str">
        <f>IFERROR(VLOOKUP(VALUE(J384),'Site Info'!$A:$G,6,FALSE),"")</f>
        <v>66215-3806</v>
      </c>
      <c r="O384">
        <f>IFERROR(VLOOKUP(VALUE(J384),'Site Info'!$A:$G,7,FALSE),"")</f>
        <v>9138940084</v>
      </c>
    </row>
    <row r="385" spans="1:15" x14ac:dyDescent="0.45">
      <c r="A385" t="s">
        <v>5928</v>
      </c>
      <c r="B385" t="s">
        <v>5929</v>
      </c>
      <c r="C385" t="s">
        <v>5930</v>
      </c>
      <c r="D385" t="s">
        <v>3890</v>
      </c>
      <c r="E385" s="1">
        <v>46150.597256944442</v>
      </c>
      <c r="F385">
        <v>1547</v>
      </c>
      <c r="G385" t="s">
        <v>5931</v>
      </c>
      <c r="H385" t="s">
        <v>15</v>
      </c>
      <c r="I385" t="s">
        <v>3892</v>
      </c>
      <c r="J385" t="str">
        <f>RIGHT(D385,4)</f>
        <v>8274</v>
      </c>
      <c r="K385" t="str">
        <f>IFERROR(VLOOKUP(VALUE(J385),'Site Info'!$A:$G,3,FALSE),"")</f>
        <v>12205 WEST RD</v>
      </c>
      <c r="L385" t="str">
        <f>IFERROR(VLOOKUP(VALUE(J385),'Site Info'!$A:$G,4,FALSE),"")</f>
        <v>HOUSTON</v>
      </c>
      <c r="M385" t="str">
        <f>IFERROR(VLOOKUP(VALUE(J385),'Site Info'!$A:$G,5,FALSE),"")</f>
        <v>TX</v>
      </c>
      <c r="N385" t="str">
        <f>IFERROR(VLOOKUP(VALUE(J385),'Site Info'!$A:$G,6,FALSE),"")</f>
        <v>77065-4522</v>
      </c>
      <c r="O385">
        <f>IFERROR(VLOOKUP(VALUE(J385),'Site Info'!$A:$G,7,FALSE),"")</f>
        <v>2819552071</v>
      </c>
    </row>
    <row r="386" spans="1:15" x14ac:dyDescent="0.45">
      <c r="A386" t="s">
        <v>6430</v>
      </c>
      <c r="B386" t="s">
        <v>6431</v>
      </c>
      <c r="C386" t="s">
        <v>6432</v>
      </c>
      <c r="D386" t="s">
        <v>3890</v>
      </c>
      <c r="E386" s="1">
        <v>46151.456064814818</v>
      </c>
      <c r="F386">
        <v>1547</v>
      </c>
      <c r="G386" t="s">
        <v>6433</v>
      </c>
      <c r="H386" t="s">
        <v>15</v>
      </c>
      <c r="I386" t="s">
        <v>3892</v>
      </c>
      <c r="J386" t="str">
        <f>RIGHT(D386,4)</f>
        <v>8274</v>
      </c>
      <c r="K386" t="str">
        <f>IFERROR(VLOOKUP(VALUE(J386),'Site Info'!$A:$G,3,FALSE),"")</f>
        <v>12205 WEST RD</v>
      </c>
      <c r="L386" t="str">
        <f>IFERROR(VLOOKUP(VALUE(J386),'Site Info'!$A:$G,4,FALSE),"")</f>
        <v>HOUSTON</v>
      </c>
      <c r="M386" t="str">
        <f>IFERROR(VLOOKUP(VALUE(J386),'Site Info'!$A:$G,5,FALSE),"")</f>
        <v>TX</v>
      </c>
      <c r="N386" t="str">
        <f>IFERROR(VLOOKUP(VALUE(J386),'Site Info'!$A:$G,6,FALSE),"")</f>
        <v>77065-4522</v>
      </c>
      <c r="O386">
        <f>IFERROR(VLOOKUP(VALUE(J386),'Site Info'!$A:$G,7,FALSE),"")</f>
        <v>2819552071</v>
      </c>
    </row>
    <row r="387" spans="1:15" x14ac:dyDescent="0.45">
      <c r="A387" t="s">
        <v>6761</v>
      </c>
      <c r="B387" t="s">
        <v>6762</v>
      </c>
      <c r="C387" t="s">
        <v>6763</v>
      </c>
      <c r="D387" t="s">
        <v>3890</v>
      </c>
      <c r="E387" s="1">
        <v>46151.65488425926</v>
      </c>
      <c r="F387">
        <v>1547</v>
      </c>
      <c r="G387" t="s">
        <v>6764</v>
      </c>
      <c r="H387" t="s">
        <v>15</v>
      </c>
      <c r="I387" t="s">
        <v>3892</v>
      </c>
      <c r="J387" t="str">
        <f>RIGHT(D387,4)</f>
        <v>8274</v>
      </c>
      <c r="K387" t="str">
        <f>IFERROR(VLOOKUP(VALUE(J387),'Site Info'!$A:$G,3,FALSE),"")</f>
        <v>12205 WEST RD</v>
      </c>
      <c r="L387" t="str">
        <f>IFERROR(VLOOKUP(VALUE(J387),'Site Info'!$A:$G,4,FALSE),"")</f>
        <v>HOUSTON</v>
      </c>
      <c r="M387" t="str">
        <f>IFERROR(VLOOKUP(VALUE(J387),'Site Info'!$A:$G,5,FALSE),"")</f>
        <v>TX</v>
      </c>
      <c r="N387" t="str">
        <f>IFERROR(VLOOKUP(VALUE(J387),'Site Info'!$A:$G,6,FALSE),"")</f>
        <v>77065-4522</v>
      </c>
      <c r="O387">
        <f>IFERROR(VLOOKUP(VALUE(J387),'Site Info'!$A:$G,7,FALSE),"")</f>
        <v>2819552071</v>
      </c>
    </row>
    <row r="388" spans="1:15" x14ac:dyDescent="0.45">
      <c r="A388" t="s">
        <v>6278</v>
      </c>
      <c r="B388" t="s">
        <v>6279</v>
      </c>
      <c r="C388" t="s">
        <v>6280</v>
      </c>
      <c r="D388" t="s">
        <v>3890</v>
      </c>
      <c r="E388" s="1">
        <v>46153.370162037034</v>
      </c>
      <c r="F388">
        <v>1547</v>
      </c>
      <c r="G388" t="s">
        <v>6281</v>
      </c>
      <c r="H388" t="s">
        <v>15</v>
      </c>
      <c r="I388" t="s">
        <v>3892</v>
      </c>
      <c r="J388" t="str">
        <f>RIGHT(D388,4)</f>
        <v>8274</v>
      </c>
      <c r="K388" t="str">
        <f>IFERROR(VLOOKUP(VALUE(J388),'Site Info'!$A:$G,3,FALSE),"")</f>
        <v>12205 WEST RD</v>
      </c>
      <c r="L388" t="str">
        <f>IFERROR(VLOOKUP(VALUE(J388),'Site Info'!$A:$G,4,FALSE),"")</f>
        <v>HOUSTON</v>
      </c>
      <c r="M388" t="str">
        <f>IFERROR(VLOOKUP(VALUE(J388),'Site Info'!$A:$G,5,FALSE),"")</f>
        <v>TX</v>
      </c>
      <c r="N388" t="str">
        <f>IFERROR(VLOOKUP(VALUE(J388),'Site Info'!$A:$G,6,FALSE),"")</f>
        <v>77065-4522</v>
      </c>
      <c r="O388">
        <f>IFERROR(VLOOKUP(VALUE(J388),'Site Info'!$A:$G,7,FALSE),"")</f>
        <v>2819552071</v>
      </c>
    </row>
    <row r="389" spans="1:15" x14ac:dyDescent="0.45">
      <c r="A389" t="s">
        <v>6168</v>
      </c>
      <c r="B389" t="s">
        <v>6169</v>
      </c>
      <c r="C389" t="s">
        <v>6170</v>
      </c>
      <c r="D389" t="s">
        <v>3890</v>
      </c>
      <c r="E389" s="1">
        <v>46153.37232638889</v>
      </c>
      <c r="F389">
        <v>1547</v>
      </c>
      <c r="G389" t="s">
        <v>6171</v>
      </c>
      <c r="H389" t="s">
        <v>15</v>
      </c>
      <c r="I389" t="s">
        <v>3892</v>
      </c>
      <c r="J389" t="str">
        <f>RIGHT(D389,4)</f>
        <v>8274</v>
      </c>
      <c r="K389" t="str">
        <f>IFERROR(VLOOKUP(VALUE(J389),'Site Info'!$A:$G,3,FALSE),"")</f>
        <v>12205 WEST RD</v>
      </c>
      <c r="L389" t="str">
        <f>IFERROR(VLOOKUP(VALUE(J389),'Site Info'!$A:$G,4,FALSE),"")</f>
        <v>HOUSTON</v>
      </c>
      <c r="M389" t="str">
        <f>IFERROR(VLOOKUP(VALUE(J389),'Site Info'!$A:$G,5,FALSE),"")</f>
        <v>TX</v>
      </c>
      <c r="N389" t="str">
        <f>IFERROR(VLOOKUP(VALUE(J389),'Site Info'!$A:$G,6,FALSE),"")</f>
        <v>77065-4522</v>
      </c>
      <c r="O389">
        <f>IFERROR(VLOOKUP(VALUE(J389),'Site Info'!$A:$G,7,FALSE),"")</f>
        <v>2819552071</v>
      </c>
    </row>
    <row r="390" spans="1:15" x14ac:dyDescent="0.45">
      <c r="A390" t="s">
        <v>3887</v>
      </c>
      <c r="B390" t="s">
        <v>3888</v>
      </c>
      <c r="C390" t="s">
        <v>3889</v>
      </c>
      <c r="D390" t="s">
        <v>3890</v>
      </c>
      <c r="E390" s="1">
        <v>46152.548252314817</v>
      </c>
      <c r="F390">
        <v>1481</v>
      </c>
      <c r="G390" t="s">
        <v>3891</v>
      </c>
      <c r="H390" t="s">
        <v>15</v>
      </c>
      <c r="I390" t="s">
        <v>3892</v>
      </c>
      <c r="J390" t="str">
        <f>RIGHT(D390,4)</f>
        <v>8274</v>
      </c>
      <c r="K390" t="str">
        <f>IFERROR(VLOOKUP(VALUE(J390),'Site Info'!$A:$G,3,FALSE),"")</f>
        <v>12205 WEST RD</v>
      </c>
      <c r="L390" t="str">
        <f>IFERROR(VLOOKUP(VALUE(J390),'Site Info'!$A:$G,4,FALSE),"")</f>
        <v>HOUSTON</v>
      </c>
      <c r="M390" t="str">
        <f>IFERROR(VLOOKUP(VALUE(J390),'Site Info'!$A:$G,5,FALSE),"")</f>
        <v>TX</v>
      </c>
      <c r="N390" t="str">
        <f>IFERROR(VLOOKUP(VALUE(J390),'Site Info'!$A:$G,6,FALSE),"")</f>
        <v>77065-4522</v>
      </c>
      <c r="O390">
        <f>IFERROR(VLOOKUP(VALUE(J390),'Site Info'!$A:$G,7,FALSE),"")</f>
        <v>2819552071</v>
      </c>
    </row>
    <row r="391" spans="1:15" x14ac:dyDescent="0.45">
      <c r="A391" t="s">
        <v>10086</v>
      </c>
      <c r="B391" t="s">
        <v>10087</v>
      </c>
      <c r="C391" t="s">
        <v>10088</v>
      </c>
      <c r="D391" t="s">
        <v>10089</v>
      </c>
      <c r="E391" s="1">
        <v>46153.147280092591</v>
      </c>
      <c r="F391">
        <v>1547</v>
      </c>
      <c r="G391" t="s">
        <v>10090</v>
      </c>
      <c r="H391" t="s">
        <v>15</v>
      </c>
      <c r="I391" t="s">
        <v>10091</v>
      </c>
      <c r="J391" t="str">
        <f>RIGHT(D391,4)</f>
        <v>6612</v>
      </c>
      <c r="K391" t="str">
        <f>IFERROR(VLOOKUP(VALUE(J391),'Site Info'!$A:$G,3,FALSE),"")</f>
        <v>1225 CONCORD AVE</v>
      </c>
      <c r="L391" t="str">
        <f>IFERROR(VLOOKUP(VALUE(J391),'Site Info'!$A:$G,4,FALSE),"")</f>
        <v>CONCORD</v>
      </c>
      <c r="M391" t="str">
        <f>IFERROR(VLOOKUP(VALUE(J391),'Site Info'!$A:$G,5,FALSE),"")</f>
        <v>CA</v>
      </c>
      <c r="N391" t="str">
        <f>IFERROR(VLOOKUP(VALUE(J391),'Site Info'!$A:$G,6,FALSE),"")</f>
        <v>94520-4940</v>
      </c>
      <c r="O391">
        <f>IFERROR(VLOOKUP(VALUE(J391),'Site Info'!$A:$G,7,FALSE),"")</f>
        <v>9256871400</v>
      </c>
    </row>
    <row r="392" spans="1:15" x14ac:dyDescent="0.45">
      <c r="A392" t="s">
        <v>12084</v>
      </c>
      <c r="B392" t="s">
        <v>12085</v>
      </c>
      <c r="C392" t="s">
        <v>12086</v>
      </c>
      <c r="D392" t="s">
        <v>10089</v>
      </c>
      <c r="E392" s="1">
        <v>46153.254016203704</v>
      </c>
      <c r="F392">
        <v>1547</v>
      </c>
      <c r="G392" t="s">
        <v>12087</v>
      </c>
      <c r="H392" t="s">
        <v>15</v>
      </c>
      <c r="I392" t="s">
        <v>10091</v>
      </c>
      <c r="J392" t="str">
        <f>RIGHT(D392,4)</f>
        <v>6612</v>
      </c>
      <c r="K392" t="str">
        <f>IFERROR(VLOOKUP(VALUE(J392),'Site Info'!$A:$G,3,FALSE),"")</f>
        <v>1225 CONCORD AVE</v>
      </c>
      <c r="L392" t="str">
        <f>IFERROR(VLOOKUP(VALUE(J392),'Site Info'!$A:$G,4,FALSE),"")</f>
        <v>CONCORD</v>
      </c>
      <c r="M392" t="str">
        <f>IFERROR(VLOOKUP(VALUE(J392),'Site Info'!$A:$G,5,FALSE),"")</f>
        <v>CA</v>
      </c>
      <c r="N392" t="str">
        <f>IFERROR(VLOOKUP(VALUE(J392),'Site Info'!$A:$G,6,FALSE),"")</f>
        <v>94520-4940</v>
      </c>
      <c r="O392">
        <f>IFERROR(VLOOKUP(VALUE(J392),'Site Info'!$A:$G,7,FALSE),"")</f>
        <v>9256871400</v>
      </c>
    </row>
    <row r="393" spans="1:15" x14ac:dyDescent="0.45">
      <c r="A393" t="s">
        <v>16973</v>
      </c>
      <c r="B393" t="s">
        <v>16974</v>
      </c>
      <c r="C393" t="s">
        <v>16975</v>
      </c>
      <c r="D393" t="s">
        <v>10089</v>
      </c>
      <c r="E393" s="1">
        <v>46152.746874999997</v>
      </c>
      <c r="F393">
        <v>1628</v>
      </c>
      <c r="G393" t="s">
        <v>16976</v>
      </c>
      <c r="H393" t="s">
        <v>13988</v>
      </c>
      <c r="I393" t="s">
        <v>10091</v>
      </c>
      <c r="J393" t="str">
        <f>RIGHT(D393,4)</f>
        <v>6612</v>
      </c>
      <c r="K393" t="str">
        <f>IFERROR(VLOOKUP(VALUE(J393),'Site Info'!$A:$G,3,FALSE),"")</f>
        <v>1225 CONCORD AVE</v>
      </c>
      <c r="L393" t="str">
        <f>IFERROR(VLOOKUP(VALUE(J393),'Site Info'!$A:$G,4,FALSE),"")</f>
        <v>CONCORD</v>
      </c>
      <c r="M393" t="str">
        <f>IFERROR(VLOOKUP(VALUE(J393),'Site Info'!$A:$G,5,FALSE),"")</f>
        <v>CA</v>
      </c>
      <c r="N393" t="str">
        <f>IFERROR(VLOOKUP(VALUE(J393),'Site Info'!$A:$G,6,FALSE),"")</f>
        <v>94520-4940</v>
      </c>
      <c r="O393">
        <f>IFERROR(VLOOKUP(VALUE(J393),'Site Info'!$A:$G,7,FALSE),"")</f>
        <v>9256871400</v>
      </c>
    </row>
    <row r="394" spans="1:15" x14ac:dyDescent="0.45">
      <c r="A394" t="s">
        <v>9958</v>
      </c>
      <c r="B394" t="s">
        <v>9959</v>
      </c>
      <c r="C394" t="s">
        <v>9960</v>
      </c>
      <c r="D394" t="s">
        <v>1257</v>
      </c>
      <c r="E394" s="1">
        <v>46151.706990740742</v>
      </c>
      <c r="F394">
        <v>1548</v>
      </c>
      <c r="G394" t="s">
        <v>9961</v>
      </c>
      <c r="H394" t="s">
        <v>15</v>
      </c>
      <c r="I394" t="s">
        <v>1259</v>
      </c>
      <c r="J394" t="str">
        <f>RIGHT(D394,4)</f>
        <v>6605</v>
      </c>
      <c r="K394" t="str">
        <f>IFERROR(VLOOKUP(VALUE(J394),'Site Info'!$A:$G,3,FALSE),"")</f>
        <v>1225 N GILBERT RD</v>
      </c>
      <c r="L394" t="str">
        <f>IFERROR(VLOOKUP(VALUE(J394),'Site Info'!$A:$G,4,FALSE),"")</f>
        <v>GILBERT</v>
      </c>
      <c r="M394" t="str">
        <f>IFERROR(VLOOKUP(VALUE(J394),'Site Info'!$A:$G,5,FALSE),"")</f>
        <v>AZ</v>
      </c>
      <c r="N394" t="str">
        <f>IFERROR(VLOOKUP(VALUE(J394),'Site Info'!$A:$G,6,FALSE),"")</f>
        <v>85234-2306</v>
      </c>
      <c r="O394">
        <f>IFERROR(VLOOKUP(VALUE(J394),'Site Info'!$A:$G,7,FALSE),"")</f>
        <v>4809269006</v>
      </c>
    </row>
    <row r="395" spans="1:15" x14ac:dyDescent="0.45">
      <c r="A395" t="s">
        <v>10726</v>
      </c>
      <c r="B395" t="s">
        <v>10727</v>
      </c>
      <c r="C395" t="s">
        <v>10728</v>
      </c>
      <c r="D395" t="s">
        <v>1257</v>
      </c>
      <c r="E395" s="1">
        <v>46152.903946759259</v>
      </c>
      <c r="F395">
        <v>1547</v>
      </c>
      <c r="G395" t="s">
        <v>10729</v>
      </c>
      <c r="H395" t="s">
        <v>15</v>
      </c>
      <c r="I395" t="s">
        <v>1259</v>
      </c>
      <c r="J395" t="str">
        <f>RIGHT(D395,4)</f>
        <v>6605</v>
      </c>
      <c r="K395" t="str">
        <f>IFERROR(VLOOKUP(VALUE(J395),'Site Info'!$A:$G,3,FALSE),"")</f>
        <v>1225 N GILBERT RD</v>
      </c>
      <c r="L395" t="str">
        <f>IFERROR(VLOOKUP(VALUE(J395),'Site Info'!$A:$G,4,FALSE),"")</f>
        <v>GILBERT</v>
      </c>
      <c r="M395" t="str">
        <f>IFERROR(VLOOKUP(VALUE(J395),'Site Info'!$A:$G,5,FALSE),"")</f>
        <v>AZ</v>
      </c>
      <c r="N395" t="str">
        <f>IFERROR(VLOOKUP(VALUE(J395),'Site Info'!$A:$G,6,FALSE),"")</f>
        <v>85234-2306</v>
      </c>
      <c r="O395">
        <f>IFERROR(VLOOKUP(VALUE(J395),'Site Info'!$A:$G,7,FALSE),"")</f>
        <v>4809269006</v>
      </c>
    </row>
    <row r="396" spans="1:15" x14ac:dyDescent="0.45">
      <c r="A396" t="s">
        <v>11464</v>
      </c>
      <c r="B396" t="s">
        <v>11465</v>
      </c>
      <c r="C396" t="s">
        <v>11466</v>
      </c>
      <c r="D396" t="s">
        <v>1257</v>
      </c>
      <c r="E396" s="1">
        <v>46153.30976851852</v>
      </c>
      <c r="F396">
        <v>1547</v>
      </c>
      <c r="G396" t="s">
        <v>11467</v>
      </c>
      <c r="H396" t="s">
        <v>15</v>
      </c>
      <c r="I396" t="s">
        <v>1259</v>
      </c>
      <c r="J396" t="str">
        <f>RIGHT(D396,4)</f>
        <v>6605</v>
      </c>
      <c r="K396" t="str">
        <f>IFERROR(VLOOKUP(VALUE(J396),'Site Info'!$A:$G,3,FALSE),"")</f>
        <v>1225 N GILBERT RD</v>
      </c>
      <c r="L396" t="str">
        <f>IFERROR(VLOOKUP(VALUE(J396),'Site Info'!$A:$G,4,FALSE),"")</f>
        <v>GILBERT</v>
      </c>
      <c r="M396" t="str">
        <f>IFERROR(VLOOKUP(VALUE(J396),'Site Info'!$A:$G,5,FALSE),"")</f>
        <v>AZ</v>
      </c>
      <c r="N396" t="str">
        <f>IFERROR(VLOOKUP(VALUE(J396),'Site Info'!$A:$G,6,FALSE),"")</f>
        <v>85234-2306</v>
      </c>
      <c r="O396">
        <f>IFERROR(VLOOKUP(VALUE(J396),'Site Info'!$A:$G,7,FALSE),"")</f>
        <v>4809269006</v>
      </c>
    </row>
    <row r="397" spans="1:15" x14ac:dyDescent="0.45">
      <c r="A397" t="s">
        <v>1254</v>
      </c>
      <c r="B397" t="s">
        <v>1255</v>
      </c>
      <c r="C397" t="s">
        <v>1256</v>
      </c>
      <c r="D397" t="s">
        <v>1257</v>
      </c>
      <c r="E397" s="1">
        <v>46153.331307870372</v>
      </c>
      <c r="F397">
        <v>1481</v>
      </c>
      <c r="G397" t="s">
        <v>1258</v>
      </c>
      <c r="H397" t="s">
        <v>15</v>
      </c>
      <c r="I397" t="s">
        <v>1259</v>
      </c>
      <c r="J397" t="str">
        <f>RIGHT(D397,4)</f>
        <v>6605</v>
      </c>
      <c r="K397" t="str">
        <f>IFERROR(VLOOKUP(VALUE(J397),'Site Info'!$A:$G,3,FALSE),"")</f>
        <v>1225 N GILBERT RD</v>
      </c>
      <c r="L397" t="str">
        <f>IFERROR(VLOOKUP(VALUE(J397),'Site Info'!$A:$G,4,FALSE),"")</f>
        <v>GILBERT</v>
      </c>
      <c r="M397" t="str">
        <f>IFERROR(VLOOKUP(VALUE(J397),'Site Info'!$A:$G,5,FALSE),"")</f>
        <v>AZ</v>
      </c>
      <c r="N397" t="str">
        <f>IFERROR(VLOOKUP(VALUE(J397),'Site Info'!$A:$G,6,FALSE),"")</f>
        <v>85234-2306</v>
      </c>
      <c r="O397">
        <f>IFERROR(VLOOKUP(VALUE(J397),'Site Info'!$A:$G,7,FALSE),"")</f>
        <v>4809269006</v>
      </c>
    </row>
    <row r="398" spans="1:15" x14ac:dyDescent="0.45">
      <c r="A398" t="s">
        <v>16965</v>
      </c>
      <c r="B398" t="s">
        <v>16966</v>
      </c>
      <c r="C398" t="s">
        <v>16967</v>
      </c>
      <c r="D398" t="s">
        <v>1257</v>
      </c>
      <c r="E398" s="1">
        <v>46152.804699074077</v>
      </c>
      <c r="F398">
        <v>1547</v>
      </c>
      <c r="G398" t="s">
        <v>16968</v>
      </c>
      <c r="H398" t="s">
        <v>15</v>
      </c>
      <c r="I398" t="s">
        <v>1259</v>
      </c>
      <c r="J398" t="str">
        <f>RIGHT(D398,4)</f>
        <v>6605</v>
      </c>
      <c r="K398" t="str">
        <f>IFERROR(VLOOKUP(VALUE(J398),'Site Info'!$A:$G,3,FALSE),"")</f>
        <v>1225 N GILBERT RD</v>
      </c>
      <c r="L398" t="str">
        <f>IFERROR(VLOOKUP(VALUE(J398),'Site Info'!$A:$G,4,FALSE),"")</f>
        <v>GILBERT</v>
      </c>
      <c r="M398" t="str">
        <f>IFERROR(VLOOKUP(VALUE(J398),'Site Info'!$A:$G,5,FALSE),"")</f>
        <v>AZ</v>
      </c>
      <c r="N398" t="str">
        <f>IFERROR(VLOOKUP(VALUE(J398),'Site Info'!$A:$G,6,FALSE),"")</f>
        <v>85234-2306</v>
      </c>
      <c r="O398">
        <f>IFERROR(VLOOKUP(VALUE(J398),'Site Info'!$A:$G,7,FALSE),"")</f>
        <v>4809269006</v>
      </c>
    </row>
    <row r="399" spans="1:15" x14ac:dyDescent="0.45">
      <c r="A399" t="s">
        <v>5276</v>
      </c>
      <c r="B399" t="s">
        <v>5277</v>
      </c>
      <c r="C399" t="s">
        <v>5278</v>
      </c>
      <c r="D399" t="s">
        <v>5189</v>
      </c>
      <c r="E399" s="1">
        <v>46152.45449074074</v>
      </c>
      <c r="F399">
        <v>1547</v>
      </c>
      <c r="G399" t="s">
        <v>5279</v>
      </c>
      <c r="H399" t="s">
        <v>15</v>
      </c>
      <c r="I399" t="s">
        <v>5191</v>
      </c>
      <c r="J399" t="str">
        <f>RIGHT(D399,4)</f>
        <v>8246</v>
      </c>
      <c r="K399" t="str">
        <f>IFERROR(VLOOKUP(VALUE(J399),'Site Info'!$A:$G,3,FALSE),"")</f>
        <v>12300 S W FWY</v>
      </c>
      <c r="L399" t="str">
        <f>IFERROR(VLOOKUP(VALUE(J399),'Site Info'!$A:$G,4,FALSE),"")</f>
        <v>STAFFORD MEADOWS</v>
      </c>
      <c r="M399" t="str">
        <f>IFERROR(VLOOKUP(VALUE(J399),'Site Info'!$A:$G,5,FALSE),"")</f>
        <v>TX</v>
      </c>
      <c r="N399" t="str">
        <f>IFERROR(VLOOKUP(VALUE(J399),'Site Info'!$A:$G,6,FALSE),"")</f>
        <v>77477-3010</v>
      </c>
      <c r="O399">
        <f>IFERROR(VLOOKUP(VALUE(J399),'Site Info'!$A:$G,7,FALSE),"")</f>
        <v>2812952500</v>
      </c>
    </row>
    <row r="400" spans="1:15" x14ac:dyDescent="0.45">
      <c r="A400" t="s">
        <v>5296</v>
      </c>
      <c r="B400" t="s">
        <v>5297</v>
      </c>
      <c r="C400" t="s">
        <v>5298</v>
      </c>
      <c r="D400" t="s">
        <v>5189</v>
      </c>
      <c r="E400" s="1">
        <v>46153.208124999997</v>
      </c>
      <c r="F400">
        <v>1547</v>
      </c>
      <c r="G400" t="s">
        <v>5299</v>
      </c>
      <c r="H400" t="s">
        <v>15</v>
      </c>
      <c r="I400" t="s">
        <v>5191</v>
      </c>
      <c r="J400" t="str">
        <f>RIGHT(D400,4)</f>
        <v>8246</v>
      </c>
      <c r="K400" t="str">
        <f>IFERROR(VLOOKUP(VALUE(J400),'Site Info'!$A:$G,3,FALSE),"")</f>
        <v>12300 S W FWY</v>
      </c>
      <c r="L400" t="str">
        <f>IFERROR(VLOOKUP(VALUE(J400),'Site Info'!$A:$G,4,FALSE),"")</f>
        <v>STAFFORD MEADOWS</v>
      </c>
      <c r="M400" t="str">
        <f>IFERROR(VLOOKUP(VALUE(J400),'Site Info'!$A:$G,5,FALSE),"")</f>
        <v>TX</v>
      </c>
      <c r="N400" t="str">
        <f>IFERROR(VLOOKUP(VALUE(J400),'Site Info'!$A:$G,6,FALSE),"")</f>
        <v>77477-3010</v>
      </c>
      <c r="O400">
        <f>IFERROR(VLOOKUP(VALUE(J400),'Site Info'!$A:$G,7,FALSE),"")</f>
        <v>2812952500</v>
      </c>
    </row>
    <row r="401" spans="1:15" x14ac:dyDescent="0.45">
      <c r="A401" t="s">
        <v>5186</v>
      </c>
      <c r="B401" t="s">
        <v>5187</v>
      </c>
      <c r="C401" t="s">
        <v>5188</v>
      </c>
      <c r="D401" t="s">
        <v>5189</v>
      </c>
      <c r="E401" s="1">
        <v>46153.347037037034</v>
      </c>
      <c r="F401">
        <v>1547</v>
      </c>
      <c r="G401" t="s">
        <v>5190</v>
      </c>
      <c r="H401" t="s">
        <v>15</v>
      </c>
      <c r="I401" t="s">
        <v>5191</v>
      </c>
      <c r="J401" t="str">
        <f>RIGHT(D401,4)</f>
        <v>8246</v>
      </c>
      <c r="K401" t="str">
        <f>IFERROR(VLOOKUP(VALUE(J401),'Site Info'!$A:$G,3,FALSE),"")</f>
        <v>12300 S W FWY</v>
      </c>
      <c r="L401" t="str">
        <f>IFERROR(VLOOKUP(VALUE(J401),'Site Info'!$A:$G,4,FALSE),"")</f>
        <v>STAFFORD MEADOWS</v>
      </c>
      <c r="M401" t="str">
        <f>IFERROR(VLOOKUP(VALUE(J401),'Site Info'!$A:$G,5,FALSE),"")</f>
        <v>TX</v>
      </c>
      <c r="N401" t="str">
        <f>IFERROR(VLOOKUP(VALUE(J401),'Site Info'!$A:$G,6,FALSE),"")</f>
        <v>77477-3010</v>
      </c>
      <c r="O401">
        <f>IFERROR(VLOOKUP(VALUE(J401),'Site Info'!$A:$G,7,FALSE),"")</f>
        <v>2812952500</v>
      </c>
    </row>
    <row r="402" spans="1:15" x14ac:dyDescent="0.45">
      <c r="A402" t="s">
        <v>5408</v>
      </c>
      <c r="B402" t="s">
        <v>5409</v>
      </c>
      <c r="C402" t="s">
        <v>5410</v>
      </c>
      <c r="D402" t="s">
        <v>5189</v>
      </c>
      <c r="E402" s="1">
        <v>46153.363055555557</v>
      </c>
      <c r="F402">
        <v>1547</v>
      </c>
      <c r="G402" t="s">
        <v>5411</v>
      </c>
      <c r="H402" t="s">
        <v>15</v>
      </c>
      <c r="I402" t="s">
        <v>5191</v>
      </c>
      <c r="J402" t="str">
        <f>RIGHT(D402,4)</f>
        <v>8246</v>
      </c>
      <c r="K402" t="str">
        <f>IFERROR(VLOOKUP(VALUE(J402),'Site Info'!$A:$G,3,FALSE),"")</f>
        <v>12300 S W FWY</v>
      </c>
      <c r="L402" t="str">
        <f>IFERROR(VLOOKUP(VALUE(J402),'Site Info'!$A:$G,4,FALSE),"")</f>
        <v>STAFFORD MEADOWS</v>
      </c>
      <c r="M402" t="str">
        <f>IFERROR(VLOOKUP(VALUE(J402),'Site Info'!$A:$G,5,FALSE),"")</f>
        <v>TX</v>
      </c>
      <c r="N402" t="str">
        <f>IFERROR(VLOOKUP(VALUE(J402),'Site Info'!$A:$G,6,FALSE),"")</f>
        <v>77477-3010</v>
      </c>
      <c r="O402">
        <f>IFERROR(VLOOKUP(VALUE(J402),'Site Info'!$A:$G,7,FALSE),"")</f>
        <v>2812952500</v>
      </c>
    </row>
    <row r="403" spans="1:15" x14ac:dyDescent="0.45">
      <c r="A403" t="s">
        <v>11150</v>
      </c>
      <c r="B403" t="s">
        <v>11151</v>
      </c>
      <c r="C403" t="s">
        <v>11152</v>
      </c>
      <c r="D403" t="s">
        <v>11153</v>
      </c>
      <c r="E403" s="1">
        <v>46151.771527777775</v>
      </c>
      <c r="F403">
        <v>1547</v>
      </c>
      <c r="G403" t="s">
        <v>11154</v>
      </c>
      <c r="H403" t="s">
        <v>15</v>
      </c>
      <c r="I403" t="s">
        <v>11155</v>
      </c>
      <c r="J403" t="str">
        <f>RIGHT(D403,4)</f>
        <v>8262</v>
      </c>
      <c r="K403" t="str">
        <f>IFERROR(VLOOKUP(VALUE(J403),'Site Info'!$A:$G,3,FALSE),"")</f>
        <v>12349 N IH 35</v>
      </c>
      <c r="L403" t="str">
        <f>IFERROR(VLOOKUP(VALUE(J403),'Site Info'!$A:$G,4,FALSE),"")</f>
        <v>SAN ANTONIO</v>
      </c>
      <c r="M403" t="str">
        <f>IFERROR(VLOOKUP(VALUE(J403),'Site Info'!$A:$G,5,FALSE),"")</f>
        <v>TX</v>
      </c>
      <c r="N403" t="str">
        <f>IFERROR(VLOOKUP(VALUE(J403),'Site Info'!$A:$G,6,FALSE),"")</f>
        <v>78233-3201</v>
      </c>
      <c r="O403">
        <f>IFERROR(VLOOKUP(VALUE(J403),'Site Info'!$A:$G,7,FALSE),"")</f>
        <v>2106468188</v>
      </c>
    </row>
    <row r="404" spans="1:15" x14ac:dyDescent="0.45">
      <c r="A404" t="s">
        <v>11448</v>
      </c>
      <c r="B404" t="s">
        <v>11449</v>
      </c>
      <c r="C404" t="s">
        <v>11450</v>
      </c>
      <c r="D404" t="s">
        <v>11153</v>
      </c>
      <c r="E404" s="1">
        <v>46152.665949074071</v>
      </c>
      <c r="F404">
        <v>1547</v>
      </c>
      <c r="G404" t="s">
        <v>11451</v>
      </c>
      <c r="H404" t="s">
        <v>15</v>
      </c>
      <c r="I404" t="s">
        <v>11155</v>
      </c>
      <c r="J404" t="str">
        <f>RIGHT(D404,4)</f>
        <v>8262</v>
      </c>
      <c r="K404" t="str">
        <f>IFERROR(VLOOKUP(VALUE(J404),'Site Info'!$A:$G,3,FALSE),"")</f>
        <v>12349 N IH 35</v>
      </c>
      <c r="L404" t="str">
        <f>IFERROR(VLOOKUP(VALUE(J404),'Site Info'!$A:$G,4,FALSE),"")</f>
        <v>SAN ANTONIO</v>
      </c>
      <c r="M404" t="str">
        <f>IFERROR(VLOOKUP(VALUE(J404),'Site Info'!$A:$G,5,FALSE),"")</f>
        <v>TX</v>
      </c>
      <c r="N404" t="str">
        <f>IFERROR(VLOOKUP(VALUE(J404),'Site Info'!$A:$G,6,FALSE),"")</f>
        <v>78233-3201</v>
      </c>
      <c r="O404">
        <f>IFERROR(VLOOKUP(VALUE(J404),'Site Info'!$A:$G,7,FALSE),"")</f>
        <v>2106468188</v>
      </c>
    </row>
    <row r="405" spans="1:15" x14ac:dyDescent="0.45">
      <c r="A405" t="s">
        <v>11312</v>
      </c>
      <c r="B405" t="s">
        <v>11313</v>
      </c>
      <c r="C405" t="s">
        <v>11314</v>
      </c>
      <c r="D405" t="s">
        <v>11153</v>
      </c>
      <c r="E405" s="1">
        <v>46153.367881944447</v>
      </c>
      <c r="F405">
        <v>1547</v>
      </c>
      <c r="G405" t="s">
        <v>11315</v>
      </c>
      <c r="H405" t="s">
        <v>15</v>
      </c>
      <c r="I405" t="s">
        <v>11155</v>
      </c>
      <c r="J405" t="str">
        <f>RIGHT(D405,4)</f>
        <v>8262</v>
      </c>
      <c r="K405" t="str">
        <f>IFERROR(VLOOKUP(VALUE(J405),'Site Info'!$A:$G,3,FALSE),"")</f>
        <v>12349 N IH 35</v>
      </c>
      <c r="L405" t="str">
        <f>IFERROR(VLOOKUP(VALUE(J405),'Site Info'!$A:$G,4,FALSE),"")</f>
        <v>SAN ANTONIO</v>
      </c>
      <c r="M405" t="str">
        <f>IFERROR(VLOOKUP(VALUE(J405),'Site Info'!$A:$G,5,FALSE),"")</f>
        <v>TX</v>
      </c>
      <c r="N405" t="str">
        <f>IFERROR(VLOOKUP(VALUE(J405),'Site Info'!$A:$G,6,FALSE),"")</f>
        <v>78233-3201</v>
      </c>
      <c r="O405">
        <f>IFERROR(VLOOKUP(VALUE(J405),'Site Info'!$A:$G,7,FALSE),"")</f>
        <v>2106468188</v>
      </c>
    </row>
    <row r="406" spans="1:15" x14ac:dyDescent="0.45">
      <c r="A406" t="s">
        <v>11344</v>
      </c>
      <c r="B406" t="s">
        <v>11345</v>
      </c>
      <c r="C406" t="s">
        <v>11346</v>
      </c>
      <c r="D406" t="s">
        <v>11153</v>
      </c>
      <c r="E406" s="1">
        <v>46153.372141203705</v>
      </c>
      <c r="F406">
        <v>1547</v>
      </c>
      <c r="G406" t="s">
        <v>11347</v>
      </c>
      <c r="H406" t="s">
        <v>15</v>
      </c>
      <c r="I406" t="s">
        <v>11155</v>
      </c>
      <c r="J406" t="str">
        <f>RIGHT(D406,4)</f>
        <v>8262</v>
      </c>
      <c r="K406" t="str">
        <f>IFERROR(VLOOKUP(VALUE(J406),'Site Info'!$A:$G,3,FALSE),"")</f>
        <v>12349 N IH 35</v>
      </c>
      <c r="L406" t="str">
        <f>IFERROR(VLOOKUP(VALUE(J406),'Site Info'!$A:$G,4,FALSE),"")</f>
        <v>SAN ANTONIO</v>
      </c>
      <c r="M406" t="str">
        <f>IFERROR(VLOOKUP(VALUE(J406),'Site Info'!$A:$G,5,FALSE),"")</f>
        <v>TX</v>
      </c>
      <c r="N406" t="str">
        <f>IFERROR(VLOOKUP(VALUE(J406),'Site Info'!$A:$G,6,FALSE),"")</f>
        <v>78233-3201</v>
      </c>
      <c r="O406">
        <f>IFERROR(VLOOKUP(VALUE(J406),'Site Info'!$A:$G,7,FALSE),"")</f>
        <v>2106468188</v>
      </c>
    </row>
    <row r="407" spans="1:15" x14ac:dyDescent="0.45">
      <c r="A407" t="s">
        <v>6118</v>
      </c>
      <c r="B407" t="s">
        <v>6119</v>
      </c>
      <c r="C407" t="s">
        <v>6120</v>
      </c>
      <c r="D407" t="s">
        <v>881</v>
      </c>
      <c r="E407" s="1">
        <v>46152.210104166668</v>
      </c>
      <c r="F407">
        <v>1547</v>
      </c>
      <c r="G407" t="s">
        <v>6121</v>
      </c>
      <c r="H407" t="s">
        <v>15</v>
      </c>
      <c r="I407" t="s">
        <v>199</v>
      </c>
      <c r="J407" t="str">
        <f>RIGHT(D407,4)</f>
        <v>6660</v>
      </c>
      <c r="K407" t="str">
        <f>IFERROR(VLOOKUP(VALUE(J407),'Site Info'!$A:$G,3,FALSE),"")</f>
        <v>1237 32ND ST</v>
      </c>
      <c r="L407" t="str">
        <f>IFERROR(VLOOKUP(VALUE(J407),'Site Info'!$A:$G,4,FALSE),"")</f>
        <v>PORT HURON</v>
      </c>
      <c r="M407" t="str">
        <f>IFERROR(VLOOKUP(VALUE(J407),'Site Info'!$A:$G,5,FALSE),"")</f>
        <v>MI</v>
      </c>
      <c r="N407" t="str">
        <f>IFERROR(VLOOKUP(VALUE(J407),'Site Info'!$A:$G,6,FALSE),"")</f>
        <v>48060-7323</v>
      </c>
      <c r="O407">
        <f>IFERROR(VLOOKUP(VALUE(J407),'Site Info'!$A:$G,7,FALSE),"")</f>
        <v>8109845355</v>
      </c>
    </row>
    <row r="408" spans="1:15" x14ac:dyDescent="0.45">
      <c r="A408" t="s">
        <v>6152</v>
      </c>
      <c r="B408" t="s">
        <v>6153</v>
      </c>
      <c r="C408" t="s">
        <v>6154</v>
      </c>
      <c r="D408" t="s">
        <v>881</v>
      </c>
      <c r="E408" s="1">
        <v>46152.618576388886</v>
      </c>
      <c r="F408">
        <v>1547</v>
      </c>
      <c r="G408" t="s">
        <v>6155</v>
      </c>
      <c r="H408" t="s">
        <v>15</v>
      </c>
      <c r="I408" t="s">
        <v>199</v>
      </c>
      <c r="J408" t="str">
        <f>RIGHT(D408,4)</f>
        <v>6660</v>
      </c>
      <c r="K408" t="str">
        <f>IFERROR(VLOOKUP(VALUE(J408),'Site Info'!$A:$G,3,FALSE),"")</f>
        <v>1237 32ND ST</v>
      </c>
      <c r="L408" t="str">
        <f>IFERROR(VLOOKUP(VALUE(J408),'Site Info'!$A:$G,4,FALSE),"")</f>
        <v>PORT HURON</v>
      </c>
      <c r="M408" t="str">
        <f>IFERROR(VLOOKUP(VALUE(J408),'Site Info'!$A:$G,5,FALSE),"")</f>
        <v>MI</v>
      </c>
      <c r="N408" t="str">
        <f>IFERROR(VLOOKUP(VALUE(J408),'Site Info'!$A:$G,6,FALSE),"")</f>
        <v>48060-7323</v>
      </c>
      <c r="O408">
        <f>IFERROR(VLOOKUP(VALUE(J408),'Site Info'!$A:$G,7,FALSE),"")</f>
        <v>8109845355</v>
      </c>
    </row>
    <row r="409" spans="1:15" x14ac:dyDescent="0.45">
      <c r="A409" t="s">
        <v>3649</v>
      </c>
      <c r="B409" t="s">
        <v>3650</v>
      </c>
      <c r="C409" t="s">
        <v>3651</v>
      </c>
      <c r="D409" t="s">
        <v>881</v>
      </c>
      <c r="E409" s="1">
        <v>46151.585474537038</v>
      </c>
      <c r="F409">
        <v>1481</v>
      </c>
      <c r="G409" t="s">
        <v>3652</v>
      </c>
      <c r="H409" t="s">
        <v>15</v>
      </c>
      <c r="I409" t="s">
        <v>199</v>
      </c>
      <c r="J409" t="str">
        <f>RIGHT(D409,4)</f>
        <v>6660</v>
      </c>
      <c r="K409" t="str">
        <f>IFERROR(VLOOKUP(VALUE(J409),'Site Info'!$A:$G,3,FALSE),"")</f>
        <v>1237 32ND ST</v>
      </c>
      <c r="L409" t="str">
        <f>IFERROR(VLOOKUP(VALUE(J409),'Site Info'!$A:$G,4,FALSE),"")</f>
        <v>PORT HURON</v>
      </c>
      <c r="M409" t="str">
        <f>IFERROR(VLOOKUP(VALUE(J409),'Site Info'!$A:$G,5,FALSE),"")</f>
        <v>MI</v>
      </c>
      <c r="N409" t="str">
        <f>IFERROR(VLOOKUP(VALUE(J409),'Site Info'!$A:$G,6,FALSE),"")</f>
        <v>48060-7323</v>
      </c>
      <c r="O409">
        <f>IFERROR(VLOOKUP(VALUE(J409),'Site Info'!$A:$G,7,FALSE),"")</f>
        <v>8109845355</v>
      </c>
    </row>
    <row r="410" spans="1:15" x14ac:dyDescent="0.45">
      <c r="A410" t="s">
        <v>878</v>
      </c>
      <c r="B410" t="s">
        <v>879</v>
      </c>
      <c r="C410" t="s">
        <v>880</v>
      </c>
      <c r="D410" t="s">
        <v>881</v>
      </c>
      <c r="E410" s="1">
        <v>46153.373402777775</v>
      </c>
      <c r="F410">
        <v>1481</v>
      </c>
      <c r="G410" t="s">
        <v>882</v>
      </c>
      <c r="H410" t="s">
        <v>15</v>
      </c>
      <c r="I410" t="s">
        <v>199</v>
      </c>
      <c r="J410" t="str">
        <f>RIGHT(D410,4)</f>
        <v>6660</v>
      </c>
      <c r="K410" t="str">
        <f>IFERROR(VLOOKUP(VALUE(J410),'Site Info'!$A:$G,3,FALSE),"")</f>
        <v>1237 32ND ST</v>
      </c>
      <c r="L410" t="str">
        <f>IFERROR(VLOOKUP(VALUE(J410),'Site Info'!$A:$G,4,FALSE),"")</f>
        <v>PORT HURON</v>
      </c>
      <c r="M410" t="str">
        <f>IFERROR(VLOOKUP(VALUE(J410),'Site Info'!$A:$G,5,FALSE),"")</f>
        <v>MI</v>
      </c>
      <c r="N410" t="str">
        <f>IFERROR(VLOOKUP(VALUE(J410),'Site Info'!$A:$G,6,FALSE),"")</f>
        <v>48060-7323</v>
      </c>
      <c r="O410">
        <f>IFERROR(VLOOKUP(VALUE(J410),'Site Info'!$A:$G,7,FALSE),"")</f>
        <v>8109845355</v>
      </c>
    </row>
    <row r="411" spans="1:15" x14ac:dyDescent="0.45">
      <c r="A411" t="s">
        <v>14063</v>
      </c>
      <c r="B411" t="s">
        <v>14064</v>
      </c>
      <c r="C411" t="s">
        <v>14065</v>
      </c>
      <c r="D411" t="s">
        <v>2674</v>
      </c>
      <c r="E411" s="1">
        <v>46153.35796296296</v>
      </c>
      <c r="F411">
        <v>1628</v>
      </c>
      <c r="G411" t="s">
        <v>14066</v>
      </c>
      <c r="H411" t="s">
        <v>13988</v>
      </c>
      <c r="I411" t="s">
        <v>2676</v>
      </c>
      <c r="J411" t="str">
        <f>RIGHT(D411,4)</f>
        <v>6351</v>
      </c>
      <c r="K411" t="str">
        <f>IFERROR(VLOOKUP(VALUE(J411),'Site Info'!$A:$G,3,FALSE),"")</f>
        <v>12407 JEFFERSON AVE</v>
      </c>
      <c r="L411" t="str">
        <f>IFERROR(VLOOKUP(VALUE(J411),'Site Info'!$A:$G,4,FALSE),"")</f>
        <v>NEWPORT NEWS</v>
      </c>
      <c r="M411" t="str">
        <f>IFERROR(VLOOKUP(VALUE(J411),'Site Info'!$A:$G,5,FALSE),"")</f>
        <v>VA</v>
      </c>
      <c r="N411" t="str">
        <f>IFERROR(VLOOKUP(VALUE(J411),'Site Info'!$A:$G,6,FALSE),"")</f>
        <v>23602-4311</v>
      </c>
      <c r="O411">
        <f>IFERROR(VLOOKUP(VALUE(J411),'Site Info'!$A:$G,7,FALSE),"")</f>
        <v>7578750243</v>
      </c>
    </row>
    <row r="412" spans="1:15" x14ac:dyDescent="0.45">
      <c r="A412" t="s">
        <v>11033</v>
      </c>
      <c r="B412" t="s">
        <v>11034</v>
      </c>
      <c r="C412" t="s">
        <v>11035</v>
      </c>
      <c r="D412" t="s">
        <v>2674</v>
      </c>
      <c r="E412" s="1">
        <v>46131.71943287037</v>
      </c>
      <c r="F412">
        <v>1547</v>
      </c>
      <c r="G412" t="s">
        <v>11036</v>
      </c>
      <c r="H412" t="s">
        <v>15</v>
      </c>
      <c r="I412" t="s">
        <v>2676</v>
      </c>
      <c r="J412" t="str">
        <f>RIGHT(D412,4)</f>
        <v>6351</v>
      </c>
      <c r="K412" t="str">
        <f>IFERROR(VLOOKUP(VALUE(J412),'Site Info'!$A:$G,3,FALSE),"")</f>
        <v>12407 JEFFERSON AVE</v>
      </c>
      <c r="L412" t="str">
        <f>IFERROR(VLOOKUP(VALUE(J412),'Site Info'!$A:$G,4,FALSE),"")</f>
        <v>NEWPORT NEWS</v>
      </c>
      <c r="M412" t="str">
        <f>IFERROR(VLOOKUP(VALUE(J412),'Site Info'!$A:$G,5,FALSE),"")</f>
        <v>VA</v>
      </c>
      <c r="N412" t="str">
        <f>IFERROR(VLOOKUP(VALUE(J412),'Site Info'!$A:$G,6,FALSE),"")</f>
        <v>23602-4311</v>
      </c>
      <c r="O412">
        <f>IFERROR(VLOOKUP(VALUE(J412),'Site Info'!$A:$G,7,FALSE),"")</f>
        <v>7578750243</v>
      </c>
    </row>
    <row r="413" spans="1:15" x14ac:dyDescent="0.45">
      <c r="A413" t="s">
        <v>4180</v>
      </c>
      <c r="B413" t="s">
        <v>4181</v>
      </c>
      <c r="C413" t="s">
        <v>4182</v>
      </c>
      <c r="D413" t="s">
        <v>2674</v>
      </c>
      <c r="E413" s="1">
        <v>46148.219942129632</v>
      </c>
      <c r="F413">
        <v>1547</v>
      </c>
      <c r="G413" t="s">
        <v>4183</v>
      </c>
      <c r="H413" t="s">
        <v>15</v>
      </c>
      <c r="I413" t="s">
        <v>2676</v>
      </c>
      <c r="J413" t="str">
        <f>RIGHT(D413,4)</f>
        <v>6351</v>
      </c>
      <c r="K413" t="str">
        <f>IFERROR(VLOOKUP(VALUE(J413),'Site Info'!$A:$G,3,FALSE),"")</f>
        <v>12407 JEFFERSON AVE</v>
      </c>
      <c r="L413" t="str">
        <f>IFERROR(VLOOKUP(VALUE(J413),'Site Info'!$A:$G,4,FALSE),"")</f>
        <v>NEWPORT NEWS</v>
      </c>
      <c r="M413" t="str">
        <f>IFERROR(VLOOKUP(VALUE(J413),'Site Info'!$A:$G,5,FALSE),"")</f>
        <v>VA</v>
      </c>
      <c r="N413" t="str">
        <f>IFERROR(VLOOKUP(VALUE(J413),'Site Info'!$A:$G,6,FALSE),"")</f>
        <v>23602-4311</v>
      </c>
      <c r="O413">
        <f>IFERROR(VLOOKUP(VALUE(J413),'Site Info'!$A:$G,7,FALSE),"")</f>
        <v>7578750243</v>
      </c>
    </row>
    <row r="414" spans="1:15" x14ac:dyDescent="0.45">
      <c r="A414" t="s">
        <v>4928</v>
      </c>
      <c r="B414" t="s">
        <v>4929</v>
      </c>
      <c r="C414" t="s">
        <v>4930</v>
      </c>
      <c r="D414" t="s">
        <v>2674</v>
      </c>
      <c r="E414" s="1">
        <v>46151.280578703707</v>
      </c>
      <c r="F414">
        <v>1547</v>
      </c>
      <c r="G414" t="s">
        <v>4931</v>
      </c>
      <c r="H414" t="s">
        <v>15</v>
      </c>
      <c r="I414" t="s">
        <v>2676</v>
      </c>
      <c r="J414" t="str">
        <f>RIGHT(D414,4)</f>
        <v>6351</v>
      </c>
      <c r="K414" t="str">
        <f>IFERROR(VLOOKUP(VALUE(J414),'Site Info'!$A:$G,3,FALSE),"")</f>
        <v>12407 JEFFERSON AVE</v>
      </c>
      <c r="L414" t="str">
        <f>IFERROR(VLOOKUP(VALUE(J414),'Site Info'!$A:$G,4,FALSE),"")</f>
        <v>NEWPORT NEWS</v>
      </c>
      <c r="M414" t="str">
        <f>IFERROR(VLOOKUP(VALUE(J414),'Site Info'!$A:$G,5,FALSE),"")</f>
        <v>VA</v>
      </c>
      <c r="N414" t="str">
        <f>IFERROR(VLOOKUP(VALUE(J414),'Site Info'!$A:$G,6,FALSE),"")</f>
        <v>23602-4311</v>
      </c>
      <c r="O414">
        <f>IFERROR(VLOOKUP(VALUE(J414),'Site Info'!$A:$G,7,FALSE),"")</f>
        <v>7578750243</v>
      </c>
    </row>
    <row r="415" spans="1:15" x14ac:dyDescent="0.45">
      <c r="A415" t="s">
        <v>4966</v>
      </c>
      <c r="B415" t="s">
        <v>4967</v>
      </c>
      <c r="C415" t="s">
        <v>4968</v>
      </c>
      <c r="D415" t="s">
        <v>2674</v>
      </c>
      <c r="E415" s="1">
        <v>46153.233067129629</v>
      </c>
      <c r="F415">
        <v>1547</v>
      </c>
      <c r="G415" t="s">
        <v>4969</v>
      </c>
      <c r="H415" t="s">
        <v>15</v>
      </c>
      <c r="I415" t="s">
        <v>2676</v>
      </c>
      <c r="J415" t="str">
        <f>RIGHT(D415,4)</f>
        <v>6351</v>
      </c>
      <c r="K415" t="str">
        <f>IFERROR(VLOOKUP(VALUE(J415),'Site Info'!$A:$G,3,FALSE),"")</f>
        <v>12407 JEFFERSON AVE</v>
      </c>
      <c r="L415" t="str">
        <f>IFERROR(VLOOKUP(VALUE(J415),'Site Info'!$A:$G,4,FALSE),"")</f>
        <v>NEWPORT NEWS</v>
      </c>
      <c r="M415" t="str">
        <f>IFERROR(VLOOKUP(VALUE(J415),'Site Info'!$A:$G,5,FALSE),"")</f>
        <v>VA</v>
      </c>
      <c r="N415" t="str">
        <f>IFERROR(VLOOKUP(VALUE(J415),'Site Info'!$A:$G,6,FALSE),"")</f>
        <v>23602-4311</v>
      </c>
      <c r="O415">
        <f>IFERROR(VLOOKUP(VALUE(J415),'Site Info'!$A:$G,7,FALSE),"")</f>
        <v>7578750243</v>
      </c>
    </row>
    <row r="416" spans="1:15" x14ac:dyDescent="0.45">
      <c r="A416" t="s">
        <v>4888</v>
      </c>
      <c r="B416" t="s">
        <v>4889</v>
      </c>
      <c r="C416" t="s">
        <v>4890</v>
      </c>
      <c r="D416" t="s">
        <v>2674</v>
      </c>
      <c r="E416" s="1">
        <v>46153.310914351852</v>
      </c>
      <c r="F416">
        <v>1547</v>
      </c>
      <c r="G416" t="s">
        <v>4891</v>
      </c>
      <c r="H416" t="s">
        <v>15</v>
      </c>
      <c r="I416" t="s">
        <v>2676</v>
      </c>
      <c r="J416" t="str">
        <f>RIGHT(D416,4)</f>
        <v>6351</v>
      </c>
      <c r="K416" t="str">
        <f>IFERROR(VLOOKUP(VALUE(J416),'Site Info'!$A:$G,3,FALSE),"")</f>
        <v>12407 JEFFERSON AVE</v>
      </c>
      <c r="L416" t="str">
        <f>IFERROR(VLOOKUP(VALUE(J416),'Site Info'!$A:$G,4,FALSE),"")</f>
        <v>NEWPORT NEWS</v>
      </c>
      <c r="M416" t="str">
        <f>IFERROR(VLOOKUP(VALUE(J416),'Site Info'!$A:$G,5,FALSE),"")</f>
        <v>VA</v>
      </c>
      <c r="N416" t="str">
        <f>IFERROR(VLOOKUP(VALUE(J416),'Site Info'!$A:$G,6,FALSE),"")</f>
        <v>23602-4311</v>
      </c>
      <c r="O416">
        <f>IFERROR(VLOOKUP(VALUE(J416),'Site Info'!$A:$G,7,FALSE),"")</f>
        <v>7578750243</v>
      </c>
    </row>
    <row r="417" spans="1:15" x14ac:dyDescent="0.45">
      <c r="A417" t="s">
        <v>2671</v>
      </c>
      <c r="B417" t="s">
        <v>2672</v>
      </c>
      <c r="C417" t="s">
        <v>2673</v>
      </c>
      <c r="D417" t="s">
        <v>2674</v>
      </c>
      <c r="E417" s="1">
        <v>46119.042546296296</v>
      </c>
      <c r="F417">
        <v>1481</v>
      </c>
      <c r="G417" t="s">
        <v>2675</v>
      </c>
      <c r="H417" t="s">
        <v>15</v>
      </c>
      <c r="I417" t="s">
        <v>2676</v>
      </c>
      <c r="J417" t="str">
        <f>RIGHT(D417,4)</f>
        <v>6351</v>
      </c>
      <c r="K417" t="str">
        <f>IFERROR(VLOOKUP(VALUE(J417),'Site Info'!$A:$G,3,FALSE),"")</f>
        <v>12407 JEFFERSON AVE</v>
      </c>
      <c r="L417" t="str">
        <f>IFERROR(VLOOKUP(VALUE(J417),'Site Info'!$A:$G,4,FALSE),"")</f>
        <v>NEWPORT NEWS</v>
      </c>
      <c r="M417" t="str">
        <f>IFERROR(VLOOKUP(VALUE(J417),'Site Info'!$A:$G,5,FALSE),"")</f>
        <v>VA</v>
      </c>
      <c r="N417" t="str">
        <f>IFERROR(VLOOKUP(VALUE(J417),'Site Info'!$A:$G,6,FALSE),"")</f>
        <v>23602-4311</v>
      </c>
      <c r="O417">
        <f>IFERROR(VLOOKUP(VALUE(J417),'Site Info'!$A:$G,7,FALSE),"")</f>
        <v>7578750243</v>
      </c>
    </row>
    <row r="418" spans="1:15" x14ac:dyDescent="0.45">
      <c r="A418" t="s">
        <v>13980</v>
      </c>
      <c r="B418" t="s">
        <v>13981</v>
      </c>
      <c r="C418" t="s">
        <v>13982</v>
      </c>
      <c r="D418" t="s">
        <v>39</v>
      </c>
      <c r="E418" s="1">
        <v>46152.681296296294</v>
      </c>
      <c r="F418">
        <v>1547</v>
      </c>
      <c r="G418" t="s">
        <v>13983</v>
      </c>
      <c r="H418" t="s">
        <v>15</v>
      </c>
      <c r="I418" t="s">
        <v>41</v>
      </c>
      <c r="J418" t="str">
        <f>RIGHT(D418,4)</f>
        <v>6501</v>
      </c>
      <c r="K418" t="str">
        <f>IFERROR(VLOOKUP(VALUE(J418),'Site Info'!$A:$G,3,FALSE),"")</f>
        <v>125 JOHN R RICE BLVD</v>
      </c>
      <c r="L418" t="str">
        <f>IFERROR(VLOOKUP(VALUE(J418),'Site Info'!$A:$G,4,FALSE),"")</f>
        <v>MURFREESBORO</v>
      </c>
      <c r="M418" t="str">
        <f>IFERROR(VLOOKUP(VALUE(J418),'Site Info'!$A:$G,5,FALSE),"")</f>
        <v>TN</v>
      </c>
      <c r="N418" t="str">
        <f>IFERROR(VLOOKUP(VALUE(J418),'Site Info'!$A:$G,6,FALSE),"")</f>
        <v>37129-4165</v>
      </c>
      <c r="O418">
        <f>IFERROR(VLOOKUP(VALUE(J418),'Site Info'!$A:$G,7,FALSE),"")</f>
        <v>6158954246</v>
      </c>
    </row>
    <row r="419" spans="1:15" x14ac:dyDescent="0.45">
      <c r="A419" t="s">
        <v>11590</v>
      </c>
      <c r="B419" t="s">
        <v>11591</v>
      </c>
      <c r="C419" t="s">
        <v>11592</v>
      </c>
      <c r="D419" t="s">
        <v>39</v>
      </c>
      <c r="E419" s="1">
        <v>46152.825740740744</v>
      </c>
      <c r="F419">
        <v>1547</v>
      </c>
      <c r="G419" t="s">
        <v>11593</v>
      </c>
      <c r="H419" t="s">
        <v>15</v>
      </c>
      <c r="I419" t="s">
        <v>41</v>
      </c>
      <c r="J419" t="str">
        <f>RIGHT(D419,4)</f>
        <v>6501</v>
      </c>
      <c r="K419" t="str">
        <f>IFERROR(VLOOKUP(VALUE(J419),'Site Info'!$A:$G,3,FALSE),"")</f>
        <v>125 JOHN R RICE BLVD</v>
      </c>
      <c r="L419" t="str">
        <f>IFERROR(VLOOKUP(VALUE(J419),'Site Info'!$A:$G,4,FALSE),"")</f>
        <v>MURFREESBORO</v>
      </c>
      <c r="M419" t="str">
        <f>IFERROR(VLOOKUP(VALUE(J419),'Site Info'!$A:$G,5,FALSE),"")</f>
        <v>TN</v>
      </c>
      <c r="N419" t="str">
        <f>IFERROR(VLOOKUP(VALUE(J419),'Site Info'!$A:$G,6,FALSE),"")</f>
        <v>37129-4165</v>
      </c>
      <c r="O419">
        <f>IFERROR(VLOOKUP(VALUE(J419),'Site Info'!$A:$G,7,FALSE),"")</f>
        <v>6158954246</v>
      </c>
    </row>
    <row r="420" spans="1:15" x14ac:dyDescent="0.45">
      <c r="A420" t="s">
        <v>14103</v>
      </c>
      <c r="B420" t="s">
        <v>14104</v>
      </c>
      <c r="C420" t="s">
        <v>14105</v>
      </c>
      <c r="D420" t="s">
        <v>39</v>
      </c>
      <c r="E420" s="1">
        <v>46153.341944444444</v>
      </c>
      <c r="F420">
        <v>1547</v>
      </c>
      <c r="G420" t="s">
        <v>14106</v>
      </c>
      <c r="H420" t="s">
        <v>15</v>
      </c>
      <c r="I420" t="s">
        <v>41</v>
      </c>
      <c r="J420" t="str">
        <f>RIGHT(D420,4)</f>
        <v>6501</v>
      </c>
      <c r="K420" t="str">
        <f>IFERROR(VLOOKUP(VALUE(J420),'Site Info'!$A:$G,3,FALSE),"")</f>
        <v>125 JOHN R RICE BLVD</v>
      </c>
      <c r="L420" t="str">
        <f>IFERROR(VLOOKUP(VALUE(J420),'Site Info'!$A:$G,4,FALSE),"")</f>
        <v>MURFREESBORO</v>
      </c>
      <c r="M420" t="str">
        <f>IFERROR(VLOOKUP(VALUE(J420),'Site Info'!$A:$G,5,FALSE),"")</f>
        <v>TN</v>
      </c>
      <c r="N420" t="str">
        <f>IFERROR(VLOOKUP(VALUE(J420),'Site Info'!$A:$G,6,FALSE),"")</f>
        <v>37129-4165</v>
      </c>
      <c r="O420">
        <f>IFERROR(VLOOKUP(VALUE(J420),'Site Info'!$A:$G,7,FALSE),"")</f>
        <v>6158954246</v>
      </c>
    </row>
    <row r="421" spans="1:15" x14ac:dyDescent="0.45">
      <c r="A421" t="s">
        <v>12352</v>
      </c>
      <c r="B421" t="s">
        <v>12353</v>
      </c>
      <c r="C421" t="s">
        <v>12354</v>
      </c>
      <c r="D421" t="s">
        <v>39</v>
      </c>
      <c r="E421" s="1">
        <v>46153.369895833333</v>
      </c>
      <c r="F421">
        <v>1547</v>
      </c>
      <c r="G421" t="s">
        <v>12355</v>
      </c>
      <c r="H421" t="s">
        <v>15</v>
      </c>
      <c r="I421" t="s">
        <v>41</v>
      </c>
      <c r="J421" t="str">
        <f>RIGHT(D421,4)</f>
        <v>6501</v>
      </c>
      <c r="K421" t="str">
        <f>IFERROR(VLOOKUP(VALUE(J421),'Site Info'!$A:$G,3,FALSE),"")</f>
        <v>125 JOHN R RICE BLVD</v>
      </c>
      <c r="L421" t="str">
        <f>IFERROR(VLOOKUP(VALUE(J421),'Site Info'!$A:$G,4,FALSE),"")</f>
        <v>MURFREESBORO</v>
      </c>
      <c r="M421" t="str">
        <f>IFERROR(VLOOKUP(VALUE(J421),'Site Info'!$A:$G,5,FALSE),"")</f>
        <v>TN</v>
      </c>
      <c r="N421" t="str">
        <f>IFERROR(VLOOKUP(VALUE(J421),'Site Info'!$A:$G,6,FALSE),"")</f>
        <v>37129-4165</v>
      </c>
      <c r="O421">
        <f>IFERROR(VLOOKUP(VALUE(J421),'Site Info'!$A:$G,7,FALSE),"")</f>
        <v>6158954246</v>
      </c>
    </row>
    <row r="422" spans="1:15" x14ac:dyDescent="0.45">
      <c r="A422" t="s">
        <v>36</v>
      </c>
      <c r="B422" t="s">
        <v>37</v>
      </c>
      <c r="C422" t="s">
        <v>38</v>
      </c>
      <c r="D422" t="s">
        <v>39</v>
      </c>
      <c r="E422" s="1">
        <v>46107.506180555552</v>
      </c>
      <c r="F422">
        <v>1481</v>
      </c>
      <c r="G422" t="s">
        <v>40</v>
      </c>
      <c r="H422" t="s">
        <v>15</v>
      </c>
      <c r="I422" t="s">
        <v>41</v>
      </c>
      <c r="J422" t="str">
        <f>RIGHT(D422,4)</f>
        <v>6501</v>
      </c>
      <c r="K422" t="str">
        <f>IFERROR(VLOOKUP(VALUE(J422),'Site Info'!$A:$G,3,FALSE),"")</f>
        <v>125 JOHN R RICE BLVD</v>
      </c>
      <c r="L422" t="str">
        <f>IFERROR(VLOOKUP(VALUE(J422),'Site Info'!$A:$G,4,FALSE),"")</f>
        <v>MURFREESBORO</v>
      </c>
      <c r="M422" t="str">
        <f>IFERROR(VLOOKUP(VALUE(J422),'Site Info'!$A:$G,5,FALSE),"")</f>
        <v>TN</v>
      </c>
      <c r="N422" t="str">
        <f>IFERROR(VLOOKUP(VALUE(J422),'Site Info'!$A:$G,6,FALSE),"")</f>
        <v>37129-4165</v>
      </c>
      <c r="O422">
        <f>IFERROR(VLOOKUP(VALUE(J422),'Site Info'!$A:$G,7,FALSE),"")</f>
        <v>6158954246</v>
      </c>
    </row>
    <row r="423" spans="1:15" x14ac:dyDescent="0.45">
      <c r="A423" t="s">
        <v>1568</v>
      </c>
      <c r="B423" t="s">
        <v>1569</v>
      </c>
      <c r="C423" t="s">
        <v>1570</v>
      </c>
      <c r="D423" t="s">
        <v>39</v>
      </c>
      <c r="E423" s="1">
        <v>46153.27753472222</v>
      </c>
      <c r="F423">
        <v>1481</v>
      </c>
      <c r="G423" t="s">
        <v>1571</v>
      </c>
      <c r="H423" t="s">
        <v>15</v>
      </c>
      <c r="I423" t="s">
        <v>41</v>
      </c>
      <c r="J423" t="str">
        <f>RIGHT(D423,4)</f>
        <v>6501</v>
      </c>
      <c r="K423" t="str">
        <f>IFERROR(VLOOKUP(VALUE(J423),'Site Info'!$A:$G,3,FALSE),"")</f>
        <v>125 JOHN R RICE BLVD</v>
      </c>
      <c r="L423" t="str">
        <f>IFERROR(VLOOKUP(VALUE(J423),'Site Info'!$A:$G,4,FALSE),"")</f>
        <v>MURFREESBORO</v>
      </c>
      <c r="M423" t="str">
        <f>IFERROR(VLOOKUP(VALUE(J423),'Site Info'!$A:$G,5,FALSE),"")</f>
        <v>TN</v>
      </c>
      <c r="N423" t="str">
        <f>IFERROR(VLOOKUP(VALUE(J423),'Site Info'!$A:$G,6,FALSE),"")</f>
        <v>37129-4165</v>
      </c>
      <c r="O423">
        <f>IFERROR(VLOOKUP(VALUE(J423),'Site Info'!$A:$G,7,FALSE),"")</f>
        <v>6158954246</v>
      </c>
    </row>
    <row r="424" spans="1:15" x14ac:dyDescent="0.45">
      <c r="A424" t="s">
        <v>14560</v>
      </c>
      <c r="B424" t="s">
        <v>14561</v>
      </c>
      <c r="C424" t="s">
        <v>14562</v>
      </c>
      <c r="D424" t="s">
        <v>39</v>
      </c>
      <c r="E424" s="1">
        <v>46153.288483796299</v>
      </c>
      <c r="F424">
        <v>1481</v>
      </c>
      <c r="G424" t="s">
        <v>14563</v>
      </c>
      <c r="H424" t="s">
        <v>15</v>
      </c>
      <c r="I424" t="s">
        <v>41</v>
      </c>
      <c r="J424" t="str">
        <f>RIGHT(D424,4)</f>
        <v>6501</v>
      </c>
      <c r="K424" t="str">
        <f>IFERROR(VLOOKUP(VALUE(J424),'Site Info'!$A:$G,3,FALSE),"")</f>
        <v>125 JOHN R RICE BLVD</v>
      </c>
      <c r="L424" t="str">
        <f>IFERROR(VLOOKUP(VALUE(J424),'Site Info'!$A:$G,4,FALSE),"")</f>
        <v>MURFREESBORO</v>
      </c>
      <c r="M424" t="str">
        <f>IFERROR(VLOOKUP(VALUE(J424),'Site Info'!$A:$G,5,FALSE),"")</f>
        <v>TN</v>
      </c>
      <c r="N424" t="str">
        <f>IFERROR(VLOOKUP(VALUE(J424),'Site Info'!$A:$G,6,FALSE),"")</f>
        <v>37129-4165</v>
      </c>
      <c r="O424">
        <f>IFERROR(VLOOKUP(VALUE(J424),'Site Info'!$A:$G,7,FALSE),"")</f>
        <v>6158954246</v>
      </c>
    </row>
    <row r="425" spans="1:15" x14ac:dyDescent="0.45">
      <c r="A425" t="s">
        <v>4078</v>
      </c>
      <c r="B425" t="s">
        <v>4079</v>
      </c>
      <c r="C425" t="s">
        <v>4080</v>
      </c>
      <c r="D425" t="s">
        <v>4081</v>
      </c>
      <c r="E425" s="1">
        <v>46152.666585648149</v>
      </c>
      <c r="F425">
        <v>1547</v>
      </c>
      <c r="G425" t="s">
        <v>4082</v>
      </c>
      <c r="H425" t="s">
        <v>15</v>
      </c>
      <c r="I425" t="s">
        <v>4083</v>
      </c>
      <c r="J425" t="str">
        <f>RIGHT(D425,4)</f>
        <v>8119</v>
      </c>
      <c r="K425" t="str">
        <f>IFERROR(VLOOKUP(VALUE(J425),'Site Info'!$A:$G,3,FALSE),"")</f>
        <v>1250 AIRPORT BLVD</v>
      </c>
      <c r="L425" t="str">
        <f>IFERROR(VLOOKUP(VALUE(J425),'Site Info'!$A:$G,4,FALSE),"")</f>
        <v>PENSACOLA</v>
      </c>
      <c r="M425" t="str">
        <f>IFERROR(VLOOKUP(VALUE(J425),'Site Info'!$A:$G,5,FALSE),"")</f>
        <v>FL</v>
      </c>
      <c r="N425" t="str">
        <f>IFERROR(VLOOKUP(VALUE(J425),'Site Info'!$A:$G,6,FALSE),"")</f>
        <v>32504-8610</v>
      </c>
      <c r="O425">
        <f>IFERROR(VLOOKUP(VALUE(J425),'Site Info'!$A:$G,7,FALSE),"")</f>
        <v>8504847508</v>
      </c>
    </row>
    <row r="426" spans="1:15" x14ac:dyDescent="0.45">
      <c r="A426" t="s">
        <v>4470</v>
      </c>
      <c r="B426" t="s">
        <v>4471</v>
      </c>
      <c r="C426" t="s">
        <v>4472</v>
      </c>
      <c r="D426" t="s">
        <v>4081</v>
      </c>
      <c r="E426" s="1">
        <v>46152.666631944441</v>
      </c>
      <c r="F426">
        <v>1547</v>
      </c>
      <c r="G426" t="s">
        <v>4473</v>
      </c>
      <c r="H426" t="s">
        <v>15</v>
      </c>
      <c r="I426" t="s">
        <v>4083</v>
      </c>
      <c r="J426" t="str">
        <f>RIGHT(D426,4)</f>
        <v>8119</v>
      </c>
      <c r="K426" t="str">
        <f>IFERROR(VLOOKUP(VALUE(J426),'Site Info'!$A:$G,3,FALSE),"")</f>
        <v>1250 AIRPORT BLVD</v>
      </c>
      <c r="L426" t="str">
        <f>IFERROR(VLOOKUP(VALUE(J426),'Site Info'!$A:$G,4,FALSE),"")</f>
        <v>PENSACOLA</v>
      </c>
      <c r="M426" t="str">
        <f>IFERROR(VLOOKUP(VALUE(J426),'Site Info'!$A:$G,5,FALSE),"")</f>
        <v>FL</v>
      </c>
      <c r="N426" t="str">
        <f>IFERROR(VLOOKUP(VALUE(J426),'Site Info'!$A:$G,6,FALSE),"")</f>
        <v>32504-8610</v>
      </c>
      <c r="O426">
        <f>IFERROR(VLOOKUP(VALUE(J426),'Site Info'!$A:$G,7,FALSE),"")</f>
        <v>8504847508</v>
      </c>
    </row>
    <row r="427" spans="1:15" x14ac:dyDescent="0.45">
      <c r="A427" t="s">
        <v>4746</v>
      </c>
      <c r="B427" t="s">
        <v>4747</v>
      </c>
      <c r="C427" t="s">
        <v>4748</v>
      </c>
      <c r="D427" t="s">
        <v>4081</v>
      </c>
      <c r="E427" s="1">
        <v>46152.876666666663</v>
      </c>
      <c r="F427">
        <v>1547</v>
      </c>
      <c r="G427" t="s">
        <v>4749</v>
      </c>
      <c r="H427" t="s">
        <v>15</v>
      </c>
      <c r="I427" t="s">
        <v>4083</v>
      </c>
      <c r="J427" t="str">
        <f>RIGHT(D427,4)</f>
        <v>8119</v>
      </c>
      <c r="K427" t="str">
        <f>IFERROR(VLOOKUP(VALUE(J427),'Site Info'!$A:$G,3,FALSE),"")</f>
        <v>1250 AIRPORT BLVD</v>
      </c>
      <c r="L427" t="str">
        <f>IFERROR(VLOOKUP(VALUE(J427),'Site Info'!$A:$G,4,FALSE),"")</f>
        <v>PENSACOLA</v>
      </c>
      <c r="M427" t="str">
        <f>IFERROR(VLOOKUP(VALUE(J427),'Site Info'!$A:$G,5,FALSE),"")</f>
        <v>FL</v>
      </c>
      <c r="N427" t="str">
        <f>IFERROR(VLOOKUP(VALUE(J427),'Site Info'!$A:$G,6,FALSE),"")</f>
        <v>32504-8610</v>
      </c>
      <c r="O427">
        <f>IFERROR(VLOOKUP(VALUE(J427),'Site Info'!$A:$G,7,FALSE),"")</f>
        <v>8504847508</v>
      </c>
    </row>
    <row r="428" spans="1:15" x14ac:dyDescent="0.45">
      <c r="A428" t="s">
        <v>4132</v>
      </c>
      <c r="B428" t="s">
        <v>4133</v>
      </c>
      <c r="C428" t="s">
        <v>4134</v>
      </c>
      <c r="D428" t="s">
        <v>4081</v>
      </c>
      <c r="E428" s="1">
        <v>46153.2578125</v>
      </c>
      <c r="F428">
        <v>1547</v>
      </c>
      <c r="G428" t="s">
        <v>4135</v>
      </c>
      <c r="H428" t="s">
        <v>15</v>
      </c>
      <c r="I428" t="s">
        <v>4083</v>
      </c>
      <c r="J428" t="str">
        <f>RIGHT(D428,4)</f>
        <v>8119</v>
      </c>
      <c r="K428" t="str">
        <f>IFERROR(VLOOKUP(VALUE(J428),'Site Info'!$A:$G,3,FALSE),"")</f>
        <v>1250 AIRPORT BLVD</v>
      </c>
      <c r="L428" t="str">
        <f>IFERROR(VLOOKUP(VALUE(J428),'Site Info'!$A:$G,4,FALSE),"")</f>
        <v>PENSACOLA</v>
      </c>
      <c r="M428" t="str">
        <f>IFERROR(VLOOKUP(VALUE(J428),'Site Info'!$A:$G,5,FALSE),"")</f>
        <v>FL</v>
      </c>
      <c r="N428" t="str">
        <f>IFERROR(VLOOKUP(VALUE(J428),'Site Info'!$A:$G,6,FALSE),"")</f>
        <v>32504-8610</v>
      </c>
      <c r="O428">
        <f>IFERROR(VLOOKUP(VALUE(J428),'Site Info'!$A:$G,7,FALSE),"")</f>
        <v>8504847508</v>
      </c>
    </row>
    <row r="429" spans="1:15" x14ac:dyDescent="0.45">
      <c r="A429" t="s">
        <v>13367</v>
      </c>
      <c r="B429" t="s">
        <v>13368</v>
      </c>
      <c r="C429" t="s">
        <v>13369</v>
      </c>
      <c r="D429" t="s">
        <v>9807</v>
      </c>
      <c r="E429" s="1">
        <v>46152.61755787037</v>
      </c>
      <c r="F429">
        <v>1547</v>
      </c>
      <c r="G429" t="s">
        <v>13370</v>
      </c>
      <c r="H429" t="s">
        <v>15</v>
      </c>
      <c r="I429" t="s">
        <v>9809</v>
      </c>
      <c r="J429" t="str">
        <f>RIGHT(D429,4)</f>
        <v>4749</v>
      </c>
      <c r="K429" t="str">
        <f>IFERROR(VLOOKUP(VALUE(J429),'Site Info'!$A:$G,3,FALSE),"")</f>
        <v>1250 SOUTH AMITY RD</v>
      </c>
      <c r="L429" t="str">
        <f>IFERROR(VLOOKUP(VALUE(J429),'Site Info'!$A:$G,4,FALSE),"")</f>
        <v>CONWAY</v>
      </c>
      <c r="M429" t="str">
        <f>IFERROR(VLOOKUP(VALUE(J429),'Site Info'!$A:$G,5,FALSE),"")</f>
        <v>AR</v>
      </c>
      <c r="N429" t="str">
        <f>IFERROR(VLOOKUP(VALUE(J429),'Site Info'!$A:$G,6,FALSE),"")</f>
        <v>72032-0000</v>
      </c>
      <c r="O429">
        <f>IFERROR(VLOOKUP(VALUE(J429),'Site Info'!$A:$G,7,FALSE),"")</f>
        <v>5012057465</v>
      </c>
    </row>
    <row r="430" spans="1:15" x14ac:dyDescent="0.45">
      <c r="A430" t="s">
        <v>13131</v>
      </c>
      <c r="B430" t="s">
        <v>13132</v>
      </c>
      <c r="C430" t="s">
        <v>13133</v>
      </c>
      <c r="D430" t="s">
        <v>9807</v>
      </c>
      <c r="E430" s="1">
        <v>46152.664618055554</v>
      </c>
      <c r="F430">
        <v>1547</v>
      </c>
      <c r="G430" t="s">
        <v>13134</v>
      </c>
      <c r="H430" t="s">
        <v>15</v>
      </c>
      <c r="I430" t="s">
        <v>9809</v>
      </c>
      <c r="J430" t="str">
        <f>RIGHT(D430,4)</f>
        <v>4749</v>
      </c>
      <c r="K430" t="str">
        <f>IFERROR(VLOOKUP(VALUE(J430),'Site Info'!$A:$G,3,FALSE),"")</f>
        <v>1250 SOUTH AMITY RD</v>
      </c>
      <c r="L430" t="str">
        <f>IFERROR(VLOOKUP(VALUE(J430),'Site Info'!$A:$G,4,FALSE),"")</f>
        <v>CONWAY</v>
      </c>
      <c r="M430" t="str">
        <f>IFERROR(VLOOKUP(VALUE(J430),'Site Info'!$A:$G,5,FALSE),"")</f>
        <v>AR</v>
      </c>
      <c r="N430" t="str">
        <f>IFERROR(VLOOKUP(VALUE(J430),'Site Info'!$A:$G,6,FALSE),"")</f>
        <v>72032-0000</v>
      </c>
      <c r="O430">
        <f>IFERROR(VLOOKUP(VALUE(J430),'Site Info'!$A:$G,7,FALSE),"")</f>
        <v>5012057465</v>
      </c>
    </row>
    <row r="431" spans="1:15" x14ac:dyDescent="0.45">
      <c r="A431" t="s">
        <v>13303</v>
      </c>
      <c r="B431" t="s">
        <v>13304</v>
      </c>
      <c r="C431" t="s">
        <v>13305</v>
      </c>
      <c r="D431" t="s">
        <v>9807</v>
      </c>
      <c r="E431" s="1">
        <v>46153.309756944444</v>
      </c>
      <c r="F431">
        <v>1547</v>
      </c>
      <c r="G431" t="s">
        <v>13306</v>
      </c>
      <c r="H431" t="s">
        <v>15</v>
      </c>
      <c r="I431" t="s">
        <v>9809</v>
      </c>
      <c r="J431" t="str">
        <f>RIGHT(D431,4)</f>
        <v>4749</v>
      </c>
      <c r="K431" t="str">
        <f>IFERROR(VLOOKUP(VALUE(J431),'Site Info'!$A:$G,3,FALSE),"")</f>
        <v>1250 SOUTH AMITY RD</v>
      </c>
      <c r="L431" t="str">
        <f>IFERROR(VLOOKUP(VALUE(J431),'Site Info'!$A:$G,4,FALSE),"")</f>
        <v>CONWAY</v>
      </c>
      <c r="M431" t="str">
        <f>IFERROR(VLOOKUP(VALUE(J431),'Site Info'!$A:$G,5,FALSE),"")</f>
        <v>AR</v>
      </c>
      <c r="N431" t="str">
        <f>IFERROR(VLOOKUP(VALUE(J431),'Site Info'!$A:$G,6,FALSE),"")</f>
        <v>72032-0000</v>
      </c>
      <c r="O431">
        <f>IFERROR(VLOOKUP(VALUE(J431),'Site Info'!$A:$G,7,FALSE),"")</f>
        <v>5012057465</v>
      </c>
    </row>
    <row r="432" spans="1:15" x14ac:dyDescent="0.45">
      <c r="A432" t="s">
        <v>12978</v>
      </c>
      <c r="B432" t="s">
        <v>12979</v>
      </c>
      <c r="C432" t="s">
        <v>12980</v>
      </c>
      <c r="D432" t="s">
        <v>9807</v>
      </c>
      <c r="E432" s="1">
        <v>46153.320173611108</v>
      </c>
      <c r="F432">
        <v>1547</v>
      </c>
      <c r="G432" t="s">
        <v>12981</v>
      </c>
      <c r="H432" t="s">
        <v>15</v>
      </c>
      <c r="I432" t="s">
        <v>9809</v>
      </c>
      <c r="J432" t="str">
        <f>RIGHT(D432,4)</f>
        <v>4749</v>
      </c>
      <c r="K432" t="str">
        <f>IFERROR(VLOOKUP(VALUE(J432),'Site Info'!$A:$G,3,FALSE),"")</f>
        <v>1250 SOUTH AMITY RD</v>
      </c>
      <c r="L432" t="str">
        <f>IFERROR(VLOOKUP(VALUE(J432),'Site Info'!$A:$G,4,FALSE),"")</f>
        <v>CONWAY</v>
      </c>
      <c r="M432" t="str">
        <f>IFERROR(VLOOKUP(VALUE(J432),'Site Info'!$A:$G,5,FALSE),"")</f>
        <v>AR</v>
      </c>
      <c r="N432" t="str">
        <f>IFERROR(VLOOKUP(VALUE(J432),'Site Info'!$A:$G,6,FALSE),"")</f>
        <v>72032-0000</v>
      </c>
      <c r="O432">
        <f>IFERROR(VLOOKUP(VALUE(J432),'Site Info'!$A:$G,7,FALSE),"")</f>
        <v>5012057465</v>
      </c>
    </row>
    <row r="433" spans="1:15" x14ac:dyDescent="0.45">
      <c r="A433" t="s">
        <v>9804</v>
      </c>
      <c r="B433" t="s">
        <v>9805</v>
      </c>
      <c r="C433" t="s">
        <v>9806</v>
      </c>
      <c r="D433" t="s">
        <v>9807</v>
      </c>
      <c r="E433" s="1">
        <v>46153.372719907406</v>
      </c>
      <c r="F433">
        <v>1547</v>
      </c>
      <c r="G433" t="s">
        <v>9808</v>
      </c>
      <c r="H433" t="s">
        <v>15</v>
      </c>
      <c r="I433" t="s">
        <v>9809</v>
      </c>
      <c r="J433" t="str">
        <f>RIGHT(D433,4)</f>
        <v>4749</v>
      </c>
      <c r="K433" t="str">
        <f>IFERROR(VLOOKUP(VALUE(J433),'Site Info'!$A:$G,3,FALSE),"")</f>
        <v>1250 SOUTH AMITY RD</v>
      </c>
      <c r="L433" t="str">
        <f>IFERROR(VLOOKUP(VALUE(J433),'Site Info'!$A:$G,4,FALSE),"")</f>
        <v>CONWAY</v>
      </c>
      <c r="M433" t="str">
        <f>IFERROR(VLOOKUP(VALUE(J433),'Site Info'!$A:$G,5,FALSE),"")</f>
        <v>AR</v>
      </c>
      <c r="N433" t="str">
        <f>IFERROR(VLOOKUP(VALUE(J433),'Site Info'!$A:$G,6,FALSE),"")</f>
        <v>72032-0000</v>
      </c>
      <c r="O433">
        <f>IFERROR(VLOOKUP(VALUE(J433),'Site Info'!$A:$G,7,FALSE),"")</f>
        <v>5012057465</v>
      </c>
    </row>
    <row r="434" spans="1:15" x14ac:dyDescent="0.45">
      <c r="A434" t="s">
        <v>6989</v>
      </c>
      <c r="B434" t="s">
        <v>6990</v>
      </c>
      <c r="C434" t="s">
        <v>6991</v>
      </c>
      <c r="D434" t="s">
        <v>3744</v>
      </c>
      <c r="E434" s="1">
        <v>46151.811041666668</v>
      </c>
      <c r="F434">
        <v>1547</v>
      </c>
      <c r="G434" t="s">
        <v>6992</v>
      </c>
      <c r="H434" t="s">
        <v>15</v>
      </c>
      <c r="I434" t="s">
        <v>3746</v>
      </c>
      <c r="J434" t="str">
        <f>RIGHT(D434,4)</f>
        <v>4963</v>
      </c>
      <c r="K434" t="str">
        <f>IFERROR(VLOOKUP(VALUE(J434),'Site Info'!$A:$G,3,FALSE),"")</f>
        <v>1270 N BRIDGE ST</v>
      </c>
      <c r="L434" t="str">
        <f>IFERROR(VLOOKUP(VALUE(J434),'Site Info'!$A:$G,4,FALSE),"")</f>
        <v>CHILLICOTHE</v>
      </c>
      <c r="M434" t="str">
        <f>IFERROR(VLOOKUP(VALUE(J434),'Site Info'!$A:$G,5,FALSE),"")</f>
        <v>OH</v>
      </c>
      <c r="N434" t="str">
        <f>IFERROR(VLOOKUP(VALUE(J434),'Site Info'!$A:$G,6,FALSE),"")</f>
        <v>45601-1852</v>
      </c>
      <c r="O434">
        <f>IFERROR(VLOOKUP(VALUE(J434),'Site Info'!$A:$G,7,FALSE),"")</f>
        <v>7407796700</v>
      </c>
    </row>
    <row r="435" spans="1:15" x14ac:dyDescent="0.45">
      <c r="A435" t="s">
        <v>8245</v>
      </c>
      <c r="B435" t="s">
        <v>8246</v>
      </c>
      <c r="C435" t="s">
        <v>8247</v>
      </c>
      <c r="D435" t="s">
        <v>3744</v>
      </c>
      <c r="E435" s="1">
        <v>46153.159375000003</v>
      </c>
      <c r="F435">
        <v>1547</v>
      </c>
      <c r="G435" t="s">
        <v>8248</v>
      </c>
      <c r="H435" t="s">
        <v>15</v>
      </c>
      <c r="I435" t="s">
        <v>3746</v>
      </c>
      <c r="J435" t="str">
        <f>RIGHT(D435,4)</f>
        <v>4963</v>
      </c>
      <c r="K435" t="str">
        <f>IFERROR(VLOOKUP(VALUE(J435),'Site Info'!$A:$G,3,FALSE),"")</f>
        <v>1270 N BRIDGE ST</v>
      </c>
      <c r="L435" t="str">
        <f>IFERROR(VLOOKUP(VALUE(J435),'Site Info'!$A:$G,4,FALSE),"")</f>
        <v>CHILLICOTHE</v>
      </c>
      <c r="M435" t="str">
        <f>IFERROR(VLOOKUP(VALUE(J435),'Site Info'!$A:$G,5,FALSE),"")</f>
        <v>OH</v>
      </c>
      <c r="N435" t="str">
        <f>IFERROR(VLOOKUP(VALUE(J435),'Site Info'!$A:$G,6,FALSE),"")</f>
        <v>45601-1852</v>
      </c>
      <c r="O435">
        <f>IFERROR(VLOOKUP(VALUE(J435),'Site Info'!$A:$G,7,FALSE),"")</f>
        <v>7407796700</v>
      </c>
    </row>
    <row r="436" spans="1:15" x14ac:dyDescent="0.45">
      <c r="A436" t="s">
        <v>7226</v>
      </c>
      <c r="B436" t="s">
        <v>7227</v>
      </c>
      <c r="C436" t="s">
        <v>7228</v>
      </c>
      <c r="D436" t="s">
        <v>3744</v>
      </c>
      <c r="E436" s="1">
        <v>46153.276712962965</v>
      </c>
      <c r="F436">
        <v>1547</v>
      </c>
      <c r="G436" t="s">
        <v>7229</v>
      </c>
      <c r="H436" t="s">
        <v>15</v>
      </c>
      <c r="I436" t="s">
        <v>3746</v>
      </c>
      <c r="J436" t="str">
        <f>RIGHT(D436,4)</f>
        <v>4963</v>
      </c>
      <c r="K436" t="str">
        <f>IFERROR(VLOOKUP(VALUE(J436),'Site Info'!$A:$G,3,FALSE),"")</f>
        <v>1270 N BRIDGE ST</v>
      </c>
      <c r="L436" t="str">
        <f>IFERROR(VLOOKUP(VALUE(J436),'Site Info'!$A:$G,4,FALSE),"")</f>
        <v>CHILLICOTHE</v>
      </c>
      <c r="M436" t="str">
        <f>IFERROR(VLOOKUP(VALUE(J436),'Site Info'!$A:$G,5,FALSE),"")</f>
        <v>OH</v>
      </c>
      <c r="N436" t="str">
        <f>IFERROR(VLOOKUP(VALUE(J436),'Site Info'!$A:$G,6,FALSE),"")</f>
        <v>45601-1852</v>
      </c>
      <c r="O436">
        <f>IFERROR(VLOOKUP(VALUE(J436),'Site Info'!$A:$G,7,FALSE),"")</f>
        <v>7407796700</v>
      </c>
    </row>
    <row r="437" spans="1:15" x14ac:dyDescent="0.45">
      <c r="A437" t="s">
        <v>7039</v>
      </c>
      <c r="B437" t="s">
        <v>7040</v>
      </c>
      <c r="C437" t="s">
        <v>7041</v>
      </c>
      <c r="D437" t="s">
        <v>3744</v>
      </c>
      <c r="E437" s="1">
        <v>46153.372986111113</v>
      </c>
      <c r="F437">
        <v>1547</v>
      </c>
      <c r="G437" t="s">
        <v>7042</v>
      </c>
      <c r="H437" t="s">
        <v>15</v>
      </c>
      <c r="I437" t="s">
        <v>3746</v>
      </c>
      <c r="J437" t="str">
        <f>RIGHT(D437,4)</f>
        <v>4963</v>
      </c>
      <c r="K437" t="str">
        <f>IFERROR(VLOOKUP(VALUE(J437),'Site Info'!$A:$G,3,FALSE),"")</f>
        <v>1270 N BRIDGE ST</v>
      </c>
      <c r="L437" t="str">
        <f>IFERROR(VLOOKUP(VALUE(J437),'Site Info'!$A:$G,4,FALSE),"")</f>
        <v>CHILLICOTHE</v>
      </c>
      <c r="M437" t="str">
        <f>IFERROR(VLOOKUP(VALUE(J437),'Site Info'!$A:$G,5,FALSE),"")</f>
        <v>OH</v>
      </c>
      <c r="N437" t="str">
        <f>IFERROR(VLOOKUP(VALUE(J437),'Site Info'!$A:$G,6,FALSE),"")</f>
        <v>45601-1852</v>
      </c>
      <c r="O437">
        <f>IFERROR(VLOOKUP(VALUE(J437),'Site Info'!$A:$G,7,FALSE),"")</f>
        <v>7407796700</v>
      </c>
    </row>
    <row r="438" spans="1:15" x14ac:dyDescent="0.45">
      <c r="A438" t="s">
        <v>3741</v>
      </c>
      <c r="B438" t="s">
        <v>3742</v>
      </c>
      <c r="C438" t="s">
        <v>3743</v>
      </c>
      <c r="D438" t="s">
        <v>3744</v>
      </c>
      <c r="E438" s="1">
        <v>46152.049710648149</v>
      </c>
      <c r="F438">
        <v>1481</v>
      </c>
      <c r="G438" t="s">
        <v>3745</v>
      </c>
      <c r="H438" t="s">
        <v>15</v>
      </c>
      <c r="I438" t="s">
        <v>3746</v>
      </c>
      <c r="J438" t="str">
        <f>RIGHT(D438,4)</f>
        <v>4963</v>
      </c>
      <c r="K438" t="str">
        <f>IFERROR(VLOOKUP(VALUE(J438),'Site Info'!$A:$G,3,FALSE),"")</f>
        <v>1270 N BRIDGE ST</v>
      </c>
      <c r="L438" t="str">
        <f>IFERROR(VLOOKUP(VALUE(J438),'Site Info'!$A:$G,4,FALSE),"")</f>
        <v>CHILLICOTHE</v>
      </c>
      <c r="M438" t="str">
        <f>IFERROR(VLOOKUP(VALUE(J438),'Site Info'!$A:$G,5,FALSE),"")</f>
        <v>OH</v>
      </c>
      <c r="N438" t="str">
        <f>IFERROR(VLOOKUP(VALUE(J438),'Site Info'!$A:$G,6,FALSE),"")</f>
        <v>45601-1852</v>
      </c>
      <c r="O438">
        <f>IFERROR(VLOOKUP(VALUE(J438),'Site Info'!$A:$G,7,FALSE),"")</f>
        <v>7407796700</v>
      </c>
    </row>
    <row r="439" spans="1:15" x14ac:dyDescent="0.45">
      <c r="A439" t="s">
        <v>16562</v>
      </c>
      <c r="B439" t="s">
        <v>16563</v>
      </c>
      <c r="C439" t="s">
        <v>16564</v>
      </c>
      <c r="D439" t="s">
        <v>3744</v>
      </c>
      <c r="E439" s="1">
        <v>46153.3674537037</v>
      </c>
      <c r="F439">
        <v>1547</v>
      </c>
      <c r="G439" t="s">
        <v>16565</v>
      </c>
      <c r="H439" t="s">
        <v>15</v>
      </c>
      <c r="I439" t="s">
        <v>3746</v>
      </c>
      <c r="J439" t="str">
        <f>RIGHT(D439,4)</f>
        <v>4963</v>
      </c>
      <c r="K439" t="str">
        <f>IFERROR(VLOOKUP(VALUE(J439),'Site Info'!$A:$G,3,FALSE),"")</f>
        <v>1270 N BRIDGE ST</v>
      </c>
      <c r="L439" t="str">
        <f>IFERROR(VLOOKUP(VALUE(J439),'Site Info'!$A:$G,4,FALSE),"")</f>
        <v>CHILLICOTHE</v>
      </c>
      <c r="M439" t="str">
        <f>IFERROR(VLOOKUP(VALUE(J439),'Site Info'!$A:$G,5,FALSE),"")</f>
        <v>OH</v>
      </c>
      <c r="N439" t="str">
        <f>IFERROR(VLOOKUP(VALUE(J439),'Site Info'!$A:$G,6,FALSE),"")</f>
        <v>45601-1852</v>
      </c>
      <c r="O439">
        <f>IFERROR(VLOOKUP(VALUE(J439),'Site Info'!$A:$G,7,FALSE),"")</f>
        <v>7407796700</v>
      </c>
    </row>
    <row r="440" spans="1:15" x14ac:dyDescent="0.45">
      <c r="A440" t="s">
        <v>14119</v>
      </c>
      <c r="B440" t="s">
        <v>14120</v>
      </c>
      <c r="C440" t="s">
        <v>14121</v>
      </c>
      <c r="D440" t="s">
        <v>11691</v>
      </c>
      <c r="E440" s="1">
        <v>46150.052291666667</v>
      </c>
      <c r="F440">
        <v>1547</v>
      </c>
      <c r="G440" t="s">
        <v>14122</v>
      </c>
      <c r="H440" t="s">
        <v>15</v>
      </c>
      <c r="I440" t="s">
        <v>11693</v>
      </c>
      <c r="J440" t="str">
        <f>RIGHT(D440,4)</f>
        <v>6429</v>
      </c>
      <c r="K440" t="str">
        <f>IFERROR(VLOOKUP(VALUE(J440),'Site Info'!$A:$G,3,FALSE),"")</f>
        <v>12737 6 MILE RD</v>
      </c>
      <c r="L440" t="str">
        <f>IFERROR(VLOOKUP(VALUE(J440),'Site Info'!$A:$G,4,FALSE),"")</f>
        <v>BATTLE CREEK</v>
      </c>
      <c r="M440" t="str">
        <f>IFERROR(VLOOKUP(VALUE(J440),'Site Info'!$A:$G,5,FALSE),"")</f>
        <v>MI</v>
      </c>
      <c r="N440" t="str">
        <f>IFERROR(VLOOKUP(VALUE(J440),'Site Info'!$A:$G,6,FALSE),"")</f>
        <v>49014-8368</v>
      </c>
      <c r="O440">
        <f>IFERROR(VLOOKUP(VALUE(J440),'Site Info'!$A:$G,7,FALSE),"")</f>
        <v>2699795327</v>
      </c>
    </row>
    <row r="441" spans="1:15" x14ac:dyDescent="0.45">
      <c r="A441" t="s">
        <v>11766</v>
      </c>
      <c r="B441" t="s">
        <v>11767</v>
      </c>
      <c r="C441" t="s">
        <v>11768</v>
      </c>
      <c r="D441" t="s">
        <v>11691</v>
      </c>
      <c r="E441" s="1">
        <v>46152.321145833332</v>
      </c>
      <c r="F441">
        <v>1547</v>
      </c>
      <c r="G441" t="s">
        <v>11769</v>
      </c>
      <c r="H441" t="s">
        <v>15</v>
      </c>
      <c r="I441" t="s">
        <v>11693</v>
      </c>
      <c r="J441" t="str">
        <f>RIGHT(D441,4)</f>
        <v>6429</v>
      </c>
      <c r="K441" t="str">
        <f>IFERROR(VLOOKUP(VALUE(J441),'Site Info'!$A:$G,3,FALSE),"")</f>
        <v>12737 6 MILE RD</v>
      </c>
      <c r="L441" t="str">
        <f>IFERROR(VLOOKUP(VALUE(J441),'Site Info'!$A:$G,4,FALSE),"")</f>
        <v>BATTLE CREEK</v>
      </c>
      <c r="M441" t="str">
        <f>IFERROR(VLOOKUP(VALUE(J441),'Site Info'!$A:$G,5,FALSE),"")</f>
        <v>MI</v>
      </c>
      <c r="N441" t="str">
        <f>IFERROR(VLOOKUP(VALUE(J441),'Site Info'!$A:$G,6,FALSE),"")</f>
        <v>49014-8368</v>
      </c>
      <c r="O441">
        <f>IFERROR(VLOOKUP(VALUE(J441),'Site Info'!$A:$G,7,FALSE),"")</f>
        <v>2699795327</v>
      </c>
    </row>
    <row r="442" spans="1:15" x14ac:dyDescent="0.45">
      <c r="A442" t="s">
        <v>12136</v>
      </c>
      <c r="B442" t="s">
        <v>12137</v>
      </c>
      <c r="C442" t="s">
        <v>12138</v>
      </c>
      <c r="D442" t="s">
        <v>11691</v>
      </c>
      <c r="E442" s="1">
        <v>46152.38690972222</v>
      </c>
      <c r="F442">
        <v>1547</v>
      </c>
      <c r="G442" t="s">
        <v>12139</v>
      </c>
      <c r="H442" t="s">
        <v>15</v>
      </c>
      <c r="I442" t="s">
        <v>11693</v>
      </c>
      <c r="J442" t="str">
        <f>RIGHT(D442,4)</f>
        <v>6429</v>
      </c>
      <c r="K442" t="str">
        <f>IFERROR(VLOOKUP(VALUE(J442),'Site Info'!$A:$G,3,FALSE),"")</f>
        <v>12737 6 MILE RD</v>
      </c>
      <c r="L442" t="str">
        <f>IFERROR(VLOOKUP(VALUE(J442),'Site Info'!$A:$G,4,FALSE),"")</f>
        <v>BATTLE CREEK</v>
      </c>
      <c r="M442" t="str">
        <f>IFERROR(VLOOKUP(VALUE(J442),'Site Info'!$A:$G,5,FALSE),"")</f>
        <v>MI</v>
      </c>
      <c r="N442" t="str">
        <f>IFERROR(VLOOKUP(VALUE(J442),'Site Info'!$A:$G,6,FALSE),"")</f>
        <v>49014-8368</v>
      </c>
      <c r="O442">
        <f>IFERROR(VLOOKUP(VALUE(J442),'Site Info'!$A:$G,7,FALSE),"")</f>
        <v>2699795327</v>
      </c>
    </row>
    <row r="443" spans="1:15" x14ac:dyDescent="0.45">
      <c r="A443" t="s">
        <v>11688</v>
      </c>
      <c r="B443" t="s">
        <v>11689</v>
      </c>
      <c r="C443" t="s">
        <v>11690</v>
      </c>
      <c r="D443" t="s">
        <v>11691</v>
      </c>
      <c r="E443" s="1">
        <v>46152.826099537036</v>
      </c>
      <c r="F443">
        <v>1547</v>
      </c>
      <c r="G443" t="s">
        <v>11692</v>
      </c>
      <c r="H443" t="s">
        <v>15</v>
      </c>
      <c r="I443" t="s">
        <v>11693</v>
      </c>
      <c r="J443" t="str">
        <f>RIGHT(D443,4)</f>
        <v>6429</v>
      </c>
      <c r="K443" t="str">
        <f>IFERROR(VLOOKUP(VALUE(J443),'Site Info'!$A:$G,3,FALSE),"")</f>
        <v>12737 6 MILE RD</v>
      </c>
      <c r="L443" t="str">
        <f>IFERROR(VLOOKUP(VALUE(J443),'Site Info'!$A:$G,4,FALSE),"")</f>
        <v>BATTLE CREEK</v>
      </c>
      <c r="M443" t="str">
        <f>IFERROR(VLOOKUP(VALUE(J443),'Site Info'!$A:$G,5,FALSE),"")</f>
        <v>MI</v>
      </c>
      <c r="N443" t="str">
        <f>IFERROR(VLOOKUP(VALUE(J443),'Site Info'!$A:$G,6,FALSE),"")</f>
        <v>49014-8368</v>
      </c>
      <c r="O443">
        <f>IFERROR(VLOOKUP(VALUE(J443),'Site Info'!$A:$G,7,FALSE),"")</f>
        <v>2699795327</v>
      </c>
    </row>
    <row r="444" spans="1:15" x14ac:dyDescent="0.45">
      <c r="A444" t="s">
        <v>11972</v>
      </c>
      <c r="B444" t="s">
        <v>11973</v>
      </c>
      <c r="C444" t="s">
        <v>11974</v>
      </c>
      <c r="D444" t="s">
        <v>11691</v>
      </c>
      <c r="E444" s="1">
        <v>46153.263935185183</v>
      </c>
      <c r="F444">
        <v>1547</v>
      </c>
      <c r="G444" t="s">
        <v>11975</v>
      </c>
      <c r="H444" t="s">
        <v>15</v>
      </c>
      <c r="I444" t="s">
        <v>11693</v>
      </c>
      <c r="J444" t="str">
        <f>RIGHT(D444,4)</f>
        <v>6429</v>
      </c>
      <c r="K444" t="str">
        <f>IFERROR(VLOOKUP(VALUE(J444),'Site Info'!$A:$G,3,FALSE),"")</f>
        <v>12737 6 MILE RD</v>
      </c>
      <c r="L444" t="str">
        <f>IFERROR(VLOOKUP(VALUE(J444),'Site Info'!$A:$G,4,FALSE),"")</f>
        <v>BATTLE CREEK</v>
      </c>
      <c r="M444" t="str">
        <f>IFERROR(VLOOKUP(VALUE(J444),'Site Info'!$A:$G,5,FALSE),"")</f>
        <v>MI</v>
      </c>
      <c r="N444" t="str">
        <f>IFERROR(VLOOKUP(VALUE(J444),'Site Info'!$A:$G,6,FALSE),"")</f>
        <v>49014-8368</v>
      </c>
      <c r="O444">
        <f>IFERROR(VLOOKUP(VALUE(J444),'Site Info'!$A:$G,7,FALSE),"")</f>
        <v>2699795327</v>
      </c>
    </row>
    <row r="445" spans="1:15" x14ac:dyDescent="0.45">
      <c r="A445" t="s">
        <v>13884</v>
      </c>
      <c r="B445" t="s">
        <v>13885</v>
      </c>
      <c r="C445" t="s">
        <v>13886</v>
      </c>
      <c r="D445" t="s">
        <v>11691</v>
      </c>
      <c r="E445" s="1">
        <v>46153.334421296298</v>
      </c>
      <c r="F445">
        <v>1547</v>
      </c>
      <c r="G445" t="s">
        <v>13887</v>
      </c>
      <c r="H445" t="s">
        <v>15</v>
      </c>
      <c r="I445" t="s">
        <v>11693</v>
      </c>
      <c r="J445" t="str">
        <f>RIGHT(D445,4)</f>
        <v>6429</v>
      </c>
      <c r="K445" t="str">
        <f>IFERROR(VLOOKUP(VALUE(J445),'Site Info'!$A:$G,3,FALSE),"")</f>
        <v>12737 6 MILE RD</v>
      </c>
      <c r="L445" t="str">
        <f>IFERROR(VLOOKUP(VALUE(J445),'Site Info'!$A:$G,4,FALSE),"")</f>
        <v>BATTLE CREEK</v>
      </c>
      <c r="M445" t="str">
        <f>IFERROR(VLOOKUP(VALUE(J445),'Site Info'!$A:$G,5,FALSE),"")</f>
        <v>MI</v>
      </c>
      <c r="N445" t="str">
        <f>IFERROR(VLOOKUP(VALUE(J445),'Site Info'!$A:$G,6,FALSE),"")</f>
        <v>49014-8368</v>
      </c>
      <c r="O445">
        <f>IFERROR(VLOOKUP(VALUE(J445),'Site Info'!$A:$G,7,FALSE),"")</f>
        <v>2699795327</v>
      </c>
    </row>
    <row r="446" spans="1:15" x14ac:dyDescent="0.45">
      <c r="A446" t="s">
        <v>5006</v>
      </c>
      <c r="B446" t="s">
        <v>5007</v>
      </c>
      <c r="C446" t="s">
        <v>5008</v>
      </c>
      <c r="D446" t="s">
        <v>3720</v>
      </c>
      <c r="E446" s="1">
        <v>46149.000497685185</v>
      </c>
      <c r="F446">
        <v>1547</v>
      </c>
      <c r="G446" t="s">
        <v>5009</v>
      </c>
      <c r="H446" t="s">
        <v>15</v>
      </c>
      <c r="I446" t="s">
        <v>3722</v>
      </c>
      <c r="J446" t="str">
        <f>RIGHT(D446,4)</f>
        <v>6238</v>
      </c>
      <c r="K446" t="str">
        <f>IFERROR(VLOOKUP(VALUE(J446),'Site Info'!$A:$G,3,FALSE),"")</f>
        <v>12905 EAST 96TH STREET NORTH</v>
      </c>
      <c r="L446" t="str">
        <f>IFERROR(VLOOKUP(VALUE(J446),'Site Info'!$A:$G,4,FALSE),"")</f>
        <v>OWASSO</v>
      </c>
      <c r="M446" t="str">
        <f>IFERROR(VLOOKUP(VALUE(J446),'Site Info'!$A:$G,5,FALSE),"")</f>
        <v>OK</v>
      </c>
      <c r="N446" t="str">
        <f>IFERROR(VLOOKUP(VALUE(J446),'Site Info'!$A:$G,6,FALSE),"")</f>
        <v>74055-0000</v>
      </c>
      <c r="O446">
        <f>IFERROR(VLOOKUP(VALUE(J446),'Site Info'!$A:$G,7,FALSE),"")</f>
        <v>9182127037</v>
      </c>
    </row>
    <row r="447" spans="1:15" x14ac:dyDescent="0.45">
      <c r="A447" t="s">
        <v>5154</v>
      </c>
      <c r="B447" t="s">
        <v>5155</v>
      </c>
      <c r="C447" t="s">
        <v>5156</v>
      </c>
      <c r="D447" t="s">
        <v>3720</v>
      </c>
      <c r="E447" s="1">
        <v>46152.666493055556</v>
      </c>
      <c r="F447">
        <v>1547</v>
      </c>
      <c r="G447" t="s">
        <v>5157</v>
      </c>
      <c r="H447" t="s">
        <v>15</v>
      </c>
      <c r="I447" t="s">
        <v>3722</v>
      </c>
      <c r="J447" t="str">
        <f>RIGHT(D447,4)</f>
        <v>6238</v>
      </c>
      <c r="K447" t="str">
        <f>IFERROR(VLOOKUP(VALUE(J447),'Site Info'!$A:$G,3,FALSE),"")</f>
        <v>12905 EAST 96TH STREET NORTH</v>
      </c>
      <c r="L447" t="str">
        <f>IFERROR(VLOOKUP(VALUE(J447),'Site Info'!$A:$G,4,FALSE),"")</f>
        <v>OWASSO</v>
      </c>
      <c r="M447" t="str">
        <f>IFERROR(VLOOKUP(VALUE(J447),'Site Info'!$A:$G,5,FALSE),"")</f>
        <v>OK</v>
      </c>
      <c r="N447" t="str">
        <f>IFERROR(VLOOKUP(VALUE(J447),'Site Info'!$A:$G,6,FALSE),"")</f>
        <v>74055-0000</v>
      </c>
      <c r="O447">
        <f>IFERROR(VLOOKUP(VALUE(J447),'Site Info'!$A:$G,7,FALSE),"")</f>
        <v>9182127037</v>
      </c>
    </row>
    <row r="448" spans="1:15" x14ac:dyDescent="0.45">
      <c r="A448" t="s">
        <v>5106</v>
      </c>
      <c r="B448" t="s">
        <v>5107</v>
      </c>
      <c r="C448" t="s">
        <v>5108</v>
      </c>
      <c r="D448" t="s">
        <v>3720</v>
      </c>
      <c r="E448" s="1">
        <v>46153.371932870374</v>
      </c>
      <c r="F448">
        <v>1547</v>
      </c>
      <c r="G448" t="s">
        <v>5109</v>
      </c>
      <c r="H448" t="s">
        <v>15</v>
      </c>
      <c r="I448" t="s">
        <v>3722</v>
      </c>
      <c r="J448" t="str">
        <f>RIGHT(D448,4)</f>
        <v>6238</v>
      </c>
      <c r="K448" t="str">
        <f>IFERROR(VLOOKUP(VALUE(J448),'Site Info'!$A:$G,3,FALSE),"")</f>
        <v>12905 EAST 96TH STREET NORTH</v>
      </c>
      <c r="L448" t="str">
        <f>IFERROR(VLOOKUP(VALUE(J448),'Site Info'!$A:$G,4,FALSE),"")</f>
        <v>OWASSO</v>
      </c>
      <c r="M448" t="str">
        <f>IFERROR(VLOOKUP(VALUE(J448),'Site Info'!$A:$G,5,FALSE),"")</f>
        <v>OK</v>
      </c>
      <c r="N448" t="str">
        <f>IFERROR(VLOOKUP(VALUE(J448),'Site Info'!$A:$G,6,FALSE),"")</f>
        <v>74055-0000</v>
      </c>
      <c r="O448">
        <f>IFERROR(VLOOKUP(VALUE(J448),'Site Info'!$A:$G,7,FALSE),"")</f>
        <v>9182127037</v>
      </c>
    </row>
    <row r="449" spans="1:15" x14ac:dyDescent="0.45">
      <c r="A449" t="s">
        <v>3717</v>
      </c>
      <c r="B449" t="s">
        <v>3718</v>
      </c>
      <c r="C449" t="s">
        <v>3719</v>
      </c>
      <c r="D449" t="s">
        <v>3720</v>
      </c>
      <c r="E449" s="1">
        <v>46133.436469907407</v>
      </c>
      <c r="F449">
        <v>1481</v>
      </c>
      <c r="G449" t="s">
        <v>3721</v>
      </c>
      <c r="H449" t="s">
        <v>15</v>
      </c>
      <c r="I449" t="s">
        <v>3722</v>
      </c>
      <c r="J449" t="str">
        <f>RIGHT(D449,4)</f>
        <v>6238</v>
      </c>
      <c r="K449" t="str">
        <f>IFERROR(VLOOKUP(VALUE(J449),'Site Info'!$A:$G,3,FALSE),"")</f>
        <v>12905 EAST 96TH STREET NORTH</v>
      </c>
      <c r="L449" t="str">
        <f>IFERROR(VLOOKUP(VALUE(J449),'Site Info'!$A:$G,4,FALSE),"")</f>
        <v>OWASSO</v>
      </c>
      <c r="M449" t="str">
        <f>IFERROR(VLOOKUP(VALUE(J449),'Site Info'!$A:$G,5,FALSE),"")</f>
        <v>OK</v>
      </c>
      <c r="N449" t="str">
        <f>IFERROR(VLOOKUP(VALUE(J449),'Site Info'!$A:$G,6,FALSE),"")</f>
        <v>74055-0000</v>
      </c>
      <c r="O449">
        <f>IFERROR(VLOOKUP(VALUE(J449),'Site Info'!$A:$G,7,FALSE),"")</f>
        <v>9182127037</v>
      </c>
    </row>
    <row r="450" spans="1:15" x14ac:dyDescent="0.45">
      <c r="A450" t="s">
        <v>16640</v>
      </c>
      <c r="B450" t="s">
        <v>16641</v>
      </c>
      <c r="C450" t="s">
        <v>16642</v>
      </c>
      <c r="D450" t="s">
        <v>3720</v>
      </c>
      <c r="E450" s="1">
        <v>46152.449513888889</v>
      </c>
      <c r="F450">
        <v>1863</v>
      </c>
      <c r="G450" t="s">
        <v>16643</v>
      </c>
      <c r="H450" t="s">
        <v>136</v>
      </c>
      <c r="I450" t="s">
        <v>3722</v>
      </c>
      <c r="J450" t="str">
        <f>RIGHT(D450,4)</f>
        <v>6238</v>
      </c>
      <c r="K450" t="str">
        <f>IFERROR(VLOOKUP(VALUE(J450),'Site Info'!$A:$G,3,FALSE),"")</f>
        <v>12905 EAST 96TH STREET NORTH</v>
      </c>
      <c r="L450" t="str">
        <f>IFERROR(VLOOKUP(VALUE(J450),'Site Info'!$A:$G,4,FALSE),"")</f>
        <v>OWASSO</v>
      </c>
      <c r="M450" t="str">
        <f>IFERROR(VLOOKUP(VALUE(J450),'Site Info'!$A:$G,5,FALSE),"")</f>
        <v>OK</v>
      </c>
      <c r="N450" t="str">
        <f>IFERROR(VLOOKUP(VALUE(J450),'Site Info'!$A:$G,6,FALSE),"")</f>
        <v>74055-0000</v>
      </c>
      <c r="O450">
        <f>IFERROR(VLOOKUP(VALUE(J450),'Site Info'!$A:$G,7,FALSE),"")</f>
        <v>9182127037</v>
      </c>
    </row>
    <row r="451" spans="1:15" x14ac:dyDescent="0.45">
      <c r="A451" t="s">
        <v>14632</v>
      </c>
      <c r="B451" t="s">
        <v>16644</v>
      </c>
      <c r="C451" t="s">
        <v>16645</v>
      </c>
      <c r="D451" t="s">
        <v>3720</v>
      </c>
      <c r="E451" s="1">
        <v>46152.724664351852</v>
      </c>
      <c r="F451">
        <v>1863</v>
      </c>
      <c r="G451" t="s">
        <v>16646</v>
      </c>
      <c r="H451" t="s">
        <v>136</v>
      </c>
      <c r="I451" t="s">
        <v>3722</v>
      </c>
      <c r="J451" t="str">
        <f>RIGHT(D451,4)</f>
        <v>6238</v>
      </c>
      <c r="K451" t="str">
        <f>IFERROR(VLOOKUP(VALUE(J451),'Site Info'!$A:$G,3,FALSE),"")</f>
        <v>12905 EAST 96TH STREET NORTH</v>
      </c>
      <c r="L451" t="str">
        <f>IFERROR(VLOOKUP(VALUE(J451),'Site Info'!$A:$G,4,FALSE),"")</f>
        <v>OWASSO</v>
      </c>
      <c r="M451" t="str">
        <f>IFERROR(VLOOKUP(VALUE(J451),'Site Info'!$A:$G,5,FALSE),"")</f>
        <v>OK</v>
      </c>
      <c r="N451" t="str">
        <f>IFERROR(VLOOKUP(VALUE(J451),'Site Info'!$A:$G,6,FALSE),"")</f>
        <v>74055-0000</v>
      </c>
      <c r="O451">
        <f>IFERROR(VLOOKUP(VALUE(J451),'Site Info'!$A:$G,7,FALSE),"")</f>
        <v>9182127037</v>
      </c>
    </row>
    <row r="452" spans="1:15" x14ac:dyDescent="0.45">
      <c r="A452" t="s">
        <v>9703</v>
      </c>
      <c r="B452" t="s">
        <v>9704</v>
      </c>
      <c r="C452" t="s">
        <v>9705</v>
      </c>
      <c r="D452" t="s">
        <v>9186</v>
      </c>
      <c r="E452" s="1">
        <v>46152.664907407408</v>
      </c>
      <c r="F452">
        <v>1547</v>
      </c>
      <c r="G452" t="s">
        <v>9706</v>
      </c>
      <c r="H452" t="s">
        <v>15</v>
      </c>
      <c r="I452" t="s">
        <v>9188</v>
      </c>
      <c r="J452" t="str">
        <f>RIGHT(D452,4)</f>
        <v>6259</v>
      </c>
      <c r="K452" t="str">
        <f>IFERROR(VLOOKUP(VALUE(J452),'Site Info'!$A:$G,3,FALSE),"")</f>
        <v>130 SUNDANCE PKWY STE 300</v>
      </c>
      <c r="L452" t="str">
        <f>IFERROR(VLOOKUP(VALUE(J452),'Site Info'!$A:$G,4,FALSE),"")</f>
        <v>ROUND ROCK</v>
      </c>
      <c r="M452" t="str">
        <f>IFERROR(VLOOKUP(VALUE(J452),'Site Info'!$A:$G,5,FALSE),"")</f>
        <v>TX</v>
      </c>
      <c r="N452" t="str">
        <f>IFERROR(VLOOKUP(VALUE(J452),'Site Info'!$A:$G,6,FALSE),"")</f>
        <v>78681-7935</v>
      </c>
      <c r="O452">
        <f>IFERROR(VLOOKUP(VALUE(J452),'Site Info'!$A:$G,7,FALSE),"")</f>
        <v>5128280534</v>
      </c>
    </row>
    <row r="453" spans="1:15" x14ac:dyDescent="0.45">
      <c r="A453" t="s">
        <v>9183</v>
      </c>
      <c r="B453" t="s">
        <v>9184</v>
      </c>
      <c r="C453" t="s">
        <v>9185</v>
      </c>
      <c r="D453" t="s">
        <v>9186</v>
      </c>
      <c r="E453" s="1">
        <v>46152.666504629633</v>
      </c>
      <c r="F453">
        <v>1547</v>
      </c>
      <c r="G453" t="s">
        <v>9187</v>
      </c>
      <c r="H453" t="s">
        <v>15</v>
      </c>
      <c r="I453" t="s">
        <v>9188</v>
      </c>
      <c r="J453" t="str">
        <f>RIGHT(D453,4)</f>
        <v>6259</v>
      </c>
      <c r="K453" t="str">
        <f>IFERROR(VLOOKUP(VALUE(J453),'Site Info'!$A:$G,3,FALSE),"")</f>
        <v>130 SUNDANCE PKWY STE 300</v>
      </c>
      <c r="L453" t="str">
        <f>IFERROR(VLOOKUP(VALUE(J453),'Site Info'!$A:$G,4,FALSE),"")</f>
        <v>ROUND ROCK</v>
      </c>
      <c r="M453" t="str">
        <f>IFERROR(VLOOKUP(VALUE(J453),'Site Info'!$A:$G,5,FALSE),"")</f>
        <v>TX</v>
      </c>
      <c r="N453" t="str">
        <f>IFERROR(VLOOKUP(VALUE(J453),'Site Info'!$A:$G,6,FALSE),"")</f>
        <v>78681-7935</v>
      </c>
      <c r="O453">
        <f>IFERROR(VLOOKUP(VALUE(J453),'Site Info'!$A:$G,7,FALSE),"")</f>
        <v>5128280534</v>
      </c>
    </row>
    <row r="454" spans="1:15" x14ac:dyDescent="0.45">
      <c r="A454" t="s">
        <v>9858</v>
      </c>
      <c r="B454" t="s">
        <v>9859</v>
      </c>
      <c r="C454" t="s">
        <v>9860</v>
      </c>
      <c r="D454" t="s">
        <v>9186</v>
      </c>
      <c r="E454" s="1">
        <v>46153.197222222225</v>
      </c>
      <c r="F454">
        <v>1547</v>
      </c>
      <c r="G454" t="s">
        <v>9861</v>
      </c>
      <c r="H454" t="s">
        <v>15</v>
      </c>
      <c r="I454" t="s">
        <v>9188</v>
      </c>
      <c r="J454" t="str">
        <f>RIGHT(D454,4)</f>
        <v>6259</v>
      </c>
      <c r="K454" t="str">
        <f>IFERROR(VLOOKUP(VALUE(J454),'Site Info'!$A:$G,3,FALSE),"")</f>
        <v>130 SUNDANCE PKWY STE 300</v>
      </c>
      <c r="L454" t="str">
        <f>IFERROR(VLOOKUP(VALUE(J454),'Site Info'!$A:$G,4,FALSE),"")</f>
        <v>ROUND ROCK</v>
      </c>
      <c r="M454" t="str">
        <f>IFERROR(VLOOKUP(VALUE(J454),'Site Info'!$A:$G,5,FALSE),"")</f>
        <v>TX</v>
      </c>
      <c r="N454" t="str">
        <f>IFERROR(VLOOKUP(VALUE(J454),'Site Info'!$A:$G,6,FALSE),"")</f>
        <v>78681-7935</v>
      </c>
      <c r="O454">
        <f>IFERROR(VLOOKUP(VALUE(J454),'Site Info'!$A:$G,7,FALSE),"")</f>
        <v>5128280534</v>
      </c>
    </row>
    <row r="455" spans="1:15" x14ac:dyDescent="0.45">
      <c r="A455" t="s">
        <v>16416</v>
      </c>
      <c r="B455" t="s">
        <v>16664</v>
      </c>
      <c r="C455" t="s">
        <v>16665</v>
      </c>
      <c r="D455" t="s">
        <v>9186</v>
      </c>
      <c r="E455" s="1">
        <v>46153.296631944446</v>
      </c>
      <c r="F455">
        <v>1547</v>
      </c>
      <c r="G455" t="s">
        <v>16666</v>
      </c>
      <c r="H455" t="s">
        <v>15</v>
      </c>
      <c r="I455" t="s">
        <v>9188</v>
      </c>
      <c r="J455" t="str">
        <f>RIGHT(D455,4)</f>
        <v>6259</v>
      </c>
      <c r="K455" t="str">
        <f>IFERROR(VLOOKUP(VALUE(J455),'Site Info'!$A:$G,3,FALSE),"")</f>
        <v>130 SUNDANCE PKWY STE 300</v>
      </c>
      <c r="L455" t="str">
        <f>IFERROR(VLOOKUP(VALUE(J455),'Site Info'!$A:$G,4,FALSE),"")</f>
        <v>ROUND ROCK</v>
      </c>
      <c r="M455" t="str">
        <f>IFERROR(VLOOKUP(VALUE(J455),'Site Info'!$A:$G,5,FALSE),"")</f>
        <v>TX</v>
      </c>
      <c r="N455" t="str">
        <f>IFERROR(VLOOKUP(VALUE(J455),'Site Info'!$A:$G,6,FALSE),"")</f>
        <v>78681-7935</v>
      </c>
      <c r="O455">
        <f>IFERROR(VLOOKUP(VALUE(J455),'Site Info'!$A:$G,7,FALSE),"")</f>
        <v>5128280534</v>
      </c>
    </row>
    <row r="456" spans="1:15" x14ac:dyDescent="0.45">
      <c r="A456" t="s">
        <v>16667</v>
      </c>
      <c r="B456" t="s">
        <v>16668</v>
      </c>
      <c r="C456" t="s">
        <v>16669</v>
      </c>
      <c r="D456" t="s">
        <v>9186</v>
      </c>
      <c r="E456" s="1">
        <v>46152.701354166667</v>
      </c>
      <c r="F456">
        <v>1481</v>
      </c>
      <c r="G456" t="s">
        <v>16670</v>
      </c>
      <c r="H456" t="s">
        <v>15</v>
      </c>
      <c r="I456" t="s">
        <v>9188</v>
      </c>
      <c r="J456" t="str">
        <f>RIGHT(D456,4)</f>
        <v>6259</v>
      </c>
      <c r="K456" t="str">
        <f>IFERROR(VLOOKUP(VALUE(J456),'Site Info'!$A:$G,3,FALSE),"")</f>
        <v>130 SUNDANCE PKWY STE 300</v>
      </c>
      <c r="L456" t="str">
        <f>IFERROR(VLOOKUP(VALUE(J456),'Site Info'!$A:$G,4,FALSE),"")</f>
        <v>ROUND ROCK</v>
      </c>
      <c r="M456" t="str">
        <f>IFERROR(VLOOKUP(VALUE(J456),'Site Info'!$A:$G,5,FALSE),"")</f>
        <v>TX</v>
      </c>
      <c r="N456" t="str">
        <f>IFERROR(VLOOKUP(VALUE(J456),'Site Info'!$A:$G,6,FALSE),"")</f>
        <v>78681-7935</v>
      </c>
      <c r="O456">
        <f>IFERROR(VLOOKUP(VALUE(J456),'Site Info'!$A:$G,7,FALSE),"")</f>
        <v>5128280534</v>
      </c>
    </row>
    <row r="457" spans="1:15" x14ac:dyDescent="0.45">
      <c r="A457" t="s">
        <v>12648</v>
      </c>
      <c r="B457" t="s">
        <v>12649</v>
      </c>
      <c r="C457" t="s">
        <v>12650</v>
      </c>
      <c r="D457" t="s">
        <v>4099</v>
      </c>
      <c r="E457" s="1">
        <v>46152.93346064815</v>
      </c>
      <c r="F457">
        <v>1548</v>
      </c>
      <c r="G457" t="s">
        <v>12651</v>
      </c>
      <c r="H457" t="s">
        <v>15</v>
      </c>
      <c r="I457" t="s">
        <v>4101</v>
      </c>
      <c r="J457" t="str">
        <f>RIGHT(D457,4)</f>
        <v>8294</v>
      </c>
      <c r="K457" t="str">
        <f>IFERROR(VLOOKUP(VALUE(J457),'Site Info'!$A:$G,3,FALSE),"")</f>
        <v>1300 ANTIOCH PIKE</v>
      </c>
      <c r="L457" t="str">
        <f>IFERROR(VLOOKUP(VALUE(J457),'Site Info'!$A:$G,4,FALSE),"")</f>
        <v>NASHVILLE</v>
      </c>
      <c r="M457" t="str">
        <f>IFERROR(VLOOKUP(VALUE(J457),'Site Info'!$A:$G,5,FALSE),"")</f>
        <v>TN</v>
      </c>
      <c r="N457" t="str">
        <f>IFERROR(VLOOKUP(VALUE(J457),'Site Info'!$A:$G,6,FALSE),"")</f>
        <v>37211-4102</v>
      </c>
      <c r="O457">
        <f>IFERROR(VLOOKUP(VALUE(J457),'Site Info'!$A:$G,7,FALSE),"")</f>
        <v>6158349092</v>
      </c>
    </row>
    <row r="458" spans="1:15" x14ac:dyDescent="0.45">
      <c r="A458" t="s">
        <v>12388</v>
      </c>
      <c r="B458" t="s">
        <v>12389</v>
      </c>
      <c r="C458" t="s">
        <v>12390</v>
      </c>
      <c r="D458" t="s">
        <v>4099</v>
      </c>
      <c r="E458" s="1">
        <v>46151.784421296295</v>
      </c>
      <c r="F458">
        <v>1547</v>
      </c>
      <c r="G458" t="s">
        <v>12391</v>
      </c>
      <c r="H458" t="s">
        <v>15</v>
      </c>
      <c r="I458" t="s">
        <v>4101</v>
      </c>
      <c r="J458" t="str">
        <f>RIGHT(D458,4)</f>
        <v>8294</v>
      </c>
      <c r="K458" t="str">
        <f>IFERROR(VLOOKUP(VALUE(J458),'Site Info'!$A:$G,3,FALSE),"")</f>
        <v>1300 ANTIOCH PIKE</v>
      </c>
      <c r="L458" t="str">
        <f>IFERROR(VLOOKUP(VALUE(J458),'Site Info'!$A:$G,4,FALSE),"")</f>
        <v>NASHVILLE</v>
      </c>
      <c r="M458" t="str">
        <f>IFERROR(VLOOKUP(VALUE(J458),'Site Info'!$A:$G,5,FALSE),"")</f>
        <v>TN</v>
      </c>
      <c r="N458" t="str">
        <f>IFERROR(VLOOKUP(VALUE(J458),'Site Info'!$A:$G,6,FALSE),"")</f>
        <v>37211-4102</v>
      </c>
      <c r="O458">
        <f>IFERROR(VLOOKUP(VALUE(J458),'Site Info'!$A:$G,7,FALSE),"")</f>
        <v>6158349092</v>
      </c>
    </row>
    <row r="459" spans="1:15" x14ac:dyDescent="0.45">
      <c r="A459" t="s">
        <v>11009</v>
      </c>
      <c r="B459" t="s">
        <v>11010</v>
      </c>
      <c r="C459" t="s">
        <v>11011</v>
      </c>
      <c r="D459" t="s">
        <v>4099</v>
      </c>
      <c r="E459" s="1">
        <v>46153.196481481478</v>
      </c>
      <c r="F459">
        <v>1547</v>
      </c>
      <c r="G459" t="s">
        <v>11012</v>
      </c>
      <c r="H459" t="s">
        <v>15</v>
      </c>
      <c r="I459" t="s">
        <v>4101</v>
      </c>
      <c r="J459" t="str">
        <f>RIGHT(D459,4)</f>
        <v>8294</v>
      </c>
      <c r="K459" t="str">
        <f>IFERROR(VLOOKUP(VALUE(J459),'Site Info'!$A:$G,3,FALSE),"")</f>
        <v>1300 ANTIOCH PIKE</v>
      </c>
      <c r="L459" t="str">
        <f>IFERROR(VLOOKUP(VALUE(J459),'Site Info'!$A:$G,4,FALSE),"")</f>
        <v>NASHVILLE</v>
      </c>
      <c r="M459" t="str">
        <f>IFERROR(VLOOKUP(VALUE(J459),'Site Info'!$A:$G,5,FALSE),"")</f>
        <v>TN</v>
      </c>
      <c r="N459" t="str">
        <f>IFERROR(VLOOKUP(VALUE(J459),'Site Info'!$A:$G,6,FALSE),"")</f>
        <v>37211-4102</v>
      </c>
      <c r="O459">
        <f>IFERROR(VLOOKUP(VALUE(J459),'Site Info'!$A:$G,7,FALSE),"")</f>
        <v>6158349092</v>
      </c>
    </row>
    <row r="460" spans="1:15" x14ac:dyDescent="0.45">
      <c r="A460" t="s">
        <v>4096</v>
      </c>
      <c r="B460" t="s">
        <v>4097</v>
      </c>
      <c r="C460" t="s">
        <v>4098</v>
      </c>
      <c r="D460" t="s">
        <v>4099</v>
      </c>
      <c r="E460" s="1">
        <v>46153.354375000003</v>
      </c>
      <c r="F460">
        <v>1547</v>
      </c>
      <c r="G460" t="s">
        <v>4100</v>
      </c>
      <c r="H460" t="s">
        <v>15</v>
      </c>
      <c r="I460" t="s">
        <v>4101</v>
      </c>
      <c r="J460" t="str">
        <f>RIGHT(D460,4)</f>
        <v>8294</v>
      </c>
      <c r="K460" t="str">
        <f>IFERROR(VLOOKUP(VALUE(J460),'Site Info'!$A:$G,3,FALSE),"")</f>
        <v>1300 ANTIOCH PIKE</v>
      </c>
      <c r="L460" t="str">
        <f>IFERROR(VLOOKUP(VALUE(J460),'Site Info'!$A:$G,4,FALSE),"")</f>
        <v>NASHVILLE</v>
      </c>
      <c r="M460" t="str">
        <f>IFERROR(VLOOKUP(VALUE(J460),'Site Info'!$A:$G,5,FALSE),"")</f>
        <v>TN</v>
      </c>
      <c r="N460" t="str">
        <f>IFERROR(VLOOKUP(VALUE(J460),'Site Info'!$A:$G,6,FALSE),"")</f>
        <v>37211-4102</v>
      </c>
      <c r="O460">
        <f>IFERROR(VLOOKUP(VALUE(J460),'Site Info'!$A:$G,7,FALSE),"")</f>
        <v>6158349092</v>
      </c>
    </row>
    <row r="461" spans="1:15" x14ac:dyDescent="0.45">
      <c r="A461" t="s">
        <v>17324</v>
      </c>
      <c r="B461" t="s">
        <v>17325</v>
      </c>
      <c r="C461" t="s">
        <v>17326</v>
      </c>
      <c r="D461" t="s">
        <v>4099</v>
      </c>
      <c r="E461" s="1">
        <v>46152.720439814817</v>
      </c>
      <c r="F461">
        <v>1547</v>
      </c>
      <c r="G461" t="s">
        <v>17327</v>
      </c>
      <c r="H461" t="s">
        <v>15</v>
      </c>
      <c r="I461" t="s">
        <v>4101</v>
      </c>
      <c r="J461" t="str">
        <f>RIGHT(D461,4)</f>
        <v>8294</v>
      </c>
      <c r="K461" t="str">
        <f>IFERROR(VLOOKUP(VALUE(J461),'Site Info'!$A:$G,3,FALSE),"")</f>
        <v>1300 ANTIOCH PIKE</v>
      </c>
      <c r="L461" t="str">
        <f>IFERROR(VLOOKUP(VALUE(J461),'Site Info'!$A:$G,4,FALSE),"")</f>
        <v>NASHVILLE</v>
      </c>
      <c r="M461" t="str">
        <f>IFERROR(VLOOKUP(VALUE(J461),'Site Info'!$A:$G,5,FALSE),"")</f>
        <v>TN</v>
      </c>
      <c r="N461" t="str">
        <f>IFERROR(VLOOKUP(VALUE(J461),'Site Info'!$A:$G,6,FALSE),"")</f>
        <v>37211-4102</v>
      </c>
      <c r="O461">
        <f>IFERROR(VLOOKUP(VALUE(J461),'Site Info'!$A:$G,7,FALSE),"")</f>
        <v>6158349092</v>
      </c>
    </row>
    <row r="462" spans="1:15" x14ac:dyDescent="0.45">
      <c r="A462" t="s">
        <v>96</v>
      </c>
      <c r="B462" t="s">
        <v>207</v>
      </c>
      <c r="C462" t="s">
        <v>208</v>
      </c>
      <c r="D462" t="s">
        <v>209</v>
      </c>
      <c r="E462" s="1">
        <v>46153.373206018521</v>
      </c>
      <c r="F462">
        <v>1863</v>
      </c>
      <c r="G462" t="s">
        <v>210</v>
      </c>
      <c r="H462" t="s">
        <v>136</v>
      </c>
      <c r="I462" t="s">
        <v>211</v>
      </c>
      <c r="J462" t="str">
        <f>RIGHT(D462,4)</f>
        <v>8139</v>
      </c>
      <c r="K462" t="str">
        <f>IFERROR(VLOOKUP(VALUE(J462),'Site Info'!$A:$G,3,FALSE),"")</f>
        <v>1300 E MALL DR</v>
      </c>
      <c r="L462" t="str">
        <f>IFERROR(VLOOKUP(VALUE(J462),'Site Info'!$A:$G,4,FALSE),"")</f>
        <v>HOLLAND</v>
      </c>
      <c r="M462" t="str">
        <f>IFERROR(VLOOKUP(VALUE(J462),'Site Info'!$A:$G,5,FALSE),"")</f>
        <v>OH</v>
      </c>
      <c r="N462" t="str">
        <f>IFERROR(VLOOKUP(VALUE(J462),'Site Info'!$A:$G,6,FALSE),"")</f>
        <v>43528-8467</v>
      </c>
      <c r="O462">
        <f>IFERROR(VLOOKUP(VALUE(J462),'Site Info'!$A:$G,7,FALSE),"")</f>
        <v>4198668366</v>
      </c>
    </row>
    <row r="463" spans="1:15" x14ac:dyDescent="0.45">
      <c r="A463" t="s">
        <v>8789</v>
      </c>
      <c r="B463" t="s">
        <v>8790</v>
      </c>
      <c r="C463" t="s">
        <v>8791</v>
      </c>
      <c r="D463" t="s">
        <v>209</v>
      </c>
      <c r="E463" s="1">
        <v>46151.585833333331</v>
      </c>
      <c r="F463">
        <v>1547</v>
      </c>
      <c r="G463" t="s">
        <v>8792</v>
      </c>
      <c r="H463" t="s">
        <v>15</v>
      </c>
      <c r="I463" t="s">
        <v>211</v>
      </c>
      <c r="J463" t="str">
        <f>RIGHT(D463,4)</f>
        <v>8139</v>
      </c>
      <c r="K463" t="str">
        <f>IFERROR(VLOOKUP(VALUE(J463),'Site Info'!$A:$G,3,FALSE),"")</f>
        <v>1300 E MALL DR</v>
      </c>
      <c r="L463" t="str">
        <f>IFERROR(VLOOKUP(VALUE(J463),'Site Info'!$A:$G,4,FALSE),"")</f>
        <v>HOLLAND</v>
      </c>
      <c r="M463" t="str">
        <f>IFERROR(VLOOKUP(VALUE(J463),'Site Info'!$A:$G,5,FALSE),"")</f>
        <v>OH</v>
      </c>
      <c r="N463" t="str">
        <f>IFERROR(VLOOKUP(VALUE(J463),'Site Info'!$A:$G,6,FALSE),"")</f>
        <v>43528-8467</v>
      </c>
      <c r="O463">
        <f>IFERROR(VLOOKUP(VALUE(J463),'Site Info'!$A:$G,7,FALSE),"")</f>
        <v>4198668366</v>
      </c>
    </row>
    <row r="464" spans="1:15" x14ac:dyDescent="0.45">
      <c r="A464" t="s">
        <v>9129</v>
      </c>
      <c r="B464" t="s">
        <v>9130</v>
      </c>
      <c r="C464" t="s">
        <v>9131</v>
      </c>
      <c r="D464" t="s">
        <v>209</v>
      </c>
      <c r="E464" s="1">
        <v>46151.759826388887</v>
      </c>
      <c r="F464">
        <v>1547</v>
      </c>
      <c r="G464" t="s">
        <v>9132</v>
      </c>
      <c r="H464" t="s">
        <v>15</v>
      </c>
      <c r="I464" t="s">
        <v>211</v>
      </c>
      <c r="J464" t="str">
        <f>RIGHT(D464,4)</f>
        <v>8139</v>
      </c>
      <c r="K464" t="str">
        <f>IFERROR(VLOOKUP(VALUE(J464),'Site Info'!$A:$G,3,FALSE),"")</f>
        <v>1300 E MALL DR</v>
      </c>
      <c r="L464" t="str">
        <f>IFERROR(VLOOKUP(VALUE(J464),'Site Info'!$A:$G,4,FALSE),"")</f>
        <v>HOLLAND</v>
      </c>
      <c r="M464" t="str">
        <f>IFERROR(VLOOKUP(VALUE(J464),'Site Info'!$A:$G,5,FALSE),"")</f>
        <v>OH</v>
      </c>
      <c r="N464" t="str">
        <f>IFERROR(VLOOKUP(VALUE(J464),'Site Info'!$A:$G,6,FALSE),"")</f>
        <v>43528-8467</v>
      </c>
      <c r="O464">
        <f>IFERROR(VLOOKUP(VALUE(J464),'Site Info'!$A:$G,7,FALSE),"")</f>
        <v>4198668366</v>
      </c>
    </row>
    <row r="465" spans="1:15" x14ac:dyDescent="0.45">
      <c r="A465" t="s">
        <v>7146</v>
      </c>
      <c r="B465" t="s">
        <v>7147</v>
      </c>
      <c r="C465" t="s">
        <v>7148</v>
      </c>
      <c r="D465" t="s">
        <v>209</v>
      </c>
      <c r="E465" s="1">
        <v>46153.326307870368</v>
      </c>
      <c r="F465">
        <v>1547</v>
      </c>
      <c r="G465" t="s">
        <v>7149</v>
      </c>
      <c r="H465" t="s">
        <v>15</v>
      </c>
      <c r="I465" t="s">
        <v>211</v>
      </c>
      <c r="J465" t="str">
        <f>RIGHT(D465,4)</f>
        <v>8139</v>
      </c>
      <c r="K465" t="str">
        <f>IFERROR(VLOOKUP(VALUE(J465),'Site Info'!$A:$G,3,FALSE),"")</f>
        <v>1300 E MALL DR</v>
      </c>
      <c r="L465" t="str">
        <f>IFERROR(VLOOKUP(VALUE(J465),'Site Info'!$A:$G,4,FALSE),"")</f>
        <v>HOLLAND</v>
      </c>
      <c r="M465" t="str">
        <f>IFERROR(VLOOKUP(VALUE(J465),'Site Info'!$A:$G,5,FALSE),"")</f>
        <v>OH</v>
      </c>
      <c r="N465" t="str">
        <f>IFERROR(VLOOKUP(VALUE(J465),'Site Info'!$A:$G,6,FALSE),"")</f>
        <v>43528-8467</v>
      </c>
      <c r="O465">
        <f>IFERROR(VLOOKUP(VALUE(J465),'Site Info'!$A:$G,7,FALSE),"")</f>
        <v>4198668366</v>
      </c>
    </row>
    <row r="466" spans="1:15" x14ac:dyDescent="0.45">
      <c r="A466" t="s">
        <v>9073</v>
      </c>
      <c r="B466" t="s">
        <v>9074</v>
      </c>
      <c r="C466" t="s">
        <v>9075</v>
      </c>
      <c r="D466" t="s">
        <v>209</v>
      </c>
      <c r="E466" s="1">
        <v>46153.355868055558</v>
      </c>
      <c r="F466">
        <v>1547</v>
      </c>
      <c r="G466" t="s">
        <v>9076</v>
      </c>
      <c r="H466" t="s">
        <v>15</v>
      </c>
      <c r="I466" t="s">
        <v>211</v>
      </c>
      <c r="J466" t="str">
        <f>RIGHT(D466,4)</f>
        <v>8139</v>
      </c>
      <c r="K466" t="str">
        <f>IFERROR(VLOOKUP(VALUE(J466),'Site Info'!$A:$G,3,FALSE),"")</f>
        <v>1300 E MALL DR</v>
      </c>
      <c r="L466" t="str">
        <f>IFERROR(VLOOKUP(VALUE(J466),'Site Info'!$A:$G,4,FALSE),"")</f>
        <v>HOLLAND</v>
      </c>
      <c r="M466" t="str">
        <f>IFERROR(VLOOKUP(VALUE(J466),'Site Info'!$A:$G,5,FALSE),"")</f>
        <v>OH</v>
      </c>
      <c r="N466" t="str">
        <f>IFERROR(VLOOKUP(VALUE(J466),'Site Info'!$A:$G,6,FALSE),"")</f>
        <v>43528-8467</v>
      </c>
      <c r="O466">
        <f>IFERROR(VLOOKUP(VALUE(J466),'Site Info'!$A:$G,7,FALSE),"")</f>
        <v>4198668366</v>
      </c>
    </row>
    <row r="467" spans="1:15" x14ac:dyDescent="0.45">
      <c r="A467" t="s">
        <v>8959</v>
      </c>
      <c r="B467" t="s">
        <v>8960</v>
      </c>
      <c r="C467" t="s">
        <v>8961</v>
      </c>
      <c r="D467" t="s">
        <v>209</v>
      </c>
      <c r="E467" s="1">
        <v>46153.373784722222</v>
      </c>
      <c r="F467">
        <v>1547</v>
      </c>
      <c r="G467" t="s">
        <v>8962</v>
      </c>
      <c r="H467" t="s">
        <v>15</v>
      </c>
      <c r="I467" t="s">
        <v>211</v>
      </c>
      <c r="J467" t="str">
        <f>RIGHT(D467,4)</f>
        <v>8139</v>
      </c>
      <c r="K467" t="str">
        <f>IFERROR(VLOOKUP(VALUE(J467),'Site Info'!$A:$G,3,FALSE),"")</f>
        <v>1300 E MALL DR</v>
      </c>
      <c r="L467" t="str">
        <f>IFERROR(VLOOKUP(VALUE(J467),'Site Info'!$A:$G,4,FALSE),"")</f>
        <v>HOLLAND</v>
      </c>
      <c r="M467" t="str">
        <f>IFERROR(VLOOKUP(VALUE(J467),'Site Info'!$A:$G,5,FALSE),"")</f>
        <v>OH</v>
      </c>
      <c r="N467" t="str">
        <f>IFERROR(VLOOKUP(VALUE(J467),'Site Info'!$A:$G,6,FALSE),"")</f>
        <v>43528-8467</v>
      </c>
      <c r="O467">
        <f>IFERROR(VLOOKUP(VALUE(J467),'Site Info'!$A:$G,7,FALSE),"")</f>
        <v>4198668366</v>
      </c>
    </row>
    <row r="468" spans="1:15" x14ac:dyDescent="0.45">
      <c r="A468" t="s">
        <v>3883</v>
      </c>
      <c r="B468" t="s">
        <v>3884</v>
      </c>
      <c r="C468" t="s">
        <v>3885</v>
      </c>
      <c r="D468" t="s">
        <v>209</v>
      </c>
      <c r="E468" s="1">
        <v>46152.34107638889</v>
      </c>
      <c r="F468">
        <v>1481</v>
      </c>
      <c r="G468" t="s">
        <v>3886</v>
      </c>
      <c r="H468" t="s">
        <v>15</v>
      </c>
      <c r="I468" t="s">
        <v>211</v>
      </c>
      <c r="J468" t="str">
        <f>RIGHT(D468,4)</f>
        <v>8139</v>
      </c>
      <c r="K468" t="str">
        <f>IFERROR(VLOOKUP(VALUE(J468),'Site Info'!$A:$G,3,FALSE),"")</f>
        <v>1300 E MALL DR</v>
      </c>
      <c r="L468" t="str">
        <f>IFERROR(VLOOKUP(VALUE(J468),'Site Info'!$A:$G,4,FALSE),"")</f>
        <v>HOLLAND</v>
      </c>
      <c r="M468" t="str">
        <f>IFERROR(VLOOKUP(VALUE(J468),'Site Info'!$A:$G,5,FALSE),"")</f>
        <v>OH</v>
      </c>
      <c r="N468" t="str">
        <f>IFERROR(VLOOKUP(VALUE(J468),'Site Info'!$A:$G,6,FALSE),"")</f>
        <v>43528-8467</v>
      </c>
      <c r="O468">
        <f>IFERROR(VLOOKUP(VALUE(J468),'Site Info'!$A:$G,7,FALSE),"")</f>
        <v>4198668366</v>
      </c>
    </row>
    <row r="469" spans="1:15" x14ac:dyDescent="0.45">
      <c r="A469" t="s">
        <v>17099</v>
      </c>
      <c r="B469" t="s">
        <v>17100</v>
      </c>
      <c r="C469" t="s">
        <v>17101</v>
      </c>
      <c r="D469" t="s">
        <v>209</v>
      </c>
      <c r="E469" s="1">
        <v>46153.286030092589</v>
      </c>
      <c r="F469">
        <v>1547</v>
      </c>
      <c r="G469" t="s">
        <v>17102</v>
      </c>
      <c r="H469" t="s">
        <v>15</v>
      </c>
      <c r="I469" t="s">
        <v>211</v>
      </c>
      <c r="J469" t="str">
        <f>RIGHT(D469,4)</f>
        <v>8139</v>
      </c>
      <c r="K469" t="str">
        <f>IFERROR(VLOOKUP(VALUE(J469),'Site Info'!$A:$G,3,FALSE),"")</f>
        <v>1300 E MALL DR</v>
      </c>
      <c r="L469" t="str">
        <f>IFERROR(VLOOKUP(VALUE(J469),'Site Info'!$A:$G,4,FALSE),"")</f>
        <v>HOLLAND</v>
      </c>
      <c r="M469" t="str">
        <f>IFERROR(VLOOKUP(VALUE(J469),'Site Info'!$A:$G,5,FALSE),"")</f>
        <v>OH</v>
      </c>
      <c r="N469" t="str">
        <f>IFERROR(VLOOKUP(VALUE(J469),'Site Info'!$A:$G,6,FALSE),"")</f>
        <v>43528-8467</v>
      </c>
      <c r="O469">
        <f>IFERROR(VLOOKUP(VALUE(J469),'Site Info'!$A:$G,7,FALSE),"")</f>
        <v>4198668366</v>
      </c>
    </row>
    <row r="470" spans="1:15" x14ac:dyDescent="0.45">
      <c r="A470" t="s">
        <v>7847</v>
      </c>
      <c r="B470" t="s">
        <v>7848</v>
      </c>
      <c r="C470" t="s">
        <v>7849</v>
      </c>
      <c r="D470" t="s">
        <v>7259</v>
      </c>
      <c r="E470" s="1">
        <v>46147.875104166669</v>
      </c>
      <c r="F470">
        <v>1547</v>
      </c>
      <c r="G470" t="s">
        <v>7850</v>
      </c>
      <c r="H470" t="s">
        <v>15</v>
      </c>
      <c r="I470" t="s">
        <v>7261</v>
      </c>
      <c r="J470" t="str">
        <f>RIGHT(D470,4)</f>
        <v>6240</v>
      </c>
      <c r="K470" t="str">
        <f>IFERROR(VLOOKUP(VALUE(J470),'Site Info'!$A:$G,3,FALSE),"")</f>
        <v>1301 S LONE HILL AVE</v>
      </c>
      <c r="L470" t="str">
        <f>IFERROR(VLOOKUP(VALUE(J470),'Site Info'!$A:$G,4,FALSE),"")</f>
        <v>GLENDORA</v>
      </c>
      <c r="M470" t="str">
        <f>IFERROR(VLOOKUP(VALUE(J470),'Site Info'!$A:$G,5,FALSE),"")</f>
        <v>CA</v>
      </c>
      <c r="N470" t="str">
        <f>IFERROR(VLOOKUP(VALUE(J470),'Site Info'!$A:$G,6,FALSE),"")</f>
        <v>91740-5348</v>
      </c>
      <c r="O470">
        <f>IFERROR(VLOOKUP(VALUE(J470),'Site Info'!$A:$G,7,FALSE),"")</f>
        <v>9093944556</v>
      </c>
    </row>
    <row r="471" spans="1:15" x14ac:dyDescent="0.45">
      <c r="A471" t="s">
        <v>8211</v>
      </c>
      <c r="B471" t="s">
        <v>8212</v>
      </c>
      <c r="C471" t="s">
        <v>8213</v>
      </c>
      <c r="D471" t="s">
        <v>7259</v>
      </c>
      <c r="E471" s="1">
        <v>46152.747152777774</v>
      </c>
      <c r="F471">
        <v>1547</v>
      </c>
      <c r="G471" t="s">
        <v>8214</v>
      </c>
      <c r="H471" t="s">
        <v>15</v>
      </c>
      <c r="I471" t="s">
        <v>7261</v>
      </c>
      <c r="J471" t="str">
        <f>RIGHT(D471,4)</f>
        <v>6240</v>
      </c>
      <c r="K471" t="str">
        <f>IFERROR(VLOOKUP(VALUE(J471),'Site Info'!$A:$G,3,FALSE),"")</f>
        <v>1301 S LONE HILL AVE</v>
      </c>
      <c r="L471" t="str">
        <f>IFERROR(VLOOKUP(VALUE(J471),'Site Info'!$A:$G,4,FALSE),"")</f>
        <v>GLENDORA</v>
      </c>
      <c r="M471" t="str">
        <f>IFERROR(VLOOKUP(VALUE(J471),'Site Info'!$A:$G,5,FALSE),"")</f>
        <v>CA</v>
      </c>
      <c r="N471" t="str">
        <f>IFERROR(VLOOKUP(VALUE(J471),'Site Info'!$A:$G,6,FALSE),"")</f>
        <v>91740-5348</v>
      </c>
      <c r="O471">
        <f>IFERROR(VLOOKUP(VALUE(J471),'Site Info'!$A:$G,7,FALSE),"")</f>
        <v>9093944556</v>
      </c>
    </row>
    <row r="472" spans="1:15" x14ac:dyDescent="0.45">
      <c r="A472" t="s">
        <v>9423</v>
      </c>
      <c r="B472" t="s">
        <v>9424</v>
      </c>
      <c r="C472" t="s">
        <v>9425</v>
      </c>
      <c r="D472" t="s">
        <v>7259</v>
      </c>
      <c r="E472" s="1">
        <v>46152.907546296294</v>
      </c>
      <c r="F472">
        <v>1547</v>
      </c>
      <c r="G472" t="s">
        <v>9426</v>
      </c>
      <c r="H472" t="s">
        <v>15</v>
      </c>
      <c r="I472" t="s">
        <v>7261</v>
      </c>
      <c r="J472" t="str">
        <f>RIGHT(D472,4)</f>
        <v>6240</v>
      </c>
      <c r="K472" t="str">
        <f>IFERROR(VLOOKUP(VALUE(J472),'Site Info'!$A:$G,3,FALSE),"")</f>
        <v>1301 S LONE HILL AVE</v>
      </c>
      <c r="L472" t="str">
        <f>IFERROR(VLOOKUP(VALUE(J472),'Site Info'!$A:$G,4,FALSE),"")</f>
        <v>GLENDORA</v>
      </c>
      <c r="M472" t="str">
        <f>IFERROR(VLOOKUP(VALUE(J472),'Site Info'!$A:$G,5,FALSE),"")</f>
        <v>CA</v>
      </c>
      <c r="N472" t="str">
        <f>IFERROR(VLOOKUP(VALUE(J472),'Site Info'!$A:$G,6,FALSE),"")</f>
        <v>91740-5348</v>
      </c>
      <c r="O472">
        <f>IFERROR(VLOOKUP(VALUE(J472),'Site Info'!$A:$G,7,FALSE),"")</f>
        <v>9093944556</v>
      </c>
    </row>
    <row r="473" spans="1:15" x14ac:dyDescent="0.45">
      <c r="A473" t="s">
        <v>7256</v>
      </c>
      <c r="B473" t="s">
        <v>7257</v>
      </c>
      <c r="C473" t="s">
        <v>7258</v>
      </c>
      <c r="D473" t="s">
        <v>7259</v>
      </c>
      <c r="E473" s="1">
        <v>46152.955763888887</v>
      </c>
      <c r="F473">
        <v>1547</v>
      </c>
      <c r="G473" t="s">
        <v>7260</v>
      </c>
      <c r="H473" t="s">
        <v>15</v>
      </c>
      <c r="I473" t="s">
        <v>7261</v>
      </c>
      <c r="J473" t="str">
        <f>RIGHT(D473,4)</f>
        <v>6240</v>
      </c>
      <c r="K473" t="str">
        <f>IFERROR(VLOOKUP(VALUE(J473),'Site Info'!$A:$G,3,FALSE),"")</f>
        <v>1301 S LONE HILL AVE</v>
      </c>
      <c r="L473" t="str">
        <f>IFERROR(VLOOKUP(VALUE(J473),'Site Info'!$A:$G,4,FALSE),"")</f>
        <v>GLENDORA</v>
      </c>
      <c r="M473" t="str">
        <f>IFERROR(VLOOKUP(VALUE(J473),'Site Info'!$A:$G,5,FALSE),"")</f>
        <v>CA</v>
      </c>
      <c r="N473" t="str">
        <f>IFERROR(VLOOKUP(VALUE(J473),'Site Info'!$A:$G,6,FALSE),"")</f>
        <v>91740-5348</v>
      </c>
      <c r="O473">
        <f>IFERROR(VLOOKUP(VALUE(J473),'Site Info'!$A:$G,7,FALSE),"")</f>
        <v>9093944556</v>
      </c>
    </row>
    <row r="474" spans="1:15" x14ac:dyDescent="0.45">
      <c r="A474" t="s">
        <v>8261</v>
      </c>
      <c r="B474" t="s">
        <v>8262</v>
      </c>
      <c r="C474" t="s">
        <v>8263</v>
      </c>
      <c r="D474" t="s">
        <v>7259</v>
      </c>
      <c r="E474" s="1">
        <v>46153.353043981479</v>
      </c>
      <c r="F474">
        <v>1547</v>
      </c>
      <c r="G474" t="s">
        <v>8264</v>
      </c>
      <c r="H474" t="s">
        <v>15</v>
      </c>
      <c r="I474" t="s">
        <v>7261</v>
      </c>
      <c r="J474" t="str">
        <f>RIGHT(D474,4)</f>
        <v>6240</v>
      </c>
      <c r="K474" t="str">
        <f>IFERROR(VLOOKUP(VALUE(J474),'Site Info'!$A:$G,3,FALSE),"")</f>
        <v>1301 S LONE HILL AVE</v>
      </c>
      <c r="L474" t="str">
        <f>IFERROR(VLOOKUP(VALUE(J474),'Site Info'!$A:$G,4,FALSE),"")</f>
        <v>GLENDORA</v>
      </c>
      <c r="M474" t="str">
        <f>IFERROR(VLOOKUP(VALUE(J474),'Site Info'!$A:$G,5,FALSE),"")</f>
        <v>CA</v>
      </c>
      <c r="N474" t="str">
        <f>IFERROR(VLOOKUP(VALUE(J474),'Site Info'!$A:$G,6,FALSE),"")</f>
        <v>91740-5348</v>
      </c>
      <c r="O474">
        <f>IFERROR(VLOOKUP(VALUE(J474),'Site Info'!$A:$G,7,FALSE),"")</f>
        <v>9093944556</v>
      </c>
    </row>
    <row r="475" spans="1:15" x14ac:dyDescent="0.45">
      <c r="A475" t="s">
        <v>16650</v>
      </c>
      <c r="B475" t="s">
        <v>16651</v>
      </c>
      <c r="C475" t="s">
        <v>16652</v>
      </c>
      <c r="D475" t="s">
        <v>7259</v>
      </c>
      <c r="E475" s="1">
        <v>46153.300868055558</v>
      </c>
      <c r="F475">
        <v>1481</v>
      </c>
      <c r="G475" t="s">
        <v>16653</v>
      </c>
      <c r="H475" t="s">
        <v>15</v>
      </c>
      <c r="I475" t="s">
        <v>7261</v>
      </c>
      <c r="J475" t="str">
        <f>RIGHT(D475,4)</f>
        <v>6240</v>
      </c>
      <c r="K475" t="str">
        <f>IFERROR(VLOOKUP(VALUE(J475),'Site Info'!$A:$G,3,FALSE),"")</f>
        <v>1301 S LONE HILL AVE</v>
      </c>
      <c r="L475" t="str">
        <f>IFERROR(VLOOKUP(VALUE(J475),'Site Info'!$A:$G,4,FALSE),"")</f>
        <v>GLENDORA</v>
      </c>
      <c r="M475" t="str">
        <f>IFERROR(VLOOKUP(VALUE(J475),'Site Info'!$A:$G,5,FALSE),"")</f>
        <v>CA</v>
      </c>
      <c r="N475" t="str">
        <f>IFERROR(VLOOKUP(VALUE(J475),'Site Info'!$A:$G,6,FALSE),"")</f>
        <v>91740-5348</v>
      </c>
      <c r="O475">
        <f>IFERROR(VLOOKUP(VALUE(J475),'Site Info'!$A:$G,7,FALSE),"")</f>
        <v>9093944556</v>
      </c>
    </row>
    <row r="476" spans="1:15" x14ac:dyDescent="0.45">
      <c r="A476" t="s">
        <v>6018</v>
      </c>
      <c r="B476" t="s">
        <v>6019</v>
      </c>
      <c r="C476" t="s">
        <v>6020</v>
      </c>
      <c r="D476" t="s">
        <v>1365</v>
      </c>
      <c r="E476" s="1">
        <v>46150.625150462962</v>
      </c>
      <c r="F476">
        <v>1547</v>
      </c>
      <c r="G476" t="s">
        <v>6021</v>
      </c>
      <c r="H476" t="s">
        <v>15</v>
      </c>
      <c r="I476" t="s">
        <v>1367</v>
      </c>
      <c r="J476" t="str">
        <f>RIGHT(D476,4)</f>
        <v>4851</v>
      </c>
      <c r="K476" t="str">
        <f>IFERROR(VLOOKUP(VALUE(J476),'Site Info'!$A:$G,3,FALSE),"")</f>
        <v>1301 VETERANS PKWY</v>
      </c>
      <c r="L476" t="str">
        <f>IFERROR(VLOOKUP(VALUE(J476),'Site Info'!$A:$G,4,FALSE),"")</f>
        <v>CLARKSVILLE</v>
      </c>
      <c r="M476" t="str">
        <f>IFERROR(VLOOKUP(VALUE(J476),'Site Info'!$A:$G,5,FALSE),"")</f>
        <v>IN</v>
      </c>
      <c r="N476" t="str">
        <f>IFERROR(VLOOKUP(VALUE(J476),'Site Info'!$A:$G,6,FALSE),"")</f>
        <v>47129-7747</v>
      </c>
      <c r="O476">
        <f>IFERROR(VLOOKUP(VALUE(J476),'Site Info'!$A:$G,7,FALSE),"")</f>
        <v>8122180310</v>
      </c>
    </row>
    <row r="477" spans="1:15" x14ac:dyDescent="0.45">
      <c r="A477" t="s">
        <v>5906</v>
      </c>
      <c r="B477" t="s">
        <v>5907</v>
      </c>
      <c r="C477" t="s">
        <v>5908</v>
      </c>
      <c r="D477" t="s">
        <v>1365</v>
      </c>
      <c r="E477" s="1">
        <v>46151.043541666666</v>
      </c>
      <c r="F477">
        <v>1547</v>
      </c>
      <c r="G477" t="s">
        <v>5909</v>
      </c>
      <c r="H477" t="s">
        <v>15</v>
      </c>
      <c r="J477" t="str">
        <f>RIGHT(D477,4)</f>
        <v>4851</v>
      </c>
      <c r="K477" t="str">
        <f>IFERROR(VLOOKUP(VALUE(J477),'Site Info'!$A:$G,3,FALSE),"")</f>
        <v>1301 VETERANS PKWY</v>
      </c>
      <c r="L477" t="str">
        <f>IFERROR(VLOOKUP(VALUE(J477),'Site Info'!$A:$G,4,FALSE),"")</f>
        <v>CLARKSVILLE</v>
      </c>
      <c r="M477" t="str">
        <f>IFERROR(VLOOKUP(VALUE(J477),'Site Info'!$A:$G,5,FALSE),"")</f>
        <v>IN</v>
      </c>
      <c r="N477" t="str">
        <f>IFERROR(VLOOKUP(VALUE(J477),'Site Info'!$A:$G,6,FALSE),"")</f>
        <v>47129-7747</v>
      </c>
      <c r="O477">
        <f>IFERROR(VLOOKUP(VALUE(J477),'Site Info'!$A:$G,7,FALSE),"")</f>
        <v>8122180310</v>
      </c>
    </row>
    <row r="478" spans="1:15" x14ac:dyDescent="0.45">
      <c r="A478" t="s">
        <v>6332</v>
      </c>
      <c r="B478" t="s">
        <v>6333</v>
      </c>
      <c r="C478" t="s">
        <v>6334</v>
      </c>
      <c r="D478" t="s">
        <v>1365</v>
      </c>
      <c r="E478" s="1">
        <v>46152.629513888889</v>
      </c>
      <c r="F478">
        <v>1547</v>
      </c>
      <c r="G478" t="s">
        <v>6335</v>
      </c>
      <c r="H478" t="s">
        <v>15</v>
      </c>
      <c r="I478" t="s">
        <v>1367</v>
      </c>
      <c r="J478" t="str">
        <f>RIGHT(D478,4)</f>
        <v>4851</v>
      </c>
      <c r="K478" t="str">
        <f>IFERROR(VLOOKUP(VALUE(J478),'Site Info'!$A:$G,3,FALSE),"")</f>
        <v>1301 VETERANS PKWY</v>
      </c>
      <c r="L478" t="str">
        <f>IFERROR(VLOOKUP(VALUE(J478),'Site Info'!$A:$G,4,FALSE),"")</f>
        <v>CLARKSVILLE</v>
      </c>
      <c r="M478" t="str">
        <f>IFERROR(VLOOKUP(VALUE(J478),'Site Info'!$A:$G,5,FALSE),"")</f>
        <v>IN</v>
      </c>
      <c r="N478" t="str">
        <f>IFERROR(VLOOKUP(VALUE(J478),'Site Info'!$A:$G,6,FALSE),"")</f>
        <v>47129-7747</v>
      </c>
      <c r="O478">
        <f>IFERROR(VLOOKUP(VALUE(J478),'Site Info'!$A:$G,7,FALSE),"")</f>
        <v>8122180310</v>
      </c>
    </row>
    <row r="479" spans="1:15" x14ac:dyDescent="0.45">
      <c r="A479" t="s">
        <v>6026</v>
      </c>
      <c r="B479" t="s">
        <v>6027</v>
      </c>
      <c r="C479" t="s">
        <v>6028</v>
      </c>
      <c r="D479" t="s">
        <v>1365</v>
      </c>
      <c r="E479" s="1">
        <v>46153.276863425926</v>
      </c>
      <c r="F479">
        <v>1547</v>
      </c>
      <c r="G479" t="s">
        <v>6029</v>
      </c>
      <c r="H479" t="s">
        <v>15</v>
      </c>
      <c r="I479" t="s">
        <v>1367</v>
      </c>
      <c r="J479" t="str">
        <f>RIGHT(D479,4)</f>
        <v>4851</v>
      </c>
      <c r="K479" t="str">
        <f>IFERROR(VLOOKUP(VALUE(J479),'Site Info'!$A:$G,3,FALSE),"")</f>
        <v>1301 VETERANS PKWY</v>
      </c>
      <c r="L479" t="str">
        <f>IFERROR(VLOOKUP(VALUE(J479),'Site Info'!$A:$G,4,FALSE),"")</f>
        <v>CLARKSVILLE</v>
      </c>
      <c r="M479" t="str">
        <f>IFERROR(VLOOKUP(VALUE(J479),'Site Info'!$A:$G,5,FALSE),"")</f>
        <v>IN</v>
      </c>
      <c r="N479" t="str">
        <f>IFERROR(VLOOKUP(VALUE(J479),'Site Info'!$A:$G,6,FALSE),"")</f>
        <v>47129-7747</v>
      </c>
      <c r="O479">
        <f>IFERROR(VLOOKUP(VALUE(J479),'Site Info'!$A:$G,7,FALSE),"")</f>
        <v>8122180310</v>
      </c>
    </row>
    <row r="480" spans="1:15" x14ac:dyDescent="0.45">
      <c r="A480" t="s">
        <v>4212</v>
      </c>
      <c r="B480" t="s">
        <v>4213</v>
      </c>
      <c r="C480" t="s">
        <v>4214</v>
      </c>
      <c r="D480" t="s">
        <v>1365</v>
      </c>
      <c r="E480" s="1">
        <v>46153.280138888891</v>
      </c>
      <c r="F480">
        <v>1547</v>
      </c>
      <c r="G480" t="s">
        <v>4215</v>
      </c>
      <c r="H480" t="s">
        <v>15</v>
      </c>
      <c r="I480" t="s">
        <v>1367</v>
      </c>
      <c r="J480" t="str">
        <f>RIGHT(D480,4)</f>
        <v>4851</v>
      </c>
      <c r="K480" t="str">
        <f>IFERROR(VLOOKUP(VALUE(J480),'Site Info'!$A:$G,3,FALSE),"")</f>
        <v>1301 VETERANS PKWY</v>
      </c>
      <c r="L480" t="str">
        <f>IFERROR(VLOOKUP(VALUE(J480),'Site Info'!$A:$G,4,FALSE),"")</f>
        <v>CLARKSVILLE</v>
      </c>
      <c r="M480" t="str">
        <f>IFERROR(VLOOKUP(VALUE(J480),'Site Info'!$A:$G,5,FALSE),"")</f>
        <v>IN</v>
      </c>
      <c r="N480" t="str">
        <f>IFERROR(VLOOKUP(VALUE(J480),'Site Info'!$A:$G,6,FALSE),"")</f>
        <v>47129-7747</v>
      </c>
      <c r="O480">
        <f>IFERROR(VLOOKUP(VALUE(J480),'Site Info'!$A:$G,7,FALSE),"")</f>
        <v>8122180310</v>
      </c>
    </row>
    <row r="481" spans="1:15" x14ac:dyDescent="0.45">
      <c r="A481" t="s">
        <v>4250</v>
      </c>
      <c r="B481" t="s">
        <v>4251</v>
      </c>
      <c r="C481" t="s">
        <v>4252</v>
      </c>
      <c r="D481" t="s">
        <v>1365</v>
      </c>
      <c r="E481" s="1">
        <v>46153.347581018519</v>
      </c>
      <c r="F481">
        <v>1547</v>
      </c>
      <c r="G481" t="s">
        <v>4253</v>
      </c>
      <c r="H481" t="s">
        <v>15</v>
      </c>
      <c r="I481" t="s">
        <v>1367</v>
      </c>
      <c r="J481" t="str">
        <f>RIGHT(D481,4)</f>
        <v>4851</v>
      </c>
      <c r="K481" t="str">
        <f>IFERROR(VLOOKUP(VALUE(J481),'Site Info'!$A:$G,3,FALSE),"")</f>
        <v>1301 VETERANS PKWY</v>
      </c>
      <c r="L481" t="str">
        <f>IFERROR(VLOOKUP(VALUE(J481),'Site Info'!$A:$G,4,FALSE),"")</f>
        <v>CLARKSVILLE</v>
      </c>
      <c r="M481" t="str">
        <f>IFERROR(VLOOKUP(VALUE(J481),'Site Info'!$A:$G,5,FALSE),"")</f>
        <v>IN</v>
      </c>
      <c r="N481" t="str">
        <f>IFERROR(VLOOKUP(VALUE(J481),'Site Info'!$A:$G,6,FALSE),"")</f>
        <v>47129-7747</v>
      </c>
      <c r="O481">
        <f>IFERROR(VLOOKUP(VALUE(J481),'Site Info'!$A:$G,7,FALSE),"")</f>
        <v>8122180310</v>
      </c>
    </row>
    <row r="482" spans="1:15" x14ac:dyDescent="0.45">
      <c r="A482" t="s">
        <v>4019</v>
      </c>
      <c r="B482" t="s">
        <v>4020</v>
      </c>
      <c r="C482" t="s">
        <v>4021</v>
      </c>
      <c r="D482" t="s">
        <v>1365</v>
      </c>
      <c r="E482" s="1">
        <v>46151.694293981483</v>
      </c>
      <c r="F482">
        <v>1481</v>
      </c>
      <c r="G482" t="s">
        <v>4022</v>
      </c>
      <c r="H482" t="s">
        <v>15</v>
      </c>
      <c r="I482" t="s">
        <v>1367</v>
      </c>
      <c r="J482" t="str">
        <f>RIGHT(D482,4)</f>
        <v>4851</v>
      </c>
      <c r="K482" t="str">
        <f>IFERROR(VLOOKUP(VALUE(J482),'Site Info'!$A:$G,3,FALSE),"")</f>
        <v>1301 VETERANS PKWY</v>
      </c>
      <c r="L482" t="str">
        <f>IFERROR(VLOOKUP(VALUE(J482),'Site Info'!$A:$G,4,FALSE),"")</f>
        <v>CLARKSVILLE</v>
      </c>
      <c r="M482" t="str">
        <f>IFERROR(VLOOKUP(VALUE(J482),'Site Info'!$A:$G,5,FALSE),"")</f>
        <v>IN</v>
      </c>
      <c r="N482" t="str">
        <f>IFERROR(VLOOKUP(VALUE(J482),'Site Info'!$A:$G,6,FALSE),"")</f>
        <v>47129-7747</v>
      </c>
      <c r="O482">
        <f>IFERROR(VLOOKUP(VALUE(J482),'Site Info'!$A:$G,7,FALSE),"")</f>
        <v>8122180310</v>
      </c>
    </row>
    <row r="483" spans="1:15" x14ac:dyDescent="0.45">
      <c r="A483" t="s">
        <v>1362</v>
      </c>
      <c r="B483" t="s">
        <v>1363</v>
      </c>
      <c r="C483" t="s">
        <v>1364</v>
      </c>
      <c r="D483" t="s">
        <v>1365</v>
      </c>
      <c r="E483" s="1">
        <v>46153.373784722222</v>
      </c>
      <c r="F483">
        <v>1481</v>
      </c>
      <c r="G483" t="s">
        <v>1366</v>
      </c>
      <c r="H483" t="s">
        <v>15</v>
      </c>
      <c r="I483" t="s">
        <v>1367</v>
      </c>
      <c r="J483" t="str">
        <f>RIGHT(D483,4)</f>
        <v>4851</v>
      </c>
      <c r="K483" t="str">
        <f>IFERROR(VLOOKUP(VALUE(J483),'Site Info'!$A:$G,3,FALSE),"")</f>
        <v>1301 VETERANS PKWY</v>
      </c>
      <c r="L483" t="str">
        <f>IFERROR(VLOOKUP(VALUE(J483),'Site Info'!$A:$G,4,FALSE),"")</f>
        <v>CLARKSVILLE</v>
      </c>
      <c r="M483" t="str">
        <f>IFERROR(VLOOKUP(VALUE(J483),'Site Info'!$A:$G,5,FALSE),"")</f>
        <v>IN</v>
      </c>
      <c r="N483" t="str">
        <f>IFERROR(VLOOKUP(VALUE(J483),'Site Info'!$A:$G,6,FALSE),"")</f>
        <v>47129-7747</v>
      </c>
      <c r="O483">
        <f>IFERROR(VLOOKUP(VALUE(J483),'Site Info'!$A:$G,7,FALSE),"")</f>
        <v>8122180310</v>
      </c>
    </row>
    <row r="484" spans="1:15" x14ac:dyDescent="0.45">
      <c r="A484" t="s">
        <v>16500</v>
      </c>
      <c r="B484" t="s">
        <v>16501</v>
      </c>
      <c r="C484" t="s">
        <v>16502</v>
      </c>
      <c r="D484" t="s">
        <v>1365</v>
      </c>
      <c r="E484" s="1">
        <v>46153.367280092592</v>
      </c>
      <c r="F484">
        <v>1628</v>
      </c>
      <c r="G484" t="s">
        <v>16503</v>
      </c>
      <c r="H484" t="s">
        <v>13988</v>
      </c>
      <c r="I484" t="s">
        <v>1367</v>
      </c>
      <c r="J484" t="str">
        <f>RIGHT(D484,4)</f>
        <v>4851</v>
      </c>
      <c r="K484" t="str">
        <f>IFERROR(VLOOKUP(VALUE(J484),'Site Info'!$A:$G,3,FALSE),"")</f>
        <v>1301 VETERANS PKWY</v>
      </c>
      <c r="L484" t="str">
        <f>IFERROR(VLOOKUP(VALUE(J484),'Site Info'!$A:$G,4,FALSE),"")</f>
        <v>CLARKSVILLE</v>
      </c>
      <c r="M484" t="str">
        <f>IFERROR(VLOOKUP(VALUE(J484),'Site Info'!$A:$G,5,FALSE),"")</f>
        <v>IN</v>
      </c>
      <c r="N484" t="str">
        <f>IFERROR(VLOOKUP(VALUE(J484),'Site Info'!$A:$G,6,FALSE),"")</f>
        <v>47129-7747</v>
      </c>
      <c r="O484">
        <f>IFERROR(VLOOKUP(VALUE(J484),'Site Info'!$A:$G,7,FALSE),"")</f>
        <v>8122180310</v>
      </c>
    </row>
    <row r="485" spans="1:15" x14ac:dyDescent="0.45">
      <c r="A485" t="s">
        <v>14229</v>
      </c>
      <c r="B485" t="s">
        <v>14230</v>
      </c>
      <c r="C485" t="s">
        <v>14231</v>
      </c>
      <c r="D485" t="s">
        <v>5799</v>
      </c>
      <c r="E485" s="1">
        <v>46153.315532407411</v>
      </c>
      <c r="F485">
        <v>1863</v>
      </c>
      <c r="G485" t="s">
        <v>14232</v>
      </c>
      <c r="H485" t="s">
        <v>136</v>
      </c>
      <c r="I485" t="s">
        <v>5801</v>
      </c>
      <c r="J485" t="str">
        <f>RIGHT(D485,4)</f>
        <v>6685</v>
      </c>
      <c r="K485" t="str">
        <f>IFERROR(VLOOKUP(VALUE(J485),'Site Info'!$A:$G,3,FALSE),"")</f>
        <v>1313 S UNIVERSITY AVE</v>
      </c>
      <c r="L485" t="str">
        <f>IFERROR(VLOOKUP(VALUE(J485),'Site Info'!$A:$G,4,FALSE),"")</f>
        <v>PROVO</v>
      </c>
      <c r="M485" t="str">
        <f>IFERROR(VLOOKUP(VALUE(J485),'Site Info'!$A:$G,5,FALSE),"")</f>
        <v>UT</v>
      </c>
      <c r="N485" t="str">
        <f>IFERROR(VLOOKUP(VALUE(J485),'Site Info'!$A:$G,6,FALSE),"")</f>
        <v>84601-5943</v>
      </c>
      <c r="O485">
        <f>IFERROR(VLOOKUP(VALUE(J485),'Site Info'!$A:$G,7,FALSE),"")</f>
        <v>8013749700</v>
      </c>
    </row>
    <row r="486" spans="1:15" x14ac:dyDescent="0.45">
      <c r="A486" t="s">
        <v>6230</v>
      </c>
      <c r="B486" t="s">
        <v>6231</v>
      </c>
      <c r="C486" t="s">
        <v>6232</v>
      </c>
      <c r="D486" t="s">
        <v>5799</v>
      </c>
      <c r="E486" s="1">
        <v>46151.508020833331</v>
      </c>
      <c r="F486">
        <v>1548</v>
      </c>
      <c r="G486" t="s">
        <v>6233</v>
      </c>
      <c r="H486" t="s">
        <v>15</v>
      </c>
      <c r="I486" t="s">
        <v>5801</v>
      </c>
      <c r="J486" t="str">
        <f>RIGHT(D486,4)</f>
        <v>6685</v>
      </c>
      <c r="K486" t="str">
        <f>IFERROR(VLOOKUP(VALUE(J486),'Site Info'!$A:$G,3,FALSE),"")</f>
        <v>1313 S UNIVERSITY AVE</v>
      </c>
      <c r="L486" t="str">
        <f>IFERROR(VLOOKUP(VALUE(J486),'Site Info'!$A:$G,4,FALSE),"")</f>
        <v>PROVO</v>
      </c>
      <c r="M486" t="str">
        <f>IFERROR(VLOOKUP(VALUE(J486),'Site Info'!$A:$G,5,FALSE),"")</f>
        <v>UT</v>
      </c>
      <c r="N486" t="str">
        <f>IFERROR(VLOOKUP(VALUE(J486),'Site Info'!$A:$G,6,FALSE),"")</f>
        <v>84601-5943</v>
      </c>
      <c r="O486">
        <f>IFERROR(VLOOKUP(VALUE(J486),'Site Info'!$A:$G,7,FALSE),"")</f>
        <v>8013749700</v>
      </c>
    </row>
    <row r="487" spans="1:15" x14ac:dyDescent="0.45">
      <c r="A487" t="s">
        <v>6114</v>
      </c>
      <c r="B487" t="s">
        <v>6115</v>
      </c>
      <c r="C487" t="s">
        <v>6116</v>
      </c>
      <c r="D487" t="s">
        <v>5799</v>
      </c>
      <c r="E487" s="1">
        <v>46151.373773148145</v>
      </c>
      <c r="F487">
        <v>1547</v>
      </c>
      <c r="G487" t="s">
        <v>6117</v>
      </c>
      <c r="H487" t="s">
        <v>15</v>
      </c>
      <c r="I487" t="s">
        <v>5801</v>
      </c>
      <c r="J487" t="str">
        <f>RIGHT(D487,4)</f>
        <v>6685</v>
      </c>
      <c r="K487" t="str">
        <f>IFERROR(VLOOKUP(VALUE(J487),'Site Info'!$A:$G,3,FALSE),"")</f>
        <v>1313 S UNIVERSITY AVE</v>
      </c>
      <c r="L487" t="str">
        <f>IFERROR(VLOOKUP(VALUE(J487),'Site Info'!$A:$G,4,FALSE),"")</f>
        <v>PROVO</v>
      </c>
      <c r="M487" t="str">
        <f>IFERROR(VLOOKUP(VALUE(J487),'Site Info'!$A:$G,5,FALSE),"")</f>
        <v>UT</v>
      </c>
      <c r="N487" t="str">
        <f>IFERROR(VLOOKUP(VALUE(J487),'Site Info'!$A:$G,6,FALSE),"")</f>
        <v>84601-5943</v>
      </c>
      <c r="O487">
        <f>IFERROR(VLOOKUP(VALUE(J487),'Site Info'!$A:$G,7,FALSE),"")</f>
        <v>8013749700</v>
      </c>
    </row>
    <row r="488" spans="1:15" x14ac:dyDescent="0.45">
      <c r="A488" t="s">
        <v>6426</v>
      </c>
      <c r="B488" t="s">
        <v>6427</v>
      </c>
      <c r="C488" t="s">
        <v>6428</v>
      </c>
      <c r="D488" t="s">
        <v>5799</v>
      </c>
      <c r="E488" s="1">
        <v>46151.396192129629</v>
      </c>
      <c r="F488">
        <v>1547</v>
      </c>
      <c r="G488" t="s">
        <v>6429</v>
      </c>
      <c r="H488" t="s">
        <v>15</v>
      </c>
      <c r="I488" t="s">
        <v>5801</v>
      </c>
      <c r="J488" t="str">
        <f>RIGHT(D488,4)</f>
        <v>6685</v>
      </c>
      <c r="K488" t="str">
        <f>IFERROR(VLOOKUP(VALUE(J488),'Site Info'!$A:$G,3,FALSE),"")</f>
        <v>1313 S UNIVERSITY AVE</v>
      </c>
      <c r="L488" t="str">
        <f>IFERROR(VLOOKUP(VALUE(J488),'Site Info'!$A:$G,4,FALSE),"")</f>
        <v>PROVO</v>
      </c>
      <c r="M488" t="str">
        <f>IFERROR(VLOOKUP(VALUE(J488),'Site Info'!$A:$G,5,FALSE),"")</f>
        <v>UT</v>
      </c>
      <c r="N488" t="str">
        <f>IFERROR(VLOOKUP(VALUE(J488),'Site Info'!$A:$G,6,FALSE),"")</f>
        <v>84601-5943</v>
      </c>
      <c r="O488">
        <f>IFERROR(VLOOKUP(VALUE(J488),'Site Info'!$A:$G,7,FALSE),"")</f>
        <v>8013749700</v>
      </c>
    </row>
    <row r="489" spans="1:15" x14ac:dyDescent="0.45">
      <c r="A489" t="s">
        <v>12324</v>
      </c>
      <c r="B489" t="s">
        <v>12325</v>
      </c>
      <c r="C489" t="s">
        <v>12326</v>
      </c>
      <c r="D489" t="s">
        <v>5799</v>
      </c>
      <c r="E489" s="1">
        <v>46152.053773148145</v>
      </c>
      <c r="F489">
        <v>1547</v>
      </c>
      <c r="G489" t="s">
        <v>12327</v>
      </c>
      <c r="H489" t="s">
        <v>15</v>
      </c>
      <c r="I489" t="s">
        <v>5801</v>
      </c>
      <c r="J489" t="str">
        <f>RIGHT(D489,4)</f>
        <v>6685</v>
      </c>
      <c r="K489" t="str">
        <f>IFERROR(VLOOKUP(VALUE(J489),'Site Info'!$A:$G,3,FALSE),"")</f>
        <v>1313 S UNIVERSITY AVE</v>
      </c>
      <c r="L489" t="str">
        <f>IFERROR(VLOOKUP(VALUE(J489),'Site Info'!$A:$G,4,FALSE),"")</f>
        <v>PROVO</v>
      </c>
      <c r="M489" t="str">
        <f>IFERROR(VLOOKUP(VALUE(J489),'Site Info'!$A:$G,5,FALSE),"")</f>
        <v>UT</v>
      </c>
      <c r="N489" t="str">
        <f>IFERROR(VLOOKUP(VALUE(J489),'Site Info'!$A:$G,6,FALSE),"")</f>
        <v>84601-5943</v>
      </c>
      <c r="O489">
        <f>IFERROR(VLOOKUP(VALUE(J489),'Site Info'!$A:$G,7,FALSE),"")</f>
        <v>8013749700</v>
      </c>
    </row>
    <row r="490" spans="1:15" x14ac:dyDescent="0.45">
      <c r="A490" t="s">
        <v>6094</v>
      </c>
      <c r="B490" t="s">
        <v>6095</v>
      </c>
      <c r="C490" t="s">
        <v>6096</v>
      </c>
      <c r="D490" t="s">
        <v>5799</v>
      </c>
      <c r="E490" s="1">
        <v>46152.496724537035</v>
      </c>
      <c r="F490">
        <v>1547</v>
      </c>
      <c r="G490" t="s">
        <v>6097</v>
      </c>
      <c r="H490" t="s">
        <v>15</v>
      </c>
      <c r="I490" t="s">
        <v>5801</v>
      </c>
      <c r="J490" t="str">
        <f>RIGHT(D490,4)</f>
        <v>6685</v>
      </c>
      <c r="K490" t="str">
        <f>IFERROR(VLOOKUP(VALUE(J490),'Site Info'!$A:$G,3,FALSE),"")</f>
        <v>1313 S UNIVERSITY AVE</v>
      </c>
      <c r="L490" t="str">
        <f>IFERROR(VLOOKUP(VALUE(J490),'Site Info'!$A:$G,4,FALSE),"")</f>
        <v>PROVO</v>
      </c>
      <c r="M490" t="str">
        <f>IFERROR(VLOOKUP(VALUE(J490),'Site Info'!$A:$G,5,FALSE),"")</f>
        <v>UT</v>
      </c>
      <c r="N490" t="str">
        <f>IFERROR(VLOOKUP(VALUE(J490),'Site Info'!$A:$G,6,FALSE),"")</f>
        <v>84601-5943</v>
      </c>
      <c r="O490">
        <f>IFERROR(VLOOKUP(VALUE(J490),'Site Info'!$A:$G,7,FALSE),"")</f>
        <v>8013749700</v>
      </c>
    </row>
    <row r="491" spans="1:15" x14ac:dyDescent="0.45">
      <c r="A491" t="s">
        <v>5796</v>
      </c>
      <c r="B491" t="s">
        <v>5797</v>
      </c>
      <c r="C491" t="s">
        <v>5798</v>
      </c>
      <c r="D491" t="s">
        <v>5799</v>
      </c>
      <c r="E491" s="1">
        <v>46152.507245370369</v>
      </c>
      <c r="F491">
        <v>1547</v>
      </c>
      <c r="G491" t="s">
        <v>5800</v>
      </c>
      <c r="H491" t="s">
        <v>15</v>
      </c>
      <c r="I491" t="s">
        <v>5801</v>
      </c>
      <c r="J491" t="str">
        <f>RIGHT(D491,4)</f>
        <v>6685</v>
      </c>
      <c r="K491" t="str">
        <f>IFERROR(VLOOKUP(VALUE(J491),'Site Info'!$A:$G,3,FALSE),"")</f>
        <v>1313 S UNIVERSITY AVE</v>
      </c>
      <c r="L491" t="str">
        <f>IFERROR(VLOOKUP(VALUE(J491),'Site Info'!$A:$G,4,FALSE),"")</f>
        <v>PROVO</v>
      </c>
      <c r="M491" t="str">
        <f>IFERROR(VLOOKUP(VALUE(J491),'Site Info'!$A:$G,5,FALSE),"")</f>
        <v>UT</v>
      </c>
      <c r="N491" t="str">
        <f>IFERROR(VLOOKUP(VALUE(J491),'Site Info'!$A:$G,6,FALSE),"")</f>
        <v>84601-5943</v>
      </c>
      <c r="O491">
        <f>IFERROR(VLOOKUP(VALUE(J491),'Site Info'!$A:$G,7,FALSE),"")</f>
        <v>8013749700</v>
      </c>
    </row>
    <row r="492" spans="1:15" x14ac:dyDescent="0.45">
      <c r="A492" t="s">
        <v>10532</v>
      </c>
      <c r="B492" t="s">
        <v>10533</v>
      </c>
      <c r="C492" t="s">
        <v>10534</v>
      </c>
      <c r="D492" t="s">
        <v>5799</v>
      </c>
      <c r="E492" s="1">
        <v>46153.356782407405</v>
      </c>
      <c r="F492">
        <v>1547</v>
      </c>
      <c r="G492" t="s">
        <v>10535</v>
      </c>
      <c r="H492" t="s">
        <v>15</v>
      </c>
      <c r="I492" t="s">
        <v>5801</v>
      </c>
      <c r="J492" t="str">
        <f>RIGHT(D492,4)</f>
        <v>6685</v>
      </c>
      <c r="K492" t="str">
        <f>IFERROR(VLOOKUP(VALUE(J492),'Site Info'!$A:$G,3,FALSE),"")</f>
        <v>1313 S UNIVERSITY AVE</v>
      </c>
      <c r="L492" t="str">
        <f>IFERROR(VLOOKUP(VALUE(J492),'Site Info'!$A:$G,4,FALSE),"")</f>
        <v>PROVO</v>
      </c>
      <c r="M492" t="str">
        <f>IFERROR(VLOOKUP(VALUE(J492),'Site Info'!$A:$G,5,FALSE),"")</f>
        <v>UT</v>
      </c>
      <c r="N492" t="str">
        <f>IFERROR(VLOOKUP(VALUE(J492),'Site Info'!$A:$G,6,FALSE),"")</f>
        <v>84601-5943</v>
      </c>
      <c r="O492">
        <f>IFERROR(VLOOKUP(VALUE(J492),'Site Info'!$A:$G,7,FALSE),"")</f>
        <v>8013749700</v>
      </c>
    </row>
    <row r="493" spans="1:15" x14ac:dyDescent="0.45">
      <c r="A493" t="s">
        <v>6993</v>
      </c>
      <c r="B493" t="s">
        <v>6994</v>
      </c>
      <c r="C493" t="s">
        <v>6995</v>
      </c>
      <c r="D493" t="s">
        <v>5799</v>
      </c>
      <c r="E493" s="1">
        <v>46153.365798611114</v>
      </c>
      <c r="F493">
        <v>1547</v>
      </c>
      <c r="G493" t="s">
        <v>6996</v>
      </c>
      <c r="H493" t="s">
        <v>15</v>
      </c>
      <c r="I493" t="s">
        <v>5801</v>
      </c>
      <c r="J493" t="str">
        <f>RIGHT(D493,4)</f>
        <v>6685</v>
      </c>
      <c r="K493" t="str">
        <f>IFERROR(VLOOKUP(VALUE(J493),'Site Info'!$A:$G,3,FALSE),"")</f>
        <v>1313 S UNIVERSITY AVE</v>
      </c>
      <c r="L493" t="str">
        <f>IFERROR(VLOOKUP(VALUE(J493),'Site Info'!$A:$G,4,FALSE),"")</f>
        <v>PROVO</v>
      </c>
      <c r="M493" t="str">
        <f>IFERROR(VLOOKUP(VALUE(J493),'Site Info'!$A:$G,5,FALSE),"")</f>
        <v>UT</v>
      </c>
      <c r="N493" t="str">
        <f>IFERROR(VLOOKUP(VALUE(J493),'Site Info'!$A:$G,6,FALSE),"")</f>
        <v>84601-5943</v>
      </c>
      <c r="O493">
        <f>IFERROR(VLOOKUP(VALUE(J493),'Site Info'!$A:$G,7,FALSE),"")</f>
        <v>8013749700</v>
      </c>
    </row>
    <row r="494" spans="1:15" x14ac:dyDescent="0.45">
      <c r="A494" t="s">
        <v>6673</v>
      </c>
      <c r="B494" t="s">
        <v>6674</v>
      </c>
      <c r="C494" t="s">
        <v>6675</v>
      </c>
      <c r="D494" t="s">
        <v>187</v>
      </c>
      <c r="E494" s="1">
        <v>46152.463831018518</v>
      </c>
      <c r="F494">
        <v>1547</v>
      </c>
      <c r="G494" t="s">
        <v>6676</v>
      </c>
      <c r="H494" t="s">
        <v>15</v>
      </c>
      <c r="I494" t="s">
        <v>188</v>
      </c>
      <c r="J494" t="str">
        <f>RIGHT(D494,4)</f>
        <v>8146</v>
      </c>
      <c r="K494" t="str">
        <f>IFERROR(VLOOKUP(VALUE(J494),'Site Info'!$A:$G,3,FALSE),"")</f>
        <v>13130 L ST</v>
      </c>
      <c r="L494" t="str">
        <f>IFERROR(VLOOKUP(VALUE(J494),'Site Info'!$A:$G,4,FALSE),"")</f>
        <v>OMAHA</v>
      </c>
      <c r="M494" t="str">
        <f>IFERROR(VLOOKUP(VALUE(J494),'Site Info'!$A:$G,5,FALSE),"")</f>
        <v>NE</v>
      </c>
      <c r="N494" t="str">
        <f>IFERROR(VLOOKUP(VALUE(J494),'Site Info'!$A:$G,6,FALSE),"")</f>
        <v>68137-1866</v>
      </c>
      <c r="O494">
        <f>IFERROR(VLOOKUP(VALUE(J494),'Site Info'!$A:$G,7,FALSE),"")</f>
        <v>4023341526</v>
      </c>
    </row>
    <row r="495" spans="1:15" x14ac:dyDescent="0.45">
      <c r="A495" t="s">
        <v>7721</v>
      </c>
      <c r="B495" t="s">
        <v>7722</v>
      </c>
      <c r="C495" t="s">
        <v>7723</v>
      </c>
      <c r="D495" t="s">
        <v>187</v>
      </c>
      <c r="E495" s="1">
        <v>46152.649085648147</v>
      </c>
      <c r="F495">
        <v>1547</v>
      </c>
      <c r="G495" t="s">
        <v>7724</v>
      </c>
      <c r="H495" t="s">
        <v>15</v>
      </c>
      <c r="I495" t="s">
        <v>188</v>
      </c>
      <c r="J495" t="str">
        <f>RIGHT(D495,4)</f>
        <v>8146</v>
      </c>
      <c r="K495" t="str">
        <f>IFERROR(VLOOKUP(VALUE(J495),'Site Info'!$A:$G,3,FALSE),"")</f>
        <v>13130 L ST</v>
      </c>
      <c r="L495" t="str">
        <f>IFERROR(VLOOKUP(VALUE(J495),'Site Info'!$A:$G,4,FALSE),"")</f>
        <v>OMAHA</v>
      </c>
      <c r="M495" t="str">
        <f>IFERROR(VLOOKUP(VALUE(J495),'Site Info'!$A:$G,5,FALSE),"")</f>
        <v>NE</v>
      </c>
      <c r="N495" t="str">
        <f>IFERROR(VLOOKUP(VALUE(J495),'Site Info'!$A:$G,6,FALSE),"")</f>
        <v>68137-1866</v>
      </c>
      <c r="O495">
        <f>IFERROR(VLOOKUP(VALUE(J495),'Site Info'!$A:$G,7,FALSE),"")</f>
        <v>4023341526</v>
      </c>
    </row>
    <row r="496" spans="1:15" x14ac:dyDescent="0.45">
      <c r="A496" t="s">
        <v>11530</v>
      </c>
      <c r="B496" t="s">
        <v>11531</v>
      </c>
      <c r="C496" t="s">
        <v>11532</v>
      </c>
      <c r="D496" t="s">
        <v>187</v>
      </c>
      <c r="E496" s="1">
        <v>46153.033321759256</v>
      </c>
      <c r="F496">
        <v>1547</v>
      </c>
      <c r="G496" t="s">
        <v>11533</v>
      </c>
      <c r="H496" t="s">
        <v>15</v>
      </c>
      <c r="I496" t="s">
        <v>188</v>
      </c>
      <c r="J496" t="str">
        <f>RIGHT(D496,4)</f>
        <v>8146</v>
      </c>
      <c r="K496" t="str">
        <f>IFERROR(VLOOKUP(VALUE(J496),'Site Info'!$A:$G,3,FALSE),"")</f>
        <v>13130 L ST</v>
      </c>
      <c r="L496" t="str">
        <f>IFERROR(VLOOKUP(VALUE(J496),'Site Info'!$A:$G,4,FALSE),"")</f>
        <v>OMAHA</v>
      </c>
      <c r="M496" t="str">
        <f>IFERROR(VLOOKUP(VALUE(J496),'Site Info'!$A:$G,5,FALSE),"")</f>
        <v>NE</v>
      </c>
      <c r="N496" t="str">
        <f>IFERROR(VLOOKUP(VALUE(J496),'Site Info'!$A:$G,6,FALSE),"")</f>
        <v>68137-1866</v>
      </c>
      <c r="O496">
        <f>IFERROR(VLOOKUP(VALUE(J496),'Site Info'!$A:$G,7,FALSE),"")</f>
        <v>4023341526</v>
      </c>
    </row>
    <row r="497" spans="1:15" x14ac:dyDescent="0.45">
      <c r="A497" t="s">
        <v>7777</v>
      </c>
      <c r="B497" t="s">
        <v>7778</v>
      </c>
      <c r="C497" t="s">
        <v>7779</v>
      </c>
      <c r="D497" t="s">
        <v>187</v>
      </c>
      <c r="E497" s="1">
        <v>46153.220324074071</v>
      </c>
      <c r="F497">
        <v>1547</v>
      </c>
      <c r="G497" t="s">
        <v>7780</v>
      </c>
      <c r="H497" t="s">
        <v>15</v>
      </c>
      <c r="I497" t="s">
        <v>188</v>
      </c>
      <c r="J497" t="str">
        <f>RIGHT(D497,4)</f>
        <v>8146</v>
      </c>
      <c r="K497" t="str">
        <f>IFERROR(VLOOKUP(VALUE(J497),'Site Info'!$A:$G,3,FALSE),"")</f>
        <v>13130 L ST</v>
      </c>
      <c r="L497" t="str">
        <f>IFERROR(VLOOKUP(VALUE(J497),'Site Info'!$A:$G,4,FALSE),"")</f>
        <v>OMAHA</v>
      </c>
      <c r="M497" t="str">
        <f>IFERROR(VLOOKUP(VALUE(J497),'Site Info'!$A:$G,5,FALSE),"")</f>
        <v>NE</v>
      </c>
      <c r="N497" t="str">
        <f>IFERROR(VLOOKUP(VALUE(J497),'Site Info'!$A:$G,6,FALSE),"")</f>
        <v>68137-1866</v>
      </c>
      <c r="O497">
        <f>IFERROR(VLOOKUP(VALUE(J497),'Site Info'!$A:$G,7,FALSE),"")</f>
        <v>4023341526</v>
      </c>
    </row>
    <row r="498" spans="1:15" x14ac:dyDescent="0.45">
      <c r="A498" t="s">
        <v>3941</v>
      </c>
      <c r="B498" t="s">
        <v>3942</v>
      </c>
      <c r="C498" t="s">
        <v>3943</v>
      </c>
      <c r="D498" t="s">
        <v>187</v>
      </c>
      <c r="E498" s="1">
        <v>46152.63354166667</v>
      </c>
      <c r="F498">
        <v>1481</v>
      </c>
      <c r="G498" t="s">
        <v>3944</v>
      </c>
      <c r="H498" t="s">
        <v>15</v>
      </c>
      <c r="I498" t="s">
        <v>188</v>
      </c>
      <c r="J498" t="str">
        <f>RIGHT(D498,4)</f>
        <v>8146</v>
      </c>
      <c r="K498" t="str">
        <f>IFERROR(VLOOKUP(VALUE(J498),'Site Info'!$A:$G,3,FALSE),"")</f>
        <v>13130 L ST</v>
      </c>
      <c r="L498" t="str">
        <f>IFERROR(VLOOKUP(VALUE(J498),'Site Info'!$A:$G,4,FALSE),"")</f>
        <v>OMAHA</v>
      </c>
      <c r="M498" t="str">
        <f>IFERROR(VLOOKUP(VALUE(J498),'Site Info'!$A:$G,5,FALSE),"")</f>
        <v>NE</v>
      </c>
      <c r="N498" t="str">
        <f>IFERROR(VLOOKUP(VALUE(J498),'Site Info'!$A:$G,6,FALSE),"")</f>
        <v>68137-1866</v>
      </c>
      <c r="O498">
        <f>IFERROR(VLOOKUP(VALUE(J498),'Site Info'!$A:$G,7,FALSE),"")</f>
        <v>4023341526</v>
      </c>
    </row>
    <row r="499" spans="1:15" x14ac:dyDescent="0.45">
      <c r="A499" t="s">
        <v>3997</v>
      </c>
      <c r="B499" t="s">
        <v>3998</v>
      </c>
      <c r="C499" t="s">
        <v>3999</v>
      </c>
      <c r="D499" t="s">
        <v>187</v>
      </c>
      <c r="E499" s="1">
        <v>46153.352893518517</v>
      </c>
      <c r="F499">
        <v>1481</v>
      </c>
      <c r="G499" t="s">
        <v>4000</v>
      </c>
      <c r="H499" t="s">
        <v>15</v>
      </c>
      <c r="I499" t="s">
        <v>188</v>
      </c>
      <c r="J499" t="str">
        <f>RIGHT(D499,4)</f>
        <v>8146</v>
      </c>
      <c r="K499" t="str">
        <f>IFERROR(VLOOKUP(VALUE(J499),'Site Info'!$A:$G,3,FALSE),"")</f>
        <v>13130 L ST</v>
      </c>
      <c r="L499" t="str">
        <f>IFERROR(VLOOKUP(VALUE(J499),'Site Info'!$A:$G,4,FALSE),"")</f>
        <v>OMAHA</v>
      </c>
      <c r="M499" t="str">
        <f>IFERROR(VLOOKUP(VALUE(J499),'Site Info'!$A:$G,5,FALSE),"")</f>
        <v>NE</v>
      </c>
      <c r="N499" t="str">
        <f>IFERROR(VLOOKUP(VALUE(J499),'Site Info'!$A:$G,6,FALSE),"")</f>
        <v>68137-1866</v>
      </c>
      <c r="O499">
        <f>IFERROR(VLOOKUP(VALUE(J499),'Site Info'!$A:$G,7,FALSE),"")</f>
        <v>4023341526</v>
      </c>
    </row>
    <row r="500" spans="1:15" x14ac:dyDescent="0.45">
      <c r="A500" t="s">
        <v>3679</v>
      </c>
      <c r="B500" t="s">
        <v>3680</v>
      </c>
      <c r="C500" t="s">
        <v>3681</v>
      </c>
      <c r="D500" t="s">
        <v>187</v>
      </c>
      <c r="E500" s="1">
        <v>46153.371331018519</v>
      </c>
      <c r="F500">
        <v>1481</v>
      </c>
      <c r="G500" t="s">
        <v>3682</v>
      </c>
      <c r="H500" t="s">
        <v>15</v>
      </c>
      <c r="I500" t="s">
        <v>188</v>
      </c>
      <c r="J500" t="str">
        <f>RIGHT(D500,4)</f>
        <v>8146</v>
      </c>
      <c r="K500" t="str">
        <f>IFERROR(VLOOKUP(VALUE(J500),'Site Info'!$A:$G,3,FALSE),"")</f>
        <v>13130 L ST</v>
      </c>
      <c r="L500" t="str">
        <f>IFERROR(VLOOKUP(VALUE(J500),'Site Info'!$A:$G,4,FALSE),"")</f>
        <v>OMAHA</v>
      </c>
      <c r="M500" t="str">
        <f>IFERROR(VLOOKUP(VALUE(J500),'Site Info'!$A:$G,5,FALSE),"")</f>
        <v>NE</v>
      </c>
      <c r="N500" t="str">
        <f>IFERROR(VLOOKUP(VALUE(J500),'Site Info'!$A:$G,6,FALSE),"")</f>
        <v>68137-1866</v>
      </c>
      <c r="O500">
        <f>IFERROR(VLOOKUP(VALUE(J500),'Site Info'!$A:$G,7,FALSE),"")</f>
        <v>4023341526</v>
      </c>
    </row>
    <row r="501" spans="1:15" x14ac:dyDescent="0.45">
      <c r="A501" t="s">
        <v>17114</v>
      </c>
      <c r="B501" t="s">
        <v>17115</v>
      </c>
      <c r="C501" t="s">
        <v>17116</v>
      </c>
      <c r="D501" t="s">
        <v>187</v>
      </c>
      <c r="E501" s="1">
        <v>46153.350358796299</v>
      </c>
      <c r="F501">
        <v>1481</v>
      </c>
      <c r="G501" t="s">
        <v>17117</v>
      </c>
      <c r="H501" t="s">
        <v>15</v>
      </c>
      <c r="I501" t="s">
        <v>188</v>
      </c>
      <c r="J501" t="str">
        <f>RIGHT(D501,4)</f>
        <v>8146</v>
      </c>
      <c r="K501" t="str">
        <f>IFERROR(VLOOKUP(VALUE(J501),'Site Info'!$A:$G,3,FALSE),"")</f>
        <v>13130 L ST</v>
      </c>
      <c r="L501" t="str">
        <f>IFERROR(VLOOKUP(VALUE(J501),'Site Info'!$A:$G,4,FALSE),"")</f>
        <v>OMAHA</v>
      </c>
      <c r="M501" t="str">
        <f>IFERROR(VLOOKUP(VALUE(J501),'Site Info'!$A:$G,5,FALSE),"")</f>
        <v>NE</v>
      </c>
      <c r="N501" t="str">
        <f>IFERROR(VLOOKUP(VALUE(J501),'Site Info'!$A:$G,6,FALSE),"")</f>
        <v>68137-1866</v>
      </c>
      <c r="O501">
        <f>IFERROR(VLOOKUP(VALUE(J501),'Site Info'!$A:$G,7,FALSE),"")</f>
        <v>4023341526</v>
      </c>
    </row>
    <row r="502" spans="1:15" x14ac:dyDescent="0.45">
      <c r="A502" t="s">
        <v>8849</v>
      </c>
      <c r="B502" t="s">
        <v>8850</v>
      </c>
      <c r="C502" t="s">
        <v>8851</v>
      </c>
      <c r="D502" t="s">
        <v>483</v>
      </c>
      <c r="E502" s="1">
        <v>46146.489374999997</v>
      </c>
      <c r="F502">
        <v>1547</v>
      </c>
      <c r="G502" t="s">
        <v>8852</v>
      </c>
      <c r="H502" t="s">
        <v>15</v>
      </c>
      <c r="I502" t="s">
        <v>485</v>
      </c>
      <c r="J502" t="str">
        <f>RIGHT(D502,4)</f>
        <v>4818</v>
      </c>
      <c r="K502" t="str">
        <f>IFERROR(VLOOKUP(VALUE(J502),'Site Info'!$A:$G,3,FALSE),"")</f>
        <v>13360 CORTEZ BLVD</v>
      </c>
      <c r="L502" t="str">
        <f>IFERROR(VLOOKUP(VALUE(J502),'Site Info'!$A:$G,4,FALSE),"")</f>
        <v>BROOKSVILLE</v>
      </c>
      <c r="M502" t="str">
        <f>IFERROR(VLOOKUP(VALUE(J502),'Site Info'!$A:$G,5,FALSE),"")</f>
        <v>FL</v>
      </c>
      <c r="N502" t="str">
        <f>IFERROR(VLOOKUP(VALUE(J502),'Site Info'!$A:$G,6,FALSE),"")</f>
        <v>34613-4887</v>
      </c>
      <c r="O502">
        <f>IFERROR(VLOOKUP(VALUE(J502),'Site Info'!$A:$G,7,FALSE),"")</f>
        <v>3525924737</v>
      </c>
    </row>
    <row r="503" spans="1:15" x14ac:dyDescent="0.45">
      <c r="A503" t="s">
        <v>9477</v>
      </c>
      <c r="B503" t="s">
        <v>9478</v>
      </c>
      <c r="C503" t="s">
        <v>9479</v>
      </c>
      <c r="D503" t="s">
        <v>483</v>
      </c>
      <c r="E503" s="1">
        <v>46151.568148148152</v>
      </c>
      <c r="F503">
        <v>1547</v>
      </c>
      <c r="G503" t="s">
        <v>9480</v>
      </c>
      <c r="H503" t="s">
        <v>15</v>
      </c>
      <c r="I503" t="s">
        <v>485</v>
      </c>
      <c r="J503" t="str">
        <f>RIGHT(D503,4)</f>
        <v>4818</v>
      </c>
      <c r="K503" t="str">
        <f>IFERROR(VLOOKUP(VALUE(J503),'Site Info'!$A:$G,3,FALSE),"")</f>
        <v>13360 CORTEZ BLVD</v>
      </c>
      <c r="L503" t="str">
        <f>IFERROR(VLOOKUP(VALUE(J503),'Site Info'!$A:$G,4,FALSE),"")</f>
        <v>BROOKSVILLE</v>
      </c>
      <c r="M503" t="str">
        <f>IFERROR(VLOOKUP(VALUE(J503),'Site Info'!$A:$G,5,FALSE),"")</f>
        <v>FL</v>
      </c>
      <c r="N503" t="str">
        <f>IFERROR(VLOOKUP(VALUE(J503),'Site Info'!$A:$G,6,FALSE),"")</f>
        <v>34613-4887</v>
      </c>
      <c r="O503">
        <f>IFERROR(VLOOKUP(VALUE(J503),'Site Info'!$A:$G,7,FALSE),"")</f>
        <v>3525924737</v>
      </c>
    </row>
    <row r="504" spans="1:15" x14ac:dyDescent="0.45">
      <c r="A504" t="s">
        <v>10821</v>
      </c>
      <c r="B504" t="s">
        <v>10822</v>
      </c>
      <c r="C504" t="s">
        <v>10823</v>
      </c>
      <c r="D504" t="s">
        <v>483</v>
      </c>
      <c r="E504" s="1">
        <v>46152.625532407408</v>
      </c>
      <c r="F504">
        <v>1547</v>
      </c>
      <c r="G504" t="s">
        <v>10824</v>
      </c>
      <c r="H504" t="s">
        <v>15</v>
      </c>
      <c r="I504" t="s">
        <v>485</v>
      </c>
      <c r="J504" t="str">
        <f>RIGHT(D504,4)</f>
        <v>4818</v>
      </c>
      <c r="K504" t="str">
        <f>IFERROR(VLOOKUP(VALUE(J504),'Site Info'!$A:$G,3,FALSE),"")</f>
        <v>13360 CORTEZ BLVD</v>
      </c>
      <c r="L504" t="str">
        <f>IFERROR(VLOOKUP(VALUE(J504),'Site Info'!$A:$G,4,FALSE),"")</f>
        <v>BROOKSVILLE</v>
      </c>
      <c r="M504" t="str">
        <f>IFERROR(VLOOKUP(VALUE(J504),'Site Info'!$A:$G,5,FALSE),"")</f>
        <v>FL</v>
      </c>
      <c r="N504" t="str">
        <f>IFERROR(VLOOKUP(VALUE(J504),'Site Info'!$A:$G,6,FALSE),"")</f>
        <v>34613-4887</v>
      </c>
      <c r="O504">
        <f>IFERROR(VLOOKUP(VALUE(J504),'Site Info'!$A:$G,7,FALSE),"")</f>
        <v>3525924737</v>
      </c>
    </row>
    <row r="505" spans="1:15" x14ac:dyDescent="0.45">
      <c r="A505" t="s">
        <v>9615</v>
      </c>
      <c r="B505" t="s">
        <v>9616</v>
      </c>
      <c r="C505" t="s">
        <v>9617</v>
      </c>
      <c r="D505" t="s">
        <v>483</v>
      </c>
      <c r="E505" s="1">
        <v>46153.177384259259</v>
      </c>
      <c r="F505">
        <v>1547</v>
      </c>
      <c r="G505" t="s">
        <v>9618</v>
      </c>
      <c r="H505" t="s">
        <v>15</v>
      </c>
      <c r="I505" t="s">
        <v>485</v>
      </c>
      <c r="J505" t="str">
        <f>RIGHT(D505,4)</f>
        <v>4818</v>
      </c>
      <c r="K505" t="str">
        <f>IFERROR(VLOOKUP(VALUE(J505),'Site Info'!$A:$G,3,FALSE),"")</f>
        <v>13360 CORTEZ BLVD</v>
      </c>
      <c r="L505" t="str">
        <f>IFERROR(VLOOKUP(VALUE(J505),'Site Info'!$A:$G,4,FALSE),"")</f>
        <v>BROOKSVILLE</v>
      </c>
      <c r="M505" t="str">
        <f>IFERROR(VLOOKUP(VALUE(J505),'Site Info'!$A:$G,5,FALSE),"")</f>
        <v>FL</v>
      </c>
      <c r="N505" t="str">
        <f>IFERROR(VLOOKUP(VALUE(J505),'Site Info'!$A:$G,6,FALSE),"")</f>
        <v>34613-4887</v>
      </c>
      <c r="O505">
        <f>IFERROR(VLOOKUP(VALUE(J505),'Site Info'!$A:$G,7,FALSE),"")</f>
        <v>3525924737</v>
      </c>
    </row>
    <row r="506" spans="1:15" x14ac:dyDescent="0.45">
      <c r="A506" t="s">
        <v>480</v>
      </c>
      <c r="B506" t="s">
        <v>481</v>
      </c>
      <c r="C506" t="s">
        <v>482</v>
      </c>
      <c r="D506" t="s">
        <v>483</v>
      </c>
      <c r="E506" s="1">
        <v>46153.311030092591</v>
      </c>
      <c r="F506">
        <v>1481</v>
      </c>
      <c r="G506" t="s">
        <v>484</v>
      </c>
      <c r="H506" t="s">
        <v>15</v>
      </c>
      <c r="I506" t="s">
        <v>485</v>
      </c>
      <c r="J506" t="str">
        <f>RIGHT(D506,4)</f>
        <v>4818</v>
      </c>
      <c r="K506" t="str">
        <f>IFERROR(VLOOKUP(VALUE(J506),'Site Info'!$A:$G,3,FALSE),"")</f>
        <v>13360 CORTEZ BLVD</v>
      </c>
      <c r="L506" t="str">
        <f>IFERROR(VLOOKUP(VALUE(J506),'Site Info'!$A:$G,4,FALSE),"")</f>
        <v>BROOKSVILLE</v>
      </c>
      <c r="M506" t="str">
        <f>IFERROR(VLOOKUP(VALUE(J506),'Site Info'!$A:$G,5,FALSE),"")</f>
        <v>FL</v>
      </c>
      <c r="N506" t="str">
        <f>IFERROR(VLOOKUP(VALUE(J506),'Site Info'!$A:$G,6,FALSE),"")</f>
        <v>34613-4887</v>
      </c>
      <c r="O506">
        <f>IFERROR(VLOOKUP(VALUE(J506),'Site Info'!$A:$G,7,FALSE),"")</f>
        <v>3525924737</v>
      </c>
    </row>
    <row r="507" spans="1:15" x14ac:dyDescent="0.45">
      <c r="A507" t="s">
        <v>14183</v>
      </c>
      <c r="B507" t="s">
        <v>14184</v>
      </c>
      <c r="C507" t="s">
        <v>14185</v>
      </c>
      <c r="D507" t="s">
        <v>3686</v>
      </c>
      <c r="E507" s="1">
        <v>46151.918495370373</v>
      </c>
      <c r="F507">
        <v>1863</v>
      </c>
      <c r="G507" t="s">
        <v>14186</v>
      </c>
      <c r="H507" t="s">
        <v>136</v>
      </c>
      <c r="I507" t="s">
        <v>3688</v>
      </c>
      <c r="J507" t="str">
        <f>RIGHT(D507,4)</f>
        <v>8182</v>
      </c>
      <c r="K507" t="str">
        <f>IFERROR(VLOOKUP(VALUE(J507),'Site Info'!$A:$G,3,FALSE),"")</f>
        <v>13455 MANCHESTER RD</v>
      </c>
      <c r="L507" t="str">
        <f>IFERROR(VLOOKUP(VALUE(J507),'Site Info'!$A:$G,4,FALSE),"")</f>
        <v>SAINT LOUIS</v>
      </c>
      <c r="M507" t="str">
        <f>IFERROR(VLOOKUP(VALUE(J507),'Site Info'!$A:$G,5,FALSE),"")</f>
        <v>MO</v>
      </c>
      <c r="N507" t="str">
        <f>IFERROR(VLOOKUP(VALUE(J507),'Site Info'!$A:$G,6,FALSE),"")</f>
        <v>63131-1711</v>
      </c>
      <c r="O507">
        <f>IFERROR(VLOOKUP(VALUE(J507),'Site Info'!$A:$G,7,FALSE),"")</f>
        <v>3148227200</v>
      </c>
    </row>
    <row r="508" spans="1:15" x14ac:dyDescent="0.45">
      <c r="A508" t="s">
        <v>14179</v>
      </c>
      <c r="B508" t="s">
        <v>14180</v>
      </c>
      <c r="C508" t="s">
        <v>14181</v>
      </c>
      <c r="D508" t="s">
        <v>3686</v>
      </c>
      <c r="E508" s="1">
        <v>46152.826296296298</v>
      </c>
      <c r="F508">
        <v>1863</v>
      </c>
      <c r="G508" t="s">
        <v>14182</v>
      </c>
      <c r="H508" t="s">
        <v>136</v>
      </c>
      <c r="I508" t="s">
        <v>3688</v>
      </c>
      <c r="J508" t="str">
        <f>RIGHT(D508,4)</f>
        <v>8182</v>
      </c>
      <c r="K508" t="str">
        <f>IFERROR(VLOOKUP(VALUE(J508),'Site Info'!$A:$G,3,FALSE),"")</f>
        <v>13455 MANCHESTER RD</v>
      </c>
      <c r="L508" t="str">
        <f>IFERROR(VLOOKUP(VALUE(J508),'Site Info'!$A:$G,4,FALSE),"")</f>
        <v>SAINT LOUIS</v>
      </c>
      <c r="M508" t="str">
        <f>IFERROR(VLOOKUP(VALUE(J508),'Site Info'!$A:$G,5,FALSE),"")</f>
        <v>MO</v>
      </c>
      <c r="N508" t="str">
        <f>IFERROR(VLOOKUP(VALUE(J508),'Site Info'!$A:$G,6,FALSE),"")</f>
        <v>63131-1711</v>
      </c>
      <c r="O508">
        <f>IFERROR(VLOOKUP(VALUE(J508),'Site Info'!$A:$G,7,FALSE),"")</f>
        <v>3148227200</v>
      </c>
    </row>
    <row r="509" spans="1:15" x14ac:dyDescent="0.45">
      <c r="A509" t="s">
        <v>6683</v>
      </c>
      <c r="B509" t="s">
        <v>6684</v>
      </c>
      <c r="C509" t="s">
        <v>6685</v>
      </c>
      <c r="D509" t="s">
        <v>3686</v>
      </c>
      <c r="E509" s="1">
        <v>46151.489108796297</v>
      </c>
      <c r="F509">
        <v>1547</v>
      </c>
      <c r="G509" t="s">
        <v>6686</v>
      </c>
      <c r="H509" t="s">
        <v>15</v>
      </c>
      <c r="I509" t="s">
        <v>3688</v>
      </c>
      <c r="J509" t="str">
        <f>RIGHT(D509,4)</f>
        <v>8182</v>
      </c>
      <c r="K509" t="str">
        <f>IFERROR(VLOOKUP(VALUE(J509),'Site Info'!$A:$G,3,FALSE),"")</f>
        <v>13455 MANCHESTER RD</v>
      </c>
      <c r="L509" t="str">
        <f>IFERROR(VLOOKUP(VALUE(J509),'Site Info'!$A:$G,4,FALSE),"")</f>
        <v>SAINT LOUIS</v>
      </c>
      <c r="M509" t="str">
        <f>IFERROR(VLOOKUP(VALUE(J509),'Site Info'!$A:$G,5,FALSE),"")</f>
        <v>MO</v>
      </c>
      <c r="N509" t="str">
        <f>IFERROR(VLOOKUP(VALUE(J509),'Site Info'!$A:$G,6,FALSE),"")</f>
        <v>63131-1711</v>
      </c>
      <c r="O509">
        <f>IFERROR(VLOOKUP(VALUE(J509),'Site Info'!$A:$G,7,FALSE),"")</f>
        <v>3148227200</v>
      </c>
    </row>
    <row r="510" spans="1:15" x14ac:dyDescent="0.45">
      <c r="A510" t="s">
        <v>10044</v>
      </c>
      <c r="B510" t="s">
        <v>10045</v>
      </c>
      <c r="C510" t="s">
        <v>10046</v>
      </c>
      <c r="D510" t="s">
        <v>3686</v>
      </c>
      <c r="E510" s="1">
        <v>46151.711053240739</v>
      </c>
      <c r="F510">
        <v>1547</v>
      </c>
      <c r="G510" t="s">
        <v>10047</v>
      </c>
      <c r="H510" t="s">
        <v>15</v>
      </c>
      <c r="I510" t="s">
        <v>3688</v>
      </c>
      <c r="J510" t="str">
        <f>RIGHT(D510,4)</f>
        <v>8182</v>
      </c>
      <c r="K510" t="str">
        <f>IFERROR(VLOOKUP(VALUE(J510),'Site Info'!$A:$G,3,FALSE),"")</f>
        <v>13455 MANCHESTER RD</v>
      </c>
      <c r="L510" t="str">
        <f>IFERROR(VLOOKUP(VALUE(J510),'Site Info'!$A:$G,4,FALSE),"")</f>
        <v>SAINT LOUIS</v>
      </c>
      <c r="M510" t="str">
        <f>IFERROR(VLOOKUP(VALUE(J510),'Site Info'!$A:$G,5,FALSE),"")</f>
        <v>MO</v>
      </c>
      <c r="N510" t="str">
        <f>IFERROR(VLOOKUP(VALUE(J510),'Site Info'!$A:$G,6,FALSE),"")</f>
        <v>63131-1711</v>
      </c>
      <c r="O510">
        <f>IFERROR(VLOOKUP(VALUE(J510),'Site Info'!$A:$G,7,FALSE),"")</f>
        <v>3148227200</v>
      </c>
    </row>
    <row r="511" spans="1:15" x14ac:dyDescent="0.45">
      <c r="A511" t="s">
        <v>11702</v>
      </c>
      <c r="B511" t="s">
        <v>11703</v>
      </c>
      <c r="C511" t="s">
        <v>11704</v>
      </c>
      <c r="D511" t="s">
        <v>3686</v>
      </c>
      <c r="E511" s="1">
        <v>46151.711238425924</v>
      </c>
      <c r="F511">
        <v>1547</v>
      </c>
      <c r="G511" t="s">
        <v>11705</v>
      </c>
      <c r="H511" t="s">
        <v>15</v>
      </c>
      <c r="I511" t="s">
        <v>3688</v>
      </c>
      <c r="J511" t="str">
        <f>RIGHT(D511,4)</f>
        <v>8182</v>
      </c>
      <c r="K511" t="str">
        <f>IFERROR(VLOOKUP(VALUE(J511),'Site Info'!$A:$G,3,FALSE),"")</f>
        <v>13455 MANCHESTER RD</v>
      </c>
      <c r="L511" t="str">
        <f>IFERROR(VLOOKUP(VALUE(J511),'Site Info'!$A:$G,4,FALSE),"")</f>
        <v>SAINT LOUIS</v>
      </c>
      <c r="M511" t="str">
        <f>IFERROR(VLOOKUP(VALUE(J511),'Site Info'!$A:$G,5,FALSE),"")</f>
        <v>MO</v>
      </c>
      <c r="N511" t="str">
        <f>IFERROR(VLOOKUP(VALUE(J511),'Site Info'!$A:$G,6,FALSE),"")</f>
        <v>63131-1711</v>
      </c>
      <c r="O511">
        <f>IFERROR(VLOOKUP(VALUE(J511),'Site Info'!$A:$G,7,FALSE),"")</f>
        <v>3148227200</v>
      </c>
    </row>
    <row r="512" spans="1:15" x14ac:dyDescent="0.45">
      <c r="A512" t="s">
        <v>11610</v>
      </c>
      <c r="B512" t="s">
        <v>11611</v>
      </c>
      <c r="C512" t="s">
        <v>11612</v>
      </c>
      <c r="D512" t="s">
        <v>3686</v>
      </c>
      <c r="E512" s="1">
        <v>46153.324421296296</v>
      </c>
      <c r="F512">
        <v>1547</v>
      </c>
      <c r="G512" t="s">
        <v>11613</v>
      </c>
      <c r="H512" t="s">
        <v>15</v>
      </c>
      <c r="I512" t="s">
        <v>3688</v>
      </c>
      <c r="J512" t="str">
        <f>RIGHT(D512,4)</f>
        <v>8182</v>
      </c>
      <c r="K512" t="str">
        <f>IFERROR(VLOOKUP(VALUE(J512),'Site Info'!$A:$G,3,FALSE),"")</f>
        <v>13455 MANCHESTER RD</v>
      </c>
      <c r="L512" t="str">
        <f>IFERROR(VLOOKUP(VALUE(J512),'Site Info'!$A:$G,4,FALSE),"")</f>
        <v>SAINT LOUIS</v>
      </c>
      <c r="M512" t="str">
        <f>IFERROR(VLOOKUP(VALUE(J512),'Site Info'!$A:$G,5,FALSE),"")</f>
        <v>MO</v>
      </c>
      <c r="N512" t="str">
        <f>IFERROR(VLOOKUP(VALUE(J512),'Site Info'!$A:$G,6,FALSE),"")</f>
        <v>63131-1711</v>
      </c>
      <c r="O512">
        <f>IFERROR(VLOOKUP(VALUE(J512),'Site Info'!$A:$G,7,FALSE),"")</f>
        <v>3148227200</v>
      </c>
    </row>
    <row r="513" spans="1:15" x14ac:dyDescent="0.45">
      <c r="A513" t="s">
        <v>3683</v>
      </c>
      <c r="B513" t="s">
        <v>3684</v>
      </c>
      <c r="C513" t="s">
        <v>3685</v>
      </c>
      <c r="D513" t="s">
        <v>3686</v>
      </c>
      <c r="E513" s="1">
        <v>46148.878368055557</v>
      </c>
      <c r="F513">
        <v>1481</v>
      </c>
      <c r="G513" t="s">
        <v>3687</v>
      </c>
      <c r="H513" t="s">
        <v>15</v>
      </c>
      <c r="I513" t="s">
        <v>3688</v>
      </c>
      <c r="J513" t="str">
        <f>RIGHT(D513,4)</f>
        <v>8182</v>
      </c>
      <c r="K513" t="str">
        <f>IFERROR(VLOOKUP(VALUE(J513),'Site Info'!$A:$G,3,FALSE),"")</f>
        <v>13455 MANCHESTER RD</v>
      </c>
      <c r="L513" t="str">
        <f>IFERROR(VLOOKUP(VALUE(J513),'Site Info'!$A:$G,4,FALSE),"")</f>
        <v>SAINT LOUIS</v>
      </c>
      <c r="M513" t="str">
        <f>IFERROR(VLOOKUP(VALUE(J513),'Site Info'!$A:$G,5,FALSE),"")</f>
        <v>MO</v>
      </c>
      <c r="N513" t="str">
        <f>IFERROR(VLOOKUP(VALUE(J513),'Site Info'!$A:$G,6,FALSE),"")</f>
        <v>63131-1711</v>
      </c>
      <c r="O513">
        <f>IFERROR(VLOOKUP(VALUE(J513),'Site Info'!$A:$G,7,FALSE),"")</f>
        <v>3148227200</v>
      </c>
    </row>
    <row r="514" spans="1:15" x14ac:dyDescent="0.45">
      <c r="A514" t="s">
        <v>12850</v>
      </c>
      <c r="B514" t="s">
        <v>12851</v>
      </c>
      <c r="C514" t="s">
        <v>12852</v>
      </c>
      <c r="D514" t="s">
        <v>12719</v>
      </c>
      <c r="E514" s="1">
        <v>46153.201863425929</v>
      </c>
      <c r="F514">
        <v>1547</v>
      </c>
      <c r="G514" t="s">
        <v>12853</v>
      </c>
      <c r="H514" t="s">
        <v>15</v>
      </c>
      <c r="I514" t="s">
        <v>12721</v>
      </c>
      <c r="J514" t="str">
        <f>RIGHT(D514,4)</f>
        <v>4958</v>
      </c>
      <c r="K514" t="str">
        <f>IFERROR(VLOOKUP(VALUE(J514),'Site Info'!$A:$G,3,FALSE),"")</f>
        <v>1350 LEAH AVE</v>
      </c>
      <c r="L514" t="str">
        <f>IFERROR(VLOOKUP(VALUE(J514),'Site Info'!$A:$G,4,FALSE),"")</f>
        <v>SAN MARCOS</v>
      </c>
      <c r="M514" t="str">
        <f>IFERROR(VLOOKUP(VALUE(J514),'Site Info'!$A:$G,5,FALSE),"")</f>
        <v>TX</v>
      </c>
      <c r="N514" t="str">
        <f>IFERROR(VLOOKUP(VALUE(J514),'Site Info'!$A:$G,6,FALSE),"")</f>
        <v>78666-7691</v>
      </c>
      <c r="O514">
        <f>IFERROR(VLOOKUP(VALUE(J514),'Site Info'!$A:$G,7,FALSE),"")</f>
        <v>5123921963</v>
      </c>
    </row>
    <row r="515" spans="1:15" x14ac:dyDescent="0.45">
      <c r="A515" t="s">
        <v>12774</v>
      </c>
      <c r="B515" t="s">
        <v>12775</v>
      </c>
      <c r="C515" t="s">
        <v>12776</v>
      </c>
      <c r="D515" t="s">
        <v>12719</v>
      </c>
      <c r="E515" s="1">
        <v>46153.360844907409</v>
      </c>
      <c r="F515">
        <v>1547</v>
      </c>
      <c r="G515" t="s">
        <v>12777</v>
      </c>
      <c r="H515" t="s">
        <v>15</v>
      </c>
      <c r="I515" t="s">
        <v>12721</v>
      </c>
      <c r="J515" t="str">
        <f>RIGHT(D515,4)</f>
        <v>4958</v>
      </c>
      <c r="K515" t="str">
        <f>IFERROR(VLOOKUP(VALUE(J515),'Site Info'!$A:$G,3,FALSE),"")</f>
        <v>1350 LEAH AVE</v>
      </c>
      <c r="L515" t="str">
        <f>IFERROR(VLOOKUP(VALUE(J515),'Site Info'!$A:$G,4,FALSE),"")</f>
        <v>SAN MARCOS</v>
      </c>
      <c r="M515" t="str">
        <f>IFERROR(VLOOKUP(VALUE(J515),'Site Info'!$A:$G,5,FALSE),"")</f>
        <v>TX</v>
      </c>
      <c r="N515" t="str">
        <f>IFERROR(VLOOKUP(VALUE(J515),'Site Info'!$A:$G,6,FALSE),"")</f>
        <v>78666-7691</v>
      </c>
      <c r="O515">
        <f>IFERROR(VLOOKUP(VALUE(J515),'Site Info'!$A:$G,7,FALSE),"")</f>
        <v>5123921963</v>
      </c>
    </row>
    <row r="516" spans="1:15" x14ac:dyDescent="0.45">
      <c r="A516" t="s">
        <v>14435</v>
      </c>
      <c r="B516" t="s">
        <v>14436</v>
      </c>
      <c r="C516" t="s">
        <v>14437</v>
      </c>
      <c r="D516" t="s">
        <v>12719</v>
      </c>
      <c r="E516" s="1">
        <v>46153.365555555552</v>
      </c>
      <c r="F516">
        <v>1547</v>
      </c>
      <c r="G516" t="s">
        <v>14438</v>
      </c>
      <c r="H516" t="s">
        <v>15</v>
      </c>
      <c r="I516" t="s">
        <v>12721</v>
      </c>
      <c r="J516" t="str">
        <f>RIGHT(D516,4)</f>
        <v>4958</v>
      </c>
      <c r="K516" t="str">
        <f>IFERROR(VLOOKUP(VALUE(J516),'Site Info'!$A:$G,3,FALSE),"")</f>
        <v>1350 LEAH AVE</v>
      </c>
      <c r="L516" t="str">
        <f>IFERROR(VLOOKUP(VALUE(J516),'Site Info'!$A:$G,4,FALSE),"")</f>
        <v>SAN MARCOS</v>
      </c>
      <c r="M516" t="str">
        <f>IFERROR(VLOOKUP(VALUE(J516),'Site Info'!$A:$G,5,FALSE),"")</f>
        <v>TX</v>
      </c>
      <c r="N516" t="str">
        <f>IFERROR(VLOOKUP(VALUE(J516),'Site Info'!$A:$G,6,FALSE),"")</f>
        <v>78666-7691</v>
      </c>
      <c r="O516">
        <f>IFERROR(VLOOKUP(VALUE(J516),'Site Info'!$A:$G,7,FALSE),"")</f>
        <v>5123921963</v>
      </c>
    </row>
    <row r="517" spans="1:15" x14ac:dyDescent="0.45">
      <c r="A517" t="s">
        <v>12716</v>
      </c>
      <c r="B517" t="s">
        <v>12717</v>
      </c>
      <c r="C517" t="s">
        <v>12718</v>
      </c>
      <c r="D517" t="s">
        <v>12719</v>
      </c>
      <c r="E517" s="1">
        <v>46153.368321759262</v>
      </c>
      <c r="F517">
        <v>1547</v>
      </c>
      <c r="G517" t="s">
        <v>12720</v>
      </c>
      <c r="H517" t="s">
        <v>15</v>
      </c>
      <c r="I517" t="s">
        <v>12721</v>
      </c>
      <c r="J517" t="str">
        <f>RIGHT(D517,4)</f>
        <v>4958</v>
      </c>
      <c r="K517" t="str">
        <f>IFERROR(VLOOKUP(VALUE(J517),'Site Info'!$A:$G,3,FALSE),"")</f>
        <v>1350 LEAH AVE</v>
      </c>
      <c r="L517" t="str">
        <f>IFERROR(VLOOKUP(VALUE(J517),'Site Info'!$A:$G,4,FALSE),"")</f>
        <v>SAN MARCOS</v>
      </c>
      <c r="M517" t="str">
        <f>IFERROR(VLOOKUP(VALUE(J517),'Site Info'!$A:$G,5,FALSE),"")</f>
        <v>TX</v>
      </c>
      <c r="N517" t="str">
        <f>IFERROR(VLOOKUP(VALUE(J517),'Site Info'!$A:$G,6,FALSE),"")</f>
        <v>78666-7691</v>
      </c>
      <c r="O517">
        <f>IFERROR(VLOOKUP(VALUE(J517),'Site Info'!$A:$G,7,FALSE),"")</f>
        <v>5123921963</v>
      </c>
    </row>
    <row r="518" spans="1:15" x14ac:dyDescent="0.45">
      <c r="A518" t="s">
        <v>12790</v>
      </c>
      <c r="B518" t="s">
        <v>12791</v>
      </c>
      <c r="C518" t="s">
        <v>12792</v>
      </c>
      <c r="D518" t="s">
        <v>12719</v>
      </c>
      <c r="E518" s="1">
        <v>46153.374016203707</v>
      </c>
      <c r="F518">
        <v>1547</v>
      </c>
      <c r="G518" t="s">
        <v>12793</v>
      </c>
      <c r="H518" t="s">
        <v>15</v>
      </c>
      <c r="I518" t="s">
        <v>12721</v>
      </c>
      <c r="J518" t="str">
        <f>RIGHT(D518,4)</f>
        <v>4958</v>
      </c>
      <c r="K518" t="str">
        <f>IFERROR(VLOOKUP(VALUE(J518),'Site Info'!$A:$G,3,FALSE),"")</f>
        <v>1350 LEAH AVE</v>
      </c>
      <c r="L518" t="str">
        <f>IFERROR(VLOOKUP(VALUE(J518),'Site Info'!$A:$G,4,FALSE),"")</f>
        <v>SAN MARCOS</v>
      </c>
      <c r="M518" t="str">
        <f>IFERROR(VLOOKUP(VALUE(J518),'Site Info'!$A:$G,5,FALSE),"")</f>
        <v>TX</v>
      </c>
      <c r="N518" t="str">
        <f>IFERROR(VLOOKUP(VALUE(J518),'Site Info'!$A:$G,6,FALSE),"")</f>
        <v>78666-7691</v>
      </c>
      <c r="O518">
        <f>IFERROR(VLOOKUP(VALUE(J518),'Site Info'!$A:$G,7,FALSE),"")</f>
        <v>5123921963</v>
      </c>
    </row>
    <row r="519" spans="1:15" x14ac:dyDescent="0.45">
      <c r="A519" t="s">
        <v>11718</v>
      </c>
      <c r="B519" t="s">
        <v>11719</v>
      </c>
      <c r="C519" t="s">
        <v>11720</v>
      </c>
      <c r="D519" t="s">
        <v>10099</v>
      </c>
      <c r="E519" s="1">
        <v>46153.192847222221</v>
      </c>
      <c r="F519">
        <v>1547</v>
      </c>
      <c r="G519" t="s">
        <v>11721</v>
      </c>
      <c r="H519" t="s">
        <v>15</v>
      </c>
      <c r="I519" t="s">
        <v>10101</v>
      </c>
      <c r="J519" t="str">
        <f>RIGHT(D519,4)</f>
        <v>8285</v>
      </c>
      <c r="K519" t="str">
        <f>IFERROR(VLOOKUP(VALUE(J519),'Site Info'!$A:$G,3,FALSE),"")</f>
        <v>1350 W US HIGHWAY 50</v>
      </c>
      <c r="L519" t="str">
        <f>IFERROR(VLOOKUP(VALUE(J519),'Site Info'!$A:$G,4,FALSE),"")</f>
        <v>O FALLON</v>
      </c>
      <c r="M519" t="str">
        <f>IFERROR(VLOOKUP(VALUE(J519),'Site Info'!$A:$G,5,FALSE),"")</f>
        <v>IL</v>
      </c>
      <c r="N519" t="str">
        <f>IFERROR(VLOOKUP(VALUE(J519),'Site Info'!$A:$G,6,FALSE),"")</f>
        <v>62269-1615</v>
      </c>
      <c r="O519">
        <f>IFERROR(VLOOKUP(VALUE(J519),'Site Info'!$A:$G,7,FALSE),"")</f>
        <v>6186327878</v>
      </c>
    </row>
    <row r="520" spans="1:15" x14ac:dyDescent="0.45">
      <c r="A520" t="s">
        <v>10096</v>
      </c>
      <c r="B520" t="s">
        <v>10097</v>
      </c>
      <c r="C520" t="s">
        <v>10098</v>
      </c>
      <c r="D520" t="s">
        <v>10099</v>
      </c>
      <c r="E520" s="1">
        <v>46153.373726851853</v>
      </c>
      <c r="F520">
        <v>1547</v>
      </c>
      <c r="G520" t="s">
        <v>10100</v>
      </c>
      <c r="H520" t="s">
        <v>15</v>
      </c>
      <c r="I520" t="s">
        <v>10101</v>
      </c>
      <c r="J520" t="str">
        <f>RIGHT(D520,4)</f>
        <v>8285</v>
      </c>
      <c r="K520" t="str">
        <f>IFERROR(VLOOKUP(VALUE(J520),'Site Info'!$A:$G,3,FALSE),"")</f>
        <v>1350 W US HIGHWAY 50</v>
      </c>
      <c r="L520" t="str">
        <f>IFERROR(VLOOKUP(VALUE(J520),'Site Info'!$A:$G,4,FALSE),"")</f>
        <v>O FALLON</v>
      </c>
      <c r="M520" t="str">
        <f>IFERROR(VLOOKUP(VALUE(J520),'Site Info'!$A:$G,5,FALSE),"")</f>
        <v>IL</v>
      </c>
      <c r="N520" t="str">
        <f>IFERROR(VLOOKUP(VALUE(J520),'Site Info'!$A:$G,6,FALSE),"")</f>
        <v>62269-1615</v>
      </c>
      <c r="O520">
        <f>IFERROR(VLOOKUP(VALUE(J520),'Site Info'!$A:$G,7,FALSE),"")</f>
        <v>6186327878</v>
      </c>
    </row>
    <row r="521" spans="1:15" x14ac:dyDescent="0.45">
      <c r="A521" t="s">
        <v>14632</v>
      </c>
      <c r="B521" t="s">
        <v>17304</v>
      </c>
      <c r="C521" t="s">
        <v>17305</v>
      </c>
      <c r="D521" t="s">
        <v>10099</v>
      </c>
      <c r="E521" s="1">
        <v>46153.213321759256</v>
      </c>
      <c r="F521">
        <v>1628</v>
      </c>
      <c r="G521" t="s">
        <v>17306</v>
      </c>
      <c r="H521" t="s">
        <v>13988</v>
      </c>
      <c r="I521" t="s">
        <v>10101</v>
      </c>
      <c r="J521" t="str">
        <f>RIGHT(D521,4)</f>
        <v>8285</v>
      </c>
      <c r="K521" t="str">
        <f>IFERROR(VLOOKUP(VALUE(J521),'Site Info'!$A:$G,3,FALSE),"")</f>
        <v>1350 W US HIGHWAY 50</v>
      </c>
      <c r="L521" t="str">
        <f>IFERROR(VLOOKUP(VALUE(J521),'Site Info'!$A:$G,4,FALSE),"")</f>
        <v>O FALLON</v>
      </c>
      <c r="M521" t="str">
        <f>IFERROR(VLOOKUP(VALUE(J521),'Site Info'!$A:$G,5,FALSE),"")</f>
        <v>IL</v>
      </c>
      <c r="N521" t="str">
        <f>IFERROR(VLOOKUP(VALUE(J521),'Site Info'!$A:$G,6,FALSE),"")</f>
        <v>62269-1615</v>
      </c>
      <c r="O521">
        <f>IFERROR(VLOOKUP(VALUE(J521),'Site Info'!$A:$G,7,FALSE),"")</f>
        <v>6186327878</v>
      </c>
    </row>
    <row r="522" spans="1:15" x14ac:dyDescent="0.45">
      <c r="A522" t="s">
        <v>16489</v>
      </c>
      <c r="B522" t="s">
        <v>17307</v>
      </c>
      <c r="C522" t="s">
        <v>17308</v>
      </c>
      <c r="D522" t="s">
        <v>10099</v>
      </c>
      <c r="E522" s="1">
        <v>46151.699340277781</v>
      </c>
      <c r="F522">
        <v>1481</v>
      </c>
      <c r="G522" t="s">
        <v>17309</v>
      </c>
      <c r="H522" t="s">
        <v>15</v>
      </c>
      <c r="I522" t="s">
        <v>10101</v>
      </c>
      <c r="J522" t="str">
        <f>RIGHT(D522,4)</f>
        <v>8285</v>
      </c>
      <c r="K522" t="str">
        <f>IFERROR(VLOOKUP(VALUE(J522),'Site Info'!$A:$G,3,FALSE),"")</f>
        <v>1350 W US HIGHWAY 50</v>
      </c>
      <c r="L522" t="str">
        <f>IFERROR(VLOOKUP(VALUE(J522),'Site Info'!$A:$G,4,FALSE),"")</f>
        <v>O FALLON</v>
      </c>
      <c r="M522" t="str">
        <f>IFERROR(VLOOKUP(VALUE(J522),'Site Info'!$A:$G,5,FALSE),"")</f>
        <v>IL</v>
      </c>
      <c r="N522" t="str">
        <f>IFERROR(VLOOKUP(VALUE(J522),'Site Info'!$A:$G,6,FALSE),"")</f>
        <v>62269-1615</v>
      </c>
      <c r="O522">
        <f>IFERROR(VLOOKUP(VALUE(J522),'Site Info'!$A:$G,7,FALSE),"")</f>
        <v>6186327878</v>
      </c>
    </row>
    <row r="523" spans="1:15" x14ac:dyDescent="0.45">
      <c r="A523" t="s">
        <v>6164</v>
      </c>
      <c r="B523" t="s">
        <v>6165</v>
      </c>
      <c r="C523" t="s">
        <v>6166</v>
      </c>
      <c r="D523" t="s">
        <v>1149</v>
      </c>
      <c r="E523" s="1">
        <v>46151.709479166668</v>
      </c>
      <c r="F523">
        <v>1547</v>
      </c>
      <c r="G523" t="s">
        <v>6167</v>
      </c>
      <c r="H523" t="s">
        <v>15</v>
      </c>
      <c r="I523" t="s">
        <v>1151</v>
      </c>
      <c r="J523" t="str">
        <f>RIGHT(D523,4)</f>
        <v>6341</v>
      </c>
      <c r="K523" t="str">
        <f>IFERROR(VLOOKUP(VALUE(J523),'Site Info'!$A:$G,3,FALSE),"")</f>
        <v>13550 W SUNRISE BLVD</v>
      </c>
      <c r="L523" t="str">
        <f>IFERROR(VLOOKUP(VALUE(J523),'Site Info'!$A:$G,4,FALSE),"")</f>
        <v>SUNRISE</v>
      </c>
      <c r="M523" t="str">
        <f>IFERROR(VLOOKUP(VALUE(J523),'Site Info'!$A:$G,5,FALSE),"")</f>
        <v>FL</v>
      </c>
      <c r="N523" t="str">
        <f>IFERROR(VLOOKUP(VALUE(J523),'Site Info'!$A:$G,6,FALSE),"")</f>
        <v>33323-3902</v>
      </c>
      <c r="O523">
        <f>IFERROR(VLOOKUP(VALUE(J523),'Site Info'!$A:$G,7,FALSE),"")</f>
        <v>9548467001</v>
      </c>
    </row>
    <row r="524" spans="1:15" x14ac:dyDescent="0.45">
      <c r="A524" t="s">
        <v>5580</v>
      </c>
      <c r="B524" t="s">
        <v>5581</v>
      </c>
      <c r="C524" t="s">
        <v>5582</v>
      </c>
      <c r="D524" t="s">
        <v>1149</v>
      </c>
      <c r="E524" s="1">
        <v>46153.169224537036</v>
      </c>
      <c r="F524">
        <v>1547</v>
      </c>
      <c r="G524" t="s">
        <v>5583</v>
      </c>
      <c r="H524" t="s">
        <v>15</v>
      </c>
      <c r="I524" t="s">
        <v>1151</v>
      </c>
      <c r="J524" t="str">
        <f>RIGHT(D524,4)</f>
        <v>6341</v>
      </c>
      <c r="K524" t="str">
        <f>IFERROR(VLOOKUP(VALUE(J524),'Site Info'!$A:$G,3,FALSE),"")</f>
        <v>13550 W SUNRISE BLVD</v>
      </c>
      <c r="L524" t="str">
        <f>IFERROR(VLOOKUP(VALUE(J524),'Site Info'!$A:$G,4,FALSE),"")</f>
        <v>SUNRISE</v>
      </c>
      <c r="M524" t="str">
        <f>IFERROR(VLOOKUP(VALUE(J524),'Site Info'!$A:$G,5,FALSE),"")</f>
        <v>FL</v>
      </c>
      <c r="N524" t="str">
        <f>IFERROR(VLOOKUP(VALUE(J524),'Site Info'!$A:$G,6,FALSE),"")</f>
        <v>33323-3902</v>
      </c>
      <c r="O524">
        <f>IFERROR(VLOOKUP(VALUE(J524),'Site Info'!$A:$G,7,FALSE),"")</f>
        <v>9548467001</v>
      </c>
    </row>
    <row r="525" spans="1:15" x14ac:dyDescent="0.45">
      <c r="A525" t="s">
        <v>5572</v>
      </c>
      <c r="B525" t="s">
        <v>5573</v>
      </c>
      <c r="C525" t="s">
        <v>5574</v>
      </c>
      <c r="D525" t="s">
        <v>1149</v>
      </c>
      <c r="E525" s="1">
        <v>46153.190833333334</v>
      </c>
      <c r="F525">
        <v>1547</v>
      </c>
      <c r="G525" t="s">
        <v>5575</v>
      </c>
      <c r="H525" t="s">
        <v>15</v>
      </c>
      <c r="I525" t="s">
        <v>1151</v>
      </c>
      <c r="J525" t="str">
        <f>RIGHT(D525,4)</f>
        <v>6341</v>
      </c>
      <c r="K525" t="str">
        <f>IFERROR(VLOOKUP(VALUE(J525),'Site Info'!$A:$G,3,FALSE),"")</f>
        <v>13550 W SUNRISE BLVD</v>
      </c>
      <c r="L525" t="str">
        <f>IFERROR(VLOOKUP(VALUE(J525),'Site Info'!$A:$G,4,FALSE),"")</f>
        <v>SUNRISE</v>
      </c>
      <c r="M525" t="str">
        <f>IFERROR(VLOOKUP(VALUE(J525),'Site Info'!$A:$G,5,FALSE),"")</f>
        <v>FL</v>
      </c>
      <c r="N525" t="str">
        <f>IFERROR(VLOOKUP(VALUE(J525),'Site Info'!$A:$G,6,FALSE),"")</f>
        <v>33323-3902</v>
      </c>
      <c r="O525">
        <f>IFERROR(VLOOKUP(VALUE(J525),'Site Info'!$A:$G,7,FALSE),"")</f>
        <v>9548467001</v>
      </c>
    </row>
    <row r="526" spans="1:15" x14ac:dyDescent="0.45">
      <c r="A526" t="s">
        <v>5536</v>
      </c>
      <c r="B526" t="s">
        <v>5537</v>
      </c>
      <c r="C526" t="s">
        <v>5538</v>
      </c>
      <c r="D526" t="s">
        <v>1149</v>
      </c>
      <c r="E526" s="1">
        <v>46153.221342592595</v>
      </c>
      <c r="F526">
        <v>1547</v>
      </c>
      <c r="G526" t="s">
        <v>5539</v>
      </c>
      <c r="H526" t="s">
        <v>15</v>
      </c>
      <c r="I526" t="s">
        <v>1151</v>
      </c>
      <c r="J526" t="str">
        <f>RIGHT(D526,4)</f>
        <v>6341</v>
      </c>
      <c r="K526" t="str">
        <f>IFERROR(VLOOKUP(VALUE(J526),'Site Info'!$A:$G,3,FALSE),"")</f>
        <v>13550 W SUNRISE BLVD</v>
      </c>
      <c r="L526" t="str">
        <f>IFERROR(VLOOKUP(VALUE(J526),'Site Info'!$A:$G,4,FALSE),"")</f>
        <v>SUNRISE</v>
      </c>
      <c r="M526" t="str">
        <f>IFERROR(VLOOKUP(VALUE(J526),'Site Info'!$A:$G,5,FALSE),"")</f>
        <v>FL</v>
      </c>
      <c r="N526" t="str">
        <f>IFERROR(VLOOKUP(VALUE(J526),'Site Info'!$A:$G,6,FALSE),"")</f>
        <v>33323-3902</v>
      </c>
      <c r="O526">
        <f>IFERROR(VLOOKUP(VALUE(J526),'Site Info'!$A:$G,7,FALSE),"")</f>
        <v>9548467001</v>
      </c>
    </row>
    <row r="527" spans="1:15" x14ac:dyDescent="0.45">
      <c r="A527" t="s">
        <v>5982</v>
      </c>
      <c r="B527" t="s">
        <v>5983</v>
      </c>
      <c r="C527" t="s">
        <v>5984</v>
      </c>
      <c r="D527" t="s">
        <v>1149</v>
      </c>
      <c r="E527" s="1">
        <v>46153.374039351853</v>
      </c>
      <c r="F527">
        <v>1547</v>
      </c>
      <c r="G527" t="s">
        <v>5985</v>
      </c>
      <c r="H527" t="s">
        <v>15</v>
      </c>
      <c r="I527" t="s">
        <v>1151</v>
      </c>
      <c r="J527" t="str">
        <f>RIGHT(D527,4)</f>
        <v>6341</v>
      </c>
      <c r="K527" t="str">
        <f>IFERROR(VLOOKUP(VALUE(J527),'Site Info'!$A:$G,3,FALSE),"")</f>
        <v>13550 W SUNRISE BLVD</v>
      </c>
      <c r="L527" t="str">
        <f>IFERROR(VLOOKUP(VALUE(J527),'Site Info'!$A:$G,4,FALSE),"")</f>
        <v>SUNRISE</v>
      </c>
      <c r="M527" t="str">
        <f>IFERROR(VLOOKUP(VALUE(J527),'Site Info'!$A:$G,5,FALSE),"")</f>
        <v>FL</v>
      </c>
      <c r="N527" t="str">
        <f>IFERROR(VLOOKUP(VALUE(J527),'Site Info'!$A:$G,6,FALSE),"")</f>
        <v>33323-3902</v>
      </c>
      <c r="O527">
        <f>IFERROR(VLOOKUP(VALUE(J527),'Site Info'!$A:$G,7,FALSE),"")</f>
        <v>9548467001</v>
      </c>
    </row>
    <row r="528" spans="1:15" x14ac:dyDescent="0.45">
      <c r="A528" t="s">
        <v>2649</v>
      </c>
      <c r="B528" t="s">
        <v>2650</v>
      </c>
      <c r="C528" t="s">
        <v>2651</v>
      </c>
      <c r="D528" t="s">
        <v>1149</v>
      </c>
      <c r="E528" s="1">
        <v>46149.966886574075</v>
      </c>
      <c r="F528">
        <v>1481</v>
      </c>
      <c r="G528" t="s">
        <v>2652</v>
      </c>
      <c r="H528" t="s">
        <v>15</v>
      </c>
      <c r="I528" t="s">
        <v>1151</v>
      </c>
      <c r="J528" t="str">
        <f>RIGHT(D528,4)</f>
        <v>6341</v>
      </c>
      <c r="K528" t="str">
        <f>IFERROR(VLOOKUP(VALUE(J528),'Site Info'!$A:$G,3,FALSE),"")</f>
        <v>13550 W SUNRISE BLVD</v>
      </c>
      <c r="L528" t="str">
        <f>IFERROR(VLOOKUP(VALUE(J528),'Site Info'!$A:$G,4,FALSE),"")</f>
        <v>SUNRISE</v>
      </c>
      <c r="M528" t="str">
        <f>IFERROR(VLOOKUP(VALUE(J528),'Site Info'!$A:$G,5,FALSE),"")</f>
        <v>FL</v>
      </c>
      <c r="N528" t="str">
        <f>IFERROR(VLOOKUP(VALUE(J528),'Site Info'!$A:$G,6,FALSE),"")</f>
        <v>33323-3902</v>
      </c>
      <c r="O528">
        <f>IFERROR(VLOOKUP(VALUE(J528),'Site Info'!$A:$G,7,FALSE),"")</f>
        <v>9548467001</v>
      </c>
    </row>
    <row r="529" spans="1:15" x14ac:dyDescent="0.45">
      <c r="A529" t="s">
        <v>2773</v>
      </c>
      <c r="B529" t="s">
        <v>2774</v>
      </c>
      <c r="C529" t="s">
        <v>2775</v>
      </c>
      <c r="D529" t="s">
        <v>1149</v>
      </c>
      <c r="E529" s="1">
        <v>46153.297037037039</v>
      </c>
      <c r="F529">
        <v>1481</v>
      </c>
      <c r="G529" t="s">
        <v>2776</v>
      </c>
      <c r="H529" t="s">
        <v>15</v>
      </c>
      <c r="I529" t="s">
        <v>1151</v>
      </c>
      <c r="J529" t="str">
        <f>RIGHT(D529,4)</f>
        <v>6341</v>
      </c>
      <c r="K529" t="str">
        <f>IFERROR(VLOOKUP(VALUE(J529),'Site Info'!$A:$G,3,FALSE),"")</f>
        <v>13550 W SUNRISE BLVD</v>
      </c>
      <c r="L529" t="str">
        <f>IFERROR(VLOOKUP(VALUE(J529),'Site Info'!$A:$G,4,FALSE),"")</f>
        <v>SUNRISE</v>
      </c>
      <c r="M529" t="str">
        <f>IFERROR(VLOOKUP(VALUE(J529),'Site Info'!$A:$G,5,FALSE),"")</f>
        <v>FL</v>
      </c>
      <c r="N529" t="str">
        <f>IFERROR(VLOOKUP(VALUE(J529),'Site Info'!$A:$G,6,FALSE),"")</f>
        <v>33323-3902</v>
      </c>
      <c r="O529">
        <f>IFERROR(VLOOKUP(VALUE(J529),'Site Info'!$A:$G,7,FALSE),"")</f>
        <v>9548467001</v>
      </c>
    </row>
    <row r="530" spans="1:15" x14ac:dyDescent="0.45">
      <c r="A530" t="s">
        <v>1146</v>
      </c>
      <c r="B530" t="s">
        <v>1147</v>
      </c>
      <c r="C530" t="s">
        <v>1148</v>
      </c>
      <c r="D530" t="s">
        <v>1149</v>
      </c>
      <c r="E530" s="1">
        <v>46153.315532407411</v>
      </c>
      <c r="F530">
        <v>1481</v>
      </c>
      <c r="G530" t="s">
        <v>1150</v>
      </c>
      <c r="H530" t="s">
        <v>15</v>
      </c>
      <c r="I530" t="s">
        <v>1151</v>
      </c>
      <c r="J530" t="str">
        <f>RIGHT(D530,4)</f>
        <v>6341</v>
      </c>
      <c r="K530" t="str">
        <f>IFERROR(VLOOKUP(VALUE(J530),'Site Info'!$A:$G,3,FALSE),"")</f>
        <v>13550 W SUNRISE BLVD</v>
      </c>
      <c r="L530" t="str">
        <f>IFERROR(VLOOKUP(VALUE(J530),'Site Info'!$A:$G,4,FALSE),"")</f>
        <v>SUNRISE</v>
      </c>
      <c r="M530" t="str">
        <f>IFERROR(VLOOKUP(VALUE(J530),'Site Info'!$A:$G,5,FALSE),"")</f>
        <v>FL</v>
      </c>
      <c r="N530" t="str">
        <f>IFERROR(VLOOKUP(VALUE(J530),'Site Info'!$A:$G,6,FALSE),"")</f>
        <v>33323-3902</v>
      </c>
      <c r="O530">
        <f>IFERROR(VLOOKUP(VALUE(J530),'Site Info'!$A:$G,7,FALSE),"")</f>
        <v>9548467001</v>
      </c>
    </row>
    <row r="531" spans="1:15" x14ac:dyDescent="0.45">
      <c r="A531" t="s">
        <v>16739</v>
      </c>
      <c r="B531" t="s">
        <v>16740</v>
      </c>
      <c r="C531" t="s">
        <v>16741</v>
      </c>
      <c r="D531" t="s">
        <v>1149</v>
      </c>
      <c r="E531" s="1">
        <v>46152.644699074073</v>
      </c>
      <c r="F531">
        <v>1628</v>
      </c>
      <c r="G531" t="s">
        <v>16742</v>
      </c>
      <c r="H531" t="s">
        <v>13988</v>
      </c>
      <c r="I531" t="s">
        <v>1151</v>
      </c>
      <c r="J531" t="str">
        <f>RIGHT(D531,4)</f>
        <v>6341</v>
      </c>
      <c r="K531" t="str">
        <f>IFERROR(VLOOKUP(VALUE(J531),'Site Info'!$A:$G,3,FALSE),"")</f>
        <v>13550 W SUNRISE BLVD</v>
      </c>
      <c r="L531" t="str">
        <f>IFERROR(VLOOKUP(VALUE(J531),'Site Info'!$A:$G,4,FALSE),"")</f>
        <v>SUNRISE</v>
      </c>
      <c r="M531" t="str">
        <f>IFERROR(VLOOKUP(VALUE(J531),'Site Info'!$A:$G,5,FALSE),"")</f>
        <v>FL</v>
      </c>
      <c r="N531" t="str">
        <f>IFERROR(VLOOKUP(VALUE(J531),'Site Info'!$A:$G,6,FALSE),"")</f>
        <v>33323-3902</v>
      </c>
      <c r="O531">
        <f>IFERROR(VLOOKUP(VALUE(J531),'Site Info'!$A:$G,7,FALSE),"")</f>
        <v>9548467001</v>
      </c>
    </row>
    <row r="532" spans="1:15" x14ac:dyDescent="0.45">
      <c r="A532" t="s">
        <v>16743</v>
      </c>
      <c r="B532" t="s">
        <v>16744</v>
      </c>
      <c r="C532" t="s">
        <v>16745</v>
      </c>
      <c r="D532" t="s">
        <v>1149</v>
      </c>
      <c r="E532" s="1">
        <v>46152.47797453704</v>
      </c>
      <c r="F532">
        <v>1481</v>
      </c>
      <c r="G532" t="s">
        <v>16746</v>
      </c>
      <c r="H532" t="s">
        <v>15</v>
      </c>
      <c r="I532" t="s">
        <v>1151</v>
      </c>
      <c r="J532" t="str">
        <f>RIGHT(D532,4)</f>
        <v>6341</v>
      </c>
      <c r="K532" t="str">
        <f>IFERROR(VLOOKUP(VALUE(J532),'Site Info'!$A:$G,3,FALSE),"")</f>
        <v>13550 W SUNRISE BLVD</v>
      </c>
      <c r="L532" t="str">
        <f>IFERROR(VLOOKUP(VALUE(J532),'Site Info'!$A:$G,4,FALSE),"")</f>
        <v>SUNRISE</v>
      </c>
      <c r="M532" t="str">
        <f>IFERROR(VLOOKUP(VALUE(J532),'Site Info'!$A:$G,5,FALSE),"")</f>
        <v>FL</v>
      </c>
      <c r="N532" t="str">
        <f>IFERROR(VLOOKUP(VALUE(J532),'Site Info'!$A:$G,6,FALSE),"")</f>
        <v>33323-3902</v>
      </c>
      <c r="O532">
        <f>IFERROR(VLOOKUP(VALUE(J532),'Site Info'!$A:$G,7,FALSE),"")</f>
        <v>9548467001</v>
      </c>
    </row>
    <row r="533" spans="1:15" x14ac:dyDescent="0.45">
      <c r="A533" t="s">
        <v>11364</v>
      </c>
      <c r="B533" t="s">
        <v>11365</v>
      </c>
      <c r="C533" t="s">
        <v>11366</v>
      </c>
      <c r="D533" t="s">
        <v>1947</v>
      </c>
      <c r="E533" s="1">
        <v>46088.978703703702</v>
      </c>
      <c r="F533">
        <v>1548</v>
      </c>
      <c r="G533" t="s">
        <v>11367</v>
      </c>
      <c r="H533" t="s">
        <v>15</v>
      </c>
      <c r="I533" t="s">
        <v>1949</v>
      </c>
      <c r="J533" t="str">
        <f>RIGHT(D533,4)</f>
        <v>8281</v>
      </c>
      <c r="K533" t="str">
        <f>IFERROR(VLOOKUP(VALUE(J533),'Site Info'!$A:$G,3,FALSE),"")</f>
        <v>13600 EAST FWY</v>
      </c>
      <c r="L533" t="str">
        <f>IFERROR(VLOOKUP(VALUE(J533),'Site Info'!$A:$G,4,FALSE),"")</f>
        <v>HOUSTON</v>
      </c>
      <c r="M533" t="str">
        <f>IFERROR(VLOOKUP(VALUE(J533),'Site Info'!$A:$G,5,FALSE),"")</f>
        <v>TX</v>
      </c>
      <c r="N533" t="str">
        <f>IFERROR(VLOOKUP(VALUE(J533),'Site Info'!$A:$G,6,FALSE),"")</f>
        <v>77015-5917</v>
      </c>
      <c r="O533">
        <f>IFERROR(VLOOKUP(VALUE(J533),'Site Info'!$A:$G,7,FALSE),"")</f>
        <v>7134502592</v>
      </c>
    </row>
    <row r="534" spans="1:15" x14ac:dyDescent="0.45">
      <c r="A534" t="s">
        <v>6691</v>
      </c>
      <c r="B534" t="s">
        <v>6692</v>
      </c>
      <c r="C534" t="s">
        <v>6693</v>
      </c>
      <c r="D534" t="s">
        <v>1947</v>
      </c>
      <c r="E534" s="1">
        <v>46151.603993055556</v>
      </c>
      <c r="F534">
        <v>1547</v>
      </c>
      <c r="G534" t="s">
        <v>6694</v>
      </c>
      <c r="H534" t="s">
        <v>15</v>
      </c>
      <c r="I534" t="s">
        <v>1949</v>
      </c>
      <c r="J534" t="str">
        <f>RIGHT(D534,4)</f>
        <v>8281</v>
      </c>
      <c r="K534" t="str">
        <f>IFERROR(VLOOKUP(VALUE(J534),'Site Info'!$A:$G,3,FALSE),"")</f>
        <v>13600 EAST FWY</v>
      </c>
      <c r="L534" t="str">
        <f>IFERROR(VLOOKUP(VALUE(J534),'Site Info'!$A:$G,4,FALSE),"")</f>
        <v>HOUSTON</v>
      </c>
      <c r="M534" t="str">
        <f>IFERROR(VLOOKUP(VALUE(J534),'Site Info'!$A:$G,5,FALSE),"")</f>
        <v>TX</v>
      </c>
      <c r="N534" t="str">
        <f>IFERROR(VLOOKUP(VALUE(J534),'Site Info'!$A:$G,6,FALSE),"")</f>
        <v>77015-5917</v>
      </c>
      <c r="O534">
        <f>IFERROR(VLOOKUP(VALUE(J534),'Site Info'!$A:$G,7,FALSE),"")</f>
        <v>7134502592</v>
      </c>
    </row>
    <row r="535" spans="1:15" x14ac:dyDescent="0.45">
      <c r="A535" t="s">
        <v>12934</v>
      </c>
      <c r="B535" t="s">
        <v>12935</v>
      </c>
      <c r="C535" t="s">
        <v>12936</v>
      </c>
      <c r="D535" t="s">
        <v>1947</v>
      </c>
      <c r="E535" s="1">
        <v>46151.797175925924</v>
      </c>
      <c r="F535">
        <v>1547</v>
      </c>
      <c r="G535" t="s">
        <v>12937</v>
      </c>
      <c r="H535" t="s">
        <v>15</v>
      </c>
      <c r="I535" t="s">
        <v>1949</v>
      </c>
      <c r="J535" t="str">
        <f>RIGHT(D535,4)</f>
        <v>8281</v>
      </c>
      <c r="K535" t="str">
        <f>IFERROR(VLOOKUP(VALUE(J535),'Site Info'!$A:$G,3,FALSE),"")</f>
        <v>13600 EAST FWY</v>
      </c>
      <c r="L535" t="str">
        <f>IFERROR(VLOOKUP(VALUE(J535),'Site Info'!$A:$G,4,FALSE),"")</f>
        <v>HOUSTON</v>
      </c>
      <c r="M535" t="str">
        <f>IFERROR(VLOOKUP(VALUE(J535),'Site Info'!$A:$G,5,FALSE),"")</f>
        <v>TX</v>
      </c>
      <c r="N535" t="str">
        <f>IFERROR(VLOOKUP(VALUE(J535),'Site Info'!$A:$G,6,FALSE),"")</f>
        <v>77015-5917</v>
      </c>
      <c r="O535">
        <f>IFERROR(VLOOKUP(VALUE(J535),'Site Info'!$A:$G,7,FALSE),"")</f>
        <v>7134502592</v>
      </c>
    </row>
    <row r="536" spans="1:15" x14ac:dyDescent="0.45">
      <c r="A536" t="s">
        <v>13078</v>
      </c>
      <c r="B536" t="s">
        <v>13079</v>
      </c>
      <c r="C536" t="s">
        <v>13080</v>
      </c>
      <c r="D536" t="s">
        <v>1947</v>
      </c>
      <c r="E536" s="1">
        <v>46152.664351851854</v>
      </c>
      <c r="F536">
        <v>1547</v>
      </c>
      <c r="G536" t="s">
        <v>13081</v>
      </c>
      <c r="H536" t="s">
        <v>15</v>
      </c>
      <c r="I536" t="s">
        <v>1949</v>
      </c>
      <c r="J536" t="str">
        <f>RIGHT(D536,4)</f>
        <v>8281</v>
      </c>
      <c r="K536" t="str">
        <f>IFERROR(VLOOKUP(VALUE(J536),'Site Info'!$A:$G,3,FALSE),"")</f>
        <v>13600 EAST FWY</v>
      </c>
      <c r="L536" t="str">
        <f>IFERROR(VLOOKUP(VALUE(J536),'Site Info'!$A:$G,4,FALSE),"")</f>
        <v>HOUSTON</v>
      </c>
      <c r="M536" t="str">
        <f>IFERROR(VLOOKUP(VALUE(J536),'Site Info'!$A:$G,5,FALSE),"")</f>
        <v>TX</v>
      </c>
      <c r="N536" t="str">
        <f>IFERROR(VLOOKUP(VALUE(J536),'Site Info'!$A:$G,6,FALSE),"")</f>
        <v>77015-5917</v>
      </c>
      <c r="O536">
        <f>IFERROR(VLOOKUP(VALUE(J536),'Site Info'!$A:$G,7,FALSE),"")</f>
        <v>7134502592</v>
      </c>
    </row>
    <row r="537" spans="1:15" x14ac:dyDescent="0.45">
      <c r="A537" t="s">
        <v>10540</v>
      </c>
      <c r="B537" t="s">
        <v>10541</v>
      </c>
      <c r="C537" t="s">
        <v>10542</v>
      </c>
      <c r="D537" t="s">
        <v>1947</v>
      </c>
      <c r="E537" s="1">
        <v>46152.815763888888</v>
      </c>
      <c r="F537">
        <v>1547</v>
      </c>
      <c r="G537" t="s">
        <v>10543</v>
      </c>
      <c r="H537" t="s">
        <v>15</v>
      </c>
      <c r="I537" t="s">
        <v>1949</v>
      </c>
      <c r="J537" t="str">
        <f>RIGHT(D537,4)</f>
        <v>8281</v>
      </c>
      <c r="K537" t="str">
        <f>IFERROR(VLOOKUP(VALUE(J537),'Site Info'!$A:$G,3,FALSE),"")</f>
        <v>13600 EAST FWY</v>
      </c>
      <c r="L537" t="str">
        <f>IFERROR(VLOOKUP(VALUE(J537),'Site Info'!$A:$G,4,FALSE),"")</f>
        <v>HOUSTON</v>
      </c>
      <c r="M537" t="str">
        <f>IFERROR(VLOOKUP(VALUE(J537),'Site Info'!$A:$G,5,FALSE),"")</f>
        <v>TX</v>
      </c>
      <c r="N537" t="str">
        <f>IFERROR(VLOOKUP(VALUE(J537),'Site Info'!$A:$G,6,FALSE),"")</f>
        <v>77015-5917</v>
      </c>
      <c r="O537">
        <f>IFERROR(VLOOKUP(VALUE(J537),'Site Info'!$A:$G,7,FALSE),"")</f>
        <v>7134502592</v>
      </c>
    </row>
    <row r="538" spans="1:15" x14ac:dyDescent="0.45">
      <c r="A538" t="s">
        <v>2821</v>
      </c>
      <c r="B538" t="s">
        <v>2822</v>
      </c>
      <c r="C538" t="s">
        <v>2823</v>
      </c>
      <c r="D538" t="s">
        <v>1947</v>
      </c>
      <c r="E538" s="1">
        <v>46152.179930555554</v>
      </c>
      <c r="F538">
        <v>1481</v>
      </c>
      <c r="G538" t="s">
        <v>2824</v>
      </c>
      <c r="H538" t="s">
        <v>15</v>
      </c>
      <c r="I538" t="s">
        <v>1949</v>
      </c>
      <c r="J538" t="str">
        <f>RIGHT(D538,4)</f>
        <v>8281</v>
      </c>
      <c r="K538" t="str">
        <f>IFERROR(VLOOKUP(VALUE(J538),'Site Info'!$A:$G,3,FALSE),"")</f>
        <v>13600 EAST FWY</v>
      </c>
      <c r="L538" t="str">
        <f>IFERROR(VLOOKUP(VALUE(J538),'Site Info'!$A:$G,4,FALSE),"")</f>
        <v>HOUSTON</v>
      </c>
      <c r="M538" t="str">
        <f>IFERROR(VLOOKUP(VALUE(J538),'Site Info'!$A:$G,5,FALSE),"")</f>
        <v>TX</v>
      </c>
      <c r="N538" t="str">
        <f>IFERROR(VLOOKUP(VALUE(J538),'Site Info'!$A:$G,6,FALSE),"")</f>
        <v>77015-5917</v>
      </c>
      <c r="O538">
        <f>IFERROR(VLOOKUP(VALUE(J538),'Site Info'!$A:$G,7,FALSE),"")</f>
        <v>7134502592</v>
      </c>
    </row>
    <row r="539" spans="1:15" x14ac:dyDescent="0.45">
      <c r="A539" t="s">
        <v>1944</v>
      </c>
      <c r="B539" t="s">
        <v>1945</v>
      </c>
      <c r="C539" t="s">
        <v>1946</v>
      </c>
      <c r="D539" t="s">
        <v>1947</v>
      </c>
      <c r="E539" s="1">
        <v>46153.254733796297</v>
      </c>
      <c r="F539">
        <v>1481</v>
      </c>
      <c r="G539" t="s">
        <v>1948</v>
      </c>
      <c r="H539" t="s">
        <v>15</v>
      </c>
      <c r="I539" t="s">
        <v>1949</v>
      </c>
      <c r="J539" t="str">
        <f>RIGHT(D539,4)</f>
        <v>8281</v>
      </c>
      <c r="K539" t="str">
        <f>IFERROR(VLOOKUP(VALUE(J539),'Site Info'!$A:$G,3,FALSE),"")</f>
        <v>13600 EAST FWY</v>
      </c>
      <c r="L539" t="str">
        <f>IFERROR(VLOOKUP(VALUE(J539),'Site Info'!$A:$G,4,FALSE),"")</f>
        <v>HOUSTON</v>
      </c>
      <c r="M539" t="str">
        <f>IFERROR(VLOOKUP(VALUE(J539),'Site Info'!$A:$G,5,FALSE),"")</f>
        <v>TX</v>
      </c>
      <c r="N539" t="str">
        <f>IFERROR(VLOOKUP(VALUE(J539),'Site Info'!$A:$G,6,FALSE),"")</f>
        <v>77015-5917</v>
      </c>
      <c r="O539">
        <f>IFERROR(VLOOKUP(VALUE(J539),'Site Info'!$A:$G,7,FALSE),"")</f>
        <v>7134502592</v>
      </c>
    </row>
    <row r="540" spans="1:15" x14ac:dyDescent="0.45">
      <c r="A540" t="s">
        <v>2903</v>
      </c>
      <c r="B540" t="s">
        <v>2904</v>
      </c>
      <c r="C540" t="s">
        <v>2905</v>
      </c>
      <c r="D540" t="s">
        <v>1947</v>
      </c>
      <c r="E540" s="1">
        <v>46153.288495370369</v>
      </c>
      <c r="F540">
        <v>1481</v>
      </c>
      <c r="G540" t="s">
        <v>2906</v>
      </c>
      <c r="H540" t="s">
        <v>15</v>
      </c>
      <c r="I540" t="s">
        <v>1949</v>
      </c>
      <c r="J540" t="str">
        <f>RIGHT(D540,4)</f>
        <v>8281</v>
      </c>
      <c r="K540" t="str">
        <f>IFERROR(VLOOKUP(VALUE(J540),'Site Info'!$A:$G,3,FALSE),"")</f>
        <v>13600 EAST FWY</v>
      </c>
      <c r="L540" t="str">
        <f>IFERROR(VLOOKUP(VALUE(J540),'Site Info'!$A:$G,4,FALSE),"")</f>
        <v>HOUSTON</v>
      </c>
      <c r="M540" t="str">
        <f>IFERROR(VLOOKUP(VALUE(J540),'Site Info'!$A:$G,5,FALSE),"")</f>
        <v>TX</v>
      </c>
      <c r="N540" t="str">
        <f>IFERROR(VLOOKUP(VALUE(J540),'Site Info'!$A:$G,6,FALSE),"")</f>
        <v>77015-5917</v>
      </c>
      <c r="O540">
        <f>IFERROR(VLOOKUP(VALUE(J540),'Site Info'!$A:$G,7,FALSE),"")</f>
        <v>7134502592</v>
      </c>
    </row>
    <row r="541" spans="1:15" x14ac:dyDescent="0.45">
      <c r="A541" t="s">
        <v>16504</v>
      </c>
      <c r="B541" t="s">
        <v>17279</v>
      </c>
      <c r="C541" t="s">
        <v>17280</v>
      </c>
      <c r="D541" t="s">
        <v>1947</v>
      </c>
      <c r="E541" s="1">
        <v>46153.074050925927</v>
      </c>
      <c r="F541">
        <v>1628</v>
      </c>
      <c r="G541" t="s">
        <v>17281</v>
      </c>
      <c r="H541" t="s">
        <v>13988</v>
      </c>
      <c r="I541" t="s">
        <v>1949</v>
      </c>
      <c r="J541" t="str">
        <f>RIGHT(D541,4)</f>
        <v>8281</v>
      </c>
      <c r="K541" t="str">
        <f>IFERROR(VLOOKUP(VALUE(J541),'Site Info'!$A:$G,3,FALSE),"")</f>
        <v>13600 EAST FWY</v>
      </c>
      <c r="L541" t="str">
        <f>IFERROR(VLOOKUP(VALUE(J541),'Site Info'!$A:$G,4,FALSE),"")</f>
        <v>HOUSTON</v>
      </c>
      <c r="M541" t="str">
        <f>IFERROR(VLOOKUP(VALUE(J541),'Site Info'!$A:$G,5,FALSE),"")</f>
        <v>TX</v>
      </c>
      <c r="N541" t="str">
        <f>IFERROR(VLOOKUP(VALUE(J541),'Site Info'!$A:$G,6,FALSE),"")</f>
        <v>77015-5917</v>
      </c>
      <c r="O541">
        <f>IFERROR(VLOOKUP(VALUE(J541),'Site Info'!$A:$G,7,FALSE),"")</f>
        <v>7134502592</v>
      </c>
    </row>
    <row r="542" spans="1:15" x14ac:dyDescent="0.45">
      <c r="A542" t="s">
        <v>72</v>
      </c>
      <c r="B542" t="s">
        <v>73</v>
      </c>
      <c r="C542" t="s">
        <v>74</v>
      </c>
      <c r="D542" t="s">
        <v>75</v>
      </c>
      <c r="E542" s="1">
        <v>46150.545115740744</v>
      </c>
      <c r="F542">
        <v>1547</v>
      </c>
      <c r="G542" t="s">
        <v>76</v>
      </c>
      <c r="H542" t="s">
        <v>15</v>
      </c>
      <c r="I542" t="s">
        <v>77</v>
      </c>
      <c r="J542" t="str">
        <f>RIGHT(D542,4)</f>
        <v>4825</v>
      </c>
      <c r="K542" t="str">
        <f>IFERROR(VLOOKUP(VALUE(J542),'Site Info'!$A:$G,3,FALSE),"")</f>
        <v>1368 HIGDON FERRY RD</v>
      </c>
      <c r="L542" t="str">
        <f>IFERROR(VLOOKUP(VALUE(J542),'Site Info'!$A:$G,4,FALSE),"")</f>
        <v>HOT SPRINGS</v>
      </c>
      <c r="M542" t="str">
        <f>IFERROR(VLOOKUP(VALUE(J542),'Site Info'!$A:$G,5,FALSE),"")</f>
        <v>AR</v>
      </c>
      <c r="N542" t="str">
        <f>IFERROR(VLOOKUP(VALUE(J542),'Site Info'!$A:$G,6,FALSE),"")</f>
        <v>71913-6411</v>
      </c>
      <c r="O542">
        <f>IFERROR(VLOOKUP(VALUE(J542),'Site Info'!$A:$G,7,FALSE),"")</f>
        <v>5016257201</v>
      </c>
    </row>
    <row r="543" spans="1:15" x14ac:dyDescent="0.45">
      <c r="A543" t="s">
        <v>9473</v>
      </c>
      <c r="B543" t="s">
        <v>9474</v>
      </c>
      <c r="C543" t="s">
        <v>9475</v>
      </c>
      <c r="D543" t="s">
        <v>75</v>
      </c>
      <c r="E543" s="1">
        <v>46153.084502314814</v>
      </c>
      <c r="F543">
        <v>1547</v>
      </c>
      <c r="G543" t="s">
        <v>9476</v>
      </c>
      <c r="H543" t="s">
        <v>15</v>
      </c>
      <c r="I543" t="s">
        <v>77</v>
      </c>
      <c r="J543" t="str">
        <f>RIGHT(D543,4)</f>
        <v>4825</v>
      </c>
      <c r="K543" t="str">
        <f>IFERROR(VLOOKUP(VALUE(J543),'Site Info'!$A:$G,3,FALSE),"")</f>
        <v>1368 HIGDON FERRY RD</v>
      </c>
      <c r="L543" t="str">
        <f>IFERROR(VLOOKUP(VALUE(J543),'Site Info'!$A:$G,4,FALSE),"")</f>
        <v>HOT SPRINGS</v>
      </c>
      <c r="M543" t="str">
        <f>IFERROR(VLOOKUP(VALUE(J543),'Site Info'!$A:$G,5,FALSE),"")</f>
        <v>AR</v>
      </c>
      <c r="N543" t="str">
        <f>IFERROR(VLOOKUP(VALUE(J543),'Site Info'!$A:$G,6,FALSE),"")</f>
        <v>71913-6411</v>
      </c>
      <c r="O543">
        <f>IFERROR(VLOOKUP(VALUE(J543),'Site Info'!$A:$G,7,FALSE),"")</f>
        <v>5016257201</v>
      </c>
    </row>
    <row r="544" spans="1:15" x14ac:dyDescent="0.45">
      <c r="A544" t="s">
        <v>11844</v>
      </c>
      <c r="B544" t="s">
        <v>11845</v>
      </c>
      <c r="C544" t="s">
        <v>11846</v>
      </c>
      <c r="D544" t="s">
        <v>75</v>
      </c>
      <c r="E544" s="1">
        <v>46153.369363425925</v>
      </c>
      <c r="F544">
        <v>1547</v>
      </c>
      <c r="G544" t="s">
        <v>11847</v>
      </c>
      <c r="H544" t="s">
        <v>15</v>
      </c>
      <c r="I544" t="s">
        <v>77</v>
      </c>
      <c r="J544" t="str">
        <f>RIGHT(D544,4)</f>
        <v>4825</v>
      </c>
      <c r="K544" t="str">
        <f>IFERROR(VLOOKUP(VALUE(J544),'Site Info'!$A:$G,3,FALSE),"")</f>
        <v>1368 HIGDON FERRY RD</v>
      </c>
      <c r="L544" t="str">
        <f>IFERROR(VLOOKUP(VALUE(J544),'Site Info'!$A:$G,4,FALSE),"")</f>
        <v>HOT SPRINGS</v>
      </c>
      <c r="M544" t="str">
        <f>IFERROR(VLOOKUP(VALUE(J544),'Site Info'!$A:$G,5,FALSE),"")</f>
        <v>AR</v>
      </c>
      <c r="N544" t="str">
        <f>IFERROR(VLOOKUP(VALUE(J544),'Site Info'!$A:$G,6,FALSE),"")</f>
        <v>71913-6411</v>
      </c>
      <c r="O544">
        <f>IFERROR(VLOOKUP(VALUE(J544),'Site Info'!$A:$G,7,FALSE),"")</f>
        <v>5016257201</v>
      </c>
    </row>
    <row r="545" spans="1:15" x14ac:dyDescent="0.45">
      <c r="A545" t="s">
        <v>5932</v>
      </c>
      <c r="B545" t="s">
        <v>5933</v>
      </c>
      <c r="C545" t="s">
        <v>5934</v>
      </c>
      <c r="D545" t="s">
        <v>3464</v>
      </c>
      <c r="E545" s="1">
        <v>46152.273402777777</v>
      </c>
      <c r="F545">
        <v>1547</v>
      </c>
      <c r="G545" t="s">
        <v>5935</v>
      </c>
      <c r="H545" t="s">
        <v>15</v>
      </c>
      <c r="I545" t="s">
        <v>3466</v>
      </c>
      <c r="J545" t="str">
        <f>RIGHT(D545,4)</f>
        <v>4709</v>
      </c>
      <c r="K545" t="str">
        <f>IFERROR(VLOOKUP(VALUE(J545),'Site Info'!$A:$G,3,FALSE),"")</f>
        <v>1375 E ONTARIO AVE</v>
      </c>
      <c r="L545" t="str">
        <f>IFERROR(VLOOKUP(VALUE(J545),'Site Info'!$A:$G,4,FALSE),"")</f>
        <v>CORONA</v>
      </c>
      <c r="M545" t="str">
        <f>IFERROR(VLOOKUP(VALUE(J545),'Site Info'!$A:$G,5,FALSE),"")</f>
        <v>CA</v>
      </c>
      <c r="N545" t="str">
        <f>IFERROR(VLOOKUP(VALUE(J545),'Site Info'!$A:$G,6,FALSE),"")</f>
        <v>92881-6604</v>
      </c>
      <c r="O545">
        <f>IFERROR(VLOOKUP(VALUE(J545),'Site Info'!$A:$G,7,FALSE),"")</f>
        <v>9515820319</v>
      </c>
    </row>
    <row r="546" spans="1:15" x14ac:dyDescent="0.45">
      <c r="A546" t="s">
        <v>6344</v>
      </c>
      <c r="B546" t="s">
        <v>6345</v>
      </c>
      <c r="C546" t="s">
        <v>6346</v>
      </c>
      <c r="D546" t="s">
        <v>3464</v>
      </c>
      <c r="E546" s="1">
        <v>46152.55296296296</v>
      </c>
      <c r="F546">
        <v>1547</v>
      </c>
      <c r="G546" t="s">
        <v>6347</v>
      </c>
      <c r="H546" t="s">
        <v>15</v>
      </c>
      <c r="I546" t="s">
        <v>3466</v>
      </c>
      <c r="J546" t="str">
        <f>RIGHT(D546,4)</f>
        <v>4709</v>
      </c>
      <c r="K546" t="str">
        <f>IFERROR(VLOOKUP(VALUE(J546),'Site Info'!$A:$G,3,FALSE),"")</f>
        <v>1375 E ONTARIO AVE</v>
      </c>
      <c r="L546" t="str">
        <f>IFERROR(VLOOKUP(VALUE(J546),'Site Info'!$A:$G,4,FALSE),"")</f>
        <v>CORONA</v>
      </c>
      <c r="M546" t="str">
        <f>IFERROR(VLOOKUP(VALUE(J546),'Site Info'!$A:$G,5,FALSE),"")</f>
        <v>CA</v>
      </c>
      <c r="N546" t="str">
        <f>IFERROR(VLOOKUP(VALUE(J546),'Site Info'!$A:$G,6,FALSE),"")</f>
        <v>92881-6604</v>
      </c>
      <c r="O546">
        <f>IFERROR(VLOOKUP(VALUE(J546),'Site Info'!$A:$G,7,FALSE),"")</f>
        <v>9515820319</v>
      </c>
    </row>
    <row r="547" spans="1:15" x14ac:dyDescent="0.45">
      <c r="A547" t="s">
        <v>6282</v>
      </c>
      <c r="B547" t="s">
        <v>6283</v>
      </c>
      <c r="C547" t="s">
        <v>6284</v>
      </c>
      <c r="D547" t="s">
        <v>3464</v>
      </c>
      <c r="E547" s="1">
        <v>46152.61645833333</v>
      </c>
      <c r="F547">
        <v>1547</v>
      </c>
      <c r="G547" t="s">
        <v>6285</v>
      </c>
      <c r="H547" t="s">
        <v>15</v>
      </c>
      <c r="I547" t="s">
        <v>3466</v>
      </c>
      <c r="J547" t="str">
        <f>RIGHT(D547,4)</f>
        <v>4709</v>
      </c>
      <c r="K547" t="str">
        <f>IFERROR(VLOOKUP(VALUE(J547),'Site Info'!$A:$G,3,FALSE),"")</f>
        <v>1375 E ONTARIO AVE</v>
      </c>
      <c r="L547" t="str">
        <f>IFERROR(VLOOKUP(VALUE(J547),'Site Info'!$A:$G,4,FALSE),"")</f>
        <v>CORONA</v>
      </c>
      <c r="M547" t="str">
        <f>IFERROR(VLOOKUP(VALUE(J547),'Site Info'!$A:$G,5,FALSE),"")</f>
        <v>CA</v>
      </c>
      <c r="N547" t="str">
        <f>IFERROR(VLOOKUP(VALUE(J547),'Site Info'!$A:$G,6,FALSE),"")</f>
        <v>92881-6604</v>
      </c>
      <c r="O547">
        <f>IFERROR(VLOOKUP(VALUE(J547),'Site Info'!$A:$G,7,FALSE),"")</f>
        <v>9515820319</v>
      </c>
    </row>
    <row r="548" spans="1:15" x14ac:dyDescent="0.45">
      <c r="A548" t="s">
        <v>6222</v>
      </c>
      <c r="B548" t="s">
        <v>6223</v>
      </c>
      <c r="C548" t="s">
        <v>6224</v>
      </c>
      <c r="D548" t="s">
        <v>3464</v>
      </c>
      <c r="E548" s="1">
        <v>46152.697106481479</v>
      </c>
      <c r="F548">
        <v>1547</v>
      </c>
      <c r="G548" t="s">
        <v>6225</v>
      </c>
      <c r="H548" t="s">
        <v>15</v>
      </c>
      <c r="I548" t="s">
        <v>3466</v>
      </c>
      <c r="J548" t="str">
        <f>RIGHT(D548,4)</f>
        <v>4709</v>
      </c>
      <c r="K548" t="str">
        <f>IFERROR(VLOOKUP(VALUE(J548),'Site Info'!$A:$G,3,FALSE),"")</f>
        <v>1375 E ONTARIO AVE</v>
      </c>
      <c r="L548" t="str">
        <f>IFERROR(VLOOKUP(VALUE(J548),'Site Info'!$A:$G,4,FALSE),"")</f>
        <v>CORONA</v>
      </c>
      <c r="M548" t="str">
        <f>IFERROR(VLOOKUP(VALUE(J548),'Site Info'!$A:$G,5,FALSE),"")</f>
        <v>CA</v>
      </c>
      <c r="N548" t="str">
        <f>IFERROR(VLOOKUP(VALUE(J548),'Site Info'!$A:$G,6,FALSE),"")</f>
        <v>92881-6604</v>
      </c>
      <c r="O548">
        <f>IFERROR(VLOOKUP(VALUE(J548),'Site Info'!$A:$G,7,FALSE),"")</f>
        <v>9515820319</v>
      </c>
    </row>
    <row r="549" spans="1:15" x14ac:dyDescent="0.45">
      <c r="A549" t="s">
        <v>6601</v>
      </c>
      <c r="B549" t="s">
        <v>6602</v>
      </c>
      <c r="C549" t="s">
        <v>6603</v>
      </c>
      <c r="D549" t="s">
        <v>3464</v>
      </c>
      <c r="E549" s="1">
        <v>46153.370937500003</v>
      </c>
      <c r="F549">
        <v>1547</v>
      </c>
      <c r="G549" t="s">
        <v>6604</v>
      </c>
      <c r="H549" t="s">
        <v>15</v>
      </c>
      <c r="I549" t="s">
        <v>3466</v>
      </c>
      <c r="J549" t="str">
        <f>RIGHT(D549,4)</f>
        <v>4709</v>
      </c>
      <c r="K549" t="str">
        <f>IFERROR(VLOOKUP(VALUE(J549),'Site Info'!$A:$G,3,FALSE),"")</f>
        <v>1375 E ONTARIO AVE</v>
      </c>
      <c r="L549" t="str">
        <f>IFERROR(VLOOKUP(VALUE(J549),'Site Info'!$A:$G,4,FALSE),"")</f>
        <v>CORONA</v>
      </c>
      <c r="M549" t="str">
        <f>IFERROR(VLOOKUP(VALUE(J549),'Site Info'!$A:$G,5,FALSE),"")</f>
        <v>CA</v>
      </c>
      <c r="N549" t="str">
        <f>IFERROR(VLOOKUP(VALUE(J549),'Site Info'!$A:$G,6,FALSE),"")</f>
        <v>92881-6604</v>
      </c>
      <c r="O549">
        <f>IFERROR(VLOOKUP(VALUE(J549),'Site Info'!$A:$G,7,FALSE),"")</f>
        <v>9515820319</v>
      </c>
    </row>
    <row r="550" spans="1:15" x14ac:dyDescent="0.45">
      <c r="A550" t="s">
        <v>3461</v>
      </c>
      <c r="B550" t="s">
        <v>3462</v>
      </c>
      <c r="C550" t="s">
        <v>3463</v>
      </c>
      <c r="D550" t="s">
        <v>3464</v>
      </c>
      <c r="E550" s="1">
        <v>46153.255057870374</v>
      </c>
      <c r="F550">
        <v>1481</v>
      </c>
      <c r="G550" t="s">
        <v>3465</v>
      </c>
      <c r="H550" t="s">
        <v>15</v>
      </c>
      <c r="I550" t="s">
        <v>3466</v>
      </c>
      <c r="J550" t="str">
        <f>RIGHT(D550,4)</f>
        <v>4709</v>
      </c>
      <c r="K550" t="str">
        <f>IFERROR(VLOOKUP(VALUE(J550),'Site Info'!$A:$G,3,FALSE),"")</f>
        <v>1375 E ONTARIO AVE</v>
      </c>
      <c r="L550" t="str">
        <f>IFERROR(VLOOKUP(VALUE(J550),'Site Info'!$A:$G,4,FALSE),"")</f>
        <v>CORONA</v>
      </c>
      <c r="M550" t="str">
        <f>IFERROR(VLOOKUP(VALUE(J550),'Site Info'!$A:$G,5,FALSE),"")</f>
        <v>CA</v>
      </c>
      <c r="N550" t="str">
        <f>IFERROR(VLOOKUP(VALUE(J550),'Site Info'!$A:$G,6,FALSE),"")</f>
        <v>92881-6604</v>
      </c>
      <c r="O550">
        <f>IFERROR(VLOOKUP(VALUE(J550),'Site Info'!$A:$G,7,FALSE),"")</f>
        <v>9515820319</v>
      </c>
    </row>
    <row r="551" spans="1:15" x14ac:dyDescent="0.45">
      <c r="A551" t="s">
        <v>14191</v>
      </c>
      <c r="B551" t="s">
        <v>14192</v>
      </c>
      <c r="C551" t="s">
        <v>14193</v>
      </c>
      <c r="D551" t="s">
        <v>3850</v>
      </c>
      <c r="E551" s="1">
        <v>46153.253194444442</v>
      </c>
      <c r="F551">
        <v>1863</v>
      </c>
      <c r="G551" t="s">
        <v>14194</v>
      </c>
      <c r="H551" t="s">
        <v>136</v>
      </c>
      <c r="I551" t="s">
        <v>3852</v>
      </c>
      <c r="J551" t="str">
        <f>RIGHT(D551,4)</f>
        <v>4735</v>
      </c>
      <c r="K551" t="str">
        <f>IFERROR(VLOOKUP(VALUE(J551),'Site Info'!$A:$G,3,FALSE),"")</f>
        <v>1390 S BEACH BLVD</v>
      </c>
      <c r="L551" t="str">
        <f>IFERROR(VLOOKUP(VALUE(J551),'Site Info'!$A:$G,4,FALSE),"")</f>
        <v>LA HABRA</v>
      </c>
      <c r="M551" t="str">
        <f>IFERROR(VLOOKUP(VALUE(J551),'Site Info'!$A:$G,5,FALSE),"")</f>
        <v>CA</v>
      </c>
      <c r="N551" t="str">
        <f>IFERROR(VLOOKUP(VALUE(J551),'Site Info'!$A:$G,6,FALSE),"")</f>
        <v>90631-6374</v>
      </c>
      <c r="O551">
        <f>IFERROR(VLOOKUP(VALUE(J551),'Site Info'!$A:$G,7,FALSE),"")</f>
        <v>5626979281</v>
      </c>
    </row>
    <row r="552" spans="1:15" x14ac:dyDescent="0.45">
      <c r="A552" t="s">
        <v>4794</v>
      </c>
      <c r="B552" t="s">
        <v>4795</v>
      </c>
      <c r="C552" t="s">
        <v>4796</v>
      </c>
      <c r="D552" t="s">
        <v>3850</v>
      </c>
      <c r="E552" s="1">
        <v>46152.819224537037</v>
      </c>
      <c r="F552">
        <v>1547</v>
      </c>
      <c r="G552" t="s">
        <v>4797</v>
      </c>
      <c r="H552" t="s">
        <v>15</v>
      </c>
      <c r="I552" t="s">
        <v>3852</v>
      </c>
      <c r="J552" t="str">
        <f>RIGHT(D552,4)</f>
        <v>4735</v>
      </c>
      <c r="K552" t="str">
        <f>IFERROR(VLOOKUP(VALUE(J552),'Site Info'!$A:$G,3,FALSE),"")</f>
        <v>1390 S BEACH BLVD</v>
      </c>
      <c r="L552" t="str">
        <f>IFERROR(VLOOKUP(VALUE(J552),'Site Info'!$A:$G,4,FALSE),"")</f>
        <v>LA HABRA</v>
      </c>
      <c r="M552" t="str">
        <f>IFERROR(VLOOKUP(VALUE(J552),'Site Info'!$A:$G,5,FALSE),"")</f>
        <v>CA</v>
      </c>
      <c r="N552" t="str">
        <f>IFERROR(VLOOKUP(VALUE(J552),'Site Info'!$A:$G,6,FALSE),"")</f>
        <v>90631-6374</v>
      </c>
      <c r="O552">
        <f>IFERROR(VLOOKUP(VALUE(J552),'Site Info'!$A:$G,7,FALSE),"")</f>
        <v>5626979281</v>
      </c>
    </row>
    <row r="553" spans="1:15" x14ac:dyDescent="0.45">
      <c r="A553" t="s">
        <v>3847</v>
      </c>
      <c r="B553" t="s">
        <v>3848</v>
      </c>
      <c r="C553" t="s">
        <v>3849</v>
      </c>
      <c r="D553" t="s">
        <v>3850</v>
      </c>
      <c r="E553" s="1">
        <v>46151.630995370368</v>
      </c>
      <c r="F553">
        <v>1481</v>
      </c>
      <c r="G553" t="s">
        <v>3851</v>
      </c>
      <c r="H553" t="s">
        <v>15</v>
      </c>
      <c r="I553" t="s">
        <v>3852</v>
      </c>
      <c r="J553" t="str">
        <f>RIGHT(D553,4)</f>
        <v>4735</v>
      </c>
      <c r="K553" t="str">
        <f>IFERROR(VLOOKUP(VALUE(J553),'Site Info'!$A:$G,3,FALSE),"")</f>
        <v>1390 S BEACH BLVD</v>
      </c>
      <c r="L553" t="str">
        <f>IFERROR(VLOOKUP(VALUE(J553),'Site Info'!$A:$G,4,FALSE),"")</f>
        <v>LA HABRA</v>
      </c>
      <c r="M553" t="str">
        <f>IFERROR(VLOOKUP(VALUE(J553),'Site Info'!$A:$G,5,FALSE),"")</f>
        <v>CA</v>
      </c>
      <c r="N553" t="str">
        <f>IFERROR(VLOOKUP(VALUE(J553),'Site Info'!$A:$G,6,FALSE),"")</f>
        <v>90631-6374</v>
      </c>
      <c r="O553">
        <f>IFERROR(VLOOKUP(VALUE(J553),'Site Info'!$A:$G,7,FALSE),"")</f>
        <v>5626979281</v>
      </c>
    </row>
    <row r="554" spans="1:15" x14ac:dyDescent="0.45">
      <c r="A554" t="s">
        <v>9513</v>
      </c>
      <c r="B554" t="s">
        <v>9514</v>
      </c>
      <c r="C554" t="s">
        <v>9515</v>
      </c>
      <c r="D554" t="s">
        <v>673</v>
      </c>
      <c r="E554" s="1">
        <v>46149.793553240743</v>
      </c>
      <c r="F554">
        <v>1547</v>
      </c>
      <c r="G554" t="s">
        <v>9516</v>
      </c>
      <c r="H554" t="s">
        <v>15</v>
      </c>
      <c r="I554" t="s">
        <v>675</v>
      </c>
      <c r="J554" t="str">
        <f>RIGHT(D554,4)</f>
        <v>6617</v>
      </c>
      <c r="K554" t="str">
        <f>IFERROR(VLOOKUP(VALUE(J554),'Site Info'!$A:$G,3,FALSE),"")</f>
        <v>1399 W ARTESIA BLVD</v>
      </c>
      <c r="L554" t="str">
        <f>IFERROR(VLOOKUP(VALUE(J554),'Site Info'!$A:$G,4,FALSE),"")</f>
        <v>GARDENA</v>
      </c>
      <c r="M554" t="str">
        <f>IFERROR(VLOOKUP(VALUE(J554),'Site Info'!$A:$G,5,FALSE),"")</f>
        <v>CA</v>
      </c>
      <c r="N554" t="str">
        <f>IFERROR(VLOOKUP(VALUE(J554),'Site Info'!$A:$G,6,FALSE),"")</f>
        <v>90248-3363</v>
      </c>
      <c r="O554">
        <f>IFERROR(VLOOKUP(VALUE(J554),'Site Info'!$A:$G,7,FALSE),"")</f>
        <v>3105320779</v>
      </c>
    </row>
    <row r="555" spans="1:15" x14ac:dyDescent="0.45">
      <c r="A555" t="s">
        <v>13647</v>
      </c>
      <c r="B555" t="s">
        <v>13648</v>
      </c>
      <c r="C555" t="s">
        <v>13649</v>
      </c>
      <c r="D555" t="s">
        <v>673</v>
      </c>
      <c r="E555" s="1">
        <v>46152.52207175926</v>
      </c>
      <c r="F555">
        <v>1547</v>
      </c>
      <c r="G555" t="s">
        <v>13650</v>
      </c>
      <c r="H555" t="s">
        <v>15</v>
      </c>
      <c r="I555" t="s">
        <v>675</v>
      </c>
      <c r="J555" t="str">
        <f>RIGHT(D555,4)</f>
        <v>6617</v>
      </c>
      <c r="K555" t="str">
        <f>IFERROR(VLOOKUP(VALUE(J555),'Site Info'!$A:$G,3,FALSE),"")</f>
        <v>1399 W ARTESIA BLVD</v>
      </c>
      <c r="L555" t="str">
        <f>IFERROR(VLOOKUP(VALUE(J555),'Site Info'!$A:$G,4,FALSE),"")</f>
        <v>GARDENA</v>
      </c>
      <c r="M555" t="str">
        <f>IFERROR(VLOOKUP(VALUE(J555),'Site Info'!$A:$G,5,FALSE),"")</f>
        <v>CA</v>
      </c>
      <c r="N555" t="str">
        <f>IFERROR(VLOOKUP(VALUE(J555),'Site Info'!$A:$G,6,FALSE),"")</f>
        <v>90248-3363</v>
      </c>
      <c r="O555">
        <f>IFERROR(VLOOKUP(VALUE(J555),'Site Info'!$A:$G,7,FALSE),"")</f>
        <v>3105320779</v>
      </c>
    </row>
    <row r="556" spans="1:15" x14ac:dyDescent="0.45">
      <c r="A556" t="s">
        <v>10512</v>
      </c>
      <c r="B556" t="s">
        <v>10513</v>
      </c>
      <c r="C556" t="s">
        <v>10514</v>
      </c>
      <c r="D556" t="s">
        <v>673</v>
      </c>
      <c r="E556" s="1">
        <v>46153.362858796296</v>
      </c>
      <c r="F556">
        <v>1547</v>
      </c>
      <c r="G556" t="s">
        <v>10515</v>
      </c>
      <c r="H556" t="s">
        <v>15</v>
      </c>
      <c r="I556" t="s">
        <v>675</v>
      </c>
      <c r="J556" t="str">
        <f>RIGHT(D556,4)</f>
        <v>6617</v>
      </c>
      <c r="K556" t="str">
        <f>IFERROR(VLOOKUP(VALUE(J556),'Site Info'!$A:$G,3,FALSE),"")</f>
        <v>1399 W ARTESIA BLVD</v>
      </c>
      <c r="L556" t="str">
        <f>IFERROR(VLOOKUP(VALUE(J556),'Site Info'!$A:$G,4,FALSE),"")</f>
        <v>GARDENA</v>
      </c>
      <c r="M556" t="str">
        <f>IFERROR(VLOOKUP(VALUE(J556),'Site Info'!$A:$G,5,FALSE),"")</f>
        <v>CA</v>
      </c>
      <c r="N556" t="str">
        <f>IFERROR(VLOOKUP(VALUE(J556),'Site Info'!$A:$G,6,FALSE),"")</f>
        <v>90248-3363</v>
      </c>
      <c r="O556">
        <f>IFERROR(VLOOKUP(VALUE(J556),'Site Info'!$A:$G,7,FALSE),"")</f>
        <v>3105320779</v>
      </c>
    </row>
    <row r="557" spans="1:15" x14ac:dyDescent="0.45">
      <c r="A557" t="s">
        <v>670</v>
      </c>
      <c r="B557" t="s">
        <v>671</v>
      </c>
      <c r="C557" t="s">
        <v>672</v>
      </c>
      <c r="D557" t="s">
        <v>673</v>
      </c>
      <c r="E557" s="1">
        <v>46152.857662037037</v>
      </c>
      <c r="F557">
        <v>1481</v>
      </c>
      <c r="G557" t="s">
        <v>674</v>
      </c>
      <c r="H557" t="s">
        <v>15</v>
      </c>
      <c r="I557" t="s">
        <v>675</v>
      </c>
      <c r="J557" t="str">
        <f>RIGHT(D557,4)</f>
        <v>6617</v>
      </c>
      <c r="K557" t="str">
        <f>IFERROR(VLOOKUP(VALUE(J557),'Site Info'!$A:$G,3,FALSE),"")</f>
        <v>1399 W ARTESIA BLVD</v>
      </c>
      <c r="L557" t="str">
        <f>IFERROR(VLOOKUP(VALUE(J557),'Site Info'!$A:$G,4,FALSE),"")</f>
        <v>GARDENA</v>
      </c>
      <c r="M557" t="str">
        <f>IFERROR(VLOOKUP(VALUE(J557),'Site Info'!$A:$G,5,FALSE),"")</f>
        <v>CA</v>
      </c>
      <c r="N557" t="str">
        <f>IFERROR(VLOOKUP(VALUE(J557),'Site Info'!$A:$G,6,FALSE),"")</f>
        <v>90248-3363</v>
      </c>
      <c r="O557">
        <f>IFERROR(VLOOKUP(VALUE(J557),'Site Info'!$A:$G,7,FALSE),"")</f>
        <v>3105320779</v>
      </c>
    </row>
    <row r="558" spans="1:15" x14ac:dyDescent="0.45">
      <c r="A558" t="s">
        <v>11292</v>
      </c>
      <c r="B558" t="s">
        <v>11293</v>
      </c>
      <c r="C558" t="s">
        <v>11294</v>
      </c>
      <c r="D558" t="s">
        <v>264</v>
      </c>
      <c r="E558" s="1">
        <v>46151.605567129627</v>
      </c>
      <c r="F558">
        <v>1547</v>
      </c>
      <c r="G558" t="s">
        <v>11295</v>
      </c>
      <c r="H558" t="s">
        <v>15</v>
      </c>
      <c r="I558" t="s">
        <v>265</v>
      </c>
      <c r="J558" t="str">
        <f>RIGHT(D558,4)</f>
        <v>6582</v>
      </c>
      <c r="K558" t="str">
        <f>IFERROR(VLOOKUP(VALUE(J558),'Site Info'!$A:$G,3,FALSE),"")</f>
        <v>14 BLUFFTON ROAD</v>
      </c>
      <c r="L558" t="str">
        <f>IFERROR(VLOOKUP(VALUE(J558),'Site Info'!$A:$G,4,FALSE),"")</f>
        <v>BLUFFTON</v>
      </c>
      <c r="M558" t="str">
        <f>IFERROR(VLOOKUP(VALUE(J558),'Site Info'!$A:$G,5,FALSE),"")</f>
        <v>SC</v>
      </c>
      <c r="N558" t="str">
        <f>IFERROR(VLOOKUP(VALUE(J558),'Site Info'!$A:$G,6,FALSE),"")</f>
        <v>29910-7621</v>
      </c>
      <c r="O558">
        <f>IFERROR(VLOOKUP(VALUE(J558),'Site Info'!$A:$G,7,FALSE),"")</f>
        <v>8438371993</v>
      </c>
    </row>
    <row r="559" spans="1:15" x14ac:dyDescent="0.45">
      <c r="A559" t="s">
        <v>96</v>
      </c>
      <c r="B559" t="s">
        <v>275</v>
      </c>
      <c r="C559" t="s">
        <v>276</v>
      </c>
      <c r="D559" t="s">
        <v>264</v>
      </c>
      <c r="E559" s="1">
        <v>46153.212094907409</v>
      </c>
      <c r="F559">
        <v>1547</v>
      </c>
      <c r="G559" t="s">
        <v>277</v>
      </c>
      <c r="H559" t="s">
        <v>15</v>
      </c>
      <c r="I559" t="s">
        <v>265</v>
      </c>
      <c r="J559" t="str">
        <f>RIGHT(D559,4)</f>
        <v>6582</v>
      </c>
      <c r="K559" t="str">
        <f>IFERROR(VLOOKUP(VALUE(J559),'Site Info'!$A:$G,3,FALSE),"")</f>
        <v>14 BLUFFTON ROAD</v>
      </c>
      <c r="L559" t="str">
        <f>IFERROR(VLOOKUP(VALUE(J559),'Site Info'!$A:$G,4,FALSE),"")</f>
        <v>BLUFFTON</v>
      </c>
      <c r="M559" t="str">
        <f>IFERROR(VLOOKUP(VALUE(J559),'Site Info'!$A:$G,5,FALSE),"")</f>
        <v>SC</v>
      </c>
      <c r="N559" t="str">
        <f>IFERROR(VLOOKUP(VALUE(J559),'Site Info'!$A:$G,6,FALSE),"")</f>
        <v>29910-7621</v>
      </c>
      <c r="O559">
        <f>IFERROR(VLOOKUP(VALUE(J559),'Site Info'!$A:$G,7,FALSE),"")</f>
        <v>8438371993</v>
      </c>
    </row>
    <row r="560" spans="1:15" x14ac:dyDescent="0.45">
      <c r="A560" t="s">
        <v>11380</v>
      </c>
      <c r="B560" t="s">
        <v>11381</v>
      </c>
      <c r="C560" t="s">
        <v>11382</v>
      </c>
      <c r="D560" t="s">
        <v>264</v>
      </c>
      <c r="E560" s="1">
        <v>46153.263912037037</v>
      </c>
      <c r="F560">
        <v>1547</v>
      </c>
      <c r="G560" t="s">
        <v>11383</v>
      </c>
      <c r="H560" t="s">
        <v>15</v>
      </c>
      <c r="I560" t="s">
        <v>265</v>
      </c>
      <c r="J560" t="str">
        <f>RIGHT(D560,4)</f>
        <v>6582</v>
      </c>
      <c r="K560" t="str">
        <f>IFERROR(VLOOKUP(VALUE(J560),'Site Info'!$A:$G,3,FALSE),"")</f>
        <v>14 BLUFFTON ROAD</v>
      </c>
      <c r="L560" t="str">
        <f>IFERROR(VLOOKUP(VALUE(J560),'Site Info'!$A:$G,4,FALSE),"")</f>
        <v>BLUFFTON</v>
      </c>
      <c r="M560" t="str">
        <f>IFERROR(VLOOKUP(VALUE(J560),'Site Info'!$A:$G,5,FALSE),"")</f>
        <v>SC</v>
      </c>
      <c r="N560" t="str">
        <f>IFERROR(VLOOKUP(VALUE(J560),'Site Info'!$A:$G,6,FALSE),"")</f>
        <v>29910-7621</v>
      </c>
      <c r="O560">
        <f>IFERROR(VLOOKUP(VALUE(J560),'Site Info'!$A:$G,7,FALSE),"")</f>
        <v>8438371993</v>
      </c>
    </row>
    <row r="561" spans="1:15" x14ac:dyDescent="0.45">
      <c r="A561" t="s">
        <v>11348</v>
      </c>
      <c r="B561" t="s">
        <v>11349</v>
      </c>
      <c r="C561" t="s">
        <v>11350</v>
      </c>
      <c r="D561" t="s">
        <v>264</v>
      </c>
      <c r="E561" s="1">
        <v>46153.296481481484</v>
      </c>
      <c r="F561">
        <v>1547</v>
      </c>
      <c r="G561" t="s">
        <v>11351</v>
      </c>
      <c r="H561" t="s">
        <v>15</v>
      </c>
      <c r="I561" t="s">
        <v>265</v>
      </c>
      <c r="J561" t="str">
        <f>RIGHT(D561,4)</f>
        <v>6582</v>
      </c>
      <c r="K561" t="str">
        <f>IFERROR(VLOOKUP(VALUE(J561),'Site Info'!$A:$G,3,FALSE),"")</f>
        <v>14 BLUFFTON ROAD</v>
      </c>
      <c r="L561" t="str">
        <f>IFERROR(VLOOKUP(VALUE(J561),'Site Info'!$A:$G,4,FALSE),"")</f>
        <v>BLUFFTON</v>
      </c>
      <c r="M561" t="str">
        <f>IFERROR(VLOOKUP(VALUE(J561),'Site Info'!$A:$G,5,FALSE),"")</f>
        <v>SC</v>
      </c>
      <c r="N561" t="str">
        <f>IFERROR(VLOOKUP(VALUE(J561),'Site Info'!$A:$G,6,FALSE),"")</f>
        <v>29910-7621</v>
      </c>
      <c r="O561">
        <f>IFERROR(VLOOKUP(VALUE(J561),'Site Info'!$A:$G,7,FALSE),"")</f>
        <v>8438371993</v>
      </c>
    </row>
    <row r="562" spans="1:15" x14ac:dyDescent="0.45">
      <c r="A562" t="s">
        <v>13687</v>
      </c>
      <c r="B562" t="s">
        <v>13688</v>
      </c>
      <c r="C562" t="s">
        <v>13689</v>
      </c>
      <c r="D562" t="s">
        <v>3212</v>
      </c>
      <c r="E562" s="1">
        <v>46150.81690972222</v>
      </c>
      <c r="F562">
        <v>1547</v>
      </c>
      <c r="G562" t="s">
        <v>13690</v>
      </c>
      <c r="H562" t="s">
        <v>15</v>
      </c>
      <c r="I562" t="s">
        <v>3214</v>
      </c>
      <c r="J562" t="str">
        <f>RIGHT(D562,4)</f>
        <v>8250</v>
      </c>
      <c r="K562" t="str">
        <f>IFERROR(VLOOKUP(VALUE(J562),'Site Info'!$A:$G,3,FALSE),"")</f>
        <v>1400 E JACKSON AVE</v>
      </c>
      <c r="L562" t="str">
        <f>IFERROR(VLOOKUP(VALUE(J562),'Site Info'!$A:$G,4,FALSE),"")</f>
        <v>MCALLEN</v>
      </c>
      <c r="M562" t="str">
        <f>IFERROR(VLOOKUP(VALUE(J562),'Site Info'!$A:$G,5,FALSE),"")</f>
        <v>TX</v>
      </c>
      <c r="N562" t="str">
        <f>IFERROR(VLOOKUP(VALUE(J562),'Site Info'!$A:$G,6,FALSE),"")</f>
        <v>78503-1601</v>
      </c>
      <c r="O562">
        <f>IFERROR(VLOOKUP(VALUE(J562),'Site Info'!$A:$G,7,FALSE),"")</f>
        <v>9566183363</v>
      </c>
    </row>
    <row r="563" spans="1:15" x14ac:dyDescent="0.45">
      <c r="A563" t="s">
        <v>6106</v>
      </c>
      <c r="B563" t="s">
        <v>6107</v>
      </c>
      <c r="C563" t="s">
        <v>6108</v>
      </c>
      <c r="D563" t="s">
        <v>3212</v>
      </c>
      <c r="E563" s="1">
        <v>46151.727581018517</v>
      </c>
      <c r="F563">
        <v>1547</v>
      </c>
      <c r="G563" t="s">
        <v>6109</v>
      </c>
      <c r="H563" t="s">
        <v>15</v>
      </c>
      <c r="I563" t="s">
        <v>3214</v>
      </c>
      <c r="J563" t="str">
        <f>RIGHT(D563,4)</f>
        <v>8250</v>
      </c>
      <c r="K563" t="str">
        <f>IFERROR(VLOOKUP(VALUE(J563),'Site Info'!$A:$G,3,FALSE),"")</f>
        <v>1400 E JACKSON AVE</v>
      </c>
      <c r="L563" t="str">
        <f>IFERROR(VLOOKUP(VALUE(J563),'Site Info'!$A:$G,4,FALSE),"")</f>
        <v>MCALLEN</v>
      </c>
      <c r="M563" t="str">
        <f>IFERROR(VLOOKUP(VALUE(J563),'Site Info'!$A:$G,5,FALSE),"")</f>
        <v>TX</v>
      </c>
      <c r="N563" t="str">
        <f>IFERROR(VLOOKUP(VALUE(J563),'Site Info'!$A:$G,6,FALSE),"")</f>
        <v>78503-1601</v>
      </c>
      <c r="O563">
        <f>IFERROR(VLOOKUP(VALUE(J563),'Site Info'!$A:$G,7,FALSE),"")</f>
        <v>9566183363</v>
      </c>
    </row>
    <row r="564" spans="1:15" x14ac:dyDescent="0.45">
      <c r="A564" t="s">
        <v>7230</v>
      </c>
      <c r="B564" t="s">
        <v>7231</v>
      </c>
      <c r="C564" t="s">
        <v>7232</v>
      </c>
      <c r="D564" t="s">
        <v>3212</v>
      </c>
      <c r="E564" s="1">
        <v>46152.559953703705</v>
      </c>
      <c r="F564">
        <v>1547</v>
      </c>
      <c r="G564" t="s">
        <v>7233</v>
      </c>
      <c r="H564" t="s">
        <v>15</v>
      </c>
      <c r="I564" t="s">
        <v>3214</v>
      </c>
      <c r="J564" t="str">
        <f>RIGHT(D564,4)</f>
        <v>8250</v>
      </c>
      <c r="K564" t="str">
        <f>IFERROR(VLOOKUP(VALUE(J564),'Site Info'!$A:$G,3,FALSE),"")</f>
        <v>1400 E JACKSON AVE</v>
      </c>
      <c r="L564" t="str">
        <f>IFERROR(VLOOKUP(VALUE(J564),'Site Info'!$A:$G,4,FALSE),"")</f>
        <v>MCALLEN</v>
      </c>
      <c r="M564" t="str">
        <f>IFERROR(VLOOKUP(VALUE(J564),'Site Info'!$A:$G,5,FALSE),"")</f>
        <v>TX</v>
      </c>
      <c r="N564" t="str">
        <f>IFERROR(VLOOKUP(VALUE(J564),'Site Info'!$A:$G,6,FALSE),"")</f>
        <v>78503-1601</v>
      </c>
      <c r="O564">
        <f>IFERROR(VLOOKUP(VALUE(J564),'Site Info'!$A:$G,7,FALSE),"")</f>
        <v>9566183363</v>
      </c>
    </row>
    <row r="565" spans="1:15" x14ac:dyDescent="0.45">
      <c r="A565" t="s">
        <v>6226</v>
      </c>
      <c r="B565" t="s">
        <v>6227</v>
      </c>
      <c r="C565" t="s">
        <v>6228</v>
      </c>
      <c r="D565" t="s">
        <v>3212</v>
      </c>
      <c r="E565" s="1">
        <v>46152.677789351852</v>
      </c>
      <c r="F565">
        <v>1547</v>
      </c>
      <c r="G565" t="s">
        <v>6229</v>
      </c>
      <c r="H565" t="s">
        <v>15</v>
      </c>
      <c r="I565" t="s">
        <v>3214</v>
      </c>
      <c r="J565" t="str">
        <f>RIGHT(D565,4)</f>
        <v>8250</v>
      </c>
      <c r="K565" t="str">
        <f>IFERROR(VLOOKUP(VALUE(J565),'Site Info'!$A:$G,3,FALSE),"")</f>
        <v>1400 E JACKSON AVE</v>
      </c>
      <c r="L565" t="str">
        <f>IFERROR(VLOOKUP(VALUE(J565),'Site Info'!$A:$G,4,FALSE),"")</f>
        <v>MCALLEN</v>
      </c>
      <c r="M565" t="str">
        <f>IFERROR(VLOOKUP(VALUE(J565),'Site Info'!$A:$G,5,FALSE),"")</f>
        <v>TX</v>
      </c>
      <c r="N565" t="str">
        <f>IFERROR(VLOOKUP(VALUE(J565),'Site Info'!$A:$G,6,FALSE),"")</f>
        <v>78503-1601</v>
      </c>
      <c r="O565">
        <f>IFERROR(VLOOKUP(VALUE(J565),'Site Info'!$A:$G,7,FALSE),"")</f>
        <v>9566183363</v>
      </c>
    </row>
    <row r="566" spans="1:15" x14ac:dyDescent="0.45">
      <c r="A566" t="s">
        <v>8273</v>
      </c>
      <c r="B566" t="s">
        <v>8274</v>
      </c>
      <c r="C566" t="s">
        <v>8275</v>
      </c>
      <c r="D566" t="s">
        <v>3212</v>
      </c>
      <c r="E566" s="1">
        <v>46153.109826388885</v>
      </c>
      <c r="F566">
        <v>1547</v>
      </c>
      <c r="G566" t="s">
        <v>8276</v>
      </c>
      <c r="H566" t="s">
        <v>15</v>
      </c>
      <c r="I566" t="s">
        <v>3214</v>
      </c>
      <c r="J566" t="str">
        <f>RIGHT(D566,4)</f>
        <v>8250</v>
      </c>
      <c r="K566" t="str">
        <f>IFERROR(VLOOKUP(VALUE(J566),'Site Info'!$A:$G,3,FALSE),"")</f>
        <v>1400 E JACKSON AVE</v>
      </c>
      <c r="L566" t="str">
        <f>IFERROR(VLOOKUP(VALUE(J566),'Site Info'!$A:$G,4,FALSE),"")</f>
        <v>MCALLEN</v>
      </c>
      <c r="M566" t="str">
        <f>IFERROR(VLOOKUP(VALUE(J566),'Site Info'!$A:$G,5,FALSE),"")</f>
        <v>TX</v>
      </c>
      <c r="N566" t="str">
        <f>IFERROR(VLOOKUP(VALUE(J566),'Site Info'!$A:$G,6,FALSE),"")</f>
        <v>78503-1601</v>
      </c>
      <c r="O566">
        <f>IFERROR(VLOOKUP(VALUE(J566),'Site Info'!$A:$G,7,FALSE),"")</f>
        <v>9566183363</v>
      </c>
    </row>
    <row r="567" spans="1:15" x14ac:dyDescent="0.45">
      <c r="A567" t="s">
        <v>14075</v>
      </c>
      <c r="B567" t="s">
        <v>14076</v>
      </c>
      <c r="C567" t="s">
        <v>14077</v>
      </c>
      <c r="D567" t="s">
        <v>3212</v>
      </c>
      <c r="E567" s="1">
        <v>46153.256932870368</v>
      </c>
      <c r="F567">
        <v>1547</v>
      </c>
      <c r="G567" t="s">
        <v>14078</v>
      </c>
      <c r="H567" t="s">
        <v>15</v>
      </c>
      <c r="I567" t="s">
        <v>3214</v>
      </c>
      <c r="J567" t="str">
        <f>RIGHT(D567,4)</f>
        <v>8250</v>
      </c>
      <c r="K567" t="str">
        <f>IFERROR(VLOOKUP(VALUE(J567),'Site Info'!$A:$G,3,FALSE),"")</f>
        <v>1400 E JACKSON AVE</v>
      </c>
      <c r="L567" t="str">
        <f>IFERROR(VLOOKUP(VALUE(J567),'Site Info'!$A:$G,4,FALSE),"")</f>
        <v>MCALLEN</v>
      </c>
      <c r="M567" t="str">
        <f>IFERROR(VLOOKUP(VALUE(J567),'Site Info'!$A:$G,5,FALSE),"")</f>
        <v>TX</v>
      </c>
      <c r="N567" t="str">
        <f>IFERROR(VLOOKUP(VALUE(J567),'Site Info'!$A:$G,6,FALSE),"")</f>
        <v>78503-1601</v>
      </c>
      <c r="O567">
        <f>IFERROR(VLOOKUP(VALUE(J567),'Site Info'!$A:$G,7,FALSE),"")</f>
        <v>9566183363</v>
      </c>
    </row>
    <row r="568" spans="1:15" x14ac:dyDescent="0.45">
      <c r="A568" t="s">
        <v>6070</v>
      </c>
      <c r="B568" t="s">
        <v>6071</v>
      </c>
      <c r="C568" t="s">
        <v>6072</v>
      </c>
      <c r="D568" t="s">
        <v>3212</v>
      </c>
      <c r="E568" s="1">
        <v>46153.37327546296</v>
      </c>
      <c r="F568">
        <v>1547</v>
      </c>
      <c r="G568" t="s">
        <v>6073</v>
      </c>
      <c r="H568" t="s">
        <v>15</v>
      </c>
      <c r="I568" t="s">
        <v>3214</v>
      </c>
      <c r="J568" t="str">
        <f>RIGHT(D568,4)</f>
        <v>8250</v>
      </c>
      <c r="K568" t="str">
        <f>IFERROR(VLOOKUP(VALUE(J568),'Site Info'!$A:$G,3,FALSE),"")</f>
        <v>1400 E JACKSON AVE</v>
      </c>
      <c r="L568" t="str">
        <f>IFERROR(VLOOKUP(VALUE(J568),'Site Info'!$A:$G,4,FALSE),"")</f>
        <v>MCALLEN</v>
      </c>
      <c r="M568" t="str">
        <f>IFERROR(VLOOKUP(VALUE(J568),'Site Info'!$A:$G,5,FALSE),"")</f>
        <v>TX</v>
      </c>
      <c r="N568" t="str">
        <f>IFERROR(VLOOKUP(VALUE(J568),'Site Info'!$A:$G,6,FALSE),"")</f>
        <v>78503-1601</v>
      </c>
      <c r="O568">
        <f>IFERROR(VLOOKUP(VALUE(J568),'Site Info'!$A:$G,7,FALSE),"")</f>
        <v>9566183363</v>
      </c>
    </row>
    <row r="569" spans="1:15" x14ac:dyDescent="0.45">
      <c r="A569" t="s">
        <v>3957</v>
      </c>
      <c r="B569" t="s">
        <v>3958</v>
      </c>
      <c r="C569" t="s">
        <v>3959</v>
      </c>
      <c r="D569" t="s">
        <v>3212</v>
      </c>
      <c r="E569" s="1">
        <v>46151.236608796295</v>
      </c>
      <c r="F569">
        <v>1481</v>
      </c>
      <c r="G569" t="s">
        <v>3960</v>
      </c>
      <c r="H569" t="s">
        <v>15</v>
      </c>
      <c r="I569" t="s">
        <v>3214</v>
      </c>
      <c r="J569" t="str">
        <f>RIGHT(D569,4)</f>
        <v>8250</v>
      </c>
      <c r="K569" t="str">
        <f>IFERROR(VLOOKUP(VALUE(J569),'Site Info'!$A:$G,3,FALSE),"")</f>
        <v>1400 E JACKSON AVE</v>
      </c>
      <c r="L569" t="str">
        <f>IFERROR(VLOOKUP(VALUE(J569),'Site Info'!$A:$G,4,FALSE),"")</f>
        <v>MCALLEN</v>
      </c>
      <c r="M569" t="str">
        <f>IFERROR(VLOOKUP(VALUE(J569),'Site Info'!$A:$G,5,FALSE),"")</f>
        <v>TX</v>
      </c>
      <c r="N569" t="str">
        <f>IFERROR(VLOOKUP(VALUE(J569),'Site Info'!$A:$G,6,FALSE),"")</f>
        <v>78503-1601</v>
      </c>
      <c r="O569">
        <f>IFERROR(VLOOKUP(VALUE(J569),'Site Info'!$A:$G,7,FALSE),"")</f>
        <v>9566183363</v>
      </c>
    </row>
    <row r="570" spans="1:15" x14ac:dyDescent="0.45">
      <c r="A570" t="s">
        <v>3209</v>
      </c>
      <c r="B570" t="s">
        <v>3210</v>
      </c>
      <c r="C570" t="s">
        <v>3211</v>
      </c>
      <c r="D570" t="s">
        <v>3212</v>
      </c>
      <c r="E570" s="1">
        <v>46152.839305555557</v>
      </c>
      <c r="F570">
        <v>1481</v>
      </c>
      <c r="G570" t="s">
        <v>3213</v>
      </c>
      <c r="H570" t="s">
        <v>15</v>
      </c>
      <c r="I570" t="s">
        <v>3214</v>
      </c>
      <c r="J570" t="str">
        <f>RIGHT(D570,4)</f>
        <v>8250</v>
      </c>
      <c r="K570" t="str">
        <f>IFERROR(VLOOKUP(VALUE(J570),'Site Info'!$A:$G,3,FALSE),"")</f>
        <v>1400 E JACKSON AVE</v>
      </c>
      <c r="L570" t="str">
        <f>IFERROR(VLOOKUP(VALUE(J570),'Site Info'!$A:$G,4,FALSE),"")</f>
        <v>MCALLEN</v>
      </c>
      <c r="M570" t="str">
        <f>IFERROR(VLOOKUP(VALUE(J570),'Site Info'!$A:$G,5,FALSE),"")</f>
        <v>TX</v>
      </c>
      <c r="N570" t="str">
        <f>IFERROR(VLOOKUP(VALUE(J570),'Site Info'!$A:$G,6,FALSE),"")</f>
        <v>78503-1601</v>
      </c>
      <c r="O570">
        <f>IFERROR(VLOOKUP(VALUE(J570),'Site Info'!$A:$G,7,FALSE),"")</f>
        <v>9566183363</v>
      </c>
    </row>
    <row r="571" spans="1:15" x14ac:dyDescent="0.45">
      <c r="A571" t="s">
        <v>16504</v>
      </c>
      <c r="B571" t="s">
        <v>17213</v>
      </c>
      <c r="C571" t="s">
        <v>17214</v>
      </c>
      <c r="D571" t="s">
        <v>3212</v>
      </c>
      <c r="E571" s="1">
        <v>46153.306712962964</v>
      </c>
      <c r="F571">
        <v>1628</v>
      </c>
      <c r="G571" t="s">
        <v>17215</v>
      </c>
      <c r="H571" t="s">
        <v>13988</v>
      </c>
      <c r="I571" t="s">
        <v>3214</v>
      </c>
      <c r="J571" t="str">
        <f>RIGHT(D571,4)</f>
        <v>8250</v>
      </c>
      <c r="K571" t="str">
        <f>IFERROR(VLOOKUP(VALUE(J571),'Site Info'!$A:$G,3,FALSE),"")</f>
        <v>1400 E JACKSON AVE</v>
      </c>
      <c r="L571" t="str">
        <f>IFERROR(VLOOKUP(VALUE(J571),'Site Info'!$A:$G,4,FALSE),"")</f>
        <v>MCALLEN</v>
      </c>
      <c r="M571" t="str">
        <f>IFERROR(VLOOKUP(VALUE(J571),'Site Info'!$A:$G,5,FALSE),"")</f>
        <v>TX</v>
      </c>
      <c r="N571" t="str">
        <f>IFERROR(VLOOKUP(VALUE(J571),'Site Info'!$A:$G,6,FALSE),"")</f>
        <v>78503-1601</v>
      </c>
      <c r="O571">
        <f>IFERROR(VLOOKUP(VALUE(J571),'Site Info'!$A:$G,7,FALSE),"")</f>
        <v>9566183363</v>
      </c>
    </row>
    <row r="572" spans="1:15" x14ac:dyDescent="0.45">
      <c r="A572" t="s">
        <v>10931</v>
      </c>
      <c r="B572" t="s">
        <v>10932</v>
      </c>
      <c r="C572" t="s">
        <v>10933</v>
      </c>
      <c r="D572" t="s">
        <v>5221</v>
      </c>
      <c r="E572" s="1">
        <v>46151.646481481483</v>
      </c>
      <c r="F572">
        <v>1547</v>
      </c>
      <c r="G572" t="s">
        <v>10934</v>
      </c>
      <c r="H572" t="s">
        <v>15</v>
      </c>
      <c r="I572" t="s">
        <v>5223</v>
      </c>
      <c r="J572" t="str">
        <f>RIGHT(D572,4)</f>
        <v>8111</v>
      </c>
      <c r="K572" t="str">
        <f>IFERROR(VLOOKUP(VALUE(J572),'Site Info'!$A:$G,3,FALSE),"")</f>
        <v>1401 ALLIANT AVE</v>
      </c>
      <c r="L572" t="str">
        <f>IFERROR(VLOOKUP(VALUE(J572),'Site Info'!$A:$G,4,FALSE),"")</f>
        <v>JEFFERSONTOWN</v>
      </c>
      <c r="M572" t="str">
        <f>IFERROR(VLOOKUP(VALUE(J572),'Site Info'!$A:$G,5,FALSE),"")</f>
        <v>KY</v>
      </c>
      <c r="N572" t="str">
        <f>IFERROR(VLOOKUP(VALUE(J572),'Site Info'!$A:$G,6,FALSE),"")</f>
        <v>40299-6372</v>
      </c>
      <c r="O572">
        <f>IFERROR(VLOOKUP(VALUE(J572),'Site Info'!$A:$G,7,FALSE),"")</f>
        <v>5022670432</v>
      </c>
    </row>
    <row r="573" spans="1:15" x14ac:dyDescent="0.45">
      <c r="A573" t="s">
        <v>11656</v>
      </c>
      <c r="B573" t="s">
        <v>11657</v>
      </c>
      <c r="C573" t="s">
        <v>11658</v>
      </c>
      <c r="D573" t="s">
        <v>5221</v>
      </c>
      <c r="E573" s="1">
        <v>46153.27516203704</v>
      </c>
      <c r="F573">
        <v>1547</v>
      </c>
      <c r="G573" t="s">
        <v>11659</v>
      </c>
      <c r="H573" t="s">
        <v>15</v>
      </c>
      <c r="I573" t="s">
        <v>5223</v>
      </c>
      <c r="J573" t="str">
        <f>RIGHT(D573,4)</f>
        <v>8111</v>
      </c>
      <c r="K573" t="str">
        <f>IFERROR(VLOOKUP(VALUE(J573),'Site Info'!$A:$G,3,FALSE),"")</f>
        <v>1401 ALLIANT AVE</v>
      </c>
      <c r="L573" t="str">
        <f>IFERROR(VLOOKUP(VALUE(J573),'Site Info'!$A:$G,4,FALSE),"")</f>
        <v>JEFFERSONTOWN</v>
      </c>
      <c r="M573" t="str">
        <f>IFERROR(VLOOKUP(VALUE(J573),'Site Info'!$A:$G,5,FALSE),"")</f>
        <v>KY</v>
      </c>
      <c r="N573" t="str">
        <f>IFERROR(VLOOKUP(VALUE(J573),'Site Info'!$A:$G,6,FALSE),"")</f>
        <v>40299-6372</v>
      </c>
      <c r="O573">
        <f>IFERROR(VLOOKUP(VALUE(J573),'Site Info'!$A:$G,7,FALSE),"")</f>
        <v>5022670432</v>
      </c>
    </row>
    <row r="574" spans="1:15" x14ac:dyDescent="0.45">
      <c r="A574" t="s">
        <v>11868</v>
      </c>
      <c r="B574" t="s">
        <v>11869</v>
      </c>
      <c r="C574" t="s">
        <v>11870</v>
      </c>
      <c r="D574" t="s">
        <v>5221</v>
      </c>
      <c r="E574" s="1">
        <v>46153.320972222224</v>
      </c>
      <c r="F574">
        <v>1547</v>
      </c>
      <c r="G574" t="s">
        <v>11871</v>
      </c>
      <c r="H574" t="s">
        <v>15</v>
      </c>
      <c r="I574" t="s">
        <v>5223</v>
      </c>
      <c r="J574" t="str">
        <f>RIGHT(D574,4)</f>
        <v>8111</v>
      </c>
      <c r="K574" t="str">
        <f>IFERROR(VLOOKUP(VALUE(J574),'Site Info'!$A:$G,3,FALSE),"")</f>
        <v>1401 ALLIANT AVE</v>
      </c>
      <c r="L574" t="str">
        <f>IFERROR(VLOOKUP(VALUE(J574),'Site Info'!$A:$G,4,FALSE),"")</f>
        <v>JEFFERSONTOWN</v>
      </c>
      <c r="M574" t="str">
        <f>IFERROR(VLOOKUP(VALUE(J574),'Site Info'!$A:$G,5,FALSE),"")</f>
        <v>KY</v>
      </c>
      <c r="N574" t="str">
        <f>IFERROR(VLOOKUP(VALUE(J574),'Site Info'!$A:$G,6,FALSE),"")</f>
        <v>40299-6372</v>
      </c>
      <c r="O574">
        <f>IFERROR(VLOOKUP(VALUE(J574),'Site Info'!$A:$G,7,FALSE),"")</f>
        <v>5022670432</v>
      </c>
    </row>
    <row r="575" spans="1:15" x14ac:dyDescent="0.45">
      <c r="A575" t="s">
        <v>13936</v>
      </c>
      <c r="B575" t="s">
        <v>13937</v>
      </c>
      <c r="C575" t="s">
        <v>13938</v>
      </c>
      <c r="D575" t="s">
        <v>5221</v>
      </c>
      <c r="E575" s="1">
        <v>46153.366597222222</v>
      </c>
      <c r="F575">
        <v>1547</v>
      </c>
      <c r="G575" t="s">
        <v>13939</v>
      </c>
      <c r="H575" t="s">
        <v>15</v>
      </c>
      <c r="I575" t="s">
        <v>5223</v>
      </c>
      <c r="J575" t="str">
        <f>RIGHT(D575,4)</f>
        <v>8111</v>
      </c>
      <c r="K575" t="str">
        <f>IFERROR(VLOOKUP(VALUE(J575),'Site Info'!$A:$G,3,FALSE),"")</f>
        <v>1401 ALLIANT AVE</v>
      </c>
      <c r="L575" t="str">
        <f>IFERROR(VLOOKUP(VALUE(J575),'Site Info'!$A:$G,4,FALSE),"")</f>
        <v>JEFFERSONTOWN</v>
      </c>
      <c r="M575" t="str">
        <f>IFERROR(VLOOKUP(VALUE(J575),'Site Info'!$A:$G,5,FALSE),"")</f>
        <v>KY</v>
      </c>
      <c r="N575" t="str">
        <f>IFERROR(VLOOKUP(VALUE(J575),'Site Info'!$A:$G,6,FALSE),"")</f>
        <v>40299-6372</v>
      </c>
      <c r="O575">
        <f>IFERROR(VLOOKUP(VALUE(J575),'Site Info'!$A:$G,7,FALSE),"")</f>
        <v>5022670432</v>
      </c>
    </row>
    <row r="576" spans="1:15" x14ac:dyDescent="0.45">
      <c r="A576" t="s">
        <v>9717</v>
      </c>
      <c r="B576" t="s">
        <v>9718</v>
      </c>
      <c r="C576" t="s">
        <v>9719</v>
      </c>
      <c r="D576" t="s">
        <v>5221</v>
      </c>
      <c r="E576" s="1">
        <v>46153.367025462961</v>
      </c>
      <c r="F576">
        <v>1547</v>
      </c>
      <c r="G576" t="s">
        <v>9720</v>
      </c>
      <c r="H576" t="s">
        <v>15</v>
      </c>
      <c r="I576" t="s">
        <v>5223</v>
      </c>
      <c r="J576" t="str">
        <f>RIGHT(D576,4)</f>
        <v>8111</v>
      </c>
      <c r="K576" t="str">
        <f>IFERROR(VLOOKUP(VALUE(J576),'Site Info'!$A:$G,3,FALSE),"")</f>
        <v>1401 ALLIANT AVE</v>
      </c>
      <c r="L576" t="str">
        <f>IFERROR(VLOOKUP(VALUE(J576),'Site Info'!$A:$G,4,FALSE),"")</f>
        <v>JEFFERSONTOWN</v>
      </c>
      <c r="M576" t="str">
        <f>IFERROR(VLOOKUP(VALUE(J576),'Site Info'!$A:$G,5,FALSE),"")</f>
        <v>KY</v>
      </c>
      <c r="N576" t="str">
        <f>IFERROR(VLOOKUP(VALUE(J576),'Site Info'!$A:$G,6,FALSE),"")</f>
        <v>40299-6372</v>
      </c>
      <c r="O576">
        <f>IFERROR(VLOOKUP(VALUE(J576),'Site Info'!$A:$G,7,FALSE),"")</f>
        <v>5022670432</v>
      </c>
    </row>
    <row r="577" spans="1:15" x14ac:dyDescent="0.45">
      <c r="A577" t="s">
        <v>5218</v>
      </c>
      <c r="B577" t="s">
        <v>5219</v>
      </c>
      <c r="C577" t="s">
        <v>5220</v>
      </c>
      <c r="D577" t="s">
        <v>5221</v>
      </c>
      <c r="E577" s="1">
        <v>46153.373090277775</v>
      </c>
      <c r="F577">
        <v>1547</v>
      </c>
      <c r="G577" t="s">
        <v>5222</v>
      </c>
      <c r="H577" t="s">
        <v>15</v>
      </c>
      <c r="I577" t="s">
        <v>5223</v>
      </c>
      <c r="J577" t="str">
        <f>RIGHT(D577,4)</f>
        <v>8111</v>
      </c>
      <c r="K577" t="str">
        <f>IFERROR(VLOOKUP(VALUE(J577),'Site Info'!$A:$G,3,FALSE),"")</f>
        <v>1401 ALLIANT AVE</v>
      </c>
      <c r="L577" t="str">
        <f>IFERROR(VLOOKUP(VALUE(J577),'Site Info'!$A:$G,4,FALSE),"")</f>
        <v>JEFFERSONTOWN</v>
      </c>
      <c r="M577" t="str">
        <f>IFERROR(VLOOKUP(VALUE(J577),'Site Info'!$A:$G,5,FALSE),"")</f>
        <v>KY</v>
      </c>
      <c r="N577" t="str">
        <f>IFERROR(VLOOKUP(VALUE(J577),'Site Info'!$A:$G,6,FALSE),"")</f>
        <v>40299-6372</v>
      </c>
      <c r="O577">
        <f>IFERROR(VLOOKUP(VALUE(J577),'Site Info'!$A:$G,7,FALSE),"")</f>
        <v>5022670432</v>
      </c>
    </row>
    <row r="578" spans="1:15" x14ac:dyDescent="0.45">
      <c r="A578" t="s">
        <v>14317</v>
      </c>
      <c r="B578" t="s">
        <v>14318</v>
      </c>
      <c r="C578" t="s">
        <v>14319</v>
      </c>
      <c r="D578" t="s">
        <v>5221</v>
      </c>
      <c r="E578" s="1">
        <v>46153.356678240743</v>
      </c>
      <c r="F578">
        <v>1481</v>
      </c>
      <c r="G578" t="s">
        <v>14320</v>
      </c>
      <c r="H578" t="s">
        <v>15</v>
      </c>
      <c r="I578" t="s">
        <v>5223</v>
      </c>
      <c r="J578" t="str">
        <f>RIGHT(D578,4)</f>
        <v>8111</v>
      </c>
      <c r="K578" t="str">
        <f>IFERROR(VLOOKUP(VALUE(J578),'Site Info'!$A:$G,3,FALSE),"")</f>
        <v>1401 ALLIANT AVE</v>
      </c>
      <c r="L578" t="str">
        <f>IFERROR(VLOOKUP(VALUE(J578),'Site Info'!$A:$G,4,FALSE),"")</f>
        <v>JEFFERSONTOWN</v>
      </c>
      <c r="M578" t="str">
        <f>IFERROR(VLOOKUP(VALUE(J578),'Site Info'!$A:$G,5,FALSE),"")</f>
        <v>KY</v>
      </c>
      <c r="N578" t="str">
        <f>IFERROR(VLOOKUP(VALUE(J578),'Site Info'!$A:$G,6,FALSE),"")</f>
        <v>40299-6372</v>
      </c>
      <c r="O578">
        <f>IFERROR(VLOOKUP(VALUE(J578),'Site Info'!$A:$G,7,FALSE),"")</f>
        <v>5022670432</v>
      </c>
    </row>
    <row r="579" spans="1:15" x14ac:dyDescent="0.45">
      <c r="A579" t="s">
        <v>13751</v>
      </c>
      <c r="B579" t="s">
        <v>13752</v>
      </c>
      <c r="C579" t="s">
        <v>13753</v>
      </c>
      <c r="D579" t="s">
        <v>10009</v>
      </c>
      <c r="E579" s="1">
        <v>46150.589062500003</v>
      </c>
      <c r="F579">
        <v>1547</v>
      </c>
      <c r="G579" t="s">
        <v>13754</v>
      </c>
      <c r="H579" t="s">
        <v>15</v>
      </c>
      <c r="I579" t="s">
        <v>10011</v>
      </c>
      <c r="J579" t="str">
        <f>RIGHT(D579,4)</f>
        <v>6435</v>
      </c>
      <c r="K579" t="str">
        <f>IFERROR(VLOOKUP(VALUE(J579),'Site Info'!$A:$G,3,FALSE),"")</f>
        <v>1401 SKYLAND BLVD E</v>
      </c>
      <c r="L579" t="str">
        <f>IFERROR(VLOOKUP(VALUE(J579),'Site Info'!$A:$G,4,FALSE),"")</f>
        <v>TUSCALOOSA</v>
      </c>
      <c r="M579" t="str">
        <f>IFERROR(VLOOKUP(VALUE(J579),'Site Info'!$A:$G,5,FALSE),"")</f>
        <v>AL</v>
      </c>
      <c r="N579" t="str">
        <f>IFERROR(VLOOKUP(VALUE(J579),'Site Info'!$A:$G,6,FALSE),"")</f>
        <v>35405-4229</v>
      </c>
      <c r="O579">
        <f>IFERROR(VLOOKUP(VALUE(J579),'Site Info'!$A:$G,7,FALSE),"")</f>
        <v>2057508559</v>
      </c>
    </row>
    <row r="580" spans="1:15" x14ac:dyDescent="0.45">
      <c r="A580" t="s">
        <v>12256</v>
      </c>
      <c r="B580" t="s">
        <v>12257</v>
      </c>
      <c r="C580" t="s">
        <v>12258</v>
      </c>
      <c r="D580" t="s">
        <v>10009</v>
      </c>
      <c r="E580" s="1">
        <v>46152.469004629631</v>
      </c>
      <c r="F580">
        <v>1547</v>
      </c>
      <c r="G580" t="s">
        <v>12259</v>
      </c>
      <c r="H580" t="s">
        <v>15</v>
      </c>
      <c r="I580" t="s">
        <v>10011</v>
      </c>
      <c r="J580" t="str">
        <f>RIGHT(D580,4)</f>
        <v>6435</v>
      </c>
      <c r="K580" t="str">
        <f>IFERROR(VLOOKUP(VALUE(J580),'Site Info'!$A:$G,3,FALSE),"")</f>
        <v>1401 SKYLAND BLVD E</v>
      </c>
      <c r="L580" t="str">
        <f>IFERROR(VLOOKUP(VALUE(J580),'Site Info'!$A:$G,4,FALSE),"")</f>
        <v>TUSCALOOSA</v>
      </c>
      <c r="M580" t="str">
        <f>IFERROR(VLOOKUP(VALUE(J580),'Site Info'!$A:$G,5,FALSE),"")</f>
        <v>AL</v>
      </c>
      <c r="N580" t="str">
        <f>IFERROR(VLOOKUP(VALUE(J580),'Site Info'!$A:$G,6,FALSE),"")</f>
        <v>35405-4229</v>
      </c>
      <c r="O580">
        <f>IFERROR(VLOOKUP(VALUE(J580),'Site Info'!$A:$G,7,FALSE),"")</f>
        <v>2057508559</v>
      </c>
    </row>
    <row r="581" spans="1:15" x14ac:dyDescent="0.45">
      <c r="A581" t="s">
        <v>11538</v>
      </c>
      <c r="B581" t="s">
        <v>11539</v>
      </c>
      <c r="C581" t="s">
        <v>11540</v>
      </c>
      <c r="D581" t="s">
        <v>10009</v>
      </c>
      <c r="E581" s="1">
        <v>46152.646111111113</v>
      </c>
      <c r="F581">
        <v>1547</v>
      </c>
      <c r="G581" t="s">
        <v>11541</v>
      </c>
      <c r="H581" t="s">
        <v>15</v>
      </c>
      <c r="I581" t="s">
        <v>10011</v>
      </c>
      <c r="J581" t="str">
        <f>RIGHT(D581,4)</f>
        <v>6435</v>
      </c>
      <c r="K581" t="str">
        <f>IFERROR(VLOOKUP(VALUE(J581),'Site Info'!$A:$G,3,FALSE),"")</f>
        <v>1401 SKYLAND BLVD E</v>
      </c>
      <c r="L581" t="str">
        <f>IFERROR(VLOOKUP(VALUE(J581),'Site Info'!$A:$G,4,FALSE),"")</f>
        <v>TUSCALOOSA</v>
      </c>
      <c r="M581" t="str">
        <f>IFERROR(VLOOKUP(VALUE(J581),'Site Info'!$A:$G,5,FALSE),"")</f>
        <v>AL</v>
      </c>
      <c r="N581" t="str">
        <f>IFERROR(VLOOKUP(VALUE(J581),'Site Info'!$A:$G,6,FALSE),"")</f>
        <v>35405-4229</v>
      </c>
      <c r="O581">
        <f>IFERROR(VLOOKUP(VALUE(J581),'Site Info'!$A:$G,7,FALSE),"")</f>
        <v>2057508559</v>
      </c>
    </row>
    <row r="582" spans="1:15" x14ac:dyDescent="0.45">
      <c r="A582" t="s">
        <v>10006</v>
      </c>
      <c r="B582" t="s">
        <v>10007</v>
      </c>
      <c r="C582" t="s">
        <v>10008</v>
      </c>
      <c r="D582" t="s">
        <v>10009</v>
      </c>
      <c r="E582" s="1">
        <v>46153.096921296295</v>
      </c>
      <c r="F582">
        <v>1547</v>
      </c>
      <c r="G582" t="s">
        <v>10010</v>
      </c>
      <c r="H582" t="s">
        <v>15</v>
      </c>
      <c r="I582" t="s">
        <v>10011</v>
      </c>
      <c r="J582" t="str">
        <f>RIGHT(D582,4)</f>
        <v>6435</v>
      </c>
      <c r="K582" t="str">
        <f>IFERROR(VLOOKUP(VALUE(J582),'Site Info'!$A:$G,3,FALSE),"")</f>
        <v>1401 SKYLAND BLVD E</v>
      </c>
      <c r="L582" t="str">
        <f>IFERROR(VLOOKUP(VALUE(J582),'Site Info'!$A:$G,4,FALSE),"")</f>
        <v>TUSCALOOSA</v>
      </c>
      <c r="M582" t="str">
        <f>IFERROR(VLOOKUP(VALUE(J582),'Site Info'!$A:$G,5,FALSE),"")</f>
        <v>AL</v>
      </c>
      <c r="N582" t="str">
        <f>IFERROR(VLOOKUP(VALUE(J582),'Site Info'!$A:$G,6,FALSE),"")</f>
        <v>35405-4229</v>
      </c>
      <c r="O582">
        <f>IFERROR(VLOOKUP(VALUE(J582),'Site Info'!$A:$G,7,FALSE),"")</f>
        <v>2057508559</v>
      </c>
    </row>
    <row r="583" spans="1:15" x14ac:dyDescent="0.45">
      <c r="A583" t="s">
        <v>11268</v>
      </c>
      <c r="B583" t="s">
        <v>11269</v>
      </c>
      <c r="C583" t="s">
        <v>11270</v>
      </c>
      <c r="D583" t="s">
        <v>2356</v>
      </c>
      <c r="E583" s="1">
        <v>46127.378298611111</v>
      </c>
      <c r="F583">
        <v>1547</v>
      </c>
      <c r="G583" t="s">
        <v>11271</v>
      </c>
      <c r="H583" t="s">
        <v>15</v>
      </c>
      <c r="I583" t="s">
        <v>2358</v>
      </c>
      <c r="J583" t="str">
        <f>RIGHT(D583,4)</f>
        <v>8176</v>
      </c>
      <c r="K583" t="str">
        <f>IFERROR(VLOOKUP(VALUE(J583),'Site Info'!$A:$G,3,FALSE),"")</f>
        <v>1401 SW WANAMAKER RD</v>
      </c>
      <c r="L583" t="str">
        <f>IFERROR(VLOOKUP(VALUE(J583),'Site Info'!$A:$G,4,FALSE),"")</f>
        <v>TOPEKA</v>
      </c>
      <c r="M583" t="str">
        <f>IFERROR(VLOOKUP(VALUE(J583),'Site Info'!$A:$G,5,FALSE),"")</f>
        <v>KS</v>
      </c>
      <c r="N583" t="str">
        <f>IFERROR(VLOOKUP(VALUE(J583),'Site Info'!$A:$G,6,FALSE),"")</f>
        <v>66604-3869</v>
      </c>
      <c r="O583">
        <f>IFERROR(VLOOKUP(VALUE(J583),'Site Info'!$A:$G,7,FALSE),"")</f>
        <v>7852735181</v>
      </c>
    </row>
    <row r="584" spans="1:15" x14ac:dyDescent="0.45">
      <c r="A584" t="s">
        <v>11328</v>
      </c>
      <c r="B584" t="s">
        <v>11329</v>
      </c>
      <c r="C584" t="s">
        <v>11330</v>
      </c>
      <c r="D584" t="s">
        <v>2356</v>
      </c>
      <c r="E584" s="1">
        <v>46152.572175925925</v>
      </c>
      <c r="F584">
        <v>1547</v>
      </c>
      <c r="G584" t="s">
        <v>11331</v>
      </c>
      <c r="H584" t="s">
        <v>15</v>
      </c>
      <c r="I584" t="s">
        <v>2358</v>
      </c>
      <c r="J584" t="str">
        <f>RIGHT(D584,4)</f>
        <v>8176</v>
      </c>
      <c r="K584" t="str">
        <f>IFERROR(VLOOKUP(VALUE(J584),'Site Info'!$A:$G,3,FALSE),"")</f>
        <v>1401 SW WANAMAKER RD</v>
      </c>
      <c r="L584" t="str">
        <f>IFERROR(VLOOKUP(VALUE(J584),'Site Info'!$A:$G,4,FALSE),"")</f>
        <v>TOPEKA</v>
      </c>
      <c r="M584" t="str">
        <f>IFERROR(VLOOKUP(VALUE(J584),'Site Info'!$A:$G,5,FALSE),"")</f>
        <v>KS</v>
      </c>
      <c r="N584" t="str">
        <f>IFERROR(VLOOKUP(VALUE(J584),'Site Info'!$A:$G,6,FALSE),"")</f>
        <v>66604-3869</v>
      </c>
      <c r="O584">
        <f>IFERROR(VLOOKUP(VALUE(J584),'Site Info'!$A:$G,7,FALSE),"")</f>
        <v>7852735181</v>
      </c>
    </row>
    <row r="585" spans="1:15" x14ac:dyDescent="0.45">
      <c r="A585" t="s">
        <v>11308</v>
      </c>
      <c r="B585" t="s">
        <v>11309</v>
      </c>
      <c r="C585" t="s">
        <v>11310</v>
      </c>
      <c r="D585" t="s">
        <v>2356</v>
      </c>
      <c r="E585" s="1">
        <v>46152.664421296293</v>
      </c>
      <c r="F585">
        <v>1547</v>
      </c>
      <c r="G585" t="s">
        <v>11311</v>
      </c>
      <c r="H585" t="s">
        <v>15</v>
      </c>
      <c r="I585" t="s">
        <v>2358</v>
      </c>
      <c r="J585" t="str">
        <f>RIGHT(D585,4)</f>
        <v>8176</v>
      </c>
      <c r="K585" t="str">
        <f>IFERROR(VLOOKUP(VALUE(J585),'Site Info'!$A:$G,3,FALSE),"")</f>
        <v>1401 SW WANAMAKER RD</v>
      </c>
      <c r="L585" t="str">
        <f>IFERROR(VLOOKUP(VALUE(J585),'Site Info'!$A:$G,4,FALSE),"")</f>
        <v>TOPEKA</v>
      </c>
      <c r="M585" t="str">
        <f>IFERROR(VLOOKUP(VALUE(J585),'Site Info'!$A:$G,5,FALSE),"")</f>
        <v>KS</v>
      </c>
      <c r="N585" t="str">
        <f>IFERROR(VLOOKUP(VALUE(J585),'Site Info'!$A:$G,6,FALSE),"")</f>
        <v>66604-3869</v>
      </c>
      <c r="O585">
        <f>IFERROR(VLOOKUP(VALUE(J585),'Site Info'!$A:$G,7,FALSE),"")</f>
        <v>7852735181</v>
      </c>
    </row>
    <row r="586" spans="1:15" x14ac:dyDescent="0.45">
      <c r="A586" t="s">
        <v>10420</v>
      </c>
      <c r="B586" t="s">
        <v>10421</v>
      </c>
      <c r="C586" t="s">
        <v>10422</v>
      </c>
      <c r="D586" t="s">
        <v>2356</v>
      </c>
      <c r="E586" s="1">
        <v>46153.258703703701</v>
      </c>
      <c r="F586">
        <v>1547</v>
      </c>
      <c r="G586" t="s">
        <v>10423</v>
      </c>
      <c r="H586" t="s">
        <v>15</v>
      </c>
      <c r="I586" t="s">
        <v>2358</v>
      </c>
      <c r="J586" t="str">
        <f>RIGHT(D586,4)</f>
        <v>8176</v>
      </c>
      <c r="K586" t="str">
        <f>IFERROR(VLOOKUP(VALUE(J586),'Site Info'!$A:$G,3,FALSE),"")</f>
        <v>1401 SW WANAMAKER RD</v>
      </c>
      <c r="L586" t="str">
        <f>IFERROR(VLOOKUP(VALUE(J586),'Site Info'!$A:$G,4,FALSE),"")</f>
        <v>TOPEKA</v>
      </c>
      <c r="M586" t="str">
        <f>IFERROR(VLOOKUP(VALUE(J586),'Site Info'!$A:$G,5,FALSE),"")</f>
        <v>KS</v>
      </c>
      <c r="N586" t="str">
        <f>IFERROR(VLOOKUP(VALUE(J586),'Site Info'!$A:$G,6,FALSE),"")</f>
        <v>66604-3869</v>
      </c>
      <c r="O586">
        <f>IFERROR(VLOOKUP(VALUE(J586),'Site Info'!$A:$G,7,FALSE),"")</f>
        <v>7852735181</v>
      </c>
    </row>
    <row r="587" spans="1:15" x14ac:dyDescent="0.45">
      <c r="A587" t="s">
        <v>14487</v>
      </c>
      <c r="B587" t="s">
        <v>14488</v>
      </c>
      <c r="C587" t="s">
        <v>14489</v>
      </c>
      <c r="D587" t="s">
        <v>2356</v>
      </c>
      <c r="E587" s="1">
        <v>46153.354826388888</v>
      </c>
      <c r="F587">
        <v>1547</v>
      </c>
      <c r="G587" t="s">
        <v>14490</v>
      </c>
      <c r="H587" t="s">
        <v>15</v>
      </c>
      <c r="I587" t="s">
        <v>2358</v>
      </c>
      <c r="J587" t="str">
        <f>RIGHT(D587,4)</f>
        <v>8176</v>
      </c>
      <c r="K587" t="str">
        <f>IFERROR(VLOOKUP(VALUE(J587),'Site Info'!$A:$G,3,FALSE),"")</f>
        <v>1401 SW WANAMAKER RD</v>
      </c>
      <c r="L587" t="str">
        <f>IFERROR(VLOOKUP(VALUE(J587),'Site Info'!$A:$G,4,FALSE),"")</f>
        <v>TOPEKA</v>
      </c>
      <c r="M587" t="str">
        <f>IFERROR(VLOOKUP(VALUE(J587),'Site Info'!$A:$G,5,FALSE),"")</f>
        <v>KS</v>
      </c>
      <c r="N587" t="str">
        <f>IFERROR(VLOOKUP(VALUE(J587),'Site Info'!$A:$G,6,FALSE),"")</f>
        <v>66604-3869</v>
      </c>
      <c r="O587">
        <f>IFERROR(VLOOKUP(VALUE(J587),'Site Info'!$A:$G,7,FALSE),"")</f>
        <v>7852735181</v>
      </c>
    </row>
    <row r="588" spans="1:15" x14ac:dyDescent="0.45">
      <c r="A588" t="s">
        <v>2353</v>
      </c>
      <c r="B588" t="s">
        <v>2354</v>
      </c>
      <c r="C588" t="s">
        <v>2355</v>
      </c>
      <c r="D588" t="s">
        <v>2356</v>
      </c>
      <c r="E588" s="1">
        <v>46153.358460648145</v>
      </c>
      <c r="F588">
        <v>1481</v>
      </c>
      <c r="G588" t="s">
        <v>2357</v>
      </c>
      <c r="H588" t="s">
        <v>15</v>
      </c>
      <c r="I588" t="s">
        <v>2358</v>
      </c>
      <c r="J588" t="str">
        <f>RIGHT(D588,4)</f>
        <v>8176</v>
      </c>
      <c r="K588" t="str">
        <f>IFERROR(VLOOKUP(VALUE(J588),'Site Info'!$A:$G,3,FALSE),"")</f>
        <v>1401 SW WANAMAKER RD</v>
      </c>
      <c r="L588" t="str">
        <f>IFERROR(VLOOKUP(VALUE(J588),'Site Info'!$A:$G,4,FALSE),"")</f>
        <v>TOPEKA</v>
      </c>
      <c r="M588" t="str">
        <f>IFERROR(VLOOKUP(VALUE(J588),'Site Info'!$A:$G,5,FALSE),"")</f>
        <v>KS</v>
      </c>
      <c r="N588" t="str">
        <f>IFERROR(VLOOKUP(VALUE(J588),'Site Info'!$A:$G,6,FALSE),"")</f>
        <v>66604-3869</v>
      </c>
      <c r="O588">
        <f>IFERROR(VLOOKUP(VALUE(J588),'Site Info'!$A:$G,7,FALSE),"")</f>
        <v>7852735181</v>
      </c>
    </row>
    <row r="589" spans="1:15" x14ac:dyDescent="0.45">
      <c r="A589" t="s">
        <v>16739</v>
      </c>
      <c r="B589" t="s">
        <v>17141</v>
      </c>
      <c r="C589" t="s">
        <v>17142</v>
      </c>
      <c r="D589" t="s">
        <v>2356</v>
      </c>
      <c r="E589" s="1">
        <v>46148.747245370374</v>
      </c>
      <c r="F589">
        <v>1628</v>
      </c>
      <c r="G589" t="s">
        <v>17143</v>
      </c>
      <c r="H589" t="s">
        <v>13988</v>
      </c>
      <c r="I589" t="s">
        <v>2358</v>
      </c>
      <c r="J589" t="str">
        <f>RIGHT(D589,4)</f>
        <v>8176</v>
      </c>
      <c r="K589" t="str">
        <f>IFERROR(VLOOKUP(VALUE(J589),'Site Info'!$A:$G,3,FALSE),"")</f>
        <v>1401 SW WANAMAKER RD</v>
      </c>
      <c r="L589" t="str">
        <f>IFERROR(VLOOKUP(VALUE(J589),'Site Info'!$A:$G,4,FALSE),"")</f>
        <v>TOPEKA</v>
      </c>
      <c r="M589" t="str">
        <f>IFERROR(VLOOKUP(VALUE(J589),'Site Info'!$A:$G,5,FALSE),"")</f>
        <v>KS</v>
      </c>
      <c r="N589" t="str">
        <f>IFERROR(VLOOKUP(VALUE(J589),'Site Info'!$A:$G,6,FALSE),"")</f>
        <v>66604-3869</v>
      </c>
      <c r="O589">
        <f>IFERROR(VLOOKUP(VALUE(J589),'Site Info'!$A:$G,7,FALSE),"")</f>
        <v>7852735181</v>
      </c>
    </row>
    <row r="590" spans="1:15" x14ac:dyDescent="0.45">
      <c r="A590" t="s">
        <v>17144</v>
      </c>
      <c r="B590" t="s">
        <v>17145</v>
      </c>
      <c r="C590" t="s">
        <v>17146</v>
      </c>
      <c r="D590" t="s">
        <v>2356</v>
      </c>
      <c r="E590" s="1">
        <v>46153.306851851848</v>
      </c>
      <c r="F590">
        <v>1547</v>
      </c>
      <c r="G590" t="s">
        <v>17147</v>
      </c>
      <c r="H590" t="s">
        <v>15</v>
      </c>
      <c r="I590" t="s">
        <v>2358</v>
      </c>
      <c r="J590" t="str">
        <f>RIGHT(D590,4)</f>
        <v>8176</v>
      </c>
      <c r="K590" t="str">
        <f>IFERROR(VLOOKUP(VALUE(J590),'Site Info'!$A:$G,3,FALSE),"")</f>
        <v>1401 SW WANAMAKER RD</v>
      </c>
      <c r="L590" t="str">
        <f>IFERROR(VLOOKUP(VALUE(J590),'Site Info'!$A:$G,4,FALSE),"")</f>
        <v>TOPEKA</v>
      </c>
      <c r="M590" t="str">
        <f>IFERROR(VLOOKUP(VALUE(J590),'Site Info'!$A:$G,5,FALSE),"")</f>
        <v>KS</v>
      </c>
      <c r="N590" t="str">
        <f>IFERROR(VLOOKUP(VALUE(J590),'Site Info'!$A:$G,6,FALSE),"")</f>
        <v>66604-3869</v>
      </c>
      <c r="O590">
        <f>IFERROR(VLOOKUP(VALUE(J590),'Site Info'!$A:$G,7,FALSE),"")</f>
        <v>7852735181</v>
      </c>
    </row>
    <row r="591" spans="1:15" x14ac:dyDescent="0.45">
      <c r="A591" t="s">
        <v>12742</v>
      </c>
      <c r="B591" t="s">
        <v>12743</v>
      </c>
      <c r="C591" t="s">
        <v>12744</v>
      </c>
      <c r="D591" t="s">
        <v>1809</v>
      </c>
      <c r="E591" s="1">
        <v>46150.643425925926</v>
      </c>
      <c r="F591">
        <v>1547</v>
      </c>
      <c r="G591" t="s">
        <v>12745</v>
      </c>
      <c r="H591" t="s">
        <v>15</v>
      </c>
      <c r="I591" t="s">
        <v>1811</v>
      </c>
      <c r="J591" t="str">
        <f>RIGHT(D591,4)</f>
        <v>6338</v>
      </c>
      <c r="K591" t="str">
        <f>IFERROR(VLOOKUP(VALUE(J591),'Site Info'!$A:$G,3,FALSE),"")</f>
        <v>1405 EARL RUDDER FWY S</v>
      </c>
      <c r="L591" t="str">
        <f>IFERROR(VLOOKUP(VALUE(J591),'Site Info'!$A:$G,4,FALSE),"")</f>
        <v>COLLEGE STATION</v>
      </c>
      <c r="M591" t="str">
        <f>IFERROR(VLOOKUP(VALUE(J591),'Site Info'!$A:$G,5,FALSE),"")</f>
        <v>TX</v>
      </c>
      <c r="N591" t="str">
        <f>IFERROR(VLOOKUP(VALUE(J591),'Site Info'!$A:$G,6,FALSE),"")</f>
        <v>77845-6033</v>
      </c>
      <c r="O591">
        <f>IFERROR(VLOOKUP(VALUE(J591),'Site Info'!$A:$G,7,FALSE),"")</f>
        <v>9796932828</v>
      </c>
    </row>
    <row r="592" spans="1:15" x14ac:dyDescent="0.45">
      <c r="A592" t="s">
        <v>12778</v>
      </c>
      <c r="B592" t="s">
        <v>12779</v>
      </c>
      <c r="C592" t="s">
        <v>12780</v>
      </c>
      <c r="D592" t="s">
        <v>1809</v>
      </c>
      <c r="E592" s="1">
        <v>46151.785104166665</v>
      </c>
      <c r="F592">
        <v>1547</v>
      </c>
      <c r="G592" t="s">
        <v>12781</v>
      </c>
      <c r="H592" t="s">
        <v>15</v>
      </c>
      <c r="I592" t="s">
        <v>1811</v>
      </c>
      <c r="J592" t="str">
        <f>RIGHT(D592,4)</f>
        <v>6338</v>
      </c>
      <c r="K592" t="str">
        <f>IFERROR(VLOOKUP(VALUE(J592),'Site Info'!$A:$G,3,FALSE),"")</f>
        <v>1405 EARL RUDDER FWY S</v>
      </c>
      <c r="L592" t="str">
        <f>IFERROR(VLOOKUP(VALUE(J592),'Site Info'!$A:$G,4,FALSE),"")</f>
        <v>COLLEGE STATION</v>
      </c>
      <c r="M592" t="str">
        <f>IFERROR(VLOOKUP(VALUE(J592),'Site Info'!$A:$G,5,FALSE),"")</f>
        <v>TX</v>
      </c>
      <c r="N592" t="str">
        <f>IFERROR(VLOOKUP(VALUE(J592),'Site Info'!$A:$G,6,FALSE),"")</f>
        <v>77845-6033</v>
      </c>
      <c r="O592">
        <f>IFERROR(VLOOKUP(VALUE(J592),'Site Info'!$A:$G,7,FALSE),"")</f>
        <v>9796932828</v>
      </c>
    </row>
    <row r="593" spans="1:15" x14ac:dyDescent="0.45">
      <c r="A593" t="s">
        <v>12762</v>
      </c>
      <c r="B593" t="s">
        <v>12763</v>
      </c>
      <c r="C593" t="s">
        <v>12764</v>
      </c>
      <c r="D593" t="s">
        <v>1809</v>
      </c>
      <c r="E593" s="1">
        <v>46152.677627314813</v>
      </c>
      <c r="F593">
        <v>1547</v>
      </c>
      <c r="G593" t="s">
        <v>12765</v>
      </c>
      <c r="H593" t="s">
        <v>15</v>
      </c>
      <c r="I593" t="s">
        <v>1811</v>
      </c>
      <c r="J593" t="str">
        <f>RIGHT(D593,4)</f>
        <v>6338</v>
      </c>
      <c r="K593" t="str">
        <f>IFERROR(VLOOKUP(VALUE(J593),'Site Info'!$A:$G,3,FALSE),"")</f>
        <v>1405 EARL RUDDER FWY S</v>
      </c>
      <c r="L593" t="str">
        <f>IFERROR(VLOOKUP(VALUE(J593),'Site Info'!$A:$G,4,FALSE),"")</f>
        <v>COLLEGE STATION</v>
      </c>
      <c r="M593" t="str">
        <f>IFERROR(VLOOKUP(VALUE(J593),'Site Info'!$A:$G,5,FALSE),"")</f>
        <v>TX</v>
      </c>
      <c r="N593" t="str">
        <f>IFERROR(VLOOKUP(VALUE(J593),'Site Info'!$A:$G,6,FALSE),"")</f>
        <v>77845-6033</v>
      </c>
      <c r="O593">
        <f>IFERROR(VLOOKUP(VALUE(J593),'Site Info'!$A:$G,7,FALSE),"")</f>
        <v>9796932828</v>
      </c>
    </row>
    <row r="594" spans="1:15" x14ac:dyDescent="0.45">
      <c r="A594" t="s">
        <v>13255</v>
      </c>
      <c r="B594" t="s">
        <v>13256</v>
      </c>
      <c r="C594" t="s">
        <v>13257</v>
      </c>
      <c r="D594" t="s">
        <v>1809</v>
      </c>
      <c r="E594" s="1">
        <v>46153.342418981483</v>
      </c>
      <c r="F594">
        <v>1547</v>
      </c>
      <c r="G594" t="s">
        <v>13258</v>
      </c>
      <c r="H594" t="s">
        <v>15</v>
      </c>
      <c r="I594" t="s">
        <v>1811</v>
      </c>
      <c r="J594" t="str">
        <f>RIGHT(D594,4)</f>
        <v>6338</v>
      </c>
      <c r="K594" t="str">
        <f>IFERROR(VLOOKUP(VALUE(J594),'Site Info'!$A:$G,3,FALSE),"")</f>
        <v>1405 EARL RUDDER FWY S</v>
      </c>
      <c r="L594" t="str">
        <f>IFERROR(VLOOKUP(VALUE(J594),'Site Info'!$A:$G,4,FALSE),"")</f>
        <v>COLLEGE STATION</v>
      </c>
      <c r="M594" t="str">
        <f>IFERROR(VLOOKUP(VALUE(J594),'Site Info'!$A:$G,5,FALSE),"")</f>
        <v>TX</v>
      </c>
      <c r="N594" t="str">
        <f>IFERROR(VLOOKUP(VALUE(J594),'Site Info'!$A:$G,6,FALSE),"")</f>
        <v>77845-6033</v>
      </c>
      <c r="O594">
        <f>IFERROR(VLOOKUP(VALUE(J594),'Site Info'!$A:$G,7,FALSE),"")</f>
        <v>9796932828</v>
      </c>
    </row>
    <row r="595" spans="1:15" x14ac:dyDescent="0.45">
      <c r="A595" t="s">
        <v>1806</v>
      </c>
      <c r="B595" t="s">
        <v>1807</v>
      </c>
      <c r="C595" t="s">
        <v>1808</v>
      </c>
      <c r="D595" t="s">
        <v>1809</v>
      </c>
      <c r="E595" s="1">
        <v>46153.373530092591</v>
      </c>
      <c r="F595">
        <v>1481</v>
      </c>
      <c r="G595" t="s">
        <v>1810</v>
      </c>
      <c r="H595" t="s">
        <v>15</v>
      </c>
      <c r="I595" t="s">
        <v>1811</v>
      </c>
      <c r="J595" t="str">
        <f>RIGHT(D595,4)</f>
        <v>6338</v>
      </c>
      <c r="K595" t="str">
        <f>IFERROR(VLOOKUP(VALUE(J595),'Site Info'!$A:$G,3,FALSE),"")</f>
        <v>1405 EARL RUDDER FWY S</v>
      </c>
      <c r="L595" t="str">
        <f>IFERROR(VLOOKUP(VALUE(J595),'Site Info'!$A:$G,4,FALSE),"")</f>
        <v>COLLEGE STATION</v>
      </c>
      <c r="M595" t="str">
        <f>IFERROR(VLOOKUP(VALUE(J595),'Site Info'!$A:$G,5,FALSE),"")</f>
        <v>TX</v>
      </c>
      <c r="N595" t="str">
        <f>IFERROR(VLOOKUP(VALUE(J595),'Site Info'!$A:$G,6,FALSE),"")</f>
        <v>77845-6033</v>
      </c>
      <c r="O595">
        <f>IFERROR(VLOOKUP(VALUE(J595),'Site Info'!$A:$G,7,FALSE),"")</f>
        <v>9796932828</v>
      </c>
    </row>
    <row r="596" spans="1:15" x14ac:dyDescent="0.45">
      <c r="A596" t="s">
        <v>4128</v>
      </c>
      <c r="B596" t="s">
        <v>4129</v>
      </c>
      <c r="C596" t="s">
        <v>4130</v>
      </c>
      <c r="D596" t="s">
        <v>1331</v>
      </c>
      <c r="E596" s="1">
        <v>46153.329236111109</v>
      </c>
      <c r="F596">
        <v>1548</v>
      </c>
      <c r="G596" t="s">
        <v>4131</v>
      </c>
      <c r="H596" t="s">
        <v>15</v>
      </c>
      <c r="I596" t="s">
        <v>1333</v>
      </c>
      <c r="J596" t="str">
        <f>RIGHT(D596,4)</f>
        <v>6371</v>
      </c>
      <c r="K596" t="str">
        <f>IFERROR(VLOOKUP(VALUE(J596),'Site Info'!$A:$G,3,FALSE),"")</f>
        <v>14050 WORTH AVE</v>
      </c>
      <c r="L596" t="str">
        <f>IFERROR(VLOOKUP(VALUE(J596),'Site Info'!$A:$G,4,FALSE),"")</f>
        <v>WOODBRIDGE</v>
      </c>
      <c r="M596" t="str">
        <f>IFERROR(VLOOKUP(VALUE(J596),'Site Info'!$A:$G,5,FALSE),"")</f>
        <v>VA</v>
      </c>
      <c r="N596" t="str">
        <f>IFERROR(VLOOKUP(VALUE(J596),'Site Info'!$A:$G,6,FALSE),"")</f>
        <v>22192-4121</v>
      </c>
      <c r="O596">
        <f>IFERROR(VLOOKUP(VALUE(J596),'Site Info'!$A:$G,7,FALSE),"")</f>
        <v>7034912662</v>
      </c>
    </row>
    <row r="597" spans="1:15" x14ac:dyDescent="0.45">
      <c r="A597" t="s">
        <v>12368</v>
      </c>
      <c r="B597" t="s">
        <v>12369</v>
      </c>
      <c r="C597" t="s">
        <v>12370</v>
      </c>
      <c r="D597" t="s">
        <v>1331</v>
      </c>
      <c r="E597" s="1">
        <v>46093.529062499998</v>
      </c>
      <c r="F597">
        <v>1547</v>
      </c>
      <c r="G597" t="s">
        <v>12371</v>
      </c>
      <c r="H597" t="s">
        <v>15</v>
      </c>
      <c r="I597" t="s">
        <v>1333</v>
      </c>
      <c r="J597" t="str">
        <f>RIGHT(D597,4)</f>
        <v>6371</v>
      </c>
      <c r="K597" t="str">
        <f>IFERROR(VLOOKUP(VALUE(J597),'Site Info'!$A:$G,3,FALSE),"")</f>
        <v>14050 WORTH AVE</v>
      </c>
      <c r="L597" t="str">
        <f>IFERROR(VLOOKUP(VALUE(J597),'Site Info'!$A:$G,4,FALSE),"")</f>
        <v>WOODBRIDGE</v>
      </c>
      <c r="M597" t="str">
        <f>IFERROR(VLOOKUP(VALUE(J597),'Site Info'!$A:$G,5,FALSE),"")</f>
        <v>VA</v>
      </c>
      <c r="N597" t="str">
        <f>IFERROR(VLOOKUP(VALUE(J597),'Site Info'!$A:$G,6,FALSE),"")</f>
        <v>22192-4121</v>
      </c>
      <c r="O597">
        <f>IFERROR(VLOOKUP(VALUE(J597),'Site Info'!$A:$G,7,FALSE),"")</f>
        <v>7034912662</v>
      </c>
    </row>
    <row r="598" spans="1:15" x14ac:dyDescent="0.45">
      <c r="A598" t="s">
        <v>10020</v>
      </c>
      <c r="B598" t="s">
        <v>10021</v>
      </c>
      <c r="C598" t="s">
        <v>10022</v>
      </c>
      <c r="D598" t="s">
        <v>1331</v>
      </c>
      <c r="E598" s="1">
        <v>46151.699918981481</v>
      </c>
      <c r="F598">
        <v>1547</v>
      </c>
      <c r="G598" t="s">
        <v>10023</v>
      </c>
      <c r="H598" t="s">
        <v>15</v>
      </c>
      <c r="I598" t="s">
        <v>1333</v>
      </c>
      <c r="J598" t="str">
        <f>RIGHT(D598,4)</f>
        <v>6371</v>
      </c>
      <c r="K598" t="str">
        <f>IFERROR(VLOOKUP(VALUE(J598),'Site Info'!$A:$G,3,FALSE),"")</f>
        <v>14050 WORTH AVE</v>
      </c>
      <c r="L598" t="str">
        <f>IFERROR(VLOOKUP(VALUE(J598),'Site Info'!$A:$G,4,FALSE),"")</f>
        <v>WOODBRIDGE</v>
      </c>
      <c r="M598" t="str">
        <f>IFERROR(VLOOKUP(VALUE(J598),'Site Info'!$A:$G,5,FALSE),"")</f>
        <v>VA</v>
      </c>
      <c r="N598" t="str">
        <f>IFERROR(VLOOKUP(VALUE(J598),'Site Info'!$A:$G,6,FALSE),"")</f>
        <v>22192-4121</v>
      </c>
      <c r="O598">
        <f>IFERROR(VLOOKUP(VALUE(J598),'Site Info'!$A:$G,7,FALSE),"")</f>
        <v>7034912662</v>
      </c>
    </row>
    <row r="599" spans="1:15" x14ac:dyDescent="0.45">
      <c r="A599" t="s">
        <v>12132</v>
      </c>
      <c r="B599" t="s">
        <v>12133</v>
      </c>
      <c r="C599" t="s">
        <v>12134</v>
      </c>
      <c r="D599" t="s">
        <v>1331</v>
      </c>
      <c r="E599" s="1">
        <v>46153.276944444442</v>
      </c>
      <c r="F599">
        <v>1547</v>
      </c>
      <c r="G599" t="s">
        <v>12135</v>
      </c>
      <c r="H599" t="s">
        <v>15</v>
      </c>
      <c r="I599" t="s">
        <v>1333</v>
      </c>
      <c r="J599" t="str">
        <f>RIGHT(D599,4)</f>
        <v>6371</v>
      </c>
      <c r="K599" t="str">
        <f>IFERROR(VLOOKUP(VALUE(J599),'Site Info'!$A:$G,3,FALSE),"")</f>
        <v>14050 WORTH AVE</v>
      </c>
      <c r="L599" t="str">
        <f>IFERROR(VLOOKUP(VALUE(J599),'Site Info'!$A:$G,4,FALSE),"")</f>
        <v>WOODBRIDGE</v>
      </c>
      <c r="M599" t="str">
        <f>IFERROR(VLOOKUP(VALUE(J599),'Site Info'!$A:$G,5,FALSE),"")</f>
        <v>VA</v>
      </c>
      <c r="N599" t="str">
        <f>IFERROR(VLOOKUP(VALUE(J599),'Site Info'!$A:$G,6,FALSE),"")</f>
        <v>22192-4121</v>
      </c>
      <c r="O599">
        <f>IFERROR(VLOOKUP(VALUE(J599),'Site Info'!$A:$G,7,FALSE),"")</f>
        <v>7034912662</v>
      </c>
    </row>
    <row r="600" spans="1:15" x14ac:dyDescent="0.45">
      <c r="A600" t="s">
        <v>14029</v>
      </c>
      <c r="B600" t="s">
        <v>14030</v>
      </c>
      <c r="C600" t="s">
        <v>14031</v>
      </c>
      <c r="D600" t="s">
        <v>1331</v>
      </c>
      <c r="E600" s="1">
        <v>46153.369942129626</v>
      </c>
      <c r="F600">
        <v>1547</v>
      </c>
      <c r="G600" t="s">
        <v>14032</v>
      </c>
      <c r="H600" t="s">
        <v>15</v>
      </c>
      <c r="I600" t="s">
        <v>1333</v>
      </c>
      <c r="J600" t="str">
        <f>RIGHT(D600,4)</f>
        <v>6371</v>
      </c>
      <c r="K600" t="str">
        <f>IFERROR(VLOOKUP(VALUE(J600),'Site Info'!$A:$G,3,FALSE),"")</f>
        <v>14050 WORTH AVE</v>
      </c>
      <c r="L600" t="str">
        <f>IFERROR(VLOOKUP(VALUE(J600),'Site Info'!$A:$G,4,FALSE),"")</f>
        <v>WOODBRIDGE</v>
      </c>
      <c r="M600" t="str">
        <f>IFERROR(VLOOKUP(VALUE(J600),'Site Info'!$A:$G,5,FALSE),"")</f>
        <v>VA</v>
      </c>
      <c r="N600" t="str">
        <f>IFERROR(VLOOKUP(VALUE(J600),'Site Info'!$A:$G,6,FALSE),"")</f>
        <v>22192-4121</v>
      </c>
      <c r="O600">
        <f>IFERROR(VLOOKUP(VALUE(J600),'Site Info'!$A:$G,7,FALSE),"")</f>
        <v>7034912662</v>
      </c>
    </row>
    <row r="601" spans="1:15" x14ac:dyDescent="0.45">
      <c r="A601" t="s">
        <v>12068</v>
      </c>
      <c r="B601" t="s">
        <v>12069</v>
      </c>
      <c r="C601" t="s">
        <v>12070</v>
      </c>
      <c r="D601" t="s">
        <v>1331</v>
      </c>
      <c r="E601" s="1">
        <v>46153.373506944445</v>
      </c>
      <c r="F601">
        <v>1547</v>
      </c>
      <c r="G601" t="s">
        <v>12071</v>
      </c>
      <c r="H601" t="s">
        <v>15</v>
      </c>
      <c r="I601" t="s">
        <v>1333</v>
      </c>
      <c r="J601" t="str">
        <f>RIGHT(D601,4)</f>
        <v>6371</v>
      </c>
      <c r="K601" t="str">
        <f>IFERROR(VLOOKUP(VALUE(J601),'Site Info'!$A:$G,3,FALSE),"")</f>
        <v>14050 WORTH AVE</v>
      </c>
      <c r="L601" t="str">
        <f>IFERROR(VLOOKUP(VALUE(J601),'Site Info'!$A:$G,4,FALSE),"")</f>
        <v>WOODBRIDGE</v>
      </c>
      <c r="M601" t="str">
        <f>IFERROR(VLOOKUP(VALUE(J601),'Site Info'!$A:$G,5,FALSE),"")</f>
        <v>VA</v>
      </c>
      <c r="N601" t="str">
        <f>IFERROR(VLOOKUP(VALUE(J601),'Site Info'!$A:$G,6,FALSE),"")</f>
        <v>22192-4121</v>
      </c>
      <c r="O601">
        <f>IFERROR(VLOOKUP(VALUE(J601),'Site Info'!$A:$G,7,FALSE),"")</f>
        <v>7034912662</v>
      </c>
    </row>
    <row r="602" spans="1:15" x14ac:dyDescent="0.45">
      <c r="A602" t="s">
        <v>10668</v>
      </c>
      <c r="B602" t="s">
        <v>10669</v>
      </c>
      <c r="C602" t="s">
        <v>10670</v>
      </c>
      <c r="D602" t="s">
        <v>1331</v>
      </c>
      <c r="E602" s="1">
        <v>46153.380185185182</v>
      </c>
      <c r="F602">
        <v>1547</v>
      </c>
      <c r="G602" t="s">
        <v>10671</v>
      </c>
      <c r="H602" t="s">
        <v>15</v>
      </c>
      <c r="I602" t="s">
        <v>1333</v>
      </c>
      <c r="J602" t="str">
        <f>RIGHT(D602,4)</f>
        <v>6371</v>
      </c>
      <c r="K602" t="str">
        <f>IFERROR(VLOOKUP(VALUE(J602),'Site Info'!$A:$G,3,FALSE),"")</f>
        <v>14050 WORTH AVE</v>
      </c>
      <c r="L602" t="str">
        <f>IFERROR(VLOOKUP(VALUE(J602),'Site Info'!$A:$G,4,FALSE),"")</f>
        <v>WOODBRIDGE</v>
      </c>
      <c r="M602" t="str">
        <f>IFERROR(VLOOKUP(VALUE(J602),'Site Info'!$A:$G,5,FALSE),"")</f>
        <v>VA</v>
      </c>
      <c r="N602" t="str">
        <f>IFERROR(VLOOKUP(VALUE(J602),'Site Info'!$A:$G,6,FALSE),"")</f>
        <v>22192-4121</v>
      </c>
      <c r="O602">
        <f>IFERROR(VLOOKUP(VALUE(J602),'Site Info'!$A:$G,7,FALSE),"")</f>
        <v>7034912662</v>
      </c>
    </row>
    <row r="603" spans="1:15" x14ac:dyDescent="0.45">
      <c r="A603" t="s">
        <v>1328</v>
      </c>
      <c r="B603" t="s">
        <v>1329</v>
      </c>
      <c r="C603" t="s">
        <v>1330</v>
      </c>
      <c r="D603" t="s">
        <v>1331</v>
      </c>
      <c r="E603" s="1">
        <v>46151.584988425922</v>
      </c>
      <c r="F603">
        <v>1481</v>
      </c>
      <c r="G603" t="s">
        <v>1332</v>
      </c>
      <c r="H603" t="s">
        <v>15</v>
      </c>
      <c r="I603" t="s">
        <v>1333</v>
      </c>
      <c r="J603" t="str">
        <f>RIGHT(D603,4)</f>
        <v>6371</v>
      </c>
      <c r="K603" t="str">
        <f>IFERROR(VLOOKUP(VALUE(J603),'Site Info'!$A:$G,3,FALSE),"")</f>
        <v>14050 WORTH AVE</v>
      </c>
      <c r="L603" t="str">
        <f>IFERROR(VLOOKUP(VALUE(J603),'Site Info'!$A:$G,4,FALSE),"")</f>
        <v>WOODBRIDGE</v>
      </c>
      <c r="M603" t="str">
        <f>IFERROR(VLOOKUP(VALUE(J603),'Site Info'!$A:$G,5,FALSE),"")</f>
        <v>VA</v>
      </c>
      <c r="N603" t="str">
        <f>IFERROR(VLOOKUP(VALUE(J603),'Site Info'!$A:$G,6,FALSE),"")</f>
        <v>22192-4121</v>
      </c>
      <c r="O603">
        <f>IFERROR(VLOOKUP(VALUE(J603),'Site Info'!$A:$G,7,FALSE),"")</f>
        <v>7034912662</v>
      </c>
    </row>
    <row r="604" spans="1:15" x14ac:dyDescent="0.45">
      <c r="A604" t="s">
        <v>1680</v>
      </c>
      <c r="B604" t="s">
        <v>1681</v>
      </c>
      <c r="C604" t="s">
        <v>1682</v>
      </c>
      <c r="D604" t="s">
        <v>1331</v>
      </c>
      <c r="E604" s="1">
        <v>46152.794756944444</v>
      </c>
      <c r="F604">
        <v>1481</v>
      </c>
      <c r="G604" t="s">
        <v>1683</v>
      </c>
      <c r="H604" t="s">
        <v>15</v>
      </c>
      <c r="I604" t="s">
        <v>1333</v>
      </c>
      <c r="J604" t="str">
        <f>RIGHT(D604,4)</f>
        <v>6371</v>
      </c>
      <c r="K604" t="str">
        <f>IFERROR(VLOOKUP(VALUE(J604),'Site Info'!$A:$G,3,FALSE),"")</f>
        <v>14050 WORTH AVE</v>
      </c>
      <c r="L604" t="str">
        <f>IFERROR(VLOOKUP(VALUE(J604),'Site Info'!$A:$G,4,FALSE),"")</f>
        <v>WOODBRIDGE</v>
      </c>
      <c r="M604" t="str">
        <f>IFERROR(VLOOKUP(VALUE(J604),'Site Info'!$A:$G,5,FALSE),"")</f>
        <v>VA</v>
      </c>
      <c r="N604" t="str">
        <f>IFERROR(VLOOKUP(VALUE(J604),'Site Info'!$A:$G,6,FALSE),"")</f>
        <v>22192-4121</v>
      </c>
      <c r="O604">
        <f>IFERROR(VLOOKUP(VALUE(J604),'Site Info'!$A:$G,7,FALSE),"")</f>
        <v>7034912662</v>
      </c>
    </row>
    <row r="605" spans="1:15" x14ac:dyDescent="0.45">
      <c r="A605" t="s">
        <v>16790</v>
      </c>
      <c r="B605" t="s">
        <v>16791</v>
      </c>
      <c r="C605" t="s">
        <v>16792</v>
      </c>
      <c r="D605" t="s">
        <v>1331</v>
      </c>
      <c r="E605" s="1">
        <v>46153.163784722223</v>
      </c>
      <c r="F605">
        <v>1481</v>
      </c>
      <c r="G605" t="s">
        <v>16793</v>
      </c>
      <c r="H605" t="s">
        <v>15</v>
      </c>
      <c r="I605" t="s">
        <v>1333</v>
      </c>
      <c r="J605" t="str">
        <f>RIGHT(D605,4)</f>
        <v>6371</v>
      </c>
      <c r="K605" t="str">
        <f>IFERROR(VLOOKUP(VALUE(J605),'Site Info'!$A:$G,3,FALSE),"")</f>
        <v>14050 WORTH AVE</v>
      </c>
      <c r="L605" t="str">
        <f>IFERROR(VLOOKUP(VALUE(J605),'Site Info'!$A:$G,4,FALSE),"")</f>
        <v>WOODBRIDGE</v>
      </c>
      <c r="M605" t="str">
        <f>IFERROR(VLOOKUP(VALUE(J605),'Site Info'!$A:$G,5,FALSE),"")</f>
        <v>VA</v>
      </c>
      <c r="N605" t="str">
        <f>IFERROR(VLOOKUP(VALUE(J605),'Site Info'!$A:$G,6,FALSE),"")</f>
        <v>22192-4121</v>
      </c>
      <c r="O605">
        <f>IFERROR(VLOOKUP(VALUE(J605),'Site Info'!$A:$G,7,FALSE),"")</f>
        <v>7034912662</v>
      </c>
    </row>
    <row r="606" spans="1:15" x14ac:dyDescent="0.45">
      <c r="A606" t="s">
        <v>9361</v>
      </c>
      <c r="B606" t="s">
        <v>9362</v>
      </c>
      <c r="C606" t="s">
        <v>9363</v>
      </c>
      <c r="D606" t="s">
        <v>2071</v>
      </c>
      <c r="E606" s="1">
        <v>46150.37903935185</v>
      </c>
      <c r="F606">
        <v>1547</v>
      </c>
      <c r="G606" t="s">
        <v>9364</v>
      </c>
      <c r="H606" t="s">
        <v>15</v>
      </c>
      <c r="I606" t="s">
        <v>2073</v>
      </c>
      <c r="J606" t="str">
        <f>RIGHT(D606,4)</f>
        <v>8243</v>
      </c>
      <c r="K606" t="str">
        <f>IFERROR(VLOOKUP(VALUE(J606),'Site Info'!$A:$G,3,FALSE),"")</f>
        <v>141 N. DEAN AVE</v>
      </c>
      <c r="L606" t="str">
        <f>IFERROR(VLOOKUP(VALUE(J606),'Site Info'!$A:$G,4,FALSE),"")</f>
        <v>RAYMORE</v>
      </c>
      <c r="M606" t="str">
        <f>IFERROR(VLOOKUP(VALUE(J606),'Site Info'!$A:$G,5,FALSE),"")</f>
        <v>MO</v>
      </c>
      <c r="N606" t="str">
        <f>IFERROR(VLOOKUP(VALUE(J606),'Site Info'!$A:$G,6,FALSE),"")</f>
        <v>64083-8398</v>
      </c>
      <c r="O606">
        <f>IFERROR(VLOOKUP(VALUE(J606),'Site Info'!$A:$G,7,FALSE),"")</f>
        <v>8167650600</v>
      </c>
    </row>
    <row r="607" spans="1:15" x14ac:dyDescent="0.45">
      <c r="A607" t="s">
        <v>10676</v>
      </c>
      <c r="B607" t="s">
        <v>10677</v>
      </c>
      <c r="C607" t="s">
        <v>10678</v>
      </c>
      <c r="D607" t="s">
        <v>2071</v>
      </c>
      <c r="E607" s="1">
        <v>46151.481064814812</v>
      </c>
      <c r="F607">
        <v>1547</v>
      </c>
      <c r="G607" t="s">
        <v>10679</v>
      </c>
      <c r="H607" t="s">
        <v>15</v>
      </c>
      <c r="I607" t="s">
        <v>2073</v>
      </c>
      <c r="J607" t="str">
        <f>RIGHT(D607,4)</f>
        <v>8243</v>
      </c>
      <c r="K607" t="str">
        <f>IFERROR(VLOOKUP(VALUE(J607),'Site Info'!$A:$G,3,FALSE),"")</f>
        <v>141 N. DEAN AVE</v>
      </c>
      <c r="L607" t="str">
        <f>IFERROR(VLOOKUP(VALUE(J607),'Site Info'!$A:$G,4,FALSE),"")</f>
        <v>RAYMORE</v>
      </c>
      <c r="M607" t="str">
        <f>IFERROR(VLOOKUP(VALUE(J607),'Site Info'!$A:$G,5,FALSE),"")</f>
        <v>MO</v>
      </c>
      <c r="N607" t="str">
        <f>IFERROR(VLOOKUP(VALUE(J607),'Site Info'!$A:$G,6,FALSE),"")</f>
        <v>64083-8398</v>
      </c>
      <c r="O607">
        <f>IFERROR(VLOOKUP(VALUE(J607),'Site Info'!$A:$G,7,FALSE),"")</f>
        <v>8167650600</v>
      </c>
    </row>
    <row r="608" spans="1:15" x14ac:dyDescent="0.45">
      <c r="A608" t="s">
        <v>10308</v>
      </c>
      <c r="B608" t="s">
        <v>10309</v>
      </c>
      <c r="C608" t="s">
        <v>10310</v>
      </c>
      <c r="D608" t="s">
        <v>2071</v>
      </c>
      <c r="E608" s="1">
        <v>46153.339965277781</v>
      </c>
      <c r="F608">
        <v>1547</v>
      </c>
      <c r="G608" t="s">
        <v>10311</v>
      </c>
      <c r="H608" t="s">
        <v>15</v>
      </c>
      <c r="I608" t="s">
        <v>2073</v>
      </c>
      <c r="J608" t="str">
        <f>RIGHT(D608,4)</f>
        <v>8243</v>
      </c>
      <c r="K608" t="str">
        <f>IFERROR(VLOOKUP(VALUE(J608),'Site Info'!$A:$G,3,FALSE),"")</f>
        <v>141 N. DEAN AVE</v>
      </c>
      <c r="L608" t="str">
        <f>IFERROR(VLOOKUP(VALUE(J608),'Site Info'!$A:$G,4,FALSE),"")</f>
        <v>RAYMORE</v>
      </c>
      <c r="M608" t="str">
        <f>IFERROR(VLOOKUP(VALUE(J608),'Site Info'!$A:$G,5,FALSE),"")</f>
        <v>MO</v>
      </c>
      <c r="N608" t="str">
        <f>IFERROR(VLOOKUP(VALUE(J608),'Site Info'!$A:$G,6,FALSE),"")</f>
        <v>64083-8398</v>
      </c>
      <c r="O608">
        <f>IFERROR(VLOOKUP(VALUE(J608),'Site Info'!$A:$G,7,FALSE),"")</f>
        <v>8167650600</v>
      </c>
    </row>
    <row r="609" spans="1:15" x14ac:dyDescent="0.45">
      <c r="A609" t="s">
        <v>2068</v>
      </c>
      <c r="B609" t="s">
        <v>2069</v>
      </c>
      <c r="C609" t="s">
        <v>2070</v>
      </c>
      <c r="D609" t="s">
        <v>2071</v>
      </c>
      <c r="E609" s="1">
        <v>46153.253449074073</v>
      </c>
      <c r="F609">
        <v>1481</v>
      </c>
      <c r="G609" t="s">
        <v>2072</v>
      </c>
      <c r="H609" t="s">
        <v>15</v>
      </c>
      <c r="I609" t="s">
        <v>2073</v>
      </c>
      <c r="J609" t="str">
        <f>RIGHT(D609,4)</f>
        <v>8243</v>
      </c>
      <c r="K609" t="str">
        <f>IFERROR(VLOOKUP(VALUE(J609),'Site Info'!$A:$G,3,FALSE),"")</f>
        <v>141 N. DEAN AVE</v>
      </c>
      <c r="L609" t="str">
        <f>IFERROR(VLOOKUP(VALUE(J609),'Site Info'!$A:$G,4,FALSE),"")</f>
        <v>RAYMORE</v>
      </c>
      <c r="M609" t="str">
        <f>IFERROR(VLOOKUP(VALUE(J609),'Site Info'!$A:$G,5,FALSE),"")</f>
        <v>MO</v>
      </c>
      <c r="N609" t="str">
        <f>IFERROR(VLOOKUP(VALUE(J609),'Site Info'!$A:$G,6,FALSE),"")</f>
        <v>64083-8398</v>
      </c>
      <c r="O609">
        <f>IFERROR(VLOOKUP(VALUE(J609),'Site Info'!$A:$G,7,FALSE),"")</f>
        <v>8167650600</v>
      </c>
    </row>
    <row r="610" spans="1:15" x14ac:dyDescent="0.45">
      <c r="A610" t="s">
        <v>3733</v>
      </c>
      <c r="B610" t="s">
        <v>3734</v>
      </c>
      <c r="C610" t="s">
        <v>3735</v>
      </c>
      <c r="D610" t="s">
        <v>2071</v>
      </c>
      <c r="E610" s="1">
        <v>46153.30064814815</v>
      </c>
      <c r="F610">
        <v>1481</v>
      </c>
      <c r="G610" t="s">
        <v>3736</v>
      </c>
      <c r="H610" t="s">
        <v>15</v>
      </c>
      <c r="I610" t="s">
        <v>2073</v>
      </c>
      <c r="J610" t="str">
        <f>RIGHT(D610,4)</f>
        <v>8243</v>
      </c>
      <c r="K610" t="str">
        <f>IFERROR(VLOOKUP(VALUE(J610),'Site Info'!$A:$G,3,FALSE),"")</f>
        <v>141 N. DEAN AVE</v>
      </c>
      <c r="L610" t="str">
        <f>IFERROR(VLOOKUP(VALUE(J610),'Site Info'!$A:$G,4,FALSE),"")</f>
        <v>RAYMORE</v>
      </c>
      <c r="M610" t="str">
        <f>IFERROR(VLOOKUP(VALUE(J610),'Site Info'!$A:$G,5,FALSE),"")</f>
        <v>MO</v>
      </c>
      <c r="N610" t="str">
        <f>IFERROR(VLOOKUP(VALUE(J610),'Site Info'!$A:$G,6,FALSE),"")</f>
        <v>64083-8398</v>
      </c>
      <c r="O610">
        <f>IFERROR(VLOOKUP(VALUE(J610),'Site Info'!$A:$G,7,FALSE),"")</f>
        <v>8167650600</v>
      </c>
    </row>
    <row r="611" spans="1:15" x14ac:dyDescent="0.45">
      <c r="A611" t="s">
        <v>17209</v>
      </c>
      <c r="B611" t="s">
        <v>17210</v>
      </c>
      <c r="C611" t="s">
        <v>17211</v>
      </c>
      <c r="D611" t="s">
        <v>2071</v>
      </c>
      <c r="E611" s="1">
        <v>46152.885868055557</v>
      </c>
      <c r="F611">
        <v>1481</v>
      </c>
      <c r="G611" t="s">
        <v>17212</v>
      </c>
      <c r="H611" t="s">
        <v>15</v>
      </c>
      <c r="I611" t="s">
        <v>2073</v>
      </c>
      <c r="J611" t="str">
        <f>RIGHT(D611,4)</f>
        <v>8243</v>
      </c>
      <c r="K611" t="str">
        <f>IFERROR(VLOOKUP(VALUE(J611),'Site Info'!$A:$G,3,FALSE),"")</f>
        <v>141 N. DEAN AVE</v>
      </c>
      <c r="L611" t="str">
        <f>IFERROR(VLOOKUP(VALUE(J611),'Site Info'!$A:$G,4,FALSE),"")</f>
        <v>RAYMORE</v>
      </c>
      <c r="M611" t="str">
        <f>IFERROR(VLOOKUP(VALUE(J611),'Site Info'!$A:$G,5,FALSE),"")</f>
        <v>MO</v>
      </c>
      <c r="N611" t="str">
        <f>IFERROR(VLOOKUP(VALUE(J611),'Site Info'!$A:$G,6,FALSE),"")</f>
        <v>64083-8398</v>
      </c>
      <c r="O611">
        <f>IFERROR(VLOOKUP(VALUE(J611),'Site Info'!$A:$G,7,FALSE),"")</f>
        <v>8167650600</v>
      </c>
    </row>
    <row r="612" spans="1:15" x14ac:dyDescent="0.45">
      <c r="A612" t="s">
        <v>5718</v>
      </c>
      <c r="B612" t="s">
        <v>5719</v>
      </c>
      <c r="C612" t="s">
        <v>5720</v>
      </c>
      <c r="D612" t="s">
        <v>57</v>
      </c>
      <c r="E612" s="1">
        <v>46094.083136574074</v>
      </c>
      <c r="F612">
        <v>1547</v>
      </c>
      <c r="G612" t="s">
        <v>5721</v>
      </c>
      <c r="H612" t="s">
        <v>15</v>
      </c>
      <c r="I612" t="s">
        <v>59</v>
      </c>
      <c r="J612" t="str">
        <f>RIGHT(D612,4)</f>
        <v>6358</v>
      </c>
      <c r="K612" t="str">
        <f>IFERROR(VLOOKUP(VALUE(J612),'Site Info'!$A:$G,3,FALSE),"")</f>
        <v>141 W NORTH AVE</v>
      </c>
      <c r="L612" t="str">
        <f>IFERROR(VLOOKUP(VALUE(J612),'Site Info'!$A:$G,4,FALSE),"")</f>
        <v>NORTHLAKE</v>
      </c>
      <c r="M612" t="str">
        <f>IFERROR(VLOOKUP(VALUE(J612),'Site Info'!$A:$G,5,FALSE),"")</f>
        <v>IL</v>
      </c>
      <c r="N612" t="str">
        <f>IFERROR(VLOOKUP(VALUE(J612),'Site Info'!$A:$G,6,FALSE),"")</f>
        <v>60164-2322</v>
      </c>
      <c r="O612">
        <f>IFERROR(VLOOKUP(VALUE(J612),'Site Info'!$A:$G,7,FALSE),"")</f>
        <v>7085310807</v>
      </c>
    </row>
    <row r="613" spans="1:15" x14ac:dyDescent="0.45">
      <c r="A613" t="s">
        <v>5740</v>
      </c>
      <c r="B613" t="s">
        <v>5741</v>
      </c>
      <c r="C613" t="s">
        <v>5742</v>
      </c>
      <c r="D613" t="s">
        <v>57</v>
      </c>
      <c r="E613" s="1">
        <v>46151.764189814814</v>
      </c>
      <c r="F613">
        <v>1547</v>
      </c>
      <c r="G613" t="s">
        <v>5743</v>
      </c>
      <c r="H613" t="s">
        <v>15</v>
      </c>
      <c r="I613" t="s">
        <v>59</v>
      </c>
      <c r="J613" t="str">
        <f>RIGHT(D613,4)</f>
        <v>6358</v>
      </c>
      <c r="K613" t="str">
        <f>IFERROR(VLOOKUP(VALUE(J613),'Site Info'!$A:$G,3,FALSE),"")</f>
        <v>141 W NORTH AVE</v>
      </c>
      <c r="L613" t="str">
        <f>IFERROR(VLOOKUP(VALUE(J613),'Site Info'!$A:$G,4,FALSE),"")</f>
        <v>NORTHLAKE</v>
      </c>
      <c r="M613" t="str">
        <f>IFERROR(VLOOKUP(VALUE(J613),'Site Info'!$A:$G,5,FALSE),"")</f>
        <v>IL</v>
      </c>
      <c r="N613" t="str">
        <f>IFERROR(VLOOKUP(VALUE(J613),'Site Info'!$A:$G,6,FALSE),"")</f>
        <v>60164-2322</v>
      </c>
      <c r="O613">
        <f>IFERROR(VLOOKUP(VALUE(J613),'Site Info'!$A:$G,7,FALSE),"")</f>
        <v>7085310807</v>
      </c>
    </row>
    <row r="614" spans="1:15" x14ac:dyDescent="0.45">
      <c r="A614" t="s">
        <v>4712</v>
      </c>
      <c r="B614" t="s">
        <v>4713</v>
      </c>
      <c r="C614" t="s">
        <v>4714</v>
      </c>
      <c r="D614" t="s">
        <v>57</v>
      </c>
      <c r="E614" s="1">
        <v>46152.451493055552</v>
      </c>
      <c r="F614">
        <v>1547</v>
      </c>
      <c r="G614" t="s">
        <v>4715</v>
      </c>
      <c r="H614" t="s">
        <v>15</v>
      </c>
      <c r="I614" t="s">
        <v>59</v>
      </c>
      <c r="J614" t="str">
        <f>RIGHT(D614,4)</f>
        <v>6358</v>
      </c>
      <c r="K614" t="str">
        <f>IFERROR(VLOOKUP(VALUE(J614),'Site Info'!$A:$G,3,FALSE),"")</f>
        <v>141 W NORTH AVE</v>
      </c>
      <c r="L614" t="str">
        <f>IFERROR(VLOOKUP(VALUE(J614),'Site Info'!$A:$G,4,FALSE),"")</f>
        <v>NORTHLAKE</v>
      </c>
      <c r="M614" t="str">
        <f>IFERROR(VLOOKUP(VALUE(J614),'Site Info'!$A:$G,5,FALSE),"")</f>
        <v>IL</v>
      </c>
      <c r="N614" t="str">
        <f>IFERROR(VLOOKUP(VALUE(J614),'Site Info'!$A:$G,6,FALSE),"")</f>
        <v>60164-2322</v>
      </c>
      <c r="O614">
        <f>IFERROR(VLOOKUP(VALUE(J614),'Site Info'!$A:$G,7,FALSE),"")</f>
        <v>7085310807</v>
      </c>
    </row>
    <row r="615" spans="1:15" x14ac:dyDescent="0.45">
      <c r="A615" t="s">
        <v>4692</v>
      </c>
      <c r="B615" t="s">
        <v>4693</v>
      </c>
      <c r="C615" t="s">
        <v>4694</v>
      </c>
      <c r="D615" t="s">
        <v>57</v>
      </c>
      <c r="E615" s="1">
        <v>46152.664594907408</v>
      </c>
      <c r="F615">
        <v>1547</v>
      </c>
      <c r="G615" t="s">
        <v>4695</v>
      </c>
      <c r="H615" t="s">
        <v>15</v>
      </c>
      <c r="I615" t="s">
        <v>59</v>
      </c>
      <c r="J615" t="str">
        <f>RIGHT(D615,4)</f>
        <v>6358</v>
      </c>
      <c r="K615" t="str">
        <f>IFERROR(VLOOKUP(VALUE(J615),'Site Info'!$A:$G,3,FALSE),"")</f>
        <v>141 W NORTH AVE</v>
      </c>
      <c r="L615" t="str">
        <f>IFERROR(VLOOKUP(VALUE(J615),'Site Info'!$A:$G,4,FALSE),"")</f>
        <v>NORTHLAKE</v>
      </c>
      <c r="M615" t="str">
        <f>IFERROR(VLOOKUP(VALUE(J615),'Site Info'!$A:$G,5,FALSE),"")</f>
        <v>IL</v>
      </c>
      <c r="N615" t="str">
        <f>IFERROR(VLOOKUP(VALUE(J615),'Site Info'!$A:$G,6,FALSE),"")</f>
        <v>60164-2322</v>
      </c>
      <c r="O615">
        <f>IFERROR(VLOOKUP(VALUE(J615),'Site Info'!$A:$G,7,FALSE),"")</f>
        <v>7085310807</v>
      </c>
    </row>
    <row r="616" spans="1:15" x14ac:dyDescent="0.45">
      <c r="A616" t="s">
        <v>54</v>
      </c>
      <c r="B616" t="s">
        <v>55</v>
      </c>
      <c r="C616" t="s">
        <v>56</v>
      </c>
      <c r="D616" t="s">
        <v>57</v>
      </c>
      <c r="E616" s="1">
        <v>46153.333645833336</v>
      </c>
      <c r="F616">
        <v>1547</v>
      </c>
      <c r="G616" t="s">
        <v>58</v>
      </c>
      <c r="H616" t="s">
        <v>15</v>
      </c>
      <c r="I616" t="s">
        <v>59</v>
      </c>
      <c r="J616" t="str">
        <f>RIGHT(D616,4)</f>
        <v>6358</v>
      </c>
      <c r="K616" t="str">
        <f>IFERROR(VLOOKUP(VALUE(J616),'Site Info'!$A:$G,3,FALSE),"")</f>
        <v>141 W NORTH AVE</v>
      </c>
      <c r="L616" t="str">
        <f>IFERROR(VLOOKUP(VALUE(J616),'Site Info'!$A:$G,4,FALSE),"")</f>
        <v>NORTHLAKE</v>
      </c>
      <c r="M616" t="str">
        <f>IFERROR(VLOOKUP(VALUE(J616),'Site Info'!$A:$G,5,FALSE),"")</f>
        <v>IL</v>
      </c>
      <c r="N616" t="str">
        <f>IFERROR(VLOOKUP(VALUE(J616),'Site Info'!$A:$G,6,FALSE),"")</f>
        <v>60164-2322</v>
      </c>
      <c r="O616">
        <f>IFERROR(VLOOKUP(VALUE(J616),'Site Info'!$A:$G,7,FALSE),"")</f>
        <v>7085310807</v>
      </c>
    </row>
    <row r="617" spans="1:15" x14ac:dyDescent="0.45">
      <c r="A617" t="s">
        <v>5340</v>
      </c>
      <c r="B617" t="s">
        <v>5341</v>
      </c>
      <c r="C617" t="s">
        <v>5342</v>
      </c>
      <c r="D617" t="s">
        <v>57</v>
      </c>
      <c r="E617" s="1">
        <v>46153.365752314814</v>
      </c>
      <c r="F617">
        <v>1547</v>
      </c>
      <c r="G617" t="s">
        <v>5343</v>
      </c>
      <c r="H617" t="s">
        <v>15</v>
      </c>
      <c r="I617" t="s">
        <v>59</v>
      </c>
      <c r="J617" t="str">
        <f>RIGHT(D617,4)</f>
        <v>6358</v>
      </c>
      <c r="K617" t="str">
        <f>IFERROR(VLOOKUP(VALUE(J617),'Site Info'!$A:$G,3,FALSE),"")</f>
        <v>141 W NORTH AVE</v>
      </c>
      <c r="L617" t="str">
        <f>IFERROR(VLOOKUP(VALUE(J617),'Site Info'!$A:$G,4,FALSE),"")</f>
        <v>NORTHLAKE</v>
      </c>
      <c r="M617" t="str">
        <f>IFERROR(VLOOKUP(VALUE(J617),'Site Info'!$A:$G,5,FALSE),"")</f>
        <v>IL</v>
      </c>
      <c r="N617" t="str">
        <f>IFERROR(VLOOKUP(VALUE(J617),'Site Info'!$A:$G,6,FALSE),"")</f>
        <v>60164-2322</v>
      </c>
      <c r="O617">
        <f>IFERROR(VLOOKUP(VALUE(J617),'Site Info'!$A:$G,7,FALSE),"")</f>
        <v>7085310807</v>
      </c>
    </row>
    <row r="618" spans="1:15" x14ac:dyDescent="0.45">
      <c r="A618" t="s">
        <v>8603</v>
      </c>
      <c r="B618" t="s">
        <v>8604</v>
      </c>
      <c r="C618" t="s">
        <v>8605</v>
      </c>
      <c r="D618" t="s">
        <v>57</v>
      </c>
      <c r="E618" s="1">
        <v>46153.367604166669</v>
      </c>
      <c r="F618">
        <v>1547</v>
      </c>
      <c r="G618" t="s">
        <v>8606</v>
      </c>
      <c r="H618" t="s">
        <v>15</v>
      </c>
      <c r="I618" t="s">
        <v>59</v>
      </c>
      <c r="J618" t="str">
        <f>RIGHT(D618,4)</f>
        <v>6358</v>
      </c>
      <c r="K618" t="str">
        <f>IFERROR(VLOOKUP(VALUE(J618),'Site Info'!$A:$G,3,FALSE),"")</f>
        <v>141 W NORTH AVE</v>
      </c>
      <c r="L618" t="str">
        <f>IFERROR(VLOOKUP(VALUE(J618),'Site Info'!$A:$G,4,FALSE),"")</f>
        <v>NORTHLAKE</v>
      </c>
      <c r="M618" t="str">
        <f>IFERROR(VLOOKUP(VALUE(J618),'Site Info'!$A:$G,5,FALSE),"")</f>
        <v>IL</v>
      </c>
      <c r="N618" t="str">
        <f>IFERROR(VLOOKUP(VALUE(J618),'Site Info'!$A:$G,6,FALSE),"")</f>
        <v>60164-2322</v>
      </c>
      <c r="O618">
        <f>IFERROR(VLOOKUP(VALUE(J618),'Site Info'!$A:$G,7,FALSE),"")</f>
        <v>7085310807</v>
      </c>
    </row>
    <row r="619" spans="1:15" x14ac:dyDescent="0.45">
      <c r="A619" t="s">
        <v>5448</v>
      </c>
      <c r="B619" t="s">
        <v>5449</v>
      </c>
      <c r="C619" t="s">
        <v>5450</v>
      </c>
      <c r="D619" t="s">
        <v>4338</v>
      </c>
      <c r="E619" s="1">
        <v>46152.585069444445</v>
      </c>
      <c r="F619">
        <v>1547</v>
      </c>
      <c r="G619" t="s">
        <v>5451</v>
      </c>
      <c r="H619" t="s">
        <v>15</v>
      </c>
      <c r="I619" t="s">
        <v>4339</v>
      </c>
      <c r="J619" t="str">
        <f>RIGHT(D619,4)</f>
        <v>6336</v>
      </c>
      <c r="K619" t="str">
        <f>IFERROR(VLOOKUP(VALUE(J619),'Site Info'!$A:$G,3,FALSE),"")</f>
        <v>1414 MARLANDWOOD RD</v>
      </c>
      <c r="L619" t="str">
        <f>IFERROR(VLOOKUP(VALUE(J619),'Site Info'!$A:$G,4,FALSE),"")</f>
        <v>TEMPLE</v>
      </c>
      <c r="M619" t="str">
        <f>IFERROR(VLOOKUP(VALUE(J619),'Site Info'!$A:$G,5,FALSE),"")</f>
        <v>TX</v>
      </c>
      <c r="N619" t="str">
        <f>IFERROR(VLOOKUP(VALUE(J619),'Site Info'!$A:$G,6,FALSE),"")</f>
        <v>76502-3309</v>
      </c>
      <c r="O619">
        <f>IFERROR(VLOOKUP(VALUE(J619),'Site Info'!$A:$G,7,FALSE),"")</f>
        <v>2547748402</v>
      </c>
    </row>
    <row r="620" spans="1:15" x14ac:dyDescent="0.45">
      <c r="A620" t="s">
        <v>12758</v>
      </c>
      <c r="B620" t="s">
        <v>12759</v>
      </c>
      <c r="C620" t="s">
        <v>12760</v>
      </c>
      <c r="D620" t="s">
        <v>4338</v>
      </c>
      <c r="E620" s="1">
        <v>46152.867245370369</v>
      </c>
      <c r="F620">
        <v>1547</v>
      </c>
      <c r="G620" t="s">
        <v>12761</v>
      </c>
      <c r="H620" t="s">
        <v>15</v>
      </c>
      <c r="I620" t="s">
        <v>4339</v>
      </c>
      <c r="J620" t="str">
        <f>RIGHT(D620,4)</f>
        <v>6336</v>
      </c>
      <c r="K620" t="str">
        <f>IFERROR(VLOOKUP(VALUE(J620),'Site Info'!$A:$G,3,FALSE),"")</f>
        <v>1414 MARLANDWOOD RD</v>
      </c>
      <c r="L620" t="str">
        <f>IFERROR(VLOOKUP(VALUE(J620),'Site Info'!$A:$G,4,FALSE),"")</f>
        <v>TEMPLE</v>
      </c>
      <c r="M620" t="str">
        <f>IFERROR(VLOOKUP(VALUE(J620),'Site Info'!$A:$G,5,FALSE),"")</f>
        <v>TX</v>
      </c>
      <c r="N620" t="str">
        <f>IFERROR(VLOOKUP(VALUE(J620),'Site Info'!$A:$G,6,FALSE),"")</f>
        <v>76502-3309</v>
      </c>
      <c r="O620">
        <f>IFERROR(VLOOKUP(VALUE(J620),'Site Info'!$A:$G,7,FALSE),"")</f>
        <v>2547748402</v>
      </c>
    </row>
    <row r="621" spans="1:15" x14ac:dyDescent="0.45">
      <c r="A621" t="s">
        <v>14293</v>
      </c>
      <c r="B621" t="s">
        <v>14294</v>
      </c>
      <c r="C621" t="s">
        <v>14295</v>
      </c>
      <c r="D621" t="s">
        <v>4338</v>
      </c>
      <c r="E621" s="1">
        <v>46153.316504629627</v>
      </c>
      <c r="F621">
        <v>1481</v>
      </c>
      <c r="G621" t="s">
        <v>14296</v>
      </c>
      <c r="H621" t="s">
        <v>15</v>
      </c>
      <c r="I621" t="s">
        <v>4339</v>
      </c>
      <c r="J621" t="str">
        <f>RIGHT(D621,4)</f>
        <v>6336</v>
      </c>
      <c r="K621" t="str">
        <f>IFERROR(VLOOKUP(VALUE(J621),'Site Info'!$A:$G,3,FALSE),"")</f>
        <v>1414 MARLANDWOOD RD</v>
      </c>
      <c r="L621" t="str">
        <f>IFERROR(VLOOKUP(VALUE(J621),'Site Info'!$A:$G,4,FALSE),"")</f>
        <v>TEMPLE</v>
      </c>
      <c r="M621" t="str">
        <f>IFERROR(VLOOKUP(VALUE(J621),'Site Info'!$A:$G,5,FALSE),"")</f>
        <v>TX</v>
      </c>
      <c r="N621" t="str">
        <f>IFERROR(VLOOKUP(VALUE(J621),'Site Info'!$A:$G,6,FALSE),"")</f>
        <v>76502-3309</v>
      </c>
      <c r="O621">
        <f>IFERROR(VLOOKUP(VALUE(J621),'Site Info'!$A:$G,7,FALSE),"")</f>
        <v>2547748402</v>
      </c>
    </row>
    <row r="622" spans="1:15" x14ac:dyDescent="0.45">
      <c r="A622" t="s">
        <v>16504</v>
      </c>
      <c r="B622" t="s">
        <v>16732</v>
      </c>
      <c r="C622" t="s">
        <v>16733</v>
      </c>
      <c r="D622" t="s">
        <v>4338</v>
      </c>
      <c r="E622" s="1">
        <v>46152.603229166663</v>
      </c>
      <c r="F622">
        <v>1628</v>
      </c>
      <c r="G622" t="s">
        <v>16734</v>
      </c>
      <c r="H622" t="s">
        <v>13988</v>
      </c>
      <c r="I622" t="s">
        <v>4339</v>
      </c>
      <c r="J622" t="str">
        <f>RIGHT(D622,4)</f>
        <v>6336</v>
      </c>
      <c r="K622" t="str">
        <f>IFERROR(VLOOKUP(VALUE(J622),'Site Info'!$A:$G,3,FALSE),"")</f>
        <v>1414 MARLANDWOOD RD</v>
      </c>
      <c r="L622" t="str">
        <f>IFERROR(VLOOKUP(VALUE(J622),'Site Info'!$A:$G,4,FALSE),"")</f>
        <v>TEMPLE</v>
      </c>
      <c r="M622" t="str">
        <f>IFERROR(VLOOKUP(VALUE(J622),'Site Info'!$A:$G,5,FALSE),"")</f>
        <v>TX</v>
      </c>
      <c r="N622" t="str">
        <f>IFERROR(VLOOKUP(VALUE(J622),'Site Info'!$A:$G,6,FALSE),"")</f>
        <v>76502-3309</v>
      </c>
      <c r="O622">
        <f>IFERROR(VLOOKUP(VALUE(J622),'Site Info'!$A:$G,7,FALSE),"")</f>
        <v>2547748402</v>
      </c>
    </row>
    <row r="623" spans="1:15" x14ac:dyDescent="0.45">
      <c r="A623" t="s">
        <v>16735</v>
      </c>
      <c r="B623" t="s">
        <v>16736</v>
      </c>
      <c r="C623" t="s">
        <v>16737</v>
      </c>
      <c r="D623" t="s">
        <v>4338</v>
      </c>
      <c r="E623" s="1">
        <v>46153.178506944445</v>
      </c>
      <c r="F623">
        <v>1547</v>
      </c>
      <c r="G623" t="s">
        <v>16738</v>
      </c>
      <c r="H623" t="s">
        <v>15</v>
      </c>
      <c r="I623" t="s">
        <v>4339</v>
      </c>
      <c r="J623" t="str">
        <f>RIGHT(D623,4)</f>
        <v>6336</v>
      </c>
      <c r="K623" t="str">
        <f>IFERROR(VLOOKUP(VALUE(J623),'Site Info'!$A:$G,3,FALSE),"")</f>
        <v>1414 MARLANDWOOD RD</v>
      </c>
      <c r="L623" t="str">
        <f>IFERROR(VLOOKUP(VALUE(J623),'Site Info'!$A:$G,4,FALSE),"")</f>
        <v>TEMPLE</v>
      </c>
      <c r="M623" t="str">
        <f>IFERROR(VLOOKUP(VALUE(J623),'Site Info'!$A:$G,5,FALSE),"")</f>
        <v>TX</v>
      </c>
      <c r="N623" t="str">
        <f>IFERROR(VLOOKUP(VALUE(J623),'Site Info'!$A:$G,6,FALSE),"")</f>
        <v>76502-3309</v>
      </c>
      <c r="O623">
        <f>IFERROR(VLOOKUP(VALUE(J623),'Site Info'!$A:$G,7,FALSE),"")</f>
        <v>2547748402</v>
      </c>
    </row>
    <row r="624" spans="1:15" x14ac:dyDescent="0.45">
      <c r="A624" t="s">
        <v>9065</v>
      </c>
      <c r="B624" t="s">
        <v>9066</v>
      </c>
      <c r="C624" t="s">
        <v>9067</v>
      </c>
      <c r="D624" t="s">
        <v>7195</v>
      </c>
      <c r="E624" s="1">
        <v>46153.359479166669</v>
      </c>
      <c r="F624">
        <v>1548</v>
      </c>
      <c r="G624" t="s">
        <v>9068</v>
      </c>
      <c r="H624" t="s">
        <v>15</v>
      </c>
      <c r="I624" t="s">
        <v>7197</v>
      </c>
      <c r="J624" t="str">
        <f>RIGHT(D624,4)</f>
        <v>4938</v>
      </c>
      <c r="K624" t="str">
        <f>IFERROR(VLOOKUP(VALUE(J624),'Site Info'!$A:$G,3,FALSE),"")</f>
        <v>1421 N RENAISSANCE BLVD NE</v>
      </c>
      <c r="L624" t="str">
        <f>IFERROR(VLOOKUP(VALUE(J624),'Site Info'!$A:$G,4,FALSE),"")</f>
        <v>ALBUQUERQUE</v>
      </c>
      <c r="M624" t="str">
        <f>IFERROR(VLOOKUP(VALUE(J624),'Site Info'!$A:$G,5,FALSE),"")</f>
        <v>NM</v>
      </c>
      <c r="N624" t="str">
        <f>IFERROR(VLOOKUP(VALUE(J624),'Site Info'!$A:$G,6,FALSE),"")</f>
        <v>87107-7018</v>
      </c>
      <c r="O624">
        <f>IFERROR(VLOOKUP(VALUE(J624),'Site Info'!$A:$G,7,FALSE),"")</f>
        <v>5053440051</v>
      </c>
    </row>
    <row r="625" spans="1:15" x14ac:dyDescent="0.45">
      <c r="A625" t="s">
        <v>7977</v>
      </c>
      <c r="B625" t="s">
        <v>7978</v>
      </c>
      <c r="C625" t="s">
        <v>7979</v>
      </c>
      <c r="D625" t="s">
        <v>7195</v>
      </c>
      <c r="E625" s="1">
        <v>46151.347175925926</v>
      </c>
      <c r="F625">
        <v>1547</v>
      </c>
      <c r="G625" t="s">
        <v>7980</v>
      </c>
      <c r="H625" t="s">
        <v>15</v>
      </c>
      <c r="I625" t="s">
        <v>7197</v>
      </c>
      <c r="J625" t="str">
        <f>RIGHT(D625,4)</f>
        <v>4938</v>
      </c>
      <c r="K625" t="str">
        <f>IFERROR(VLOOKUP(VALUE(J625),'Site Info'!$A:$G,3,FALSE),"")</f>
        <v>1421 N RENAISSANCE BLVD NE</v>
      </c>
      <c r="L625" t="str">
        <f>IFERROR(VLOOKUP(VALUE(J625),'Site Info'!$A:$G,4,FALSE),"")</f>
        <v>ALBUQUERQUE</v>
      </c>
      <c r="M625" t="str">
        <f>IFERROR(VLOOKUP(VALUE(J625),'Site Info'!$A:$G,5,FALSE),"")</f>
        <v>NM</v>
      </c>
      <c r="N625" t="str">
        <f>IFERROR(VLOOKUP(VALUE(J625),'Site Info'!$A:$G,6,FALSE),"")</f>
        <v>87107-7018</v>
      </c>
      <c r="O625">
        <f>IFERROR(VLOOKUP(VALUE(J625),'Site Info'!$A:$G,7,FALSE),"")</f>
        <v>5053440051</v>
      </c>
    </row>
    <row r="626" spans="1:15" x14ac:dyDescent="0.45">
      <c r="A626" t="s">
        <v>7939</v>
      </c>
      <c r="B626" t="s">
        <v>7940</v>
      </c>
      <c r="C626" t="s">
        <v>7941</v>
      </c>
      <c r="D626" t="s">
        <v>7195</v>
      </c>
      <c r="E626" s="1">
        <v>46152.667303240742</v>
      </c>
      <c r="F626">
        <v>1547</v>
      </c>
      <c r="G626" t="s">
        <v>7942</v>
      </c>
      <c r="H626" t="s">
        <v>15</v>
      </c>
      <c r="I626" t="s">
        <v>7197</v>
      </c>
      <c r="J626" t="str">
        <f>RIGHT(D626,4)</f>
        <v>4938</v>
      </c>
      <c r="K626" t="str">
        <f>IFERROR(VLOOKUP(VALUE(J626),'Site Info'!$A:$G,3,FALSE),"")</f>
        <v>1421 N RENAISSANCE BLVD NE</v>
      </c>
      <c r="L626" t="str">
        <f>IFERROR(VLOOKUP(VALUE(J626),'Site Info'!$A:$G,4,FALSE),"")</f>
        <v>ALBUQUERQUE</v>
      </c>
      <c r="M626" t="str">
        <f>IFERROR(VLOOKUP(VALUE(J626),'Site Info'!$A:$G,5,FALSE),"")</f>
        <v>NM</v>
      </c>
      <c r="N626" t="str">
        <f>IFERROR(VLOOKUP(VALUE(J626),'Site Info'!$A:$G,6,FALSE),"")</f>
        <v>87107-7018</v>
      </c>
      <c r="O626">
        <f>IFERROR(VLOOKUP(VALUE(J626),'Site Info'!$A:$G,7,FALSE),"")</f>
        <v>5053440051</v>
      </c>
    </row>
    <row r="627" spans="1:15" x14ac:dyDescent="0.45">
      <c r="A627" t="s">
        <v>7192</v>
      </c>
      <c r="B627" t="s">
        <v>7193</v>
      </c>
      <c r="C627" t="s">
        <v>7194</v>
      </c>
      <c r="D627" t="s">
        <v>7195</v>
      </c>
      <c r="E627" s="1">
        <v>46152.88013888889</v>
      </c>
      <c r="F627">
        <v>1547</v>
      </c>
      <c r="G627" t="s">
        <v>7196</v>
      </c>
      <c r="H627" t="s">
        <v>15</v>
      </c>
      <c r="I627" t="s">
        <v>7197</v>
      </c>
      <c r="J627" t="str">
        <f>RIGHT(D627,4)</f>
        <v>4938</v>
      </c>
      <c r="K627" t="str">
        <f>IFERROR(VLOOKUP(VALUE(J627),'Site Info'!$A:$G,3,FALSE),"")</f>
        <v>1421 N RENAISSANCE BLVD NE</v>
      </c>
      <c r="L627" t="str">
        <f>IFERROR(VLOOKUP(VALUE(J627),'Site Info'!$A:$G,4,FALSE),"")</f>
        <v>ALBUQUERQUE</v>
      </c>
      <c r="M627" t="str">
        <f>IFERROR(VLOOKUP(VALUE(J627),'Site Info'!$A:$G,5,FALSE),"")</f>
        <v>NM</v>
      </c>
      <c r="N627" t="str">
        <f>IFERROR(VLOOKUP(VALUE(J627),'Site Info'!$A:$G,6,FALSE),"")</f>
        <v>87107-7018</v>
      </c>
      <c r="O627">
        <f>IFERROR(VLOOKUP(VALUE(J627),'Site Info'!$A:$G,7,FALSE),"")</f>
        <v>5053440051</v>
      </c>
    </row>
    <row r="628" spans="1:15" x14ac:dyDescent="0.45">
      <c r="A628" t="s">
        <v>8353</v>
      </c>
      <c r="B628" t="s">
        <v>8354</v>
      </c>
      <c r="C628" t="s">
        <v>8355</v>
      </c>
      <c r="D628" t="s">
        <v>7195</v>
      </c>
      <c r="E628" s="1">
        <v>46153.223807870374</v>
      </c>
      <c r="F628">
        <v>1547</v>
      </c>
      <c r="G628" t="s">
        <v>8356</v>
      </c>
      <c r="H628" t="s">
        <v>15</v>
      </c>
      <c r="I628" t="s">
        <v>7197</v>
      </c>
      <c r="J628" t="str">
        <f>RIGHT(D628,4)</f>
        <v>4938</v>
      </c>
      <c r="K628" t="str">
        <f>IFERROR(VLOOKUP(VALUE(J628),'Site Info'!$A:$G,3,FALSE),"")</f>
        <v>1421 N RENAISSANCE BLVD NE</v>
      </c>
      <c r="L628" t="str">
        <f>IFERROR(VLOOKUP(VALUE(J628),'Site Info'!$A:$G,4,FALSE),"")</f>
        <v>ALBUQUERQUE</v>
      </c>
      <c r="M628" t="str">
        <f>IFERROR(VLOOKUP(VALUE(J628),'Site Info'!$A:$G,5,FALSE),"")</f>
        <v>NM</v>
      </c>
      <c r="N628" t="str">
        <f>IFERROR(VLOOKUP(VALUE(J628),'Site Info'!$A:$G,6,FALSE),"")</f>
        <v>87107-7018</v>
      </c>
      <c r="O628">
        <f>IFERROR(VLOOKUP(VALUE(J628),'Site Info'!$A:$G,7,FALSE),"")</f>
        <v>5053440051</v>
      </c>
    </row>
    <row r="629" spans="1:15" x14ac:dyDescent="0.45">
      <c r="A629" t="s">
        <v>6122</v>
      </c>
      <c r="B629" t="s">
        <v>6123</v>
      </c>
      <c r="C629" t="s">
        <v>6124</v>
      </c>
      <c r="D629" t="s">
        <v>1833</v>
      </c>
      <c r="E629" s="1">
        <v>46148.133993055555</v>
      </c>
      <c r="F629">
        <v>1547</v>
      </c>
      <c r="G629" t="s">
        <v>6125</v>
      </c>
      <c r="H629" t="s">
        <v>15</v>
      </c>
      <c r="I629" t="s">
        <v>1835</v>
      </c>
      <c r="J629" t="str">
        <f>RIGHT(D629,4)</f>
        <v>4786</v>
      </c>
      <c r="K629" t="str">
        <f>IFERROR(VLOOKUP(VALUE(J629),'Site Info'!$A:$G,3,FALSE),"")</f>
        <v>145 W CACHE VALLEY BLVD</v>
      </c>
      <c r="L629" t="str">
        <f>IFERROR(VLOOKUP(VALUE(J629),'Site Info'!$A:$G,4,FALSE),"")</f>
        <v>LOGAN</v>
      </c>
      <c r="M629" t="str">
        <f>IFERROR(VLOOKUP(VALUE(J629),'Site Info'!$A:$G,5,FALSE),"")</f>
        <v>UT</v>
      </c>
      <c r="N629" t="str">
        <f>IFERROR(VLOOKUP(VALUE(J629),'Site Info'!$A:$G,6,FALSE),"")</f>
        <v>84341-8473</v>
      </c>
      <c r="O629">
        <f>IFERROR(VLOOKUP(VALUE(J629),'Site Info'!$A:$G,7,FALSE),"")</f>
        <v>4357870063</v>
      </c>
    </row>
    <row r="630" spans="1:15" x14ac:dyDescent="0.45">
      <c r="A630" t="s">
        <v>5568</v>
      </c>
      <c r="B630" t="s">
        <v>5569</v>
      </c>
      <c r="C630" t="s">
        <v>5570</v>
      </c>
      <c r="D630" t="s">
        <v>1833</v>
      </c>
      <c r="E630" s="1">
        <v>46152.376296296294</v>
      </c>
      <c r="F630">
        <v>1547</v>
      </c>
      <c r="G630" t="s">
        <v>5571</v>
      </c>
      <c r="H630" t="s">
        <v>15</v>
      </c>
      <c r="I630" t="s">
        <v>1835</v>
      </c>
      <c r="J630" t="str">
        <f>RIGHT(D630,4)</f>
        <v>4786</v>
      </c>
      <c r="K630" t="str">
        <f>IFERROR(VLOOKUP(VALUE(J630),'Site Info'!$A:$G,3,FALSE),"")</f>
        <v>145 W CACHE VALLEY BLVD</v>
      </c>
      <c r="L630" t="str">
        <f>IFERROR(VLOOKUP(VALUE(J630),'Site Info'!$A:$G,4,FALSE),"")</f>
        <v>LOGAN</v>
      </c>
      <c r="M630" t="str">
        <f>IFERROR(VLOOKUP(VALUE(J630),'Site Info'!$A:$G,5,FALSE),"")</f>
        <v>UT</v>
      </c>
      <c r="N630" t="str">
        <f>IFERROR(VLOOKUP(VALUE(J630),'Site Info'!$A:$G,6,FALSE),"")</f>
        <v>84341-8473</v>
      </c>
      <c r="O630">
        <f>IFERROR(VLOOKUP(VALUE(J630),'Site Info'!$A:$G,7,FALSE),"")</f>
        <v>4357870063</v>
      </c>
    </row>
    <row r="631" spans="1:15" x14ac:dyDescent="0.45">
      <c r="A631" t="s">
        <v>6066</v>
      </c>
      <c r="B631" t="s">
        <v>6067</v>
      </c>
      <c r="C631" t="s">
        <v>6068</v>
      </c>
      <c r="D631" t="s">
        <v>1833</v>
      </c>
      <c r="E631" s="1">
        <v>46152.577453703707</v>
      </c>
      <c r="F631">
        <v>1547</v>
      </c>
      <c r="G631" t="s">
        <v>6069</v>
      </c>
      <c r="H631" t="s">
        <v>15</v>
      </c>
      <c r="I631" t="s">
        <v>1835</v>
      </c>
      <c r="J631" t="str">
        <f>RIGHT(D631,4)</f>
        <v>4786</v>
      </c>
      <c r="K631" t="str">
        <f>IFERROR(VLOOKUP(VALUE(J631),'Site Info'!$A:$G,3,FALSE),"")</f>
        <v>145 W CACHE VALLEY BLVD</v>
      </c>
      <c r="L631" t="str">
        <f>IFERROR(VLOOKUP(VALUE(J631),'Site Info'!$A:$G,4,FALSE),"")</f>
        <v>LOGAN</v>
      </c>
      <c r="M631" t="str">
        <f>IFERROR(VLOOKUP(VALUE(J631),'Site Info'!$A:$G,5,FALSE),"")</f>
        <v>UT</v>
      </c>
      <c r="N631" t="str">
        <f>IFERROR(VLOOKUP(VALUE(J631),'Site Info'!$A:$G,6,FALSE),"")</f>
        <v>84341-8473</v>
      </c>
      <c r="O631">
        <f>IFERROR(VLOOKUP(VALUE(J631),'Site Info'!$A:$G,7,FALSE),"")</f>
        <v>4357870063</v>
      </c>
    </row>
    <row r="632" spans="1:15" x14ac:dyDescent="0.45">
      <c r="A632" t="s">
        <v>1830</v>
      </c>
      <c r="B632" t="s">
        <v>1831</v>
      </c>
      <c r="C632" t="s">
        <v>1832</v>
      </c>
      <c r="D632" t="s">
        <v>1833</v>
      </c>
      <c r="E632" s="1">
        <v>46148.711724537039</v>
      </c>
      <c r="F632">
        <v>1481</v>
      </c>
      <c r="G632" t="s">
        <v>1834</v>
      </c>
      <c r="H632" t="s">
        <v>15</v>
      </c>
      <c r="I632" t="s">
        <v>1835</v>
      </c>
      <c r="J632" t="str">
        <f>RIGHT(D632,4)</f>
        <v>4786</v>
      </c>
      <c r="K632" t="str">
        <f>IFERROR(VLOOKUP(VALUE(J632),'Site Info'!$A:$G,3,FALSE),"")</f>
        <v>145 W CACHE VALLEY BLVD</v>
      </c>
      <c r="L632" t="str">
        <f>IFERROR(VLOOKUP(VALUE(J632),'Site Info'!$A:$G,4,FALSE),"")</f>
        <v>LOGAN</v>
      </c>
      <c r="M632" t="str">
        <f>IFERROR(VLOOKUP(VALUE(J632),'Site Info'!$A:$G,5,FALSE),"")</f>
        <v>UT</v>
      </c>
      <c r="N632" t="str">
        <f>IFERROR(VLOOKUP(VALUE(J632),'Site Info'!$A:$G,6,FALSE),"")</f>
        <v>84341-8473</v>
      </c>
      <c r="O632">
        <f>IFERROR(VLOOKUP(VALUE(J632),'Site Info'!$A:$G,7,FALSE),"")</f>
        <v>4357870063</v>
      </c>
    </row>
    <row r="633" spans="1:15" x14ac:dyDescent="0.45">
      <c r="A633" t="s">
        <v>14371</v>
      </c>
      <c r="B633" t="s">
        <v>14372</v>
      </c>
      <c r="C633" t="s">
        <v>14373</v>
      </c>
      <c r="D633" t="s">
        <v>1833</v>
      </c>
      <c r="E633" s="1">
        <v>46153.348298611112</v>
      </c>
      <c r="F633">
        <v>1481</v>
      </c>
      <c r="G633" t="s">
        <v>14374</v>
      </c>
      <c r="H633" t="s">
        <v>15</v>
      </c>
      <c r="I633" t="s">
        <v>1835</v>
      </c>
      <c r="J633" t="str">
        <f>RIGHT(D633,4)</f>
        <v>4786</v>
      </c>
      <c r="K633" t="str">
        <f>IFERROR(VLOOKUP(VALUE(J633),'Site Info'!$A:$G,3,FALSE),"")</f>
        <v>145 W CACHE VALLEY BLVD</v>
      </c>
      <c r="L633" t="str">
        <f>IFERROR(VLOOKUP(VALUE(J633),'Site Info'!$A:$G,4,FALSE),"")</f>
        <v>LOGAN</v>
      </c>
      <c r="M633" t="str">
        <f>IFERROR(VLOOKUP(VALUE(J633),'Site Info'!$A:$G,5,FALSE),"")</f>
        <v>UT</v>
      </c>
      <c r="N633" t="str">
        <f>IFERROR(VLOOKUP(VALUE(J633),'Site Info'!$A:$G,6,FALSE),"")</f>
        <v>84341-8473</v>
      </c>
      <c r="O633">
        <f>IFERROR(VLOOKUP(VALUE(J633),'Site Info'!$A:$G,7,FALSE),"")</f>
        <v>4357870063</v>
      </c>
    </row>
    <row r="634" spans="1:15" x14ac:dyDescent="0.45">
      <c r="A634" t="s">
        <v>16435</v>
      </c>
      <c r="B634" t="s">
        <v>16436</v>
      </c>
      <c r="C634" t="s">
        <v>16437</v>
      </c>
      <c r="D634" t="s">
        <v>1833</v>
      </c>
      <c r="E634" s="1">
        <v>46153.250300925924</v>
      </c>
      <c r="F634">
        <v>1628</v>
      </c>
      <c r="G634" t="s">
        <v>16438</v>
      </c>
      <c r="H634" t="s">
        <v>13988</v>
      </c>
      <c r="I634" t="s">
        <v>1835</v>
      </c>
      <c r="J634" t="str">
        <f>RIGHT(D634,4)</f>
        <v>4786</v>
      </c>
      <c r="K634" t="str">
        <f>IFERROR(VLOOKUP(VALUE(J634),'Site Info'!$A:$G,3,FALSE),"")</f>
        <v>145 W CACHE VALLEY BLVD</v>
      </c>
      <c r="L634" t="str">
        <f>IFERROR(VLOOKUP(VALUE(J634),'Site Info'!$A:$G,4,FALSE),"")</f>
        <v>LOGAN</v>
      </c>
      <c r="M634" t="str">
        <f>IFERROR(VLOOKUP(VALUE(J634),'Site Info'!$A:$G,5,FALSE),"")</f>
        <v>UT</v>
      </c>
      <c r="N634" t="str">
        <f>IFERROR(VLOOKUP(VALUE(J634),'Site Info'!$A:$G,6,FALSE),"")</f>
        <v>84341-8473</v>
      </c>
      <c r="O634">
        <f>IFERROR(VLOOKUP(VALUE(J634),'Site Info'!$A:$G,7,FALSE),"")</f>
        <v>4357870063</v>
      </c>
    </row>
    <row r="635" spans="1:15" x14ac:dyDescent="0.45">
      <c r="A635" t="s">
        <v>16439</v>
      </c>
      <c r="B635" t="s">
        <v>16440</v>
      </c>
      <c r="C635" t="s">
        <v>16441</v>
      </c>
      <c r="D635" t="s">
        <v>1833</v>
      </c>
      <c r="E635" s="1">
        <v>46153.35597222222</v>
      </c>
      <c r="F635">
        <v>1547</v>
      </c>
      <c r="G635" t="s">
        <v>16442</v>
      </c>
      <c r="H635" t="s">
        <v>15</v>
      </c>
      <c r="I635" t="s">
        <v>1835</v>
      </c>
      <c r="J635" t="str">
        <f>RIGHT(D635,4)</f>
        <v>4786</v>
      </c>
      <c r="K635" t="str">
        <f>IFERROR(VLOOKUP(VALUE(J635),'Site Info'!$A:$G,3,FALSE),"")</f>
        <v>145 W CACHE VALLEY BLVD</v>
      </c>
      <c r="L635" t="str">
        <f>IFERROR(VLOOKUP(VALUE(J635),'Site Info'!$A:$G,4,FALSE),"")</f>
        <v>LOGAN</v>
      </c>
      <c r="M635" t="str">
        <f>IFERROR(VLOOKUP(VALUE(J635),'Site Info'!$A:$G,5,FALSE),"")</f>
        <v>UT</v>
      </c>
      <c r="N635" t="str">
        <f>IFERROR(VLOOKUP(VALUE(J635),'Site Info'!$A:$G,6,FALSE),"")</f>
        <v>84341-8473</v>
      </c>
      <c r="O635">
        <f>IFERROR(VLOOKUP(VALUE(J635),'Site Info'!$A:$G,7,FALSE),"")</f>
        <v>4357870063</v>
      </c>
    </row>
    <row r="636" spans="1:15" x14ac:dyDescent="0.45">
      <c r="A636" t="s">
        <v>10997</v>
      </c>
      <c r="B636" t="s">
        <v>10998</v>
      </c>
      <c r="C636" t="s">
        <v>10999</v>
      </c>
      <c r="D636" t="s">
        <v>1453</v>
      </c>
      <c r="E636" s="1">
        <v>46152.671273148146</v>
      </c>
      <c r="F636">
        <v>1547</v>
      </c>
      <c r="G636" t="s">
        <v>11000</v>
      </c>
      <c r="H636" t="s">
        <v>15</v>
      </c>
      <c r="I636" t="s">
        <v>1455</v>
      </c>
      <c r="J636" t="str">
        <f>RIGHT(D636,4)</f>
        <v>8218</v>
      </c>
      <c r="K636" t="str">
        <f>IFERROR(VLOOKUP(VALUE(J636),'Site Info'!$A:$G,3,FALSE),"")</f>
        <v>1450 SKIBO RD</v>
      </c>
      <c r="L636" t="str">
        <f>IFERROR(VLOOKUP(VALUE(J636),'Site Info'!$A:$G,4,FALSE),"")</f>
        <v>FAYETTEVILLE</v>
      </c>
      <c r="M636" t="str">
        <f>IFERROR(VLOOKUP(VALUE(J636),'Site Info'!$A:$G,5,FALSE),"")</f>
        <v>NC</v>
      </c>
      <c r="N636" t="str">
        <f>IFERROR(VLOOKUP(VALUE(J636),'Site Info'!$A:$G,6,FALSE),"")</f>
        <v>28303-3411</v>
      </c>
      <c r="O636">
        <f>IFERROR(VLOOKUP(VALUE(J636),'Site Info'!$A:$G,7,FALSE),"")</f>
        <v>9108647080</v>
      </c>
    </row>
    <row r="637" spans="1:15" x14ac:dyDescent="0.45">
      <c r="A637" t="s">
        <v>8257</v>
      </c>
      <c r="B637" t="s">
        <v>8258</v>
      </c>
      <c r="C637" t="s">
        <v>8259</v>
      </c>
      <c r="D637" t="s">
        <v>1453</v>
      </c>
      <c r="E637" s="1">
        <v>46153.310185185182</v>
      </c>
      <c r="F637">
        <v>1547</v>
      </c>
      <c r="G637" t="s">
        <v>8260</v>
      </c>
      <c r="H637" t="s">
        <v>15</v>
      </c>
      <c r="I637" t="s">
        <v>1455</v>
      </c>
      <c r="J637" t="str">
        <f>RIGHT(D637,4)</f>
        <v>8218</v>
      </c>
      <c r="K637" t="str">
        <f>IFERROR(VLOOKUP(VALUE(J637),'Site Info'!$A:$G,3,FALSE),"")</f>
        <v>1450 SKIBO RD</v>
      </c>
      <c r="L637" t="str">
        <f>IFERROR(VLOOKUP(VALUE(J637),'Site Info'!$A:$G,4,FALSE),"")</f>
        <v>FAYETTEVILLE</v>
      </c>
      <c r="M637" t="str">
        <f>IFERROR(VLOOKUP(VALUE(J637),'Site Info'!$A:$G,5,FALSE),"")</f>
        <v>NC</v>
      </c>
      <c r="N637" t="str">
        <f>IFERROR(VLOOKUP(VALUE(J637),'Site Info'!$A:$G,6,FALSE),"")</f>
        <v>28303-3411</v>
      </c>
      <c r="O637">
        <f>IFERROR(VLOOKUP(VALUE(J637),'Site Info'!$A:$G,7,FALSE),"")</f>
        <v>9108647080</v>
      </c>
    </row>
    <row r="638" spans="1:15" x14ac:dyDescent="0.45">
      <c r="A638" t="s">
        <v>10246</v>
      </c>
      <c r="B638" t="s">
        <v>10247</v>
      </c>
      <c r="C638" t="s">
        <v>10248</v>
      </c>
      <c r="D638" t="s">
        <v>1453</v>
      </c>
      <c r="E638" s="1">
        <v>46153.340729166666</v>
      </c>
      <c r="F638">
        <v>1547</v>
      </c>
      <c r="G638" t="s">
        <v>10249</v>
      </c>
      <c r="H638" t="s">
        <v>15</v>
      </c>
      <c r="I638" t="s">
        <v>1455</v>
      </c>
      <c r="J638" t="str">
        <f>RIGHT(D638,4)</f>
        <v>8218</v>
      </c>
      <c r="K638" t="str">
        <f>IFERROR(VLOOKUP(VALUE(J638),'Site Info'!$A:$G,3,FALSE),"")</f>
        <v>1450 SKIBO RD</v>
      </c>
      <c r="L638" t="str">
        <f>IFERROR(VLOOKUP(VALUE(J638),'Site Info'!$A:$G,4,FALSE),"")</f>
        <v>FAYETTEVILLE</v>
      </c>
      <c r="M638" t="str">
        <f>IFERROR(VLOOKUP(VALUE(J638),'Site Info'!$A:$G,5,FALSE),"")</f>
        <v>NC</v>
      </c>
      <c r="N638" t="str">
        <f>IFERROR(VLOOKUP(VALUE(J638),'Site Info'!$A:$G,6,FALSE),"")</f>
        <v>28303-3411</v>
      </c>
      <c r="O638">
        <f>IFERROR(VLOOKUP(VALUE(J638),'Site Info'!$A:$G,7,FALSE),"")</f>
        <v>9108647080</v>
      </c>
    </row>
    <row r="639" spans="1:15" x14ac:dyDescent="0.45">
      <c r="A639" t="s">
        <v>10032</v>
      </c>
      <c r="B639" t="s">
        <v>10033</v>
      </c>
      <c r="C639" t="s">
        <v>10034</v>
      </c>
      <c r="D639" t="s">
        <v>1453</v>
      </c>
      <c r="E639" s="1">
        <v>46153.352824074071</v>
      </c>
      <c r="F639">
        <v>1547</v>
      </c>
      <c r="G639" t="s">
        <v>10035</v>
      </c>
      <c r="H639" t="s">
        <v>15</v>
      </c>
      <c r="I639" t="s">
        <v>1455</v>
      </c>
      <c r="J639" t="str">
        <f>RIGHT(D639,4)</f>
        <v>8218</v>
      </c>
      <c r="K639" t="str">
        <f>IFERROR(VLOOKUP(VALUE(J639),'Site Info'!$A:$G,3,FALSE),"")</f>
        <v>1450 SKIBO RD</v>
      </c>
      <c r="L639" t="str">
        <f>IFERROR(VLOOKUP(VALUE(J639),'Site Info'!$A:$G,4,FALSE),"")</f>
        <v>FAYETTEVILLE</v>
      </c>
      <c r="M639" t="str">
        <f>IFERROR(VLOOKUP(VALUE(J639),'Site Info'!$A:$G,5,FALSE),"")</f>
        <v>NC</v>
      </c>
      <c r="N639" t="str">
        <f>IFERROR(VLOOKUP(VALUE(J639),'Site Info'!$A:$G,6,FALSE),"")</f>
        <v>28303-3411</v>
      </c>
      <c r="O639">
        <f>IFERROR(VLOOKUP(VALUE(J639),'Site Info'!$A:$G,7,FALSE),"")</f>
        <v>9108647080</v>
      </c>
    </row>
    <row r="640" spans="1:15" x14ac:dyDescent="0.45">
      <c r="A640" t="s">
        <v>12548</v>
      </c>
      <c r="B640" t="s">
        <v>12549</v>
      </c>
      <c r="C640" t="s">
        <v>12550</v>
      </c>
      <c r="D640" t="s">
        <v>1453</v>
      </c>
      <c r="E640" s="1">
        <v>46153.364108796297</v>
      </c>
      <c r="F640">
        <v>1547</v>
      </c>
      <c r="G640" t="s">
        <v>12551</v>
      </c>
      <c r="H640" t="s">
        <v>15</v>
      </c>
      <c r="I640" t="s">
        <v>1455</v>
      </c>
      <c r="J640" t="str">
        <f>RIGHT(D640,4)</f>
        <v>8218</v>
      </c>
      <c r="K640" t="str">
        <f>IFERROR(VLOOKUP(VALUE(J640),'Site Info'!$A:$G,3,FALSE),"")</f>
        <v>1450 SKIBO RD</v>
      </c>
      <c r="L640" t="str">
        <f>IFERROR(VLOOKUP(VALUE(J640),'Site Info'!$A:$G,4,FALSE),"")</f>
        <v>FAYETTEVILLE</v>
      </c>
      <c r="M640" t="str">
        <f>IFERROR(VLOOKUP(VALUE(J640),'Site Info'!$A:$G,5,FALSE),"")</f>
        <v>NC</v>
      </c>
      <c r="N640" t="str">
        <f>IFERROR(VLOOKUP(VALUE(J640),'Site Info'!$A:$G,6,FALSE),"")</f>
        <v>28303-3411</v>
      </c>
      <c r="O640">
        <f>IFERROR(VLOOKUP(VALUE(J640),'Site Info'!$A:$G,7,FALSE),"")</f>
        <v>9108647080</v>
      </c>
    </row>
    <row r="641" spans="1:15" x14ac:dyDescent="0.45">
      <c r="A641" t="s">
        <v>9745</v>
      </c>
      <c r="B641" t="s">
        <v>9746</v>
      </c>
      <c r="C641" t="s">
        <v>9747</v>
      </c>
      <c r="D641" t="s">
        <v>1453</v>
      </c>
      <c r="E641" s="1">
        <v>46153.368379629632</v>
      </c>
      <c r="F641">
        <v>1547</v>
      </c>
      <c r="G641" t="s">
        <v>9748</v>
      </c>
      <c r="H641" t="s">
        <v>15</v>
      </c>
      <c r="I641" t="s">
        <v>1455</v>
      </c>
      <c r="J641" t="str">
        <f>RIGHT(D641,4)</f>
        <v>8218</v>
      </c>
      <c r="K641" t="str">
        <f>IFERROR(VLOOKUP(VALUE(J641),'Site Info'!$A:$G,3,FALSE),"")</f>
        <v>1450 SKIBO RD</v>
      </c>
      <c r="L641" t="str">
        <f>IFERROR(VLOOKUP(VALUE(J641),'Site Info'!$A:$G,4,FALSE),"")</f>
        <v>FAYETTEVILLE</v>
      </c>
      <c r="M641" t="str">
        <f>IFERROR(VLOOKUP(VALUE(J641),'Site Info'!$A:$G,5,FALSE),"")</f>
        <v>NC</v>
      </c>
      <c r="N641" t="str">
        <f>IFERROR(VLOOKUP(VALUE(J641),'Site Info'!$A:$G,6,FALSE),"")</f>
        <v>28303-3411</v>
      </c>
      <c r="O641">
        <f>IFERROR(VLOOKUP(VALUE(J641),'Site Info'!$A:$G,7,FALSE),"")</f>
        <v>9108647080</v>
      </c>
    </row>
    <row r="642" spans="1:15" x14ac:dyDescent="0.45">
      <c r="A642" t="s">
        <v>3353</v>
      </c>
      <c r="B642" t="s">
        <v>3354</v>
      </c>
      <c r="C642" t="s">
        <v>3355</v>
      </c>
      <c r="D642" t="s">
        <v>1453</v>
      </c>
      <c r="E642" s="1">
        <v>46152.668414351851</v>
      </c>
      <c r="F642">
        <v>1481</v>
      </c>
      <c r="G642" t="s">
        <v>3356</v>
      </c>
      <c r="H642" t="s">
        <v>15</v>
      </c>
      <c r="I642" t="s">
        <v>1455</v>
      </c>
      <c r="J642" t="str">
        <f>RIGHT(D642,4)</f>
        <v>8218</v>
      </c>
      <c r="K642" t="str">
        <f>IFERROR(VLOOKUP(VALUE(J642),'Site Info'!$A:$G,3,FALSE),"")</f>
        <v>1450 SKIBO RD</v>
      </c>
      <c r="L642" t="str">
        <f>IFERROR(VLOOKUP(VALUE(J642),'Site Info'!$A:$G,4,FALSE),"")</f>
        <v>FAYETTEVILLE</v>
      </c>
      <c r="M642" t="str">
        <f>IFERROR(VLOOKUP(VALUE(J642),'Site Info'!$A:$G,5,FALSE),"")</f>
        <v>NC</v>
      </c>
      <c r="N642" t="str">
        <f>IFERROR(VLOOKUP(VALUE(J642),'Site Info'!$A:$G,6,FALSE),"")</f>
        <v>28303-3411</v>
      </c>
      <c r="O642">
        <f>IFERROR(VLOOKUP(VALUE(J642),'Site Info'!$A:$G,7,FALSE),"")</f>
        <v>9108647080</v>
      </c>
    </row>
    <row r="643" spans="1:15" x14ac:dyDescent="0.45">
      <c r="A643" t="s">
        <v>1450</v>
      </c>
      <c r="B643" t="s">
        <v>1451</v>
      </c>
      <c r="C643" t="s">
        <v>1452</v>
      </c>
      <c r="D643" t="s">
        <v>1453</v>
      </c>
      <c r="E643" s="1">
        <v>46153.333124999997</v>
      </c>
      <c r="F643">
        <v>1481</v>
      </c>
      <c r="G643" t="s">
        <v>1454</v>
      </c>
      <c r="H643" t="s">
        <v>15</v>
      </c>
      <c r="I643" t="s">
        <v>1455</v>
      </c>
      <c r="J643" t="str">
        <f>RIGHT(D643,4)</f>
        <v>8218</v>
      </c>
      <c r="K643" t="str">
        <f>IFERROR(VLOOKUP(VALUE(J643),'Site Info'!$A:$G,3,FALSE),"")</f>
        <v>1450 SKIBO RD</v>
      </c>
      <c r="L643" t="str">
        <f>IFERROR(VLOOKUP(VALUE(J643),'Site Info'!$A:$G,4,FALSE),"")</f>
        <v>FAYETTEVILLE</v>
      </c>
      <c r="M643" t="str">
        <f>IFERROR(VLOOKUP(VALUE(J643),'Site Info'!$A:$G,5,FALSE),"")</f>
        <v>NC</v>
      </c>
      <c r="N643" t="str">
        <f>IFERROR(VLOOKUP(VALUE(J643),'Site Info'!$A:$G,6,FALSE),"")</f>
        <v>28303-3411</v>
      </c>
      <c r="O643">
        <f>IFERROR(VLOOKUP(VALUE(J643),'Site Info'!$A:$G,7,FALSE),"")</f>
        <v>9108647080</v>
      </c>
    </row>
    <row r="644" spans="1:15" x14ac:dyDescent="0.45">
      <c r="A644" t="s">
        <v>16621</v>
      </c>
      <c r="B644" t="s">
        <v>17172</v>
      </c>
      <c r="C644" t="s">
        <v>17173</v>
      </c>
      <c r="D644" t="s">
        <v>1453</v>
      </c>
      <c r="E644" s="1">
        <v>46153.306666666664</v>
      </c>
      <c r="F644">
        <v>1863</v>
      </c>
      <c r="G644" t="s">
        <v>17174</v>
      </c>
      <c r="H644" t="s">
        <v>136</v>
      </c>
      <c r="I644" t="s">
        <v>1455</v>
      </c>
      <c r="J644" t="str">
        <f>RIGHT(D644,4)</f>
        <v>8218</v>
      </c>
      <c r="K644" t="str">
        <f>IFERROR(VLOOKUP(VALUE(J644),'Site Info'!$A:$G,3,FALSE),"")</f>
        <v>1450 SKIBO RD</v>
      </c>
      <c r="L644" t="str">
        <f>IFERROR(VLOOKUP(VALUE(J644),'Site Info'!$A:$G,4,FALSE),"")</f>
        <v>FAYETTEVILLE</v>
      </c>
      <c r="M644" t="str">
        <f>IFERROR(VLOOKUP(VALUE(J644),'Site Info'!$A:$G,5,FALSE),"")</f>
        <v>NC</v>
      </c>
      <c r="N644" t="str">
        <f>IFERROR(VLOOKUP(VALUE(J644),'Site Info'!$A:$G,6,FALSE),"")</f>
        <v>28303-3411</v>
      </c>
      <c r="O644">
        <f>IFERROR(VLOOKUP(VALUE(J644),'Site Info'!$A:$G,7,FALSE),"")</f>
        <v>9108647080</v>
      </c>
    </row>
    <row r="645" spans="1:15" x14ac:dyDescent="0.45">
      <c r="A645" t="s">
        <v>4554</v>
      </c>
      <c r="B645" t="s">
        <v>4555</v>
      </c>
      <c r="C645" t="s">
        <v>4556</v>
      </c>
      <c r="D645" t="s">
        <v>825</v>
      </c>
      <c r="E645" s="1">
        <v>46152.317696759259</v>
      </c>
      <c r="F645">
        <v>1547</v>
      </c>
      <c r="G645" t="s">
        <v>4557</v>
      </c>
      <c r="H645" t="s">
        <v>15</v>
      </c>
      <c r="I645" t="s">
        <v>827</v>
      </c>
      <c r="J645" t="str">
        <f>RIGHT(D645,4)</f>
        <v>8220</v>
      </c>
      <c r="K645" t="str">
        <f>IFERROR(VLOOKUP(VALUE(J645),'Site Info'!$A:$G,3,FALSE),"")</f>
        <v>1455 TOWN SQUARE BLVD.</v>
      </c>
      <c r="L645" t="str">
        <f>IFERROR(VLOOKUP(VALUE(J645),'Site Info'!$A:$G,4,FALSE),"")</f>
        <v>ROANOKE</v>
      </c>
      <c r="M645" t="str">
        <f>IFERROR(VLOOKUP(VALUE(J645),'Site Info'!$A:$G,5,FALSE),"")</f>
        <v>VA</v>
      </c>
      <c r="N645" t="str">
        <f>IFERROR(VLOOKUP(VALUE(J645),'Site Info'!$A:$G,6,FALSE),"")</f>
        <v>24012-1612</v>
      </c>
      <c r="O645">
        <f>IFERROR(VLOOKUP(VALUE(J645),'Site Info'!$A:$G,7,FALSE),"")</f>
        <v>5405632620</v>
      </c>
    </row>
    <row r="646" spans="1:15" x14ac:dyDescent="0.45">
      <c r="A646" t="s">
        <v>7953</v>
      </c>
      <c r="B646" t="s">
        <v>7954</v>
      </c>
      <c r="C646" t="s">
        <v>7955</v>
      </c>
      <c r="D646" t="s">
        <v>825</v>
      </c>
      <c r="E646" s="1">
        <v>46152.497025462966</v>
      </c>
      <c r="F646">
        <v>1547</v>
      </c>
      <c r="G646" t="s">
        <v>7956</v>
      </c>
      <c r="H646" t="s">
        <v>15</v>
      </c>
      <c r="I646" t="s">
        <v>827</v>
      </c>
      <c r="J646" t="str">
        <f>RIGHT(D646,4)</f>
        <v>8220</v>
      </c>
      <c r="K646" t="str">
        <f>IFERROR(VLOOKUP(VALUE(J646),'Site Info'!$A:$G,3,FALSE),"")</f>
        <v>1455 TOWN SQUARE BLVD.</v>
      </c>
      <c r="L646" t="str">
        <f>IFERROR(VLOOKUP(VALUE(J646),'Site Info'!$A:$G,4,FALSE),"")</f>
        <v>ROANOKE</v>
      </c>
      <c r="M646" t="str">
        <f>IFERROR(VLOOKUP(VALUE(J646),'Site Info'!$A:$G,5,FALSE),"")</f>
        <v>VA</v>
      </c>
      <c r="N646" t="str">
        <f>IFERROR(VLOOKUP(VALUE(J646),'Site Info'!$A:$G,6,FALSE),"")</f>
        <v>24012-1612</v>
      </c>
      <c r="O646">
        <f>IFERROR(VLOOKUP(VALUE(J646),'Site Info'!$A:$G,7,FALSE),"")</f>
        <v>5405632620</v>
      </c>
    </row>
    <row r="647" spans="1:15" x14ac:dyDescent="0.45">
      <c r="A647" t="s">
        <v>8317</v>
      </c>
      <c r="B647" t="s">
        <v>8318</v>
      </c>
      <c r="C647" t="s">
        <v>8319</v>
      </c>
      <c r="D647" t="s">
        <v>825</v>
      </c>
      <c r="E647" s="1">
        <v>46152.75545138889</v>
      </c>
      <c r="F647">
        <v>1547</v>
      </c>
      <c r="G647" t="s">
        <v>8320</v>
      </c>
      <c r="H647" t="s">
        <v>15</v>
      </c>
      <c r="I647" t="s">
        <v>827</v>
      </c>
      <c r="J647" t="str">
        <f>RIGHT(D647,4)</f>
        <v>8220</v>
      </c>
      <c r="K647" t="str">
        <f>IFERROR(VLOOKUP(VALUE(J647),'Site Info'!$A:$G,3,FALSE),"")</f>
        <v>1455 TOWN SQUARE BLVD.</v>
      </c>
      <c r="L647" t="str">
        <f>IFERROR(VLOOKUP(VALUE(J647),'Site Info'!$A:$G,4,FALSE),"")</f>
        <v>ROANOKE</v>
      </c>
      <c r="M647" t="str">
        <f>IFERROR(VLOOKUP(VALUE(J647),'Site Info'!$A:$G,5,FALSE),"")</f>
        <v>VA</v>
      </c>
      <c r="N647" t="str">
        <f>IFERROR(VLOOKUP(VALUE(J647),'Site Info'!$A:$G,6,FALSE),"")</f>
        <v>24012-1612</v>
      </c>
      <c r="O647">
        <f>IFERROR(VLOOKUP(VALUE(J647),'Site Info'!$A:$G,7,FALSE),"")</f>
        <v>5405632620</v>
      </c>
    </row>
    <row r="648" spans="1:15" x14ac:dyDescent="0.45">
      <c r="A648" t="s">
        <v>4068</v>
      </c>
      <c r="B648" t="s">
        <v>4069</v>
      </c>
      <c r="C648" t="s">
        <v>4070</v>
      </c>
      <c r="D648" t="s">
        <v>825</v>
      </c>
      <c r="E648" s="1">
        <v>46152.845648148148</v>
      </c>
      <c r="F648">
        <v>1547</v>
      </c>
      <c r="G648" t="s">
        <v>4071</v>
      </c>
      <c r="H648" t="s">
        <v>15</v>
      </c>
      <c r="I648" t="s">
        <v>827</v>
      </c>
      <c r="J648" t="str">
        <f>RIGHT(D648,4)</f>
        <v>8220</v>
      </c>
      <c r="K648" t="str">
        <f>IFERROR(VLOOKUP(VALUE(J648),'Site Info'!$A:$G,3,FALSE),"")</f>
        <v>1455 TOWN SQUARE BLVD.</v>
      </c>
      <c r="L648" t="str">
        <f>IFERROR(VLOOKUP(VALUE(J648),'Site Info'!$A:$G,4,FALSE),"")</f>
        <v>ROANOKE</v>
      </c>
      <c r="M648" t="str">
        <f>IFERROR(VLOOKUP(VALUE(J648),'Site Info'!$A:$G,5,FALSE),"")</f>
        <v>VA</v>
      </c>
      <c r="N648" t="str">
        <f>IFERROR(VLOOKUP(VALUE(J648),'Site Info'!$A:$G,6,FALSE),"")</f>
        <v>24012-1612</v>
      </c>
      <c r="O648">
        <f>IFERROR(VLOOKUP(VALUE(J648),'Site Info'!$A:$G,7,FALSE),"")</f>
        <v>5405632620</v>
      </c>
    </row>
    <row r="649" spans="1:15" x14ac:dyDescent="0.45">
      <c r="A649" t="s">
        <v>4084</v>
      </c>
      <c r="B649" t="s">
        <v>4085</v>
      </c>
      <c r="C649" t="s">
        <v>4086</v>
      </c>
      <c r="D649" t="s">
        <v>825</v>
      </c>
      <c r="E649" s="1">
        <v>46153.221446759257</v>
      </c>
      <c r="F649">
        <v>1547</v>
      </c>
      <c r="G649" t="s">
        <v>4087</v>
      </c>
      <c r="H649" t="s">
        <v>15</v>
      </c>
      <c r="I649" t="s">
        <v>827</v>
      </c>
      <c r="J649" t="str">
        <f>RIGHT(D649,4)</f>
        <v>8220</v>
      </c>
      <c r="K649" t="str">
        <f>IFERROR(VLOOKUP(VALUE(J649),'Site Info'!$A:$G,3,FALSE),"")</f>
        <v>1455 TOWN SQUARE BLVD.</v>
      </c>
      <c r="L649" t="str">
        <f>IFERROR(VLOOKUP(VALUE(J649),'Site Info'!$A:$G,4,FALSE),"")</f>
        <v>ROANOKE</v>
      </c>
      <c r="M649" t="str">
        <f>IFERROR(VLOOKUP(VALUE(J649),'Site Info'!$A:$G,5,FALSE),"")</f>
        <v>VA</v>
      </c>
      <c r="N649" t="str">
        <f>IFERROR(VLOOKUP(VALUE(J649),'Site Info'!$A:$G,6,FALSE),"")</f>
        <v>24012-1612</v>
      </c>
      <c r="O649">
        <f>IFERROR(VLOOKUP(VALUE(J649),'Site Info'!$A:$G,7,FALSE),"")</f>
        <v>5405632620</v>
      </c>
    </row>
    <row r="650" spans="1:15" x14ac:dyDescent="0.45">
      <c r="A650" t="s">
        <v>4610</v>
      </c>
      <c r="B650" t="s">
        <v>4611</v>
      </c>
      <c r="C650" t="s">
        <v>4612</v>
      </c>
      <c r="D650" t="s">
        <v>825</v>
      </c>
      <c r="E650" s="1">
        <v>46153.256956018522</v>
      </c>
      <c r="F650">
        <v>1547</v>
      </c>
      <c r="G650" t="s">
        <v>4613</v>
      </c>
      <c r="H650" t="s">
        <v>15</v>
      </c>
      <c r="I650" t="s">
        <v>827</v>
      </c>
      <c r="J650" t="str">
        <f>RIGHT(D650,4)</f>
        <v>8220</v>
      </c>
      <c r="K650" t="str">
        <f>IFERROR(VLOOKUP(VALUE(J650),'Site Info'!$A:$G,3,FALSE),"")</f>
        <v>1455 TOWN SQUARE BLVD.</v>
      </c>
      <c r="L650" t="str">
        <f>IFERROR(VLOOKUP(VALUE(J650),'Site Info'!$A:$G,4,FALSE),"")</f>
        <v>ROANOKE</v>
      </c>
      <c r="M650" t="str">
        <f>IFERROR(VLOOKUP(VALUE(J650),'Site Info'!$A:$G,5,FALSE),"")</f>
        <v>VA</v>
      </c>
      <c r="N650" t="str">
        <f>IFERROR(VLOOKUP(VALUE(J650),'Site Info'!$A:$G,6,FALSE),"")</f>
        <v>24012-1612</v>
      </c>
      <c r="O650">
        <f>IFERROR(VLOOKUP(VALUE(J650),'Site Info'!$A:$G,7,FALSE),"")</f>
        <v>5405632620</v>
      </c>
    </row>
    <row r="651" spans="1:15" x14ac:dyDescent="0.45">
      <c r="A651" t="s">
        <v>9321</v>
      </c>
      <c r="B651" t="s">
        <v>9322</v>
      </c>
      <c r="C651" t="s">
        <v>9323</v>
      </c>
      <c r="D651" t="s">
        <v>825</v>
      </c>
      <c r="E651" s="1">
        <v>46153.334050925929</v>
      </c>
      <c r="F651">
        <v>1547</v>
      </c>
      <c r="G651" t="s">
        <v>9324</v>
      </c>
      <c r="H651" t="s">
        <v>15</v>
      </c>
      <c r="I651" t="s">
        <v>827</v>
      </c>
      <c r="J651" t="str">
        <f>RIGHT(D651,4)</f>
        <v>8220</v>
      </c>
      <c r="K651" t="str">
        <f>IFERROR(VLOOKUP(VALUE(J651),'Site Info'!$A:$G,3,FALSE),"")</f>
        <v>1455 TOWN SQUARE BLVD.</v>
      </c>
      <c r="L651" t="str">
        <f>IFERROR(VLOOKUP(VALUE(J651),'Site Info'!$A:$G,4,FALSE),"")</f>
        <v>ROANOKE</v>
      </c>
      <c r="M651" t="str">
        <f>IFERROR(VLOOKUP(VALUE(J651),'Site Info'!$A:$G,5,FALSE),"")</f>
        <v>VA</v>
      </c>
      <c r="N651" t="str">
        <f>IFERROR(VLOOKUP(VALUE(J651),'Site Info'!$A:$G,6,FALSE),"")</f>
        <v>24012-1612</v>
      </c>
      <c r="O651">
        <f>IFERROR(VLOOKUP(VALUE(J651),'Site Info'!$A:$G,7,FALSE),"")</f>
        <v>5405632620</v>
      </c>
    </row>
    <row r="652" spans="1:15" x14ac:dyDescent="0.45">
      <c r="A652" t="s">
        <v>822</v>
      </c>
      <c r="B652" t="s">
        <v>823</v>
      </c>
      <c r="C652" t="s">
        <v>824</v>
      </c>
      <c r="D652" t="s">
        <v>825</v>
      </c>
      <c r="E652" s="1">
        <v>46153.341319444444</v>
      </c>
      <c r="F652">
        <v>1481</v>
      </c>
      <c r="G652" t="s">
        <v>826</v>
      </c>
      <c r="H652" t="s">
        <v>15</v>
      </c>
      <c r="I652" t="s">
        <v>827</v>
      </c>
      <c r="J652" t="str">
        <f>RIGHT(D652,4)</f>
        <v>8220</v>
      </c>
      <c r="K652" t="str">
        <f>IFERROR(VLOOKUP(VALUE(J652),'Site Info'!$A:$G,3,FALSE),"")</f>
        <v>1455 TOWN SQUARE BLVD.</v>
      </c>
      <c r="L652" t="str">
        <f>IFERROR(VLOOKUP(VALUE(J652),'Site Info'!$A:$G,4,FALSE),"")</f>
        <v>ROANOKE</v>
      </c>
      <c r="M652" t="str">
        <f>IFERROR(VLOOKUP(VALUE(J652),'Site Info'!$A:$G,5,FALSE),"")</f>
        <v>VA</v>
      </c>
      <c r="N652" t="str">
        <f>IFERROR(VLOOKUP(VALUE(J652),'Site Info'!$A:$G,6,FALSE),"")</f>
        <v>24012-1612</v>
      </c>
      <c r="O652">
        <f>IFERROR(VLOOKUP(VALUE(J652),'Site Info'!$A:$G,7,FALSE),"")</f>
        <v>5405632620</v>
      </c>
    </row>
    <row r="653" spans="1:15" x14ac:dyDescent="0.45">
      <c r="A653" t="s">
        <v>2999</v>
      </c>
      <c r="B653" t="s">
        <v>3000</v>
      </c>
      <c r="C653" t="s">
        <v>3001</v>
      </c>
      <c r="D653" t="s">
        <v>825</v>
      </c>
      <c r="E653" s="1">
        <v>46153.355393518519</v>
      </c>
      <c r="F653">
        <v>1481</v>
      </c>
      <c r="G653" t="s">
        <v>3002</v>
      </c>
      <c r="H653" t="s">
        <v>15</v>
      </c>
      <c r="I653" t="s">
        <v>827</v>
      </c>
      <c r="J653" t="str">
        <f>RIGHT(D653,4)</f>
        <v>8220</v>
      </c>
      <c r="K653" t="str">
        <f>IFERROR(VLOOKUP(VALUE(J653),'Site Info'!$A:$G,3,FALSE),"")</f>
        <v>1455 TOWN SQUARE BLVD.</v>
      </c>
      <c r="L653" t="str">
        <f>IFERROR(VLOOKUP(VALUE(J653),'Site Info'!$A:$G,4,FALSE),"")</f>
        <v>ROANOKE</v>
      </c>
      <c r="M653" t="str">
        <f>IFERROR(VLOOKUP(VALUE(J653),'Site Info'!$A:$G,5,FALSE),"")</f>
        <v>VA</v>
      </c>
      <c r="N653" t="str">
        <f>IFERROR(VLOOKUP(VALUE(J653),'Site Info'!$A:$G,6,FALSE),"")</f>
        <v>24012-1612</v>
      </c>
      <c r="O653">
        <f>IFERROR(VLOOKUP(VALUE(J653),'Site Info'!$A:$G,7,FALSE),"")</f>
        <v>5405632620</v>
      </c>
    </row>
    <row r="654" spans="1:15" x14ac:dyDescent="0.45">
      <c r="A654" t="s">
        <v>10148</v>
      </c>
      <c r="B654" t="s">
        <v>10149</v>
      </c>
      <c r="C654" t="s">
        <v>10150</v>
      </c>
      <c r="D654" t="s">
        <v>511</v>
      </c>
      <c r="E654" s="1">
        <v>46151.918136574073</v>
      </c>
      <c r="F654">
        <v>1547</v>
      </c>
      <c r="G654" t="s">
        <v>10151</v>
      </c>
      <c r="H654" t="s">
        <v>15</v>
      </c>
      <c r="I654" t="s">
        <v>513</v>
      </c>
      <c r="J654" t="str">
        <f>RIGHT(D654,4)</f>
        <v>4830</v>
      </c>
      <c r="K654" t="str">
        <f>IFERROR(VLOOKUP(VALUE(J654),'Site Info'!$A:$G,3,FALSE),"")</f>
        <v>1459 N DYSART RD</v>
      </c>
      <c r="L654" t="str">
        <f>IFERROR(VLOOKUP(VALUE(J654),'Site Info'!$A:$G,4,FALSE),"")</f>
        <v>AVONDALE</v>
      </c>
      <c r="M654" t="str">
        <f>IFERROR(VLOOKUP(VALUE(J654),'Site Info'!$A:$G,5,FALSE),"")</f>
        <v>AZ</v>
      </c>
      <c r="N654" t="str">
        <f>IFERROR(VLOOKUP(VALUE(J654),'Site Info'!$A:$G,6,FALSE),"")</f>
        <v>85323-1515</v>
      </c>
      <c r="O654">
        <f>IFERROR(VLOOKUP(VALUE(J654),'Site Info'!$A:$G,7,FALSE),"")</f>
        <v>6238823859</v>
      </c>
    </row>
    <row r="655" spans="1:15" x14ac:dyDescent="0.45">
      <c r="A655" t="s">
        <v>9900</v>
      </c>
      <c r="B655" t="s">
        <v>9901</v>
      </c>
      <c r="C655" t="s">
        <v>9902</v>
      </c>
      <c r="D655" t="s">
        <v>511</v>
      </c>
      <c r="E655" s="1">
        <v>46152.335844907408</v>
      </c>
      <c r="F655">
        <v>1547</v>
      </c>
      <c r="G655" t="s">
        <v>9903</v>
      </c>
      <c r="H655" t="s">
        <v>15</v>
      </c>
      <c r="I655" t="s">
        <v>513</v>
      </c>
      <c r="J655" t="str">
        <f>RIGHT(D655,4)</f>
        <v>4830</v>
      </c>
      <c r="K655" t="str">
        <f>IFERROR(VLOOKUP(VALUE(J655),'Site Info'!$A:$G,3,FALSE),"")</f>
        <v>1459 N DYSART RD</v>
      </c>
      <c r="L655" t="str">
        <f>IFERROR(VLOOKUP(VALUE(J655),'Site Info'!$A:$G,4,FALSE),"")</f>
        <v>AVONDALE</v>
      </c>
      <c r="M655" t="str">
        <f>IFERROR(VLOOKUP(VALUE(J655),'Site Info'!$A:$G,5,FALSE),"")</f>
        <v>AZ</v>
      </c>
      <c r="N655" t="str">
        <f>IFERROR(VLOOKUP(VALUE(J655),'Site Info'!$A:$G,6,FALSE),"")</f>
        <v>85323-1515</v>
      </c>
      <c r="O655">
        <f>IFERROR(VLOOKUP(VALUE(J655),'Site Info'!$A:$G,7,FALSE),"")</f>
        <v>6238823859</v>
      </c>
    </row>
    <row r="656" spans="1:15" x14ac:dyDescent="0.45">
      <c r="A656" t="s">
        <v>4092</v>
      </c>
      <c r="B656" t="s">
        <v>4093</v>
      </c>
      <c r="C656" t="s">
        <v>4094</v>
      </c>
      <c r="D656" t="s">
        <v>511</v>
      </c>
      <c r="E656" s="1">
        <v>46152.856238425928</v>
      </c>
      <c r="F656">
        <v>1547</v>
      </c>
      <c r="G656" t="s">
        <v>4095</v>
      </c>
      <c r="H656" t="s">
        <v>15</v>
      </c>
      <c r="I656" t="s">
        <v>513</v>
      </c>
      <c r="J656" t="str">
        <f>RIGHT(D656,4)</f>
        <v>4830</v>
      </c>
      <c r="K656" t="str">
        <f>IFERROR(VLOOKUP(VALUE(J656),'Site Info'!$A:$G,3,FALSE),"")</f>
        <v>1459 N DYSART RD</v>
      </c>
      <c r="L656" t="str">
        <f>IFERROR(VLOOKUP(VALUE(J656),'Site Info'!$A:$G,4,FALSE),"")</f>
        <v>AVONDALE</v>
      </c>
      <c r="M656" t="str">
        <f>IFERROR(VLOOKUP(VALUE(J656),'Site Info'!$A:$G,5,FALSE),"")</f>
        <v>AZ</v>
      </c>
      <c r="N656" t="str">
        <f>IFERROR(VLOOKUP(VALUE(J656),'Site Info'!$A:$G,6,FALSE),"")</f>
        <v>85323-1515</v>
      </c>
      <c r="O656">
        <f>IFERROR(VLOOKUP(VALUE(J656),'Site Info'!$A:$G,7,FALSE),"")</f>
        <v>6238823859</v>
      </c>
    </row>
    <row r="657" spans="1:15" x14ac:dyDescent="0.45">
      <c r="A657" t="s">
        <v>4106</v>
      </c>
      <c r="B657" t="s">
        <v>4107</v>
      </c>
      <c r="C657" t="s">
        <v>4108</v>
      </c>
      <c r="D657" t="s">
        <v>511</v>
      </c>
      <c r="E657" s="1">
        <v>46153.075474537036</v>
      </c>
      <c r="F657">
        <v>1547</v>
      </c>
      <c r="G657" t="s">
        <v>4109</v>
      </c>
      <c r="H657" t="s">
        <v>15</v>
      </c>
      <c r="I657" t="s">
        <v>513</v>
      </c>
      <c r="J657" t="str">
        <f>RIGHT(D657,4)</f>
        <v>4830</v>
      </c>
      <c r="K657" t="str">
        <f>IFERROR(VLOOKUP(VALUE(J657),'Site Info'!$A:$G,3,FALSE),"")</f>
        <v>1459 N DYSART RD</v>
      </c>
      <c r="L657" t="str">
        <f>IFERROR(VLOOKUP(VALUE(J657),'Site Info'!$A:$G,4,FALSE),"")</f>
        <v>AVONDALE</v>
      </c>
      <c r="M657" t="str">
        <f>IFERROR(VLOOKUP(VALUE(J657),'Site Info'!$A:$G,5,FALSE),"")</f>
        <v>AZ</v>
      </c>
      <c r="N657" t="str">
        <f>IFERROR(VLOOKUP(VALUE(J657),'Site Info'!$A:$G,6,FALSE),"")</f>
        <v>85323-1515</v>
      </c>
      <c r="O657">
        <f>IFERROR(VLOOKUP(VALUE(J657),'Site Info'!$A:$G,7,FALSE),"")</f>
        <v>6238823859</v>
      </c>
    </row>
    <row r="658" spans="1:15" x14ac:dyDescent="0.45">
      <c r="A658" t="s">
        <v>4088</v>
      </c>
      <c r="B658" t="s">
        <v>4089</v>
      </c>
      <c r="C658" t="s">
        <v>4090</v>
      </c>
      <c r="D658" t="s">
        <v>511</v>
      </c>
      <c r="E658" s="1">
        <v>46153.305717592593</v>
      </c>
      <c r="F658">
        <v>1547</v>
      </c>
      <c r="G658" t="s">
        <v>4091</v>
      </c>
      <c r="H658" t="s">
        <v>15</v>
      </c>
      <c r="I658" t="s">
        <v>513</v>
      </c>
      <c r="J658" t="str">
        <f>RIGHT(D658,4)</f>
        <v>4830</v>
      </c>
      <c r="K658" t="str">
        <f>IFERROR(VLOOKUP(VALUE(J658),'Site Info'!$A:$G,3,FALSE),"")</f>
        <v>1459 N DYSART RD</v>
      </c>
      <c r="L658" t="str">
        <f>IFERROR(VLOOKUP(VALUE(J658),'Site Info'!$A:$G,4,FALSE),"")</f>
        <v>AVONDALE</v>
      </c>
      <c r="M658" t="str">
        <f>IFERROR(VLOOKUP(VALUE(J658),'Site Info'!$A:$G,5,FALSE),"")</f>
        <v>AZ</v>
      </c>
      <c r="N658" t="str">
        <f>IFERROR(VLOOKUP(VALUE(J658),'Site Info'!$A:$G,6,FALSE),"")</f>
        <v>85323-1515</v>
      </c>
      <c r="O658">
        <f>IFERROR(VLOOKUP(VALUE(J658),'Site Info'!$A:$G,7,FALSE),"")</f>
        <v>6238823859</v>
      </c>
    </row>
    <row r="659" spans="1:15" x14ac:dyDescent="0.45">
      <c r="A659" t="s">
        <v>508</v>
      </c>
      <c r="B659" t="s">
        <v>509</v>
      </c>
      <c r="C659" t="s">
        <v>510</v>
      </c>
      <c r="D659" t="s">
        <v>511</v>
      </c>
      <c r="E659" s="1">
        <v>46152.982418981483</v>
      </c>
      <c r="F659">
        <v>1481</v>
      </c>
      <c r="G659" t="s">
        <v>512</v>
      </c>
      <c r="H659" t="s">
        <v>15</v>
      </c>
      <c r="I659" t="s">
        <v>513</v>
      </c>
      <c r="J659" t="str">
        <f>RIGHT(D659,4)</f>
        <v>4830</v>
      </c>
      <c r="K659" t="str">
        <f>IFERROR(VLOOKUP(VALUE(J659),'Site Info'!$A:$G,3,FALSE),"")</f>
        <v>1459 N DYSART RD</v>
      </c>
      <c r="L659" t="str">
        <f>IFERROR(VLOOKUP(VALUE(J659),'Site Info'!$A:$G,4,FALSE),"")</f>
        <v>AVONDALE</v>
      </c>
      <c r="M659" t="str">
        <f>IFERROR(VLOOKUP(VALUE(J659),'Site Info'!$A:$G,5,FALSE),"")</f>
        <v>AZ</v>
      </c>
      <c r="N659" t="str">
        <f>IFERROR(VLOOKUP(VALUE(J659),'Site Info'!$A:$G,6,FALSE),"")</f>
        <v>85323-1515</v>
      </c>
      <c r="O659">
        <f>IFERROR(VLOOKUP(VALUE(J659),'Site Info'!$A:$G,7,FALSE),"")</f>
        <v>6238823859</v>
      </c>
    </row>
    <row r="660" spans="1:15" x14ac:dyDescent="0.45">
      <c r="A660" t="s">
        <v>4856</v>
      </c>
      <c r="B660" t="s">
        <v>4857</v>
      </c>
      <c r="C660" t="s">
        <v>4858</v>
      </c>
      <c r="D660" t="s">
        <v>1389</v>
      </c>
      <c r="E660" s="1">
        <v>46152.457928240743</v>
      </c>
      <c r="F660">
        <v>1547</v>
      </c>
      <c r="G660" t="s">
        <v>4859</v>
      </c>
      <c r="H660" t="s">
        <v>15</v>
      </c>
      <c r="I660" t="s">
        <v>1391</v>
      </c>
      <c r="J660" t="str">
        <f>RIGHT(D660,4)</f>
        <v>8138</v>
      </c>
      <c r="K660" t="str">
        <f>IFERROR(VLOOKUP(VALUE(J660),'Site Info'!$A:$G,3,FALSE),"")</f>
        <v>1460 CORNERSTONE BLVD.</v>
      </c>
      <c r="L660" t="str">
        <f>IFERROR(VLOOKUP(VALUE(J660),'Site Info'!$A:$G,4,FALSE),"")</f>
        <v>DAYTONA BEACH</v>
      </c>
      <c r="M660" t="str">
        <f>IFERROR(VLOOKUP(VALUE(J660),'Site Info'!$A:$G,5,FALSE),"")</f>
        <v>FL</v>
      </c>
      <c r="N660" t="str">
        <f>IFERROR(VLOOKUP(VALUE(J660),'Site Info'!$A:$G,6,FALSE),"")</f>
        <v>32117-7104</v>
      </c>
      <c r="O660">
        <f>IFERROR(VLOOKUP(VALUE(J660),'Site Info'!$A:$G,7,FALSE),"")</f>
        <v>3867603330</v>
      </c>
    </row>
    <row r="661" spans="1:15" x14ac:dyDescent="0.45">
      <c r="A661" t="s">
        <v>4396</v>
      </c>
      <c r="B661" t="s">
        <v>4397</v>
      </c>
      <c r="C661" t="s">
        <v>4398</v>
      </c>
      <c r="D661" t="s">
        <v>1389</v>
      </c>
      <c r="E661" s="1">
        <v>46153.286064814813</v>
      </c>
      <c r="F661">
        <v>1547</v>
      </c>
      <c r="G661" t="s">
        <v>4399</v>
      </c>
      <c r="H661" t="s">
        <v>15</v>
      </c>
      <c r="I661" t="s">
        <v>1391</v>
      </c>
      <c r="J661" t="str">
        <f>RIGHT(D661,4)</f>
        <v>8138</v>
      </c>
      <c r="K661" t="str">
        <f>IFERROR(VLOOKUP(VALUE(J661),'Site Info'!$A:$G,3,FALSE),"")</f>
        <v>1460 CORNERSTONE BLVD.</v>
      </c>
      <c r="L661" t="str">
        <f>IFERROR(VLOOKUP(VALUE(J661),'Site Info'!$A:$G,4,FALSE),"")</f>
        <v>DAYTONA BEACH</v>
      </c>
      <c r="M661" t="str">
        <f>IFERROR(VLOOKUP(VALUE(J661),'Site Info'!$A:$G,5,FALSE),"")</f>
        <v>FL</v>
      </c>
      <c r="N661" t="str">
        <f>IFERROR(VLOOKUP(VALUE(J661),'Site Info'!$A:$G,6,FALSE),"")</f>
        <v>32117-7104</v>
      </c>
      <c r="O661">
        <f>IFERROR(VLOOKUP(VALUE(J661),'Site Info'!$A:$G,7,FALSE),"")</f>
        <v>3867603330</v>
      </c>
    </row>
    <row r="662" spans="1:15" x14ac:dyDescent="0.45">
      <c r="A662" t="s">
        <v>1386</v>
      </c>
      <c r="B662" t="s">
        <v>1387</v>
      </c>
      <c r="C662" t="s">
        <v>1388</v>
      </c>
      <c r="D662" t="s">
        <v>1389</v>
      </c>
      <c r="E662" s="1">
        <v>46153.3283912037</v>
      </c>
      <c r="F662">
        <v>1481</v>
      </c>
      <c r="G662" t="s">
        <v>1390</v>
      </c>
      <c r="H662" t="s">
        <v>15</v>
      </c>
      <c r="I662" t="s">
        <v>1391</v>
      </c>
      <c r="J662" t="str">
        <f>RIGHT(D662,4)</f>
        <v>8138</v>
      </c>
      <c r="K662" t="str">
        <f>IFERROR(VLOOKUP(VALUE(J662),'Site Info'!$A:$G,3,FALSE),"")</f>
        <v>1460 CORNERSTONE BLVD.</v>
      </c>
      <c r="L662" t="str">
        <f>IFERROR(VLOOKUP(VALUE(J662),'Site Info'!$A:$G,4,FALSE),"")</f>
        <v>DAYTONA BEACH</v>
      </c>
      <c r="M662" t="str">
        <f>IFERROR(VLOOKUP(VALUE(J662),'Site Info'!$A:$G,5,FALSE),"")</f>
        <v>FL</v>
      </c>
      <c r="N662" t="str">
        <f>IFERROR(VLOOKUP(VALUE(J662),'Site Info'!$A:$G,6,FALSE),"")</f>
        <v>32117-7104</v>
      </c>
      <c r="O662">
        <f>IFERROR(VLOOKUP(VALUE(J662),'Site Info'!$A:$G,7,FALSE),"")</f>
        <v>3867603330</v>
      </c>
    </row>
    <row r="663" spans="1:15" x14ac:dyDescent="0.45">
      <c r="A663" t="s">
        <v>3471</v>
      </c>
      <c r="B663" t="s">
        <v>3472</v>
      </c>
      <c r="C663" t="s">
        <v>3473</v>
      </c>
      <c r="D663" t="s">
        <v>1389</v>
      </c>
      <c r="E663" s="1">
        <v>46153.333958333336</v>
      </c>
      <c r="F663">
        <v>1481</v>
      </c>
      <c r="G663" t="s">
        <v>3474</v>
      </c>
      <c r="H663" t="s">
        <v>15</v>
      </c>
      <c r="I663" t="s">
        <v>1391</v>
      </c>
      <c r="J663" t="str">
        <f>RIGHT(D663,4)</f>
        <v>8138</v>
      </c>
      <c r="K663" t="str">
        <f>IFERROR(VLOOKUP(VALUE(J663),'Site Info'!$A:$G,3,FALSE),"")</f>
        <v>1460 CORNERSTONE BLVD.</v>
      </c>
      <c r="L663" t="str">
        <f>IFERROR(VLOOKUP(VALUE(J663),'Site Info'!$A:$G,4,FALSE),"")</f>
        <v>DAYTONA BEACH</v>
      </c>
      <c r="M663" t="str">
        <f>IFERROR(VLOOKUP(VALUE(J663),'Site Info'!$A:$G,5,FALSE),"")</f>
        <v>FL</v>
      </c>
      <c r="N663" t="str">
        <f>IFERROR(VLOOKUP(VALUE(J663),'Site Info'!$A:$G,6,FALSE),"")</f>
        <v>32117-7104</v>
      </c>
      <c r="O663">
        <f>IFERROR(VLOOKUP(VALUE(J663),'Site Info'!$A:$G,7,FALSE),"")</f>
        <v>3867603330</v>
      </c>
    </row>
    <row r="664" spans="1:15" x14ac:dyDescent="0.45">
      <c r="A664" t="s">
        <v>2873</v>
      </c>
      <c r="B664" t="s">
        <v>2874</v>
      </c>
      <c r="C664" t="s">
        <v>2875</v>
      </c>
      <c r="D664" t="s">
        <v>1389</v>
      </c>
      <c r="E664" s="1">
        <v>46153.334351851852</v>
      </c>
      <c r="F664">
        <v>1481</v>
      </c>
      <c r="G664" t="s">
        <v>2876</v>
      </c>
      <c r="H664" t="s">
        <v>15</v>
      </c>
      <c r="I664" t="s">
        <v>1391</v>
      </c>
      <c r="J664" t="str">
        <f>RIGHT(D664,4)</f>
        <v>8138</v>
      </c>
      <c r="K664" t="str">
        <f>IFERROR(VLOOKUP(VALUE(J664),'Site Info'!$A:$G,3,FALSE),"")</f>
        <v>1460 CORNERSTONE BLVD.</v>
      </c>
      <c r="L664" t="str">
        <f>IFERROR(VLOOKUP(VALUE(J664),'Site Info'!$A:$G,4,FALSE),"")</f>
        <v>DAYTONA BEACH</v>
      </c>
      <c r="M664" t="str">
        <f>IFERROR(VLOOKUP(VALUE(J664),'Site Info'!$A:$G,5,FALSE),"")</f>
        <v>FL</v>
      </c>
      <c r="N664" t="str">
        <f>IFERROR(VLOOKUP(VALUE(J664),'Site Info'!$A:$G,6,FALSE),"")</f>
        <v>32117-7104</v>
      </c>
      <c r="O664">
        <f>IFERROR(VLOOKUP(VALUE(J664),'Site Info'!$A:$G,7,FALSE),"")</f>
        <v>3867603330</v>
      </c>
    </row>
    <row r="665" spans="1:15" x14ac:dyDescent="0.45">
      <c r="A665" t="s">
        <v>96</v>
      </c>
      <c r="B665" t="s">
        <v>142</v>
      </c>
      <c r="C665" t="s">
        <v>143</v>
      </c>
      <c r="D665" t="s">
        <v>144</v>
      </c>
      <c r="E665" s="1">
        <v>46152.720127314817</v>
      </c>
      <c r="F665">
        <v>1863</v>
      </c>
      <c r="G665" t="s">
        <v>145</v>
      </c>
      <c r="H665" t="s">
        <v>136</v>
      </c>
      <c r="I665" t="s">
        <v>146</v>
      </c>
      <c r="J665" t="str">
        <f>RIGHT(D665,4)</f>
        <v>6205</v>
      </c>
      <c r="K665" t="str">
        <f>IFERROR(VLOOKUP(VALUE(J665),'Site Info'!$A:$G,3,FALSE),"")</f>
        <v>1462 S PACIFIC AVE</v>
      </c>
      <c r="L665" t="str">
        <f>IFERROR(VLOOKUP(VALUE(J665),'Site Info'!$A:$G,4,FALSE),"")</f>
        <v>YUMA</v>
      </c>
      <c r="M665" t="str">
        <f>IFERROR(VLOOKUP(VALUE(J665),'Site Info'!$A:$G,5,FALSE),"")</f>
        <v>AZ</v>
      </c>
      <c r="N665" t="str">
        <f>IFERROR(VLOOKUP(VALUE(J665),'Site Info'!$A:$G,6,FALSE),"")</f>
        <v>85365-1733</v>
      </c>
      <c r="O665">
        <f>IFERROR(VLOOKUP(VALUE(J665),'Site Info'!$A:$G,7,FALSE),"")</f>
        <v>9287833684</v>
      </c>
    </row>
    <row r="666" spans="1:15" x14ac:dyDescent="0.45">
      <c r="A666" t="s">
        <v>7027</v>
      </c>
      <c r="B666" t="s">
        <v>7028</v>
      </c>
      <c r="C666" t="s">
        <v>7029</v>
      </c>
      <c r="D666" t="s">
        <v>144</v>
      </c>
      <c r="E666" s="1">
        <v>46152.096562500003</v>
      </c>
      <c r="F666">
        <v>1547</v>
      </c>
      <c r="G666" t="s">
        <v>7030</v>
      </c>
      <c r="H666" t="s">
        <v>15</v>
      </c>
      <c r="I666" t="s">
        <v>146</v>
      </c>
      <c r="J666" t="str">
        <f>RIGHT(D666,4)</f>
        <v>6205</v>
      </c>
      <c r="K666" t="str">
        <f>IFERROR(VLOOKUP(VALUE(J666),'Site Info'!$A:$G,3,FALSE),"")</f>
        <v>1462 S PACIFIC AVE</v>
      </c>
      <c r="L666" t="str">
        <f>IFERROR(VLOOKUP(VALUE(J666),'Site Info'!$A:$G,4,FALSE),"")</f>
        <v>YUMA</v>
      </c>
      <c r="M666" t="str">
        <f>IFERROR(VLOOKUP(VALUE(J666),'Site Info'!$A:$G,5,FALSE),"")</f>
        <v>AZ</v>
      </c>
      <c r="N666" t="str">
        <f>IFERROR(VLOOKUP(VALUE(J666),'Site Info'!$A:$G,6,FALSE),"")</f>
        <v>85365-1733</v>
      </c>
      <c r="O666">
        <f>IFERROR(VLOOKUP(VALUE(J666),'Site Info'!$A:$G,7,FALSE),"")</f>
        <v>9287833684</v>
      </c>
    </row>
    <row r="667" spans="1:15" x14ac:dyDescent="0.45">
      <c r="A667" t="s">
        <v>6813</v>
      </c>
      <c r="B667" t="s">
        <v>6814</v>
      </c>
      <c r="C667" t="s">
        <v>6815</v>
      </c>
      <c r="D667" t="s">
        <v>144</v>
      </c>
      <c r="E667" s="1">
        <v>46152.428449074076</v>
      </c>
      <c r="F667">
        <v>1547</v>
      </c>
      <c r="G667" t="s">
        <v>6816</v>
      </c>
      <c r="H667" t="s">
        <v>15</v>
      </c>
      <c r="I667" t="s">
        <v>146</v>
      </c>
      <c r="J667" t="str">
        <f>RIGHT(D667,4)</f>
        <v>6205</v>
      </c>
      <c r="K667" t="str">
        <f>IFERROR(VLOOKUP(VALUE(J667),'Site Info'!$A:$G,3,FALSE),"")</f>
        <v>1462 S PACIFIC AVE</v>
      </c>
      <c r="L667" t="str">
        <f>IFERROR(VLOOKUP(VALUE(J667),'Site Info'!$A:$G,4,FALSE),"")</f>
        <v>YUMA</v>
      </c>
      <c r="M667" t="str">
        <f>IFERROR(VLOOKUP(VALUE(J667),'Site Info'!$A:$G,5,FALSE),"")</f>
        <v>AZ</v>
      </c>
      <c r="N667" t="str">
        <f>IFERROR(VLOOKUP(VALUE(J667),'Site Info'!$A:$G,6,FALSE),"")</f>
        <v>85365-1733</v>
      </c>
      <c r="O667">
        <f>IFERROR(VLOOKUP(VALUE(J667),'Site Info'!$A:$G,7,FALSE),"")</f>
        <v>9287833684</v>
      </c>
    </row>
    <row r="668" spans="1:15" x14ac:dyDescent="0.45">
      <c r="A668" t="s">
        <v>8421</v>
      </c>
      <c r="B668" t="s">
        <v>8422</v>
      </c>
      <c r="C668" t="s">
        <v>8423</v>
      </c>
      <c r="D668" t="s">
        <v>144</v>
      </c>
      <c r="E668" s="1">
        <v>46153.361504629633</v>
      </c>
      <c r="F668">
        <v>1547</v>
      </c>
      <c r="G668" t="s">
        <v>8424</v>
      </c>
      <c r="H668" t="s">
        <v>15</v>
      </c>
      <c r="I668" t="s">
        <v>146</v>
      </c>
      <c r="J668" t="str">
        <f>RIGHT(D668,4)</f>
        <v>6205</v>
      </c>
      <c r="K668" t="str">
        <f>IFERROR(VLOOKUP(VALUE(J668),'Site Info'!$A:$G,3,FALSE),"")</f>
        <v>1462 S PACIFIC AVE</v>
      </c>
      <c r="L668" t="str">
        <f>IFERROR(VLOOKUP(VALUE(J668),'Site Info'!$A:$G,4,FALSE),"")</f>
        <v>YUMA</v>
      </c>
      <c r="M668" t="str">
        <f>IFERROR(VLOOKUP(VALUE(J668),'Site Info'!$A:$G,5,FALSE),"")</f>
        <v>AZ</v>
      </c>
      <c r="N668" t="str">
        <f>IFERROR(VLOOKUP(VALUE(J668),'Site Info'!$A:$G,6,FALSE),"")</f>
        <v>85365-1733</v>
      </c>
      <c r="O668">
        <f>IFERROR(VLOOKUP(VALUE(J668),'Site Info'!$A:$G,7,FALSE),"")</f>
        <v>9287833684</v>
      </c>
    </row>
    <row r="669" spans="1:15" x14ac:dyDescent="0.45">
      <c r="A669" t="s">
        <v>980</v>
      </c>
      <c r="B669" t="s">
        <v>981</v>
      </c>
      <c r="C669" t="s">
        <v>982</v>
      </c>
      <c r="D669" t="s">
        <v>144</v>
      </c>
      <c r="E669" s="1">
        <v>46107.133414351854</v>
      </c>
      <c r="F669">
        <v>1481</v>
      </c>
      <c r="G669" t="s">
        <v>983</v>
      </c>
      <c r="H669" t="s">
        <v>15</v>
      </c>
      <c r="I669" t="s">
        <v>146</v>
      </c>
      <c r="J669" t="str">
        <f>RIGHT(D669,4)</f>
        <v>6205</v>
      </c>
      <c r="K669" t="str">
        <f>IFERROR(VLOOKUP(VALUE(J669),'Site Info'!$A:$G,3,FALSE),"")</f>
        <v>1462 S PACIFIC AVE</v>
      </c>
      <c r="L669" t="str">
        <f>IFERROR(VLOOKUP(VALUE(J669),'Site Info'!$A:$G,4,FALSE),"")</f>
        <v>YUMA</v>
      </c>
      <c r="M669" t="str">
        <f>IFERROR(VLOOKUP(VALUE(J669),'Site Info'!$A:$G,5,FALSE),"")</f>
        <v>AZ</v>
      </c>
      <c r="N669" t="str">
        <f>IFERROR(VLOOKUP(VALUE(J669),'Site Info'!$A:$G,6,FALSE),"")</f>
        <v>85365-1733</v>
      </c>
      <c r="O669">
        <f>IFERROR(VLOOKUP(VALUE(J669),'Site Info'!$A:$G,7,FALSE),"")</f>
        <v>9287833684</v>
      </c>
    </row>
    <row r="670" spans="1:15" x14ac:dyDescent="0.45">
      <c r="A670" t="s">
        <v>3409</v>
      </c>
      <c r="B670" t="s">
        <v>3410</v>
      </c>
      <c r="C670" t="s">
        <v>3411</v>
      </c>
      <c r="D670" t="s">
        <v>144</v>
      </c>
      <c r="E670" s="1">
        <v>46151.813738425924</v>
      </c>
      <c r="F670">
        <v>1481</v>
      </c>
      <c r="G670" t="s">
        <v>3412</v>
      </c>
      <c r="H670" t="s">
        <v>15</v>
      </c>
      <c r="I670" t="s">
        <v>146</v>
      </c>
      <c r="J670" t="str">
        <f>RIGHT(D670,4)</f>
        <v>6205</v>
      </c>
      <c r="K670" t="str">
        <f>IFERROR(VLOOKUP(VALUE(J670),'Site Info'!$A:$G,3,FALSE),"")</f>
        <v>1462 S PACIFIC AVE</v>
      </c>
      <c r="L670" t="str">
        <f>IFERROR(VLOOKUP(VALUE(J670),'Site Info'!$A:$G,4,FALSE),"")</f>
        <v>YUMA</v>
      </c>
      <c r="M670" t="str">
        <f>IFERROR(VLOOKUP(VALUE(J670),'Site Info'!$A:$G,5,FALSE),"")</f>
        <v>AZ</v>
      </c>
      <c r="N670" t="str">
        <f>IFERROR(VLOOKUP(VALUE(J670),'Site Info'!$A:$G,6,FALSE),"")</f>
        <v>85365-1733</v>
      </c>
      <c r="O670">
        <f>IFERROR(VLOOKUP(VALUE(J670),'Site Info'!$A:$G,7,FALSE),"")</f>
        <v>9287833684</v>
      </c>
    </row>
    <row r="671" spans="1:15" x14ac:dyDescent="0.45">
      <c r="A671" t="s">
        <v>558</v>
      </c>
      <c r="B671" t="s">
        <v>559</v>
      </c>
      <c r="C671" t="s">
        <v>560</v>
      </c>
      <c r="D671" t="s">
        <v>144</v>
      </c>
      <c r="E671" s="1">
        <v>46153.217488425929</v>
      </c>
      <c r="F671">
        <v>1481</v>
      </c>
      <c r="G671" t="s">
        <v>561</v>
      </c>
      <c r="H671" t="s">
        <v>15</v>
      </c>
      <c r="I671" t="s">
        <v>146</v>
      </c>
      <c r="J671" t="str">
        <f>RIGHT(D671,4)</f>
        <v>6205</v>
      </c>
      <c r="K671" t="str">
        <f>IFERROR(VLOOKUP(VALUE(J671),'Site Info'!$A:$G,3,FALSE),"")</f>
        <v>1462 S PACIFIC AVE</v>
      </c>
      <c r="L671" t="str">
        <f>IFERROR(VLOOKUP(VALUE(J671),'Site Info'!$A:$G,4,FALSE),"")</f>
        <v>YUMA</v>
      </c>
      <c r="M671" t="str">
        <f>IFERROR(VLOOKUP(VALUE(J671),'Site Info'!$A:$G,5,FALSE),"")</f>
        <v>AZ</v>
      </c>
      <c r="N671" t="str">
        <f>IFERROR(VLOOKUP(VALUE(J671),'Site Info'!$A:$G,6,FALSE),"")</f>
        <v>85365-1733</v>
      </c>
      <c r="O671">
        <f>IFERROR(VLOOKUP(VALUE(J671),'Site Info'!$A:$G,7,FALSE),"")</f>
        <v>9287833684</v>
      </c>
    </row>
    <row r="672" spans="1:15" x14ac:dyDescent="0.45">
      <c r="A672" t="s">
        <v>6805</v>
      </c>
      <c r="B672" t="s">
        <v>6806</v>
      </c>
      <c r="C672" t="s">
        <v>6807</v>
      </c>
      <c r="D672" t="s">
        <v>144</v>
      </c>
      <c r="E672" s="1">
        <v>46109.239374999997</v>
      </c>
      <c r="F672">
        <v>1582</v>
      </c>
      <c r="G672" t="s">
        <v>6808</v>
      </c>
      <c r="H672" t="s">
        <v>15</v>
      </c>
      <c r="I672" t="s">
        <v>146</v>
      </c>
      <c r="J672" t="str">
        <f>RIGHT(D672,4)</f>
        <v>6205</v>
      </c>
      <c r="K672" t="str">
        <f>IFERROR(VLOOKUP(VALUE(J672),'Site Info'!$A:$G,3,FALSE),"")</f>
        <v>1462 S PACIFIC AVE</v>
      </c>
      <c r="L672" t="str">
        <f>IFERROR(VLOOKUP(VALUE(J672),'Site Info'!$A:$G,4,FALSE),"")</f>
        <v>YUMA</v>
      </c>
      <c r="M672" t="str">
        <f>IFERROR(VLOOKUP(VALUE(J672),'Site Info'!$A:$G,5,FALSE),"")</f>
        <v>AZ</v>
      </c>
      <c r="N672" t="str">
        <f>IFERROR(VLOOKUP(VALUE(J672),'Site Info'!$A:$G,6,FALSE),"")</f>
        <v>85365-1733</v>
      </c>
      <c r="O672">
        <f>IFERROR(VLOOKUP(VALUE(J672),'Site Info'!$A:$G,7,FALSE),"")</f>
        <v>9287833684</v>
      </c>
    </row>
    <row r="673" spans="1:15" x14ac:dyDescent="0.45">
      <c r="A673" t="s">
        <v>13439</v>
      </c>
      <c r="B673" t="s">
        <v>13440</v>
      </c>
      <c r="C673" t="s">
        <v>13441</v>
      </c>
      <c r="D673" t="s">
        <v>343</v>
      </c>
      <c r="E673" s="1">
        <v>46151.782858796294</v>
      </c>
      <c r="F673">
        <v>1547</v>
      </c>
      <c r="G673" t="s">
        <v>13442</v>
      </c>
      <c r="H673" t="s">
        <v>15</v>
      </c>
      <c r="I673" t="s">
        <v>345</v>
      </c>
      <c r="J673" t="str">
        <f>RIGHT(D673,4)</f>
        <v>4736</v>
      </c>
      <c r="K673" t="str">
        <f>IFERROR(VLOOKUP(VALUE(J673),'Site Info'!$A:$G,3,FALSE),"")</f>
        <v>14940 FLORENCE TRL</v>
      </c>
      <c r="L673" t="str">
        <f>IFERROR(VLOOKUP(VALUE(J673),'Site Info'!$A:$G,4,FALSE),"")</f>
        <v>APPLE VALLEY</v>
      </c>
      <c r="M673" t="str">
        <f>IFERROR(VLOOKUP(VALUE(J673),'Site Info'!$A:$G,5,FALSE),"")</f>
        <v>MN</v>
      </c>
      <c r="N673" t="str">
        <f>IFERROR(VLOOKUP(VALUE(J673),'Site Info'!$A:$G,6,FALSE),"")</f>
        <v>55124-4628</v>
      </c>
      <c r="O673">
        <f>IFERROR(VLOOKUP(VALUE(J673),'Site Info'!$A:$G,7,FALSE),"")</f>
        <v>9524321200</v>
      </c>
    </row>
    <row r="674" spans="1:15" x14ac:dyDescent="0.45">
      <c r="A674" t="s">
        <v>13094</v>
      </c>
      <c r="B674" t="s">
        <v>13095</v>
      </c>
      <c r="C674" t="s">
        <v>13096</v>
      </c>
      <c r="D674" t="s">
        <v>343</v>
      </c>
      <c r="E674" s="1">
        <v>46152.424907407411</v>
      </c>
      <c r="F674">
        <v>1547</v>
      </c>
      <c r="G674" t="s">
        <v>13097</v>
      </c>
      <c r="H674" t="s">
        <v>15</v>
      </c>
      <c r="I674" t="s">
        <v>345</v>
      </c>
      <c r="J674" t="str">
        <f>RIGHT(D674,4)</f>
        <v>4736</v>
      </c>
      <c r="K674" t="str">
        <f>IFERROR(VLOOKUP(VALUE(J674),'Site Info'!$A:$G,3,FALSE),"")</f>
        <v>14940 FLORENCE TRL</v>
      </c>
      <c r="L674" t="str">
        <f>IFERROR(VLOOKUP(VALUE(J674),'Site Info'!$A:$G,4,FALSE),"")</f>
        <v>APPLE VALLEY</v>
      </c>
      <c r="M674" t="str">
        <f>IFERROR(VLOOKUP(VALUE(J674),'Site Info'!$A:$G,5,FALSE),"")</f>
        <v>MN</v>
      </c>
      <c r="N674" t="str">
        <f>IFERROR(VLOOKUP(VALUE(J674),'Site Info'!$A:$G,6,FALSE),"")</f>
        <v>55124-4628</v>
      </c>
      <c r="O674">
        <f>IFERROR(VLOOKUP(VALUE(J674),'Site Info'!$A:$G,7,FALSE),"")</f>
        <v>9524321200</v>
      </c>
    </row>
    <row r="675" spans="1:15" x14ac:dyDescent="0.45">
      <c r="A675" t="s">
        <v>13115</v>
      </c>
      <c r="B675" t="s">
        <v>13116</v>
      </c>
      <c r="C675" t="s">
        <v>13117</v>
      </c>
      <c r="D675" t="s">
        <v>343</v>
      </c>
      <c r="E675" s="1">
        <v>46152.496469907404</v>
      </c>
      <c r="F675">
        <v>1547</v>
      </c>
      <c r="G675" t="s">
        <v>13118</v>
      </c>
      <c r="H675" t="s">
        <v>15</v>
      </c>
      <c r="I675" t="s">
        <v>345</v>
      </c>
      <c r="J675" t="str">
        <f>RIGHT(D675,4)</f>
        <v>4736</v>
      </c>
      <c r="K675" t="str">
        <f>IFERROR(VLOOKUP(VALUE(J675),'Site Info'!$A:$G,3,FALSE),"")</f>
        <v>14940 FLORENCE TRL</v>
      </c>
      <c r="L675" t="str">
        <f>IFERROR(VLOOKUP(VALUE(J675),'Site Info'!$A:$G,4,FALSE),"")</f>
        <v>APPLE VALLEY</v>
      </c>
      <c r="M675" t="str">
        <f>IFERROR(VLOOKUP(VALUE(J675),'Site Info'!$A:$G,5,FALSE),"")</f>
        <v>MN</v>
      </c>
      <c r="N675" t="str">
        <f>IFERROR(VLOOKUP(VALUE(J675),'Site Info'!$A:$G,6,FALSE),"")</f>
        <v>55124-4628</v>
      </c>
      <c r="O675">
        <f>IFERROR(VLOOKUP(VALUE(J675),'Site Info'!$A:$G,7,FALSE),"")</f>
        <v>9524321200</v>
      </c>
    </row>
    <row r="676" spans="1:15" x14ac:dyDescent="0.45">
      <c r="A676" t="s">
        <v>11836</v>
      </c>
      <c r="B676" t="s">
        <v>11837</v>
      </c>
      <c r="C676" t="s">
        <v>11838</v>
      </c>
      <c r="D676" t="s">
        <v>343</v>
      </c>
      <c r="E676" s="1">
        <v>46152.688923611109</v>
      </c>
      <c r="F676">
        <v>1547</v>
      </c>
      <c r="G676" t="s">
        <v>11839</v>
      </c>
      <c r="H676" t="s">
        <v>15</v>
      </c>
      <c r="I676" t="s">
        <v>345</v>
      </c>
      <c r="J676" t="str">
        <f>RIGHT(D676,4)</f>
        <v>4736</v>
      </c>
      <c r="K676" t="str">
        <f>IFERROR(VLOOKUP(VALUE(J676),'Site Info'!$A:$G,3,FALSE),"")</f>
        <v>14940 FLORENCE TRL</v>
      </c>
      <c r="L676" t="str">
        <f>IFERROR(VLOOKUP(VALUE(J676),'Site Info'!$A:$G,4,FALSE),"")</f>
        <v>APPLE VALLEY</v>
      </c>
      <c r="M676" t="str">
        <f>IFERROR(VLOOKUP(VALUE(J676),'Site Info'!$A:$G,5,FALSE),"")</f>
        <v>MN</v>
      </c>
      <c r="N676" t="str">
        <f>IFERROR(VLOOKUP(VALUE(J676),'Site Info'!$A:$G,6,FALSE),"")</f>
        <v>55124-4628</v>
      </c>
      <c r="O676">
        <f>IFERROR(VLOOKUP(VALUE(J676),'Site Info'!$A:$G,7,FALSE),"")</f>
        <v>9524321200</v>
      </c>
    </row>
    <row r="677" spans="1:15" x14ac:dyDescent="0.45">
      <c r="A677" t="s">
        <v>13419</v>
      </c>
      <c r="B677" t="s">
        <v>13420</v>
      </c>
      <c r="C677" t="s">
        <v>13421</v>
      </c>
      <c r="D677" t="s">
        <v>343</v>
      </c>
      <c r="E677" s="1">
        <v>46152.771527777775</v>
      </c>
      <c r="F677">
        <v>1547</v>
      </c>
      <c r="G677" t="s">
        <v>13422</v>
      </c>
      <c r="H677" t="s">
        <v>15</v>
      </c>
      <c r="I677" t="s">
        <v>345</v>
      </c>
      <c r="J677" t="str">
        <f>RIGHT(D677,4)</f>
        <v>4736</v>
      </c>
      <c r="K677" t="str">
        <f>IFERROR(VLOOKUP(VALUE(J677),'Site Info'!$A:$G,3,FALSE),"")</f>
        <v>14940 FLORENCE TRL</v>
      </c>
      <c r="L677" t="str">
        <f>IFERROR(VLOOKUP(VALUE(J677),'Site Info'!$A:$G,4,FALSE),"")</f>
        <v>APPLE VALLEY</v>
      </c>
      <c r="M677" t="str">
        <f>IFERROR(VLOOKUP(VALUE(J677),'Site Info'!$A:$G,5,FALSE),"")</f>
        <v>MN</v>
      </c>
      <c r="N677" t="str">
        <f>IFERROR(VLOOKUP(VALUE(J677),'Site Info'!$A:$G,6,FALSE),"")</f>
        <v>55124-4628</v>
      </c>
      <c r="O677">
        <f>IFERROR(VLOOKUP(VALUE(J677),'Site Info'!$A:$G,7,FALSE),"")</f>
        <v>9524321200</v>
      </c>
    </row>
    <row r="678" spans="1:15" x14ac:dyDescent="0.45">
      <c r="A678" t="s">
        <v>13139</v>
      </c>
      <c r="B678" t="s">
        <v>13140</v>
      </c>
      <c r="C678" t="s">
        <v>13141</v>
      </c>
      <c r="D678" t="s">
        <v>343</v>
      </c>
      <c r="E678" s="1">
        <v>46153.367071759261</v>
      </c>
      <c r="F678">
        <v>1547</v>
      </c>
      <c r="G678" t="s">
        <v>13142</v>
      </c>
      <c r="H678" t="s">
        <v>15</v>
      </c>
      <c r="I678" t="s">
        <v>345</v>
      </c>
      <c r="J678" t="str">
        <f>RIGHT(D678,4)</f>
        <v>4736</v>
      </c>
      <c r="K678" t="str">
        <f>IFERROR(VLOOKUP(VALUE(J678),'Site Info'!$A:$G,3,FALSE),"")</f>
        <v>14940 FLORENCE TRL</v>
      </c>
      <c r="L678" t="str">
        <f>IFERROR(VLOOKUP(VALUE(J678),'Site Info'!$A:$G,4,FALSE),"")</f>
        <v>APPLE VALLEY</v>
      </c>
      <c r="M678" t="str">
        <f>IFERROR(VLOOKUP(VALUE(J678),'Site Info'!$A:$G,5,FALSE),"")</f>
        <v>MN</v>
      </c>
      <c r="N678" t="str">
        <f>IFERROR(VLOOKUP(VALUE(J678),'Site Info'!$A:$G,6,FALSE),"")</f>
        <v>55124-4628</v>
      </c>
      <c r="O678">
        <f>IFERROR(VLOOKUP(VALUE(J678),'Site Info'!$A:$G,7,FALSE),"")</f>
        <v>9524321200</v>
      </c>
    </row>
    <row r="679" spans="1:15" x14ac:dyDescent="0.45">
      <c r="A679" t="s">
        <v>10360</v>
      </c>
      <c r="B679" t="s">
        <v>10361</v>
      </c>
      <c r="C679" t="s">
        <v>10362</v>
      </c>
      <c r="D679" t="s">
        <v>343</v>
      </c>
      <c r="E679" s="1">
        <v>46153.371481481481</v>
      </c>
      <c r="F679">
        <v>1547</v>
      </c>
      <c r="G679" t="s">
        <v>10363</v>
      </c>
      <c r="H679" t="s">
        <v>15</v>
      </c>
      <c r="I679" t="s">
        <v>345</v>
      </c>
      <c r="J679" t="str">
        <f>RIGHT(D679,4)</f>
        <v>4736</v>
      </c>
      <c r="K679" t="str">
        <f>IFERROR(VLOOKUP(VALUE(J679),'Site Info'!$A:$G,3,FALSE),"")</f>
        <v>14940 FLORENCE TRL</v>
      </c>
      <c r="L679" t="str">
        <f>IFERROR(VLOOKUP(VALUE(J679),'Site Info'!$A:$G,4,FALSE),"")</f>
        <v>APPLE VALLEY</v>
      </c>
      <c r="M679" t="str">
        <f>IFERROR(VLOOKUP(VALUE(J679),'Site Info'!$A:$G,5,FALSE),"")</f>
        <v>MN</v>
      </c>
      <c r="N679" t="str">
        <f>IFERROR(VLOOKUP(VALUE(J679),'Site Info'!$A:$G,6,FALSE),"")</f>
        <v>55124-4628</v>
      </c>
      <c r="O679">
        <f>IFERROR(VLOOKUP(VALUE(J679),'Site Info'!$A:$G,7,FALSE),"")</f>
        <v>9524321200</v>
      </c>
    </row>
    <row r="680" spans="1:15" x14ac:dyDescent="0.45">
      <c r="A680" t="s">
        <v>340</v>
      </c>
      <c r="B680" t="s">
        <v>341</v>
      </c>
      <c r="C680" t="s">
        <v>342</v>
      </c>
      <c r="D680" t="s">
        <v>343</v>
      </c>
      <c r="E680" s="1">
        <v>46153.351400462961</v>
      </c>
      <c r="F680">
        <v>1481</v>
      </c>
      <c r="G680" t="s">
        <v>344</v>
      </c>
      <c r="H680" t="s">
        <v>15</v>
      </c>
      <c r="I680" t="s">
        <v>345</v>
      </c>
      <c r="J680" t="str">
        <f>RIGHT(D680,4)</f>
        <v>4736</v>
      </c>
      <c r="K680" t="str">
        <f>IFERROR(VLOOKUP(VALUE(J680),'Site Info'!$A:$G,3,FALSE),"")</f>
        <v>14940 FLORENCE TRL</v>
      </c>
      <c r="L680" t="str">
        <f>IFERROR(VLOOKUP(VALUE(J680),'Site Info'!$A:$G,4,FALSE),"")</f>
        <v>APPLE VALLEY</v>
      </c>
      <c r="M680" t="str">
        <f>IFERROR(VLOOKUP(VALUE(J680),'Site Info'!$A:$G,5,FALSE),"")</f>
        <v>MN</v>
      </c>
      <c r="N680" t="str">
        <f>IFERROR(VLOOKUP(VALUE(J680),'Site Info'!$A:$G,6,FALSE),"")</f>
        <v>55124-4628</v>
      </c>
      <c r="O680">
        <f>IFERROR(VLOOKUP(VALUE(J680),'Site Info'!$A:$G,7,FALSE),"")</f>
        <v>9524321200</v>
      </c>
    </row>
    <row r="681" spans="1:15" x14ac:dyDescent="0.45">
      <c r="A681" t="s">
        <v>13487</v>
      </c>
      <c r="B681" t="s">
        <v>13488</v>
      </c>
      <c r="C681" t="s">
        <v>13489</v>
      </c>
      <c r="D681" t="s">
        <v>439</v>
      </c>
      <c r="E681" s="1">
        <v>46094.397118055553</v>
      </c>
      <c r="F681">
        <v>1547</v>
      </c>
      <c r="G681" t="s">
        <v>13490</v>
      </c>
      <c r="H681" t="s">
        <v>15</v>
      </c>
      <c r="I681" t="s">
        <v>441</v>
      </c>
      <c r="J681" t="str">
        <f>RIGHT(D681,4)</f>
        <v>4820</v>
      </c>
      <c r="K681" t="str">
        <f>IFERROR(VLOOKUP(VALUE(J681),'Site Info'!$A:$G,3,FALSE),"")</f>
        <v>15 MILL CREEK CIR</v>
      </c>
      <c r="L681" t="str">
        <f>IFERROR(VLOOKUP(VALUE(J681),'Site Info'!$A:$G,4,FALSE),"")</f>
        <v>POOLER</v>
      </c>
      <c r="M681" t="str">
        <f>IFERROR(VLOOKUP(VALUE(J681),'Site Info'!$A:$G,5,FALSE),"")</f>
        <v>GA</v>
      </c>
      <c r="N681" t="str">
        <f>IFERROR(VLOOKUP(VALUE(J681),'Site Info'!$A:$G,6,FALSE),"")</f>
        <v>31322-2151</v>
      </c>
      <c r="O681">
        <f>IFERROR(VLOOKUP(VALUE(J681),'Site Info'!$A:$G,7,FALSE),"")</f>
        <v>9127483767</v>
      </c>
    </row>
    <row r="682" spans="1:15" x14ac:dyDescent="0.45">
      <c r="A682" t="s">
        <v>13179</v>
      </c>
      <c r="B682" t="s">
        <v>13180</v>
      </c>
      <c r="C682" t="s">
        <v>13181</v>
      </c>
      <c r="D682" t="s">
        <v>439</v>
      </c>
      <c r="E682" s="1">
        <v>46151.676030092596</v>
      </c>
      <c r="F682">
        <v>1547</v>
      </c>
      <c r="G682" t="s">
        <v>13182</v>
      </c>
      <c r="H682" t="s">
        <v>15</v>
      </c>
      <c r="I682" t="s">
        <v>441</v>
      </c>
      <c r="J682" t="str">
        <f>RIGHT(D682,4)</f>
        <v>4820</v>
      </c>
      <c r="K682" t="str">
        <f>IFERROR(VLOOKUP(VALUE(J682),'Site Info'!$A:$G,3,FALSE),"")</f>
        <v>15 MILL CREEK CIR</v>
      </c>
      <c r="L682" t="str">
        <f>IFERROR(VLOOKUP(VALUE(J682),'Site Info'!$A:$G,4,FALSE),"")</f>
        <v>POOLER</v>
      </c>
      <c r="M682" t="str">
        <f>IFERROR(VLOOKUP(VALUE(J682),'Site Info'!$A:$G,5,FALSE),"")</f>
        <v>GA</v>
      </c>
      <c r="N682" t="str">
        <f>IFERROR(VLOOKUP(VALUE(J682),'Site Info'!$A:$G,6,FALSE),"")</f>
        <v>31322-2151</v>
      </c>
      <c r="O682">
        <f>IFERROR(VLOOKUP(VALUE(J682),'Site Info'!$A:$G,7,FALSE),"")</f>
        <v>9127483767</v>
      </c>
    </row>
    <row r="683" spans="1:15" x14ac:dyDescent="0.45">
      <c r="A683" t="s">
        <v>12536</v>
      </c>
      <c r="B683" t="s">
        <v>12537</v>
      </c>
      <c r="C683" t="s">
        <v>12538</v>
      </c>
      <c r="D683" t="s">
        <v>439</v>
      </c>
      <c r="E683" s="1">
        <v>46153.295960648145</v>
      </c>
      <c r="F683">
        <v>1547</v>
      </c>
      <c r="G683" t="s">
        <v>12539</v>
      </c>
      <c r="H683" t="s">
        <v>15</v>
      </c>
      <c r="I683" t="s">
        <v>441</v>
      </c>
      <c r="J683" t="str">
        <f>RIGHT(D683,4)</f>
        <v>4820</v>
      </c>
      <c r="K683" t="str">
        <f>IFERROR(VLOOKUP(VALUE(J683),'Site Info'!$A:$G,3,FALSE),"")</f>
        <v>15 MILL CREEK CIR</v>
      </c>
      <c r="L683" t="str">
        <f>IFERROR(VLOOKUP(VALUE(J683),'Site Info'!$A:$G,4,FALSE),"")</f>
        <v>POOLER</v>
      </c>
      <c r="M683" t="str">
        <f>IFERROR(VLOOKUP(VALUE(J683),'Site Info'!$A:$G,5,FALSE),"")</f>
        <v>GA</v>
      </c>
      <c r="N683" t="str">
        <f>IFERROR(VLOOKUP(VALUE(J683),'Site Info'!$A:$G,6,FALSE),"")</f>
        <v>31322-2151</v>
      </c>
      <c r="O683">
        <f>IFERROR(VLOOKUP(VALUE(J683),'Site Info'!$A:$G,7,FALSE),"")</f>
        <v>9127483767</v>
      </c>
    </row>
    <row r="684" spans="1:15" x14ac:dyDescent="0.45">
      <c r="A684" t="s">
        <v>12866</v>
      </c>
      <c r="B684" t="s">
        <v>12867</v>
      </c>
      <c r="C684" t="s">
        <v>12868</v>
      </c>
      <c r="D684" t="s">
        <v>439</v>
      </c>
      <c r="E684" s="1">
        <v>46153.338217592594</v>
      </c>
      <c r="F684">
        <v>1547</v>
      </c>
      <c r="G684" t="s">
        <v>12869</v>
      </c>
      <c r="H684" t="s">
        <v>15</v>
      </c>
      <c r="I684" t="s">
        <v>441</v>
      </c>
      <c r="J684" t="str">
        <f>RIGHT(D684,4)</f>
        <v>4820</v>
      </c>
      <c r="K684" t="str">
        <f>IFERROR(VLOOKUP(VALUE(J684),'Site Info'!$A:$G,3,FALSE),"")</f>
        <v>15 MILL CREEK CIR</v>
      </c>
      <c r="L684" t="str">
        <f>IFERROR(VLOOKUP(VALUE(J684),'Site Info'!$A:$G,4,FALSE),"")</f>
        <v>POOLER</v>
      </c>
      <c r="M684" t="str">
        <f>IFERROR(VLOOKUP(VALUE(J684),'Site Info'!$A:$G,5,FALSE),"")</f>
        <v>GA</v>
      </c>
      <c r="N684" t="str">
        <f>IFERROR(VLOOKUP(VALUE(J684),'Site Info'!$A:$G,6,FALSE),"")</f>
        <v>31322-2151</v>
      </c>
      <c r="O684">
        <f>IFERROR(VLOOKUP(VALUE(J684),'Site Info'!$A:$G,7,FALSE),"")</f>
        <v>9127483767</v>
      </c>
    </row>
    <row r="685" spans="1:15" x14ac:dyDescent="0.45">
      <c r="A685" t="s">
        <v>818</v>
      </c>
      <c r="B685" t="s">
        <v>819</v>
      </c>
      <c r="C685" t="s">
        <v>820</v>
      </c>
      <c r="D685" t="s">
        <v>439</v>
      </c>
      <c r="E685" s="1">
        <v>46153.152199074073</v>
      </c>
      <c r="F685">
        <v>1481</v>
      </c>
      <c r="G685" t="s">
        <v>821</v>
      </c>
      <c r="H685" t="s">
        <v>15</v>
      </c>
      <c r="I685" t="s">
        <v>441</v>
      </c>
      <c r="J685" t="str">
        <f>RIGHT(D685,4)</f>
        <v>4820</v>
      </c>
      <c r="K685" t="str">
        <f>IFERROR(VLOOKUP(VALUE(J685),'Site Info'!$A:$G,3,FALSE),"")</f>
        <v>15 MILL CREEK CIR</v>
      </c>
      <c r="L685" t="str">
        <f>IFERROR(VLOOKUP(VALUE(J685),'Site Info'!$A:$G,4,FALSE),"")</f>
        <v>POOLER</v>
      </c>
      <c r="M685" t="str">
        <f>IFERROR(VLOOKUP(VALUE(J685),'Site Info'!$A:$G,5,FALSE),"")</f>
        <v>GA</v>
      </c>
      <c r="N685" t="str">
        <f>IFERROR(VLOOKUP(VALUE(J685),'Site Info'!$A:$G,6,FALSE),"")</f>
        <v>31322-2151</v>
      </c>
      <c r="O685">
        <f>IFERROR(VLOOKUP(VALUE(J685),'Site Info'!$A:$G,7,FALSE),"")</f>
        <v>9127483767</v>
      </c>
    </row>
    <row r="686" spans="1:15" x14ac:dyDescent="0.45">
      <c r="A686" t="s">
        <v>3169</v>
      </c>
      <c r="B686" t="s">
        <v>3170</v>
      </c>
      <c r="C686" t="s">
        <v>3171</v>
      </c>
      <c r="D686" t="s">
        <v>439</v>
      </c>
      <c r="E686" s="1">
        <v>46153.297743055555</v>
      </c>
      <c r="F686">
        <v>1481</v>
      </c>
      <c r="G686" t="s">
        <v>3172</v>
      </c>
      <c r="H686" t="s">
        <v>15</v>
      </c>
      <c r="I686" t="s">
        <v>441</v>
      </c>
      <c r="J686" t="str">
        <f>RIGHT(D686,4)</f>
        <v>4820</v>
      </c>
      <c r="K686" t="str">
        <f>IFERROR(VLOOKUP(VALUE(J686),'Site Info'!$A:$G,3,FALSE),"")</f>
        <v>15 MILL CREEK CIR</v>
      </c>
      <c r="L686" t="str">
        <f>IFERROR(VLOOKUP(VALUE(J686),'Site Info'!$A:$G,4,FALSE),"")</f>
        <v>POOLER</v>
      </c>
      <c r="M686" t="str">
        <f>IFERROR(VLOOKUP(VALUE(J686),'Site Info'!$A:$G,5,FALSE),"")</f>
        <v>GA</v>
      </c>
      <c r="N686" t="str">
        <f>IFERROR(VLOOKUP(VALUE(J686),'Site Info'!$A:$G,6,FALSE),"")</f>
        <v>31322-2151</v>
      </c>
      <c r="O686">
        <f>IFERROR(VLOOKUP(VALUE(J686),'Site Info'!$A:$G,7,FALSE),"")</f>
        <v>9127483767</v>
      </c>
    </row>
    <row r="687" spans="1:15" x14ac:dyDescent="0.45">
      <c r="A687" t="s">
        <v>436</v>
      </c>
      <c r="B687" t="s">
        <v>437</v>
      </c>
      <c r="C687" t="s">
        <v>438</v>
      </c>
      <c r="D687" t="s">
        <v>439</v>
      </c>
      <c r="E687" s="1">
        <v>46153.365474537037</v>
      </c>
      <c r="F687">
        <v>1481</v>
      </c>
      <c r="G687" t="s">
        <v>440</v>
      </c>
      <c r="H687" t="s">
        <v>15</v>
      </c>
      <c r="I687" t="s">
        <v>441</v>
      </c>
      <c r="J687" t="str">
        <f>RIGHT(D687,4)</f>
        <v>4820</v>
      </c>
      <c r="K687" t="str">
        <f>IFERROR(VLOOKUP(VALUE(J687),'Site Info'!$A:$G,3,FALSE),"")</f>
        <v>15 MILL CREEK CIR</v>
      </c>
      <c r="L687" t="str">
        <f>IFERROR(VLOOKUP(VALUE(J687),'Site Info'!$A:$G,4,FALSE),"")</f>
        <v>POOLER</v>
      </c>
      <c r="M687" t="str">
        <f>IFERROR(VLOOKUP(VALUE(J687),'Site Info'!$A:$G,5,FALSE),"")</f>
        <v>GA</v>
      </c>
      <c r="N687" t="str">
        <f>IFERROR(VLOOKUP(VALUE(J687),'Site Info'!$A:$G,6,FALSE),"")</f>
        <v>31322-2151</v>
      </c>
      <c r="O687">
        <f>IFERROR(VLOOKUP(VALUE(J687),'Site Info'!$A:$G,7,FALSE),"")</f>
        <v>9127483767</v>
      </c>
    </row>
    <row r="688" spans="1:15" x14ac:dyDescent="0.45">
      <c r="A688" t="s">
        <v>14009</v>
      </c>
      <c r="B688" t="s">
        <v>14010</v>
      </c>
      <c r="C688" t="s">
        <v>14011</v>
      </c>
      <c r="D688" t="s">
        <v>3938</v>
      </c>
      <c r="E688" s="1">
        <v>46151.614976851852</v>
      </c>
      <c r="F688">
        <v>1547</v>
      </c>
      <c r="G688" t="s">
        <v>14012</v>
      </c>
      <c r="H688" t="s">
        <v>15</v>
      </c>
      <c r="I688" t="s">
        <v>3940</v>
      </c>
      <c r="J688" t="str">
        <f>RIGHT(D688,4)</f>
        <v>6239</v>
      </c>
      <c r="K688" t="str">
        <f>IFERROR(VLOOKUP(VALUE(J688),'Site Info'!$A:$G,3,FALSE),"")</f>
        <v>15 TEXAS STATION CT</v>
      </c>
      <c r="L688" t="str">
        <f>IFERROR(VLOOKUP(VALUE(J688),'Site Info'!$A:$G,4,FALSE),"")</f>
        <v>TIMONIUM</v>
      </c>
      <c r="M688" t="str">
        <f>IFERROR(VLOOKUP(VALUE(J688),'Site Info'!$A:$G,5,FALSE),"")</f>
        <v>MD</v>
      </c>
      <c r="N688" t="str">
        <f>IFERROR(VLOOKUP(VALUE(J688),'Site Info'!$A:$G,6,FALSE),"")</f>
        <v>21093-8263</v>
      </c>
      <c r="O688">
        <f>IFERROR(VLOOKUP(VALUE(J688),'Site Info'!$A:$G,7,FALSE),"")</f>
        <v>4106286207</v>
      </c>
    </row>
    <row r="689" spans="1:15" x14ac:dyDescent="0.45">
      <c r="A689" t="s">
        <v>6865</v>
      </c>
      <c r="B689" t="s">
        <v>6866</v>
      </c>
      <c r="C689" t="s">
        <v>6867</v>
      </c>
      <c r="D689" t="s">
        <v>3938</v>
      </c>
      <c r="E689" s="1">
        <v>46151.692928240744</v>
      </c>
      <c r="F689">
        <v>1547</v>
      </c>
      <c r="G689" t="s">
        <v>6868</v>
      </c>
      <c r="H689" t="s">
        <v>15</v>
      </c>
      <c r="I689" t="s">
        <v>3940</v>
      </c>
      <c r="J689" t="str">
        <f>RIGHT(D689,4)</f>
        <v>6239</v>
      </c>
      <c r="K689" t="str">
        <f>IFERROR(VLOOKUP(VALUE(J689),'Site Info'!$A:$G,3,FALSE),"")</f>
        <v>15 TEXAS STATION CT</v>
      </c>
      <c r="L689" t="str">
        <f>IFERROR(VLOOKUP(VALUE(J689),'Site Info'!$A:$G,4,FALSE),"")</f>
        <v>TIMONIUM</v>
      </c>
      <c r="M689" t="str">
        <f>IFERROR(VLOOKUP(VALUE(J689),'Site Info'!$A:$G,5,FALSE),"")</f>
        <v>MD</v>
      </c>
      <c r="N689" t="str">
        <f>IFERROR(VLOOKUP(VALUE(J689),'Site Info'!$A:$G,6,FALSE),"")</f>
        <v>21093-8263</v>
      </c>
      <c r="O689">
        <f>IFERROR(VLOOKUP(VALUE(J689),'Site Info'!$A:$G,7,FALSE),"")</f>
        <v>4106286207</v>
      </c>
    </row>
    <row r="690" spans="1:15" x14ac:dyDescent="0.45">
      <c r="A690" t="s">
        <v>11372</v>
      </c>
      <c r="B690" t="s">
        <v>11373</v>
      </c>
      <c r="C690" t="s">
        <v>11374</v>
      </c>
      <c r="D690" t="s">
        <v>3938</v>
      </c>
      <c r="E690" s="1">
        <v>46152.432060185187</v>
      </c>
      <c r="F690">
        <v>1547</v>
      </c>
      <c r="G690" t="s">
        <v>11375</v>
      </c>
      <c r="H690" t="s">
        <v>15</v>
      </c>
      <c r="I690" t="s">
        <v>3940</v>
      </c>
      <c r="J690" t="str">
        <f>RIGHT(D690,4)</f>
        <v>6239</v>
      </c>
      <c r="K690" t="str">
        <f>IFERROR(VLOOKUP(VALUE(J690),'Site Info'!$A:$G,3,FALSE),"")</f>
        <v>15 TEXAS STATION CT</v>
      </c>
      <c r="L690" t="str">
        <f>IFERROR(VLOOKUP(VALUE(J690),'Site Info'!$A:$G,4,FALSE),"")</f>
        <v>TIMONIUM</v>
      </c>
      <c r="M690" t="str">
        <f>IFERROR(VLOOKUP(VALUE(J690),'Site Info'!$A:$G,5,FALSE),"")</f>
        <v>MD</v>
      </c>
      <c r="N690" t="str">
        <f>IFERROR(VLOOKUP(VALUE(J690),'Site Info'!$A:$G,6,FALSE),"")</f>
        <v>21093-8263</v>
      </c>
      <c r="O690">
        <f>IFERROR(VLOOKUP(VALUE(J690),'Site Info'!$A:$G,7,FALSE),"")</f>
        <v>4106286207</v>
      </c>
    </row>
    <row r="691" spans="1:15" x14ac:dyDescent="0.45">
      <c r="A691" t="s">
        <v>11500</v>
      </c>
      <c r="B691" t="s">
        <v>11501</v>
      </c>
      <c r="C691" t="s">
        <v>11502</v>
      </c>
      <c r="D691" t="s">
        <v>3938</v>
      </c>
      <c r="E691" s="1">
        <v>46152.719780092593</v>
      </c>
      <c r="F691">
        <v>1547</v>
      </c>
      <c r="G691" t="s">
        <v>11503</v>
      </c>
      <c r="H691" t="s">
        <v>15</v>
      </c>
      <c r="I691" t="s">
        <v>3940</v>
      </c>
      <c r="J691" t="str">
        <f>RIGHT(D691,4)</f>
        <v>6239</v>
      </c>
      <c r="K691" t="str">
        <f>IFERROR(VLOOKUP(VALUE(J691),'Site Info'!$A:$G,3,FALSE),"")</f>
        <v>15 TEXAS STATION CT</v>
      </c>
      <c r="L691" t="str">
        <f>IFERROR(VLOOKUP(VALUE(J691),'Site Info'!$A:$G,4,FALSE),"")</f>
        <v>TIMONIUM</v>
      </c>
      <c r="M691" t="str">
        <f>IFERROR(VLOOKUP(VALUE(J691),'Site Info'!$A:$G,5,FALSE),"")</f>
        <v>MD</v>
      </c>
      <c r="N691" t="str">
        <f>IFERROR(VLOOKUP(VALUE(J691),'Site Info'!$A:$G,6,FALSE),"")</f>
        <v>21093-8263</v>
      </c>
      <c r="O691">
        <f>IFERROR(VLOOKUP(VALUE(J691),'Site Info'!$A:$G,7,FALSE),"")</f>
        <v>4106286207</v>
      </c>
    </row>
    <row r="692" spans="1:15" x14ac:dyDescent="0.45">
      <c r="A692" t="s">
        <v>13339</v>
      </c>
      <c r="B692" t="s">
        <v>13340</v>
      </c>
      <c r="C692" t="s">
        <v>13341</v>
      </c>
      <c r="D692" t="s">
        <v>3938</v>
      </c>
      <c r="E692" s="1">
        <v>46153.270486111112</v>
      </c>
      <c r="F692">
        <v>1547</v>
      </c>
      <c r="G692" t="s">
        <v>13342</v>
      </c>
      <c r="H692" t="s">
        <v>15</v>
      </c>
      <c r="I692" t="s">
        <v>3940</v>
      </c>
      <c r="J692" t="str">
        <f>RIGHT(D692,4)</f>
        <v>6239</v>
      </c>
      <c r="K692" t="str">
        <f>IFERROR(VLOOKUP(VALUE(J692),'Site Info'!$A:$G,3,FALSE),"")</f>
        <v>15 TEXAS STATION CT</v>
      </c>
      <c r="L692" t="str">
        <f>IFERROR(VLOOKUP(VALUE(J692),'Site Info'!$A:$G,4,FALSE),"")</f>
        <v>TIMONIUM</v>
      </c>
      <c r="M692" t="str">
        <f>IFERROR(VLOOKUP(VALUE(J692),'Site Info'!$A:$G,5,FALSE),"")</f>
        <v>MD</v>
      </c>
      <c r="N692" t="str">
        <f>IFERROR(VLOOKUP(VALUE(J692),'Site Info'!$A:$G,6,FALSE),"")</f>
        <v>21093-8263</v>
      </c>
      <c r="O692">
        <f>IFERROR(VLOOKUP(VALUE(J692),'Site Info'!$A:$G,7,FALSE),"")</f>
        <v>4106286207</v>
      </c>
    </row>
    <row r="693" spans="1:15" x14ac:dyDescent="0.45">
      <c r="A693" t="s">
        <v>12676</v>
      </c>
      <c r="B693" t="s">
        <v>12677</v>
      </c>
      <c r="C693" t="s">
        <v>12678</v>
      </c>
      <c r="D693" t="s">
        <v>3938</v>
      </c>
      <c r="E693" s="1">
        <v>46153.347638888888</v>
      </c>
      <c r="F693">
        <v>1547</v>
      </c>
      <c r="G693" t="s">
        <v>12679</v>
      </c>
      <c r="H693" t="s">
        <v>15</v>
      </c>
      <c r="I693" t="s">
        <v>3940</v>
      </c>
      <c r="J693" t="str">
        <f>RIGHT(D693,4)</f>
        <v>6239</v>
      </c>
      <c r="K693" t="str">
        <f>IFERROR(VLOOKUP(VALUE(J693),'Site Info'!$A:$G,3,FALSE),"")</f>
        <v>15 TEXAS STATION CT</v>
      </c>
      <c r="L693" t="str">
        <f>IFERROR(VLOOKUP(VALUE(J693),'Site Info'!$A:$G,4,FALSE),"")</f>
        <v>TIMONIUM</v>
      </c>
      <c r="M693" t="str">
        <f>IFERROR(VLOOKUP(VALUE(J693),'Site Info'!$A:$G,5,FALSE),"")</f>
        <v>MD</v>
      </c>
      <c r="N693" t="str">
        <f>IFERROR(VLOOKUP(VALUE(J693),'Site Info'!$A:$G,6,FALSE),"")</f>
        <v>21093-8263</v>
      </c>
      <c r="O693">
        <f>IFERROR(VLOOKUP(VALUE(J693),'Site Info'!$A:$G,7,FALSE),"")</f>
        <v>4106286207</v>
      </c>
    </row>
    <row r="694" spans="1:15" x14ac:dyDescent="0.45">
      <c r="A694" t="s">
        <v>4005</v>
      </c>
      <c r="B694" t="s">
        <v>4006</v>
      </c>
      <c r="C694" t="s">
        <v>4007</v>
      </c>
      <c r="D694" t="s">
        <v>3938</v>
      </c>
      <c r="E694" s="1">
        <v>46149.372754629629</v>
      </c>
      <c r="F694">
        <v>1481</v>
      </c>
      <c r="G694" t="s">
        <v>4008</v>
      </c>
      <c r="H694" t="s">
        <v>15</v>
      </c>
      <c r="I694" t="s">
        <v>3940</v>
      </c>
      <c r="J694" t="str">
        <f>RIGHT(D694,4)</f>
        <v>6239</v>
      </c>
      <c r="K694" t="str">
        <f>IFERROR(VLOOKUP(VALUE(J694),'Site Info'!$A:$G,3,FALSE),"")</f>
        <v>15 TEXAS STATION CT</v>
      </c>
      <c r="L694" t="str">
        <f>IFERROR(VLOOKUP(VALUE(J694),'Site Info'!$A:$G,4,FALSE),"")</f>
        <v>TIMONIUM</v>
      </c>
      <c r="M694" t="str">
        <f>IFERROR(VLOOKUP(VALUE(J694),'Site Info'!$A:$G,5,FALSE),"")</f>
        <v>MD</v>
      </c>
      <c r="N694" t="str">
        <f>IFERROR(VLOOKUP(VALUE(J694),'Site Info'!$A:$G,6,FALSE),"")</f>
        <v>21093-8263</v>
      </c>
      <c r="O694">
        <f>IFERROR(VLOOKUP(VALUE(J694),'Site Info'!$A:$G,7,FALSE),"")</f>
        <v>4106286207</v>
      </c>
    </row>
    <row r="695" spans="1:15" x14ac:dyDescent="0.45">
      <c r="A695" t="s">
        <v>3935</v>
      </c>
      <c r="B695" t="s">
        <v>3936</v>
      </c>
      <c r="C695" t="s">
        <v>3937</v>
      </c>
      <c r="D695" t="s">
        <v>3938</v>
      </c>
      <c r="E695" s="1">
        <v>46151.977407407408</v>
      </c>
      <c r="F695">
        <v>1481</v>
      </c>
      <c r="G695" t="s">
        <v>3939</v>
      </c>
      <c r="H695" t="s">
        <v>15</v>
      </c>
      <c r="I695" t="s">
        <v>3940</v>
      </c>
      <c r="J695" t="str">
        <f>RIGHT(D695,4)</f>
        <v>6239</v>
      </c>
      <c r="K695" t="str">
        <f>IFERROR(VLOOKUP(VALUE(J695),'Site Info'!$A:$G,3,FALSE),"")</f>
        <v>15 TEXAS STATION CT</v>
      </c>
      <c r="L695" t="str">
        <f>IFERROR(VLOOKUP(VALUE(J695),'Site Info'!$A:$G,4,FALSE),"")</f>
        <v>TIMONIUM</v>
      </c>
      <c r="M695" t="str">
        <f>IFERROR(VLOOKUP(VALUE(J695),'Site Info'!$A:$G,5,FALSE),"")</f>
        <v>MD</v>
      </c>
      <c r="N695" t="str">
        <f>IFERROR(VLOOKUP(VALUE(J695),'Site Info'!$A:$G,6,FALSE),"")</f>
        <v>21093-8263</v>
      </c>
      <c r="O695">
        <f>IFERROR(VLOOKUP(VALUE(J695),'Site Info'!$A:$G,7,FALSE),"")</f>
        <v>4106286207</v>
      </c>
    </row>
    <row r="696" spans="1:15" x14ac:dyDescent="0.45">
      <c r="A696" t="s">
        <v>16420</v>
      </c>
      <c r="B696" t="s">
        <v>16647</v>
      </c>
      <c r="C696" t="s">
        <v>16648</v>
      </c>
      <c r="D696" t="s">
        <v>3938</v>
      </c>
      <c r="E696" s="1">
        <v>46152.654050925928</v>
      </c>
      <c r="F696">
        <v>1628</v>
      </c>
      <c r="G696" t="s">
        <v>16649</v>
      </c>
      <c r="H696" t="s">
        <v>13988</v>
      </c>
      <c r="I696" t="s">
        <v>3940</v>
      </c>
      <c r="J696" t="str">
        <f>RIGHT(D696,4)</f>
        <v>6239</v>
      </c>
      <c r="K696" t="str">
        <f>IFERROR(VLOOKUP(VALUE(J696),'Site Info'!$A:$G,3,FALSE),"")</f>
        <v>15 TEXAS STATION CT</v>
      </c>
      <c r="L696" t="str">
        <f>IFERROR(VLOOKUP(VALUE(J696),'Site Info'!$A:$G,4,FALSE),"")</f>
        <v>TIMONIUM</v>
      </c>
      <c r="M696" t="str">
        <f>IFERROR(VLOOKUP(VALUE(J696),'Site Info'!$A:$G,5,FALSE),"")</f>
        <v>MD</v>
      </c>
      <c r="N696" t="str">
        <f>IFERROR(VLOOKUP(VALUE(J696),'Site Info'!$A:$G,6,FALSE),"")</f>
        <v>21093-8263</v>
      </c>
      <c r="O696">
        <f>IFERROR(VLOOKUP(VALUE(J696),'Site Info'!$A:$G,7,FALSE),"")</f>
        <v>4106286207</v>
      </c>
    </row>
    <row r="697" spans="1:15" x14ac:dyDescent="0.45">
      <c r="A697" t="s">
        <v>6549</v>
      </c>
      <c r="B697" t="s">
        <v>6550</v>
      </c>
      <c r="C697" t="s">
        <v>6551</v>
      </c>
      <c r="D697" t="s">
        <v>6215</v>
      </c>
      <c r="E697" s="1">
        <v>46152.424097222225</v>
      </c>
      <c r="F697">
        <v>1547</v>
      </c>
      <c r="G697" t="s">
        <v>6552</v>
      </c>
      <c r="H697" t="s">
        <v>15</v>
      </c>
      <c r="I697" t="s">
        <v>6217</v>
      </c>
      <c r="J697" t="str">
        <f>RIGHT(D697,4)</f>
        <v>8203</v>
      </c>
      <c r="K697" t="str">
        <f>IFERROR(VLOOKUP(VALUE(J697),'Site Info'!$A:$G,3,FALSE),"")</f>
        <v>150 COBB PKWY S</v>
      </c>
      <c r="L697" t="str">
        <f>IFERROR(VLOOKUP(VALUE(J697),'Site Info'!$A:$G,4,FALSE),"")</f>
        <v>MARIETTA</v>
      </c>
      <c r="M697" t="str">
        <f>IFERROR(VLOOKUP(VALUE(J697),'Site Info'!$A:$G,5,FALSE),"")</f>
        <v>GA</v>
      </c>
      <c r="N697" t="str">
        <f>IFERROR(VLOOKUP(VALUE(J697),'Site Info'!$A:$G,6,FALSE),"")</f>
        <v>30060-9209</v>
      </c>
      <c r="O697">
        <f>IFERROR(VLOOKUP(VALUE(J697),'Site Info'!$A:$G,7,FALSE),"")</f>
        <v>7704237018</v>
      </c>
    </row>
    <row r="698" spans="1:15" x14ac:dyDescent="0.45">
      <c r="A698" t="s">
        <v>13463</v>
      </c>
      <c r="B698" t="s">
        <v>13464</v>
      </c>
      <c r="C698" t="s">
        <v>13465</v>
      </c>
      <c r="D698" t="s">
        <v>6215</v>
      </c>
      <c r="E698" s="1">
        <v>46152.530844907407</v>
      </c>
      <c r="F698">
        <v>1547</v>
      </c>
      <c r="G698" t="s">
        <v>13466</v>
      </c>
      <c r="H698" t="s">
        <v>15</v>
      </c>
      <c r="I698" t="s">
        <v>6217</v>
      </c>
      <c r="J698" t="str">
        <f>RIGHT(D698,4)</f>
        <v>8203</v>
      </c>
      <c r="K698" t="str">
        <f>IFERROR(VLOOKUP(VALUE(J698),'Site Info'!$A:$G,3,FALSE),"")</f>
        <v>150 COBB PKWY S</v>
      </c>
      <c r="L698" t="str">
        <f>IFERROR(VLOOKUP(VALUE(J698),'Site Info'!$A:$G,4,FALSE),"")</f>
        <v>MARIETTA</v>
      </c>
      <c r="M698" t="str">
        <f>IFERROR(VLOOKUP(VALUE(J698),'Site Info'!$A:$G,5,FALSE),"")</f>
        <v>GA</v>
      </c>
      <c r="N698" t="str">
        <f>IFERROR(VLOOKUP(VALUE(J698),'Site Info'!$A:$G,6,FALSE),"")</f>
        <v>30060-9209</v>
      </c>
      <c r="O698">
        <f>IFERROR(VLOOKUP(VALUE(J698),'Site Info'!$A:$G,7,FALSE),"")</f>
        <v>7704237018</v>
      </c>
    </row>
    <row r="699" spans="1:15" x14ac:dyDescent="0.45">
      <c r="A699" t="s">
        <v>6212</v>
      </c>
      <c r="B699" t="s">
        <v>6213</v>
      </c>
      <c r="C699" t="s">
        <v>6214</v>
      </c>
      <c r="D699" t="s">
        <v>6215</v>
      </c>
      <c r="E699" s="1">
        <v>46153.225023148145</v>
      </c>
      <c r="F699">
        <v>1547</v>
      </c>
      <c r="G699" t="s">
        <v>6216</v>
      </c>
      <c r="H699" t="s">
        <v>15</v>
      </c>
      <c r="I699" t="s">
        <v>6217</v>
      </c>
      <c r="J699" t="str">
        <f>RIGHT(D699,4)</f>
        <v>8203</v>
      </c>
      <c r="K699" t="str">
        <f>IFERROR(VLOOKUP(VALUE(J699),'Site Info'!$A:$G,3,FALSE),"")</f>
        <v>150 COBB PKWY S</v>
      </c>
      <c r="L699" t="str">
        <f>IFERROR(VLOOKUP(VALUE(J699),'Site Info'!$A:$G,4,FALSE),"")</f>
        <v>MARIETTA</v>
      </c>
      <c r="M699" t="str">
        <f>IFERROR(VLOOKUP(VALUE(J699),'Site Info'!$A:$G,5,FALSE),"")</f>
        <v>GA</v>
      </c>
      <c r="N699" t="str">
        <f>IFERROR(VLOOKUP(VALUE(J699),'Site Info'!$A:$G,6,FALSE),"")</f>
        <v>30060-9209</v>
      </c>
      <c r="O699">
        <f>IFERROR(VLOOKUP(VALUE(J699),'Site Info'!$A:$G,7,FALSE),"")</f>
        <v>7704237018</v>
      </c>
    </row>
    <row r="700" spans="1:15" x14ac:dyDescent="0.45">
      <c r="A700" t="s">
        <v>13423</v>
      </c>
      <c r="B700" t="s">
        <v>13424</v>
      </c>
      <c r="C700" t="s">
        <v>13425</v>
      </c>
      <c r="D700" t="s">
        <v>6215</v>
      </c>
      <c r="E700" s="1">
        <v>46153.338784722226</v>
      </c>
      <c r="F700">
        <v>1547</v>
      </c>
      <c r="G700" t="s">
        <v>13426</v>
      </c>
      <c r="H700" t="s">
        <v>15</v>
      </c>
      <c r="I700" t="s">
        <v>6217</v>
      </c>
      <c r="J700" t="str">
        <f>RIGHT(D700,4)</f>
        <v>8203</v>
      </c>
      <c r="K700" t="str">
        <f>IFERROR(VLOOKUP(VALUE(J700),'Site Info'!$A:$G,3,FALSE),"")</f>
        <v>150 COBB PKWY S</v>
      </c>
      <c r="L700" t="str">
        <f>IFERROR(VLOOKUP(VALUE(J700),'Site Info'!$A:$G,4,FALSE),"")</f>
        <v>MARIETTA</v>
      </c>
      <c r="M700" t="str">
        <f>IFERROR(VLOOKUP(VALUE(J700),'Site Info'!$A:$G,5,FALSE),"")</f>
        <v>GA</v>
      </c>
      <c r="N700" t="str">
        <f>IFERROR(VLOOKUP(VALUE(J700),'Site Info'!$A:$G,6,FALSE),"")</f>
        <v>30060-9209</v>
      </c>
      <c r="O700">
        <f>IFERROR(VLOOKUP(VALUE(J700),'Site Info'!$A:$G,7,FALSE),"")</f>
        <v>7704237018</v>
      </c>
    </row>
    <row r="701" spans="1:15" x14ac:dyDescent="0.45">
      <c r="A701" t="s">
        <v>5498</v>
      </c>
      <c r="B701" t="s">
        <v>5499</v>
      </c>
      <c r="C701" t="s">
        <v>5500</v>
      </c>
      <c r="D701" t="s">
        <v>5501</v>
      </c>
      <c r="E701" s="1">
        <v>46149.836886574078</v>
      </c>
      <c r="F701">
        <v>1547</v>
      </c>
      <c r="G701" t="s">
        <v>5502</v>
      </c>
      <c r="H701" t="s">
        <v>15</v>
      </c>
      <c r="I701" t="s">
        <v>5503</v>
      </c>
      <c r="J701" t="str">
        <f>RIGHT(D701,4)</f>
        <v>6433</v>
      </c>
      <c r="K701" t="str">
        <f>IFERROR(VLOOKUP(VALUE(J701),'Site Info'!$A:$G,3,FALSE),"")</f>
        <v>1500 HELEN POWER DR</v>
      </c>
      <c r="L701" t="str">
        <f>IFERROR(VLOOKUP(VALUE(J701),'Site Info'!$A:$G,4,FALSE),"")</f>
        <v>VACAVILLE</v>
      </c>
      <c r="M701" t="str">
        <f>IFERROR(VLOOKUP(VALUE(J701),'Site Info'!$A:$G,5,FALSE),"")</f>
        <v>CA</v>
      </c>
      <c r="N701" t="str">
        <f>IFERROR(VLOOKUP(VALUE(J701),'Site Info'!$A:$G,6,FALSE),"")</f>
        <v>95687-3506</v>
      </c>
      <c r="O701">
        <f>IFERROR(VLOOKUP(VALUE(J701),'Site Info'!$A:$G,7,FALSE),"")</f>
        <v>7074490290</v>
      </c>
    </row>
    <row r="702" spans="1:15" x14ac:dyDescent="0.45">
      <c r="A702" t="s">
        <v>13555</v>
      </c>
      <c r="B702" t="s">
        <v>13556</v>
      </c>
      <c r="C702" t="s">
        <v>13557</v>
      </c>
      <c r="D702" t="s">
        <v>5501</v>
      </c>
      <c r="E702" s="1">
        <v>46151.785104166665</v>
      </c>
      <c r="F702">
        <v>1547</v>
      </c>
      <c r="G702" t="s">
        <v>13558</v>
      </c>
      <c r="H702" t="s">
        <v>15</v>
      </c>
      <c r="I702" t="s">
        <v>5503</v>
      </c>
      <c r="J702" t="str">
        <f>RIGHT(D702,4)</f>
        <v>6433</v>
      </c>
      <c r="K702" t="str">
        <f>IFERROR(VLOOKUP(VALUE(J702),'Site Info'!$A:$G,3,FALSE),"")</f>
        <v>1500 HELEN POWER DR</v>
      </c>
      <c r="L702" t="str">
        <f>IFERROR(VLOOKUP(VALUE(J702),'Site Info'!$A:$G,4,FALSE),"")</f>
        <v>VACAVILLE</v>
      </c>
      <c r="M702" t="str">
        <f>IFERROR(VLOOKUP(VALUE(J702),'Site Info'!$A:$G,5,FALSE),"")</f>
        <v>CA</v>
      </c>
      <c r="N702" t="str">
        <f>IFERROR(VLOOKUP(VALUE(J702),'Site Info'!$A:$G,6,FALSE),"")</f>
        <v>95687-3506</v>
      </c>
      <c r="O702">
        <f>IFERROR(VLOOKUP(VALUE(J702),'Site Info'!$A:$G,7,FALSE),"")</f>
        <v>7074490290</v>
      </c>
    </row>
    <row r="703" spans="1:15" x14ac:dyDescent="0.45">
      <c r="A703" t="s">
        <v>9175</v>
      </c>
      <c r="B703" t="s">
        <v>9176</v>
      </c>
      <c r="C703" t="s">
        <v>9177</v>
      </c>
      <c r="D703" t="s">
        <v>5501</v>
      </c>
      <c r="E703" s="1">
        <v>46151.89199074074</v>
      </c>
      <c r="F703">
        <v>1547</v>
      </c>
      <c r="G703" t="s">
        <v>9178</v>
      </c>
      <c r="H703" t="s">
        <v>15</v>
      </c>
      <c r="I703" t="s">
        <v>5503</v>
      </c>
      <c r="J703" t="str">
        <f>RIGHT(D703,4)</f>
        <v>6433</v>
      </c>
      <c r="K703" t="str">
        <f>IFERROR(VLOOKUP(VALUE(J703),'Site Info'!$A:$G,3,FALSE),"")</f>
        <v>1500 HELEN POWER DR</v>
      </c>
      <c r="L703" t="str">
        <f>IFERROR(VLOOKUP(VALUE(J703),'Site Info'!$A:$G,4,FALSE),"")</f>
        <v>VACAVILLE</v>
      </c>
      <c r="M703" t="str">
        <f>IFERROR(VLOOKUP(VALUE(J703),'Site Info'!$A:$G,5,FALSE),"")</f>
        <v>CA</v>
      </c>
      <c r="N703" t="str">
        <f>IFERROR(VLOOKUP(VALUE(J703),'Site Info'!$A:$G,6,FALSE),"")</f>
        <v>95687-3506</v>
      </c>
      <c r="O703">
        <f>IFERROR(VLOOKUP(VALUE(J703),'Site Info'!$A:$G,7,FALSE),"")</f>
        <v>7074490290</v>
      </c>
    </row>
    <row r="704" spans="1:15" x14ac:dyDescent="0.45">
      <c r="A704" t="s">
        <v>5924</v>
      </c>
      <c r="B704" t="s">
        <v>5925</v>
      </c>
      <c r="C704" t="s">
        <v>5926</v>
      </c>
      <c r="D704" t="s">
        <v>5501</v>
      </c>
      <c r="E704" s="1">
        <v>46151.900104166663</v>
      </c>
      <c r="F704">
        <v>1547</v>
      </c>
      <c r="G704" t="s">
        <v>5927</v>
      </c>
      <c r="H704" t="s">
        <v>15</v>
      </c>
      <c r="I704" t="s">
        <v>5503</v>
      </c>
      <c r="J704" t="str">
        <f>RIGHT(D704,4)</f>
        <v>6433</v>
      </c>
      <c r="K704" t="str">
        <f>IFERROR(VLOOKUP(VALUE(J704),'Site Info'!$A:$G,3,FALSE),"")</f>
        <v>1500 HELEN POWER DR</v>
      </c>
      <c r="L704" t="str">
        <f>IFERROR(VLOOKUP(VALUE(J704),'Site Info'!$A:$G,4,FALSE),"")</f>
        <v>VACAVILLE</v>
      </c>
      <c r="M704" t="str">
        <f>IFERROR(VLOOKUP(VALUE(J704),'Site Info'!$A:$G,5,FALSE),"")</f>
        <v>CA</v>
      </c>
      <c r="N704" t="str">
        <f>IFERROR(VLOOKUP(VALUE(J704),'Site Info'!$A:$G,6,FALSE),"")</f>
        <v>95687-3506</v>
      </c>
      <c r="O704">
        <f>IFERROR(VLOOKUP(VALUE(J704),'Site Info'!$A:$G,7,FALSE),"")</f>
        <v>7074490290</v>
      </c>
    </row>
    <row r="705" spans="1:15" x14ac:dyDescent="0.45">
      <c r="A705" t="s">
        <v>5814</v>
      </c>
      <c r="B705" t="s">
        <v>5815</v>
      </c>
      <c r="C705" t="s">
        <v>5816</v>
      </c>
      <c r="D705" t="s">
        <v>5501</v>
      </c>
      <c r="E705" s="1">
        <v>46152.793888888889</v>
      </c>
      <c r="F705">
        <v>1547</v>
      </c>
      <c r="G705" t="s">
        <v>5817</v>
      </c>
      <c r="H705" t="s">
        <v>15</v>
      </c>
      <c r="I705" t="s">
        <v>5503</v>
      </c>
      <c r="J705" t="str">
        <f>RIGHT(D705,4)</f>
        <v>6433</v>
      </c>
      <c r="K705" t="str">
        <f>IFERROR(VLOOKUP(VALUE(J705),'Site Info'!$A:$G,3,FALSE),"")</f>
        <v>1500 HELEN POWER DR</v>
      </c>
      <c r="L705" t="str">
        <f>IFERROR(VLOOKUP(VALUE(J705),'Site Info'!$A:$G,4,FALSE),"")</f>
        <v>VACAVILLE</v>
      </c>
      <c r="M705" t="str">
        <f>IFERROR(VLOOKUP(VALUE(J705),'Site Info'!$A:$G,5,FALSE),"")</f>
        <v>CA</v>
      </c>
      <c r="N705" t="str">
        <f>IFERROR(VLOOKUP(VALUE(J705),'Site Info'!$A:$G,6,FALSE),"")</f>
        <v>95687-3506</v>
      </c>
      <c r="O705">
        <f>IFERROR(VLOOKUP(VALUE(J705),'Site Info'!$A:$G,7,FALSE),"")</f>
        <v>7074490290</v>
      </c>
    </row>
    <row r="706" spans="1:15" x14ac:dyDescent="0.45">
      <c r="A706" t="s">
        <v>6006</v>
      </c>
      <c r="B706" t="s">
        <v>6007</v>
      </c>
      <c r="C706" t="s">
        <v>6008</v>
      </c>
      <c r="D706" t="s">
        <v>5501</v>
      </c>
      <c r="E706" s="1">
        <v>46153.31046296296</v>
      </c>
      <c r="F706">
        <v>1547</v>
      </c>
      <c r="G706" t="s">
        <v>6009</v>
      </c>
      <c r="H706" t="s">
        <v>15</v>
      </c>
      <c r="I706" t="s">
        <v>5503</v>
      </c>
      <c r="J706" t="str">
        <f>RIGHT(D706,4)</f>
        <v>6433</v>
      </c>
      <c r="K706" t="str">
        <f>IFERROR(VLOOKUP(VALUE(J706),'Site Info'!$A:$G,3,FALSE),"")</f>
        <v>1500 HELEN POWER DR</v>
      </c>
      <c r="L706" t="str">
        <f>IFERROR(VLOOKUP(VALUE(J706),'Site Info'!$A:$G,4,FALSE),"")</f>
        <v>VACAVILLE</v>
      </c>
      <c r="M706" t="str">
        <f>IFERROR(VLOOKUP(VALUE(J706),'Site Info'!$A:$G,5,FALSE),"")</f>
        <v>CA</v>
      </c>
      <c r="N706" t="str">
        <f>IFERROR(VLOOKUP(VALUE(J706),'Site Info'!$A:$G,6,FALSE),"")</f>
        <v>95687-3506</v>
      </c>
      <c r="O706">
        <f>IFERROR(VLOOKUP(VALUE(J706),'Site Info'!$A:$G,7,FALSE),"")</f>
        <v>7074490290</v>
      </c>
    </row>
    <row r="707" spans="1:15" x14ac:dyDescent="0.45">
      <c r="A707" t="s">
        <v>14507</v>
      </c>
      <c r="B707" t="s">
        <v>14508</v>
      </c>
      <c r="C707" t="s">
        <v>14509</v>
      </c>
      <c r="D707" t="s">
        <v>14210</v>
      </c>
      <c r="E707" s="1">
        <v>46105.380335648151</v>
      </c>
      <c r="F707">
        <v>1863</v>
      </c>
      <c r="G707" t="s">
        <v>14510</v>
      </c>
      <c r="H707" t="s">
        <v>136</v>
      </c>
      <c r="I707" t="s">
        <v>14212</v>
      </c>
      <c r="J707" t="str">
        <f>RIGHT(D707,4)</f>
        <v>4992</v>
      </c>
      <c r="K707" t="str">
        <f>IFERROR(VLOOKUP(VALUE(J707),'Site Info'!$A:$G,3,FALSE),"")</f>
        <v>1500 RING RD</v>
      </c>
      <c r="L707" t="str">
        <f>IFERROR(VLOOKUP(VALUE(J707),'Site Info'!$A:$G,4,FALSE),"")</f>
        <v>ELIZABETHTOWN</v>
      </c>
      <c r="M707" t="str">
        <f>IFERROR(VLOOKUP(VALUE(J707),'Site Info'!$A:$G,5,FALSE),"")</f>
        <v>KY</v>
      </c>
      <c r="N707" t="str">
        <f>IFERROR(VLOOKUP(VALUE(J707),'Site Info'!$A:$G,6,FALSE),"")</f>
        <v>42701-7984</v>
      </c>
      <c r="O707">
        <f>IFERROR(VLOOKUP(VALUE(J707),'Site Info'!$A:$G,7,FALSE),"")</f>
        <v>2707691044</v>
      </c>
    </row>
    <row r="708" spans="1:15" x14ac:dyDescent="0.45">
      <c r="A708" t="s">
        <v>14207</v>
      </c>
      <c r="B708" t="s">
        <v>14208</v>
      </c>
      <c r="C708" t="s">
        <v>14209</v>
      </c>
      <c r="D708" t="s">
        <v>14210</v>
      </c>
      <c r="E708" s="1">
        <v>46152.419652777775</v>
      </c>
      <c r="F708">
        <v>1863</v>
      </c>
      <c r="G708" t="s">
        <v>14211</v>
      </c>
      <c r="H708" t="s">
        <v>136</v>
      </c>
      <c r="I708" t="s">
        <v>14212</v>
      </c>
      <c r="J708" t="str">
        <f>RIGHT(D708,4)</f>
        <v>4992</v>
      </c>
      <c r="K708" t="str">
        <f>IFERROR(VLOOKUP(VALUE(J708),'Site Info'!$A:$G,3,FALSE),"")</f>
        <v>1500 RING RD</v>
      </c>
      <c r="L708" t="str">
        <f>IFERROR(VLOOKUP(VALUE(J708),'Site Info'!$A:$G,4,FALSE),"")</f>
        <v>ELIZABETHTOWN</v>
      </c>
      <c r="M708" t="str">
        <f>IFERROR(VLOOKUP(VALUE(J708),'Site Info'!$A:$G,5,FALSE),"")</f>
        <v>KY</v>
      </c>
      <c r="N708" t="str">
        <f>IFERROR(VLOOKUP(VALUE(J708),'Site Info'!$A:$G,6,FALSE),"")</f>
        <v>42701-7984</v>
      </c>
      <c r="O708">
        <f>IFERROR(VLOOKUP(VALUE(J708),'Site Info'!$A:$G,7,FALSE),"")</f>
        <v>2707691044</v>
      </c>
    </row>
    <row r="709" spans="1:15" x14ac:dyDescent="0.45">
      <c r="A709" t="s">
        <v>14281</v>
      </c>
      <c r="B709" t="s">
        <v>14282</v>
      </c>
      <c r="C709" t="s">
        <v>14283</v>
      </c>
      <c r="D709" t="s">
        <v>14210</v>
      </c>
      <c r="E709" s="1">
        <v>46152.912893518522</v>
      </c>
      <c r="F709">
        <v>1863</v>
      </c>
      <c r="G709" t="s">
        <v>14284</v>
      </c>
      <c r="H709" t="s">
        <v>136</v>
      </c>
      <c r="I709" t="s">
        <v>14212</v>
      </c>
      <c r="J709" t="str">
        <f>RIGHT(D709,4)</f>
        <v>4992</v>
      </c>
      <c r="K709" t="str">
        <f>IFERROR(VLOOKUP(VALUE(J709),'Site Info'!$A:$G,3,FALSE),"")</f>
        <v>1500 RING RD</v>
      </c>
      <c r="L709" t="str">
        <f>IFERROR(VLOOKUP(VALUE(J709),'Site Info'!$A:$G,4,FALSE),"")</f>
        <v>ELIZABETHTOWN</v>
      </c>
      <c r="M709" t="str">
        <f>IFERROR(VLOOKUP(VALUE(J709),'Site Info'!$A:$G,5,FALSE),"")</f>
        <v>KY</v>
      </c>
      <c r="N709" t="str">
        <f>IFERROR(VLOOKUP(VALUE(J709),'Site Info'!$A:$G,6,FALSE),"")</f>
        <v>42701-7984</v>
      </c>
      <c r="O709">
        <f>IFERROR(VLOOKUP(VALUE(J709),'Site Info'!$A:$G,7,FALSE),"")</f>
        <v>2707691044</v>
      </c>
    </row>
    <row r="710" spans="1:15" x14ac:dyDescent="0.45">
      <c r="A710" t="s">
        <v>16576</v>
      </c>
      <c r="B710" t="s">
        <v>16577</v>
      </c>
      <c r="C710" t="s">
        <v>16578</v>
      </c>
      <c r="D710" t="s">
        <v>14210</v>
      </c>
      <c r="E710" s="1">
        <v>46090.696493055555</v>
      </c>
      <c r="F710">
        <v>1628</v>
      </c>
      <c r="G710" t="s">
        <v>16579</v>
      </c>
      <c r="H710" t="s">
        <v>13988</v>
      </c>
      <c r="I710" t="s">
        <v>14212</v>
      </c>
      <c r="J710" t="str">
        <f>RIGHT(D710,4)</f>
        <v>4992</v>
      </c>
      <c r="K710" t="str">
        <f>IFERROR(VLOOKUP(VALUE(J710),'Site Info'!$A:$G,3,FALSE),"")</f>
        <v>1500 RING RD</v>
      </c>
      <c r="L710" t="str">
        <f>IFERROR(VLOOKUP(VALUE(J710),'Site Info'!$A:$G,4,FALSE),"")</f>
        <v>ELIZABETHTOWN</v>
      </c>
      <c r="M710" t="str">
        <f>IFERROR(VLOOKUP(VALUE(J710),'Site Info'!$A:$G,5,FALSE),"")</f>
        <v>KY</v>
      </c>
      <c r="N710" t="str">
        <f>IFERROR(VLOOKUP(VALUE(J710),'Site Info'!$A:$G,6,FALSE),"")</f>
        <v>42701-7984</v>
      </c>
      <c r="O710">
        <f>IFERROR(VLOOKUP(VALUE(J710),'Site Info'!$A:$G,7,FALSE),"")</f>
        <v>2707691044</v>
      </c>
    </row>
    <row r="711" spans="1:15" x14ac:dyDescent="0.45">
      <c r="A711" t="s">
        <v>16489</v>
      </c>
      <c r="B711" t="s">
        <v>16580</v>
      </c>
      <c r="C711" t="s">
        <v>16581</v>
      </c>
      <c r="D711" t="s">
        <v>14210</v>
      </c>
      <c r="E711" s="1">
        <v>46151.391655092593</v>
      </c>
      <c r="F711">
        <v>1628</v>
      </c>
      <c r="G711" t="s">
        <v>16582</v>
      </c>
      <c r="H711" t="s">
        <v>13988</v>
      </c>
      <c r="I711" t="s">
        <v>14212</v>
      </c>
      <c r="J711" t="str">
        <f>RIGHT(D711,4)</f>
        <v>4992</v>
      </c>
      <c r="K711" t="str">
        <f>IFERROR(VLOOKUP(VALUE(J711),'Site Info'!$A:$G,3,FALSE),"")</f>
        <v>1500 RING RD</v>
      </c>
      <c r="L711" t="str">
        <f>IFERROR(VLOOKUP(VALUE(J711),'Site Info'!$A:$G,4,FALSE),"")</f>
        <v>ELIZABETHTOWN</v>
      </c>
      <c r="M711" t="str">
        <f>IFERROR(VLOOKUP(VALUE(J711),'Site Info'!$A:$G,5,FALSE),"")</f>
        <v>KY</v>
      </c>
      <c r="N711" t="str">
        <f>IFERROR(VLOOKUP(VALUE(J711),'Site Info'!$A:$G,6,FALSE),"")</f>
        <v>42701-7984</v>
      </c>
      <c r="O711">
        <f>IFERROR(VLOOKUP(VALUE(J711),'Site Info'!$A:$G,7,FALSE),"")</f>
        <v>2707691044</v>
      </c>
    </row>
    <row r="712" spans="1:15" x14ac:dyDescent="0.45">
      <c r="A712" t="s">
        <v>16583</v>
      </c>
      <c r="B712" t="s">
        <v>16584</v>
      </c>
      <c r="C712" t="s">
        <v>16585</v>
      </c>
      <c r="D712" t="s">
        <v>14210</v>
      </c>
      <c r="E712" s="1">
        <v>46153.372835648152</v>
      </c>
      <c r="F712">
        <v>1628</v>
      </c>
      <c r="G712" t="s">
        <v>16586</v>
      </c>
      <c r="H712" t="s">
        <v>13988</v>
      </c>
      <c r="I712" t="s">
        <v>14212</v>
      </c>
      <c r="J712" t="str">
        <f>RIGHT(D712,4)</f>
        <v>4992</v>
      </c>
      <c r="K712" t="str">
        <f>IFERROR(VLOOKUP(VALUE(J712),'Site Info'!$A:$G,3,FALSE),"")</f>
        <v>1500 RING RD</v>
      </c>
      <c r="L712" t="str">
        <f>IFERROR(VLOOKUP(VALUE(J712),'Site Info'!$A:$G,4,FALSE),"")</f>
        <v>ELIZABETHTOWN</v>
      </c>
      <c r="M712" t="str">
        <f>IFERROR(VLOOKUP(VALUE(J712),'Site Info'!$A:$G,5,FALSE),"")</f>
        <v>KY</v>
      </c>
      <c r="N712" t="str">
        <f>IFERROR(VLOOKUP(VALUE(J712),'Site Info'!$A:$G,6,FALSE),"")</f>
        <v>42701-7984</v>
      </c>
      <c r="O712">
        <f>IFERROR(VLOOKUP(VALUE(J712),'Site Info'!$A:$G,7,FALSE),"")</f>
        <v>2707691044</v>
      </c>
    </row>
    <row r="713" spans="1:15" x14ac:dyDescent="0.45">
      <c r="A713" t="s">
        <v>10286</v>
      </c>
      <c r="B713" t="s">
        <v>10287</v>
      </c>
      <c r="C713" t="s">
        <v>10288</v>
      </c>
      <c r="D713" t="s">
        <v>2227</v>
      </c>
      <c r="E713" s="1">
        <v>46151.502500000002</v>
      </c>
      <c r="F713">
        <v>1547</v>
      </c>
      <c r="G713" t="s">
        <v>10289</v>
      </c>
      <c r="H713" t="s">
        <v>15</v>
      </c>
      <c r="I713" t="s">
        <v>2229</v>
      </c>
      <c r="J713" t="str">
        <f>RIGHT(D713,4)</f>
        <v>6189</v>
      </c>
      <c r="K713" t="str">
        <f>IFERROR(VLOOKUP(VALUE(J713),'Site Info'!$A:$G,3,FALSE),"")</f>
        <v>1500 S. ORANGE BLOSSOM TRAIL</v>
      </c>
      <c r="L713" t="str">
        <f>IFERROR(VLOOKUP(VALUE(J713),'Site Info'!$A:$G,4,FALSE),"")</f>
        <v>APOPKA</v>
      </c>
      <c r="M713" t="str">
        <f>IFERROR(VLOOKUP(VALUE(J713),'Site Info'!$A:$G,5,FALSE),"")</f>
        <v>FL</v>
      </c>
      <c r="N713" t="str">
        <f>IFERROR(VLOOKUP(VALUE(J713),'Site Info'!$A:$G,6,FALSE),"")</f>
        <v>32703-0000</v>
      </c>
      <c r="O713">
        <f>IFERROR(VLOOKUP(VALUE(J713),'Site Info'!$A:$G,7,FALSE),"")</f>
        <v>4075534127</v>
      </c>
    </row>
    <row r="714" spans="1:15" x14ac:dyDescent="0.45">
      <c r="A714" t="s">
        <v>9197</v>
      </c>
      <c r="B714" t="s">
        <v>9198</v>
      </c>
      <c r="C714" t="s">
        <v>9199</v>
      </c>
      <c r="D714" t="s">
        <v>2227</v>
      </c>
      <c r="E714" s="1">
        <v>46151.750439814816</v>
      </c>
      <c r="F714">
        <v>1547</v>
      </c>
      <c r="G714" t="s">
        <v>9200</v>
      </c>
      <c r="H714" t="s">
        <v>15</v>
      </c>
      <c r="I714" t="s">
        <v>2229</v>
      </c>
      <c r="J714" t="str">
        <f>RIGHT(D714,4)</f>
        <v>6189</v>
      </c>
      <c r="K714" t="str">
        <f>IFERROR(VLOOKUP(VALUE(J714),'Site Info'!$A:$G,3,FALSE),"")</f>
        <v>1500 S. ORANGE BLOSSOM TRAIL</v>
      </c>
      <c r="L714" t="str">
        <f>IFERROR(VLOOKUP(VALUE(J714),'Site Info'!$A:$G,4,FALSE),"")</f>
        <v>APOPKA</v>
      </c>
      <c r="M714" t="str">
        <f>IFERROR(VLOOKUP(VALUE(J714),'Site Info'!$A:$G,5,FALSE),"")</f>
        <v>FL</v>
      </c>
      <c r="N714" t="str">
        <f>IFERROR(VLOOKUP(VALUE(J714),'Site Info'!$A:$G,6,FALSE),"")</f>
        <v>32703-0000</v>
      </c>
      <c r="O714">
        <f>IFERROR(VLOOKUP(VALUE(J714),'Site Info'!$A:$G,7,FALSE),"")</f>
        <v>4075534127</v>
      </c>
    </row>
    <row r="715" spans="1:15" x14ac:dyDescent="0.45">
      <c r="A715" t="s">
        <v>10250</v>
      </c>
      <c r="B715" t="s">
        <v>10251</v>
      </c>
      <c r="C715" t="s">
        <v>10252</v>
      </c>
      <c r="D715" t="s">
        <v>2227</v>
      </c>
      <c r="E715" s="1">
        <v>46152.313043981485</v>
      </c>
      <c r="F715">
        <v>1547</v>
      </c>
      <c r="G715" t="s">
        <v>10253</v>
      </c>
      <c r="H715" t="s">
        <v>15</v>
      </c>
      <c r="I715" t="s">
        <v>2229</v>
      </c>
      <c r="J715" t="str">
        <f>RIGHT(D715,4)</f>
        <v>6189</v>
      </c>
      <c r="K715" t="str">
        <f>IFERROR(VLOOKUP(VALUE(J715),'Site Info'!$A:$G,3,FALSE),"")</f>
        <v>1500 S. ORANGE BLOSSOM TRAIL</v>
      </c>
      <c r="L715" t="str">
        <f>IFERROR(VLOOKUP(VALUE(J715),'Site Info'!$A:$G,4,FALSE),"")</f>
        <v>APOPKA</v>
      </c>
      <c r="M715" t="str">
        <f>IFERROR(VLOOKUP(VALUE(J715),'Site Info'!$A:$G,5,FALSE),"")</f>
        <v>FL</v>
      </c>
      <c r="N715" t="str">
        <f>IFERROR(VLOOKUP(VALUE(J715),'Site Info'!$A:$G,6,FALSE),"")</f>
        <v>32703-0000</v>
      </c>
      <c r="O715">
        <f>IFERROR(VLOOKUP(VALUE(J715),'Site Info'!$A:$G,7,FALSE),"")</f>
        <v>4075534127</v>
      </c>
    </row>
    <row r="716" spans="1:15" x14ac:dyDescent="0.45">
      <c r="A716" t="s">
        <v>12306</v>
      </c>
      <c r="B716" t="s">
        <v>12307</v>
      </c>
      <c r="C716" t="s">
        <v>12308</v>
      </c>
      <c r="D716" t="s">
        <v>2227</v>
      </c>
      <c r="E716" s="1">
        <v>46153.336087962962</v>
      </c>
      <c r="F716">
        <v>1547</v>
      </c>
      <c r="G716" t="s">
        <v>12309</v>
      </c>
      <c r="H716" t="s">
        <v>15</v>
      </c>
      <c r="I716" t="s">
        <v>2229</v>
      </c>
      <c r="J716" t="str">
        <f>RIGHT(D716,4)</f>
        <v>6189</v>
      </c>
      <c r="K716" t="str">
        <f>IFERROR(VLOOKUP(VALUE(J716),'Site Info'!$A:$G,3,FALSE),"")</f>
        <v>1500 S. ORANGE BLOSSOM TRAIL</v>
      </c>
      <c r="L716" t="str">
        <f>IFERROR(VLOOKUP(VALUE(J716),'Site Info'!$A:$G,4,FALSE),"")</f>
        <v>APOPKA</v>
      </c>
      <c r="M716" t="str">
        <f>IFERROR(VLOOKUP(VALUE(J716),'Site Info'!$A:$G,5,FALSE),"")</f>
        <v>FL</v>
      </c>
      <c r="N716" t="str">
        <f>IFERROR(VLOOKUP(VALUE(J716),'Site Info'!$A:$G,6,FALSE),"")</f>
        <v>32703-0000</v>
      </c>
      <c r="O716">
        <f>IFERROR(VLOOKUP(VALUE(J716),'Site Info'!$A:$G,7,FALSE),"")</f>
        <v>4075534127</v>
      </c>
    </row>
    <row r="717" spans="1:15" x14ac:dyDescent="0.45">
      <c r="A717" t="s">
        <v>14131</v>
      </c>
      <c r="B717" t="s">
        <v>14132</v>
      </c>
      <c r="C717" t="s">
        <v>14133</v>
      </c>
      <c r="D717" t="s">
        <v>2227</v>
      </c>
      <c r="E717" s="1">
        <v>46153.367546296293</v>
      </c>
      <c r="F717">
        <v>1547</v>
      </c>
      <c r="G717" t="s">
        <v>14134</v>
      </c>
      <c r="H717" t="s">
        <v>15</v>
      </c>
      <c r="I717" t="s">
        <v>2229</v>
      </c>
      <c r="J717" t="str">
        <f>RIGHT(D717,4)</f>
        <v>6189</v>
      </c>
      <c r="K717" t="str">
        <f>IFERROR(VLOOKUP(VALUE(J717),'Site Info'!$A:$G,3,FALSE),"")</f>
        <v>1500 S. ORANGE BLOSSOM TRAIL</v>
      </c>
      <c r="L717" t="str">
        <f>IFERROR(VLOOKUP(VALUE(J717),'Site Info'!$A:$G,4,FALSE),"")</f>
        <v>APOPKA</v>
      </c>
      <c r="M717" t="str">
        <f>IFERROR(VLOOKUP(VALUE(J717),'Site Info'!$A:$G,5,FALSE),"")</f>
        <v>FL</v>
      </c>
      <c r="N717" t="str">
        <f>IFERROR(VLOOKUP(VALUE(J717),'Site Info'!$A:$G,6,FALSE),"")</f>
        <v>32703-0000</v>
      </c>
      <c r="O717">
        <f>IFERROR(VLOOKUP(VALUE(J717),'Site Info'!$A:$G,7,FALSE),"")</f>
        <v>4075534127</v>
      </c>
    </row>
    <row r="718" spans="1:15" x14ac:dyDescent="0.45">
      <c r="A718" t="s">
        <v>2224</v>
      </c>
      <c r="B718" t="s">
        <v>2225</v>
      </c>
      <c r="C718" t="s">
        <v>2226</v>
      </c>
      <c r="D718" t="s">
        <v>2227</v>
      </c>
      <c r="E718" s="1">
        <v>46152.494375000002</v>
      </c>
      <c r="F718">
        <v>1481</v>
      </c>
      <c r="G718" t="s">
        <v>2228</v>
      </c>
      <c r="H718" t="s">
        <v>15</v>
      </c>
      <c r="I718" t="s">
        <v>2229</v>
      </c>
      <c r="J718" t="str">
        <f>RIGHT(D718,4)</f>
        <v>6189</v>
      </c>
      <c r="K718" t="str">
        <f>IFERROR(VLOOKUP(VALUE(J718),'Site Info'!$A:$G,3,FALSE),"")</f>
        <v>1500 S. ORANGE BLOSSOM TRAIL</v>
      </c>
      <c r="L718" t="str">
        <f>IFERROR(VLOOKUP(VALUE(J718),'Site Info'!$A:$G,4,FALSE),"")</f>
        <v>APOPKA</v>
      </c>
      <c r="M718" t="str">
        <f>IFERROR(VLOOKUP(VALUE(J718),'Site Info'!$A:$G,5,FALSE),"")</f>
        <v>FL</v>
      </c>
      <c r="N718" t="str">
        <f>IFERROR(VLOOKUP(VALUE(J718),'Site Info'!$A:$G,6,FALSE),"")</f>
        <v>32703-0000</v>
      </c>
      <c r="O718">
        <f>IFERROR(VLOOKUP(VALUE(J718),'Site Info'!$A:$G,7,FALSE),"")</f>
        <v>4075534127</v>
      </c>
    </row>
    <row r="719" spans="1:15" x14ac:dyDescent="0.45">
      <c r="A719" t="s">
        <v>6723</v>
      </c>
      <c r="B719" t="s">
        <v>6724</v>
      </c>
      <c r="C719" t="s">
        <v>6725</v>
      </c>
      <c r="D719" t="s">
        <v>2684</v>
      </c>
      <c r="E719" s="1">
        <v>46152.585520833331</v>
      </c>
      <c r="F719">
        <v>1548</v>
      </c>
      <c r="G719" t="s">
        <v>6726</v>
      </c>
      <c r="H719" t="s">
        <v>15</v>
      </c>
      <c r="I719" t="s">
        <v>2686</v>
      </c>
      <c r="J719" t="str">
        <f>RIGHT(D719,4)</f>
        <v>8288</v>
      </c>
      <c r="K719" t="str">
        <f>IFERROR(VLOOKUP(VALUE(J719),'Site Info'!$A:$G,3,FALSE),"")</f>
        <v>1500 TRADEWINDS BLVD</v>
      </c>
      <c r="L719" t="str">
        <f>IFERROR(VLOOKUP(VALUE(J719),'Site Info'!$A:$G,4,FALSE),"")</f>
        <v>MIDLAND</v>
      </c>
      <c r="M719" t="str">
        <f>IFERROR(VLOOKUP(VALUE(J719),'Site Info'!$A:$G,5,FALSE),"")</f>
        <v>TX</v>
      </c>
      <c r="N719" t="str">
        <f>IFERROR(VLOOKUP(VALUE(J719),'Site Info'!$A:$G,6,FALSE),"")</f>
        <v>79706-2833</v>
      </c>
      <c r="O719">
        <f>IFERROR(VLOOKUP(VALUE(J719),'Site Info'!$A:$G,7,FALSE),"")</f>
        <v>4326995933</v>
      </c>
    </row>
    <row r="720" spans="1:15" x14ac:dyDescent="0.45">
      <c r="A720" t="s">
        <v>12276</v>
      </c>
      <c r="B720" t="s">
        <v>12277</v>
      </c>
      <c r="C720" t="s">
        <v>12278</v>
      </c>
      <c r="D720" t="s">
        <v>2684</v>
      </c>
      <c r="E720" s="1">
        <v>46151.771608796298</v>
      </c>
      <c r="F720">
        <v>1547</v>
      </c>
      <c r="G720" t="s">
        <v>12279</v>
      </c>
      <c r="H720" t="s">
        <v>15</v>
      </c>
      <c r="I720" t="s">
        <v>2686</v>
      </c>
      <c r="J720" t="str">
        <f>RIGHT(D720,4)</f>
        <v>8288</v>
      </c>
      <c r="K720" t="str">
        <f>IFERROR(VLOOKUP(VALUE(J720),'Site Info'!$A:$G,3,FALSE),"")</f>
        <v>1500 TRADEWINDS BLVD</v>
      </c>
      <c r="L720" t="str">
        <f>IFERROR(VLOOKUP(VALUE(J720),'Site Info'!$A:$G,4,FALSE),"")</f>
        <v>MIDLAND</v>
      </c>
      <c r="M720" t="str">
        <f>IFERROR(VLOOKUP(VALUE(J720),'Site Info'!$A:$G,5,FALSE),"")</f>
        <v>TX</v>
      </c>
      <c r="N720" t="str">
        <f>IFERROR(VLOOKUP(VALUE(J720),'Site Info'!$A:$G,6,FALSE),"")</f>
        <v>79706-2833</v>
      </c>
      <c r="O720">
        <f>IFERROR(VLOOKUP(VALUE(J720),'Site Info'!$A:$G,7,FALSE),"")</f>
        <v>4326995933</v>
      </c>
    </row>
    <row r="721" spans="1:15" x14ac:dyDescent="0.45">
      <c r="A721" t="s">
        <v>12302</v>
      </c>
      <c r="B721" t="s">
        <v>12303</v>
      </c>
      <c r="C721" t="s">
        <v>12304</v>
      </c>
      <c r="D721" t="s">
        <v>2684</v>
      </c>
      <c r="E721" s="1">
        <v>46153.364687499998</v>
      </c>
      <c r="F721">
        <v>1547</v>
      </c>
      <c r="G721" t="s">
        <v>12305</v>
      </c>
      <c r="H721" t="s">
        <v>15</v>
      </c>
      <c r="I721" t="s">
        <v>2686</v>
      </c>
      <c r="J721" t="str">
        <f>RIGHT(D721,4)</f>
        <v>8288</v>
      </c>
      <c r="K721" t="str">
        <f>IFERROR(VLOOKUP(VALUE(J721),'Site Info'!$A:$G,3,FALSE),"")</f>
        <v>1500 TRADEWINDS BLVD</v>
      </c>
      <c r="L721" t="str">
        <f>IFERROR(VLOOKUP(VALUE(J721),'Site Info'!$A:$G,4,FALSE),"")</f>
        <v>MIDLAND</v>
      </c>
      <c r="M721" t="str">
        <f>IFERROR(VLOOKUP(VALUE(J721),'Site Info'!$A:$G,5,FALSE),"")</f>
        <v>TX</v>
      </c>
      <c r="N721" t="str">
        <f>IFERROR(VLOOKUP(VALUE(J721),'Site Info'!$A:$G,6,FALSE),"")</f>
        <v>79706-2833</v>
      </c>
      <c r="O721">
        <f>IFERROR(VLOOKUP(VALUE(J721),'Site Info'!$A:$G,7,FALSE),"")</f>
        <v>4326995933</v>
      </c>
    </row>
    <row r="722" spans="1:15" x14ac:dyDescent="0.45">
      <c r="A722" t="s">
        <v>2681</v>
      </c>
      <c r="B722" t="s">
        <v>2682</v>
      </c>
      <c r="C722" t="s">
        <v>2683</v>
      </c>
      <c r="D722" t="s">
        <v>2684</v>
      </c>
      <c r="E722" s="1">
        <v>46152.538587962961</v>
      </c>
      <c r="F722">
        <v>1481</v>
      </c>
      <c r="G722" t="s">
        <v>2685</v>
      </c>
      <c r="H722" t="s">
        <v>15</v>
      </c>
      <c r="I722" t="s">
        <v>2686</v>
      </c>
      <c r="J722" t="str">
        <f>RIGHT(D722,4)</f>
        <v>8288</v>
      </c>
      <c r="K722" t="str">
        <f>IFERROR(VLOOKUP(VALUE(J722),'Site Info'!$A:$G,3,FALSE),"")</f>
        <v>1500 TRADEWINDS BLVD</v>
      </c>
      <c r="L722" t="str">
        <f>IFERROR(VLOOKUP(VALUE(J722),'Site Info'!$A:$G,4,FALSE),"")</f>
        <v>MIDLAND</v>
      </c>
      <c r="M722" t="str">
        <f>IFERROR(VLOOKUP(VALUE(J722),'Site Info'!$A:$G,5,FALSE),"")</f>
        <v>TX</v>
      </c>
      <c r="N722" t="str">
        <f>IFERROR(VLOOKUP(VALUE(J722),'Site Info'!$A:$G,6,FALSE),"")</f>
        <v>79706-2833</v>
      </c>
      <c r="O722">
        <f>IFERROR(VLOOKUP(VALUE(J722),'Site Info'!$A:$G,7,FALSE),"")</f>
        <v>4326995933</v>
      </c>
    </row>
    <row r="723" spans="1:15" x14ac:dyDescent="0.45">
      <c r="A723" t="s">
        <v>10092</v>
      </c>
      <c r="B723" t="s">
        <v>10093</v>
      </c>
      <c r="C723" t="s">
        <v>10094</v>
      </c>
      <c r="D723" t="s">
        <v>8538</v>
      </c>
      <c r="E723" s="1">
        <v>46151.429375</v>
      </c>
      <c r="F723">
        <v>1547</v>
      </c>
      <c r="G723" t="s">
        <v>10095</v>
      </c>
      <c r="H723" t="s">
        <v>15</v>
      </c>
      <c r="I723" t="s">
        <v>8540</v>
      </c>
      <c r="J723" t="str">
        <f>RIGHT(D723,4)</f>
        <v>6368</v>
      </c>
      <c r="K723" t="str">
        <f>IFERROR(VLOOKUP(VALUE(J723),'Site Info'!$A:$G,3,FALSE),"")</f>
        <v>1501 SAMS CIR</v>
      </c>
      <c r="L723" t="str">
        <f>IFERROR(VLOOKUP(VALUE(J723),'Site Info'!$A:$G,4,FALSE),"")</f>
        <v>CHESAPEAKE</v>
      </c>
      <c r="M723" t="str">
        <f>IFERROR(VLOOKUP(VALUE(J723),'Site Info'!$A:$G,5,FALSE),"")</f>
        <v>VA</v>
      </c>
      <c r="N723" t="str">
        <f>IFERROR(VLOOKUP(VALUE(J723),'Site Info'!$A:$G,6,FALSE),"")</f>
        <v>23320-4694</v>
      </c>
      <c r="O723">
        <f>IFERROR(VLOOKUP(VALUE(J723),'Site Info'!$A:$G,7,FALSE),"")</f>
        <v>7574367119</v>
      </c>
    </row>
    <row r="724" spans="1:15" x14ac:dyDescent="0.45">
      <c r="A724" t="s">
        <v>10304</v>
      </c>
      <c r="B724" t="s">
        <v>10305</v>
      </c>
      <c r="C724" t="s">
        <v>10306</v>
      </c>
      <c r="D724" t="s">
        <v>8538</v>
      </c>
      <c r="E724" s="1">
        <v>46151.689479166664</v>
      </c>
      <c r="F724">
        <v>1547</v>
      </c>
      <c r="G724" t="s">
        <v>10307</v>
      </c>
      <c r="H724" t="s">
        <v>15</v>
      </c>
      <c r="I724" t="s">
        <v>8540</v>
      </c>
      <c r="J724" t="str">
        <f>RIGHT(D724,4)</f>
        <v>6368</v>
      </c>
      <c r="K724" t="str">
        <f>IFERROR(VLOOKUP(VALUE(J724),'Site Info'!$A:$G,3,FALSE),"")</f>
        <v>1501 SAMS CIR</v>
      </c>
      <c r="L724" t="str">
        <f>IFERROR(VLOOKUP(VALUE(J724),'Site Info'!$A:$G,4,FALSE),"")</f>
        <v>CHESAPEAKE</v>
      </c>
      <c r="M724" t="str">
        <f>IFERROR(VLOOKUP(VALUE(J724),'Site Info'!$A:$G,5,FALSE),"")</f>
        <v>VA</v>
      </c>
      <c r="N724" t="str">
        <f>IFERROR(VLOOKUP(VALUE(J724),'Site Info'!$A:$G,6,FALSE),"")</f>
        <v>23320-4694</v>
      </c>
      <c r="O724">
        <f>IFERROR(VLOOKUP(VALUE(J724),'Site Info'!$A:$G,7,FALSE),"")</f>
        <v>7574367119</v>
      </c>
    </row>
    <row r="725" spans="1:15" x14ac:dyDescent="0.45">
      <c r="A725" t="s">
        <v>8535</v>
      </c>
      <c r="B725" t="s">
        <v>8536</v>
      </c>
      <c r="C725" t="s">
        <v>8537</v>
      </c>
      <c r="D725" t="s">
        <v>8538</v>
      </c>
      <c r="E725" s="1">
        <v>46153.346932870372</v>
      </c>
      <c r="F725">
        <v>1547</v>
      </c>
      <c r="G725" t="s">
        <v>8539</v>
      </c>
      <c r="H725" t="s">
        <v>15</v>
      </c>
      <c r="I725" t="s">
        <v>8540</v>
      </c>
      <c r="J725" t="str">
        <f>RIGHT(D725,4)</f>
        <v>6368</v>
      </c>
      <c r="K725" t="str">
        <f>IFERROR(VLOOKUP(VALUE(J725),'Site Info'!$A:$G,3,FALSE),"")</f>
        <v>1501 SAMS CIR</v>
      </c>
      <c r="L725" t="str">
        <f>IFERROR(VLOOKUP(VALUE(J725),'Site Info'!$A:$G,4,FALSE),"")</f>
        <v>CHESAPEAKE</v>
      </c>
      <c r="M725" t="str">
        <f>IFERROR(VLOOKUP(VALUE(J725),'Site Info'!$A:$G,5,FALSE),"")</f>
        <v>VA</v>
      </c>
      <c r="N725" t="str">
        <f>IFERROR(VLOOKUP(VALUE(J725),'Site Info'!$A:$G,6,FALSE),"")</f>
        <v>23320-4694</v>
      </c>
      <c r="O725">
        <f>IFERROR(VLOOKUP(VALUE(J725),'Site Info'!$A:$G,7,FALSE),"")</f>
        <v>7574367119</v>
      </c>
    </row>
    <row r="726" spans="1:15" x14ac:dyDescent="0.45">
      <c r="A726" t="s">
        <v>10052</v>
      </c>
      <c r="B726" t="s">
        <v>10053</v>
      </c>
      <c r="C726" t="s">
        <v>10054</v>
      </c>
      <c r="D726" t="s">
        <v>8538</v>
      </c>
      <c r="E726" s="1">
        <v>46153.37228009259</v>
      </c>
      <c r="F726">
        <v>1547</v>
      </c>
      <c r="G726" t="s">
        <v>10055</v>
      </c>
      <c r="H726" t="s">
        <v>15</v>
      </c>
      <c r="I726" t="s">
        <v>8540</v>
      </c>
      <c r="J726" t="str">
        <f>RIGHT(D726,4)</f>
        <v>6368</v>
      </c>
      <c r="K726" t="str">
        <f>IFERROR(VLOOKUP(VALUE(J726),'Site Info'!$A:$G,3,FALSE),"")</f>
        <v>1501 SAMS CIR</v>
      </c>
      <c r="L726" t="str">
        <f>IFERROR(VLOOKUP(VALUE(J726),'Site Info'!$A:$G,4,FALSE),"")</f>
        <v>CHESAPEAKE</v>
      </c>
      <c r="M726" t="str">
        <f>IFERROR(VLOOKUP(VALUE(J726),'Site Info'!$A:$G,5,FALSE),"")</f>
        <v>VA</v>
      </c>
      <c r="N726" t="str">
        <f>IFERROR(VLOOKUP(VALUE(J726),'Site Info'!$A:$G,6,FALSE),"")</f>
        <v>23320-4694</v>
      </c>
      <c r="O726">
        <f>IFERROR(VLOOKUP(VALUE(J726),'Site Info'!$A:$G,7,FALSE),"")</f>
        <v>7574367119</v>
      </c>
    </row>
    <row r="727" spans="1:15" x14ac:dyDescent="0.45">
      <c r="A727" t="s">
        <v>8453</v>
      </c>
      <c r="B727" t="s">
        <v>8454</v>
      </c>
      <c r="C727" t="s">
        <v>8455</v>
      </c>
      <c r="D727" t="s">
        <v>1983</v>
      </c>
      <c r="E727" s="1">
        <v>46149.885763888888</v>
      </c>
      <c r="F727">
        <v>1547</v>
      </c>
      <c r="G727" t="s">
        <v>8456</v>
      </c>
      <c r="H727" t="s">
        <v>15</v>
      </c>
      <c r="I727" t="s">
        <v>1985</v>
      </c>
      <c r="J727" t="str">
        <f>RIGHT(D727,4)</f>
        <v>6461</v>
      </c>
      <c r="K727" t="str">
        <f>IFERROR(VLOOKUP(VALUE(J727),'Site Info'!$A:$G,3,FALSE),"")</f>
        <v>1510 N DIERS AVE</v>
      </c>
      <c r="L727" t="str">
        <f>IFERROR(VLOOKUP(VALUE(J727),'Site Info'!$A:$G,4,FALSE),"")</f>
        <v>GRAND ISLAND</v>
      </c>
      <c r="M727" t="str">
        <f>IFERROR(VLOOKUP(VALUE(J727),'Site Info'!$A:$G,5,FALSE),"")</f>
        <v>NE</v>
      </c>
      <c r="N727" t="str">
        <f>IFERROR(VLOOKUP(VALUE(J727),'Site Info'!$A:$G,6,FALSE),"")</f>
        <v>68803-1231</v>
      </c>
      <c r="O727">
        <f>IFERROR(VLOOKUP(VALUE(J727),'Site Info'!$A:$G,7,FALSE),"")</f>
        <v>3083840622</v>
      </c>
    </row>
    <row r="728" spans="1:15" x14ac:dyDescent="0.45">
      <c r="A728" t="s">
        <v>8575</v>
      </c>
      <c r="B728" t="s">
        <v>8576</v>
      </c>
      <c r="C728" t="s">
        <v>8577</v>
      </c>
      <c r="D728" t="s">
        <v>1983</v>
      </c>
      <c r="E728" s="1">
        <v>46153.031712962962</v>
      </c>
      <c r="F728">
        <v>1547</v>
      </c>
      <c r="G728" t="s">
        <v>8578</v>
      </c>
      <c r="H728" t="s">
        <v>15</v>
      </c>
      <c r="I728" t="s">
        <v>1985</v>
      </c>
      <c r="J728" t="str">
        <f>RIGHT(D728,4)</f>
        <v>6461</v>
      </c>
      <c r="K728" t="str">
        <f>IFERROR(VLOOKUP(VALUE(J728),'Site Info'!$A:$G,3,FALSE),"")</f>
        <v>1510 N DIERS AVE</v>
      </c>
      <c r="L728" t="str">
        <f>IFERROR(VLOOKUP(VALUE(J728),'Site Info'!$A:$G,4,FALSE),"")</f>
        <v>GRAND ISLAND</v>
      </c>
      <c r="M728" t="str">
        <f>IFERROR(VLOOKUP(VALUE(J728),'Site Info'!$A:$G,5,FALSE),"")</f>
        <v>NE</v>
      </c>
      <c r="N728" t="str">
        <f>IFERROR(VLOOKUP(VALUE(J728),'Site Info'!$A:$G,6,FALSE),"")</f>
        <v>68803-1231</v>
      </c>
      <c r="O728">
        <f>IFERROR(VLOOKUP(VALUE(J728),'Site Info'!$A:$G,7,FALSE),"")</f>
        <v>3083840622</v>
      </c>
    </row>
    <row r="729" spans="1:15" x14ac:dyDescent="0.45">
      <c r="A729" t="s">
        <v>7105</v>
      </c>
      <c r="B729" t="s">
        <v>7106</v>
      </c>
      <c r="C729" t="s">
        <v>7107</v>
      </c>
      <c r="D729" t="s">
        <v>1983</v>
      </c>
      <c r="E729" s="1">
        <v>46153.328310185185</v>
      </c>
      <c r="F729">
        <v>1547</v>
      </c>
      <c r="G729" t="s">
        <v>7108</v>
      </c>
      <c r="H729" t="s">
        <v>15</v>
      </c>
      <c r="I729" t="s">
        <v>1985</v>
      </c>
      <c r="J729" t="str">
        <f>RIGHT(D729,4)</f>
        <v>6461</v>
      </c>
      <c r="K729" t="str">
        <f>IFERROR(VLOOKUP(VALUE(J729),'Site Info'!$A:$G,3,FALSE),"")</f>
        <v>1510 N DIERS AVE</v>
      </c>
      <c r="L729" t="str">
        <f>IFERROR(VLOOKUP(VALUE(J729),'Site Info'!$A:$G,4,FALSE),"")</f>
        <v>GRAND ISLAND</v>
      </c>
      <c r="M729" t="str">
        <f>IFERROR(VLOOKUP(VALUE(J729),'Site Info'!$A:$G,5,FALSE),"")</f>
        <v>NE</v>
      </c>
      <c r="N729" t="str">
        <f>IFERROR(VLOOKUP(VALUE(J729),'Site Info'!$A:$G,6,FALSE),"")</f>
        <v>68803-1231</v>
      </c>
      <c r="O729">
        <f>IFERROR(VLOOKUP(VALUE(J729),'Site Info'!$A:$G,7,FALSE),"")</f>
        <v>3083840622</v>
      </c>
    </row>
    <row r="730" spans="1:15" x14ac:dyDescent="0.45">
      <c r="A730" t="s">
        <v>8523</v>
      </c>
      <c r="B730" t="s">
        <v>8524</v>
      </c>
      <c r="C730" t="s">
        <v>8525</v>
      </c>
      <c r="D730" t="s">
        <v>1983</v>
      </c>
      <c r="E730" s="1">
        <v>46153.340879629628</v>
      </c>
      <c r="F730">
        <v>1547</v>
      </c>
      <c r="G730" t="s">
        <v>8526</v>
      </c>
      <c r="H730" t="s">
        <v>15</v>
      </c>
      <c r="I730" t="s">
        <v>1985</v>
      </c>
      <c r="J730" t="str">
        <f>RIGHT(D730,4)</f>
        <v>6461</v>
      </c>
      <c r="K730" t="str">
        <f>IFERROR(VLOOKUP(VALUE(J730),'Site Info'!$A:$G,3,FALSE),"")</f>
        <v>1510 N DIERS AVE</v>
      </c>
      <c r="L730" t="str">
        <f>IFERROR(VLOOKUP(VALUE(J730),'Site Info'!$A:$G,4,FALSE),"")</f>
        <v>GRAND ISLAND</v>
      </c>
      <c r="M730" t="str">
        <f>IFERROR(VLOOKUP(VALUE(J730),'Site Info'!$A:$G,5,FALSE),"")</f>
        <v>NE</v>
      </c>
      <c r="N730" t="str">
        <f>IFERROR(VLOOKUP(VALUE(J730),'Site Info'!$A:$G,6,FALSE),"")</f>
        <v>68803-1231</v>
      </c>
      <c r="O730">
        <f>IFERROR(VLOOKUP(VALUE(J730),'Site Info'!$A:$G,7,FALSE),"")</f>
        <v>3083840622</v>
      </c>
    </row>
    <row r="731" spans="1:15" x14ac:dyDescent="0.45">
      <c r="A731" t="s">
        <v>1980</v>
      </c>
      <c r="B731" t="s">
        <v>1981</v>
      </c>
      <c r="C731" t="s">
        <v>1982</v>
      </c>
      <c r="D731" t="s">
        <v>1983</v>
      </c>
      <c r="E731" s="1">
        <v>46148.658379629633</v>
      </c>
      <c r="F731">
        <v>1481</v>
      </c>
      <c r="G731" t="s">
        <v>1984</v>
      </c>
      <c r="H731" t="s">
        <v>15</v>
      </c>
      <c r="I731" t="s">
        <v>1985</v>
      </c>
      <c r="J731" t="str">
        <f>RIGHT(D731,4)</f>
        <v>6461</v>
      </c>
      <c r="K731" t="str">
        <f>IFERROR(VLOOKUP(VALUE(J731),'Site Info'!$A:$G,3,FALSE),"")</f>
        <v>1510 N DIERS AVE</v>
      </c>
      <c r="L731" t="str">
        <f>IFERROR(VLOOKUP(VALUE(J731),'Site Info'!$A:$G,4,FALSE),"")</f>
        <v>GRAND ISLAND</v>
      </c>
      <c r="M731" t="str">
        <f>IFERROR(VLOOKUP(VALUE(J731),'Site Info'!$A:$G,5,FALSE),"")</f>
        <v>NE</v>
      </c>
      <c r="N731" t="str">
        <f>IFERROR(VLOOKUP(VALUE(J731),'Site Info'!$A:$G,6,FALSE),"")</f>
        <v>68803-1231</v>
      </c>
      <c r="O731">
        <f>IFERROR(VLOOKUP(VALUE(J731),'Site Info'!$A:$G,7,FALSE),"")</f>
        <v>3083840622</v>
      </c>
    </row>
    <row r="732" spans="1:15" x14ac:dyDescent="0.45">
      <c r="A732" t="s">
        <v>3501</v>
      </c>
      <c r="B732" t="s">
        <v>3502</v>
      </c>
      <c r="C732" t="s">
        <v>3503</v>
      </c>
      <c r="D732" t="s">
        <v>3504</v>
      </c>
      <c r="E732" s="1">
        <v>46150.984375</v>
      </c>
      <c r="F732">
        <v>1481</v>
      </c>
      <c r="G732" t="s">
        <v>3505</v>
      </c>
      <c r="H732" t="s">
        <v>15</v>
      </c>
      <c r="I732" t="s">
        <v>3506</v>
      </c>
      <c r="J732" t="str">
        <f>RIGHT(D732,4)</f>
        <v>6522</v>
      </c>
      <c r="K732" t="str">
        <f>IFERROR(VLOOKUP(VALUE(J732),'Site Info'!$A:$G,3,FALSE),"")</f>
        <v>15100 S SAN PEDRO ST</v>
      </c>
      <c r="L732" t="str">
        <f>IFERROR(VLOOKUP(VALUE(J732),'Site Info'!$A:$G,4,FALSE),"")</f>
        <v>GARDENA</v>
      </c>
      <c r="M732" t="str">
        <f>IFERROR(VLOOKUP(VALUE(J732),'Site Info'!$A:$G,5,FALSE),"")</f>
        <v>CA</v>
      </c>
      <c r="N732" t="str">
        <f>IFERROR(VLOOKUP(VALUE(J732),'Site Info'!$A:$G,6,FALSE),"")</f>
        <v>90248-2316</v>
      </c>
      <c r="O732">
        <f>IFERROR(VLOOKUP(VALUE(J732),'Site Info'!$A:$G,7,FALSE),"")</f>
        <v>4245286350</v>
      </c>
    </row>
    <row r="733" spans="1:15" x14ac:dyDescent="0.45">
      <c r="A733" t="s">
        <v>14033</v>
      </c>
      <c r="B733" t="s">
        <v>14034</v>
      </c>
      <c r="C733" t="s">
        <v>14035</v>
      </c>
      <c r="D733" t="s">
        <v>14036</v>
      </c>
      <c r="E733" s="1">
        <v>46151.337835648148</v>
      </c>
      <c r="F733">
        <v>1547</v>
      </c>
      <c r="G733" t="s">
        <v>14037</v>
      </c>
      <c r="H733" t="s">
        <v>15</v>
      </c>
      <c r="I733" t="s">
        <v>14038</v>
      </c>
      <c r="J733" t="str">
        <f>RIGHT(D733,4)</f>
        <v>4808</v>
      </c>
      <c r="K733" t="str">
        <f>IFERROR(VLOOKUP(VALUE(J733),'Site Info'!$A:$G,3,FALSE),"")</f>
        <v>1517 S. GENE GEORGE BLVD.</v>
      </c>
      <c r="L733" t="str">
        <f>IFERROR(VLOOKUP(VALUE(J733),'Site Info'!$A:$G,4,FALSE),"")</f>
        <v>SPRINGDALE</v>
      </c>
      <c r="M733" t="str">
        <f>IFERROR(VLOOKUP(VALUE(J733),'Site Info'!$A:$G,5,FALSE),"")</f>
        <v>AR</v>
      </c>
      <c r="N733" t="str">
        <f>IFERROR(VLOOKUP(VALUE(J733),'Site Info'!$A:$G,6,FALSE),"")</f>
        <v>72762-0000</v>
      </c>
      <c r="O733">
        <f>IFERROR(VLOOKUP(VALUE(J733),'Site Info'!$A:$G,7,FALSE),"")</f>
        <v>4793658141</v>
      </c>
    </row>
    <row r="734" spans="1:15" x14ac:dyDescent="0.45">
      <c r="A734" t="s">
        <v>14071</v>
      </c>
      <c r="B734" t="s">
        <v>14072</v>
      </c>
      <c r="C734" t="s">
        <v>14073</v>
      </c>
      <c r="D734" t="s">
        <v>14036</v>
      </c>
      <c r="E734" s="1">
        <v>46152.680486111109</v>
      </c>
      <c r="F734">
        <v>1547</v>
      </c>
      <c r="G734" t="s">
        <v>14074</v>
      </c>
      <c r="H734" t="s">
        <v>15</v>
      </c>
      <c r="I734" t="s">
        <v>14038</v>
      </c>
      <c r="J734" t="str">
        <f>RIGHT(D734,4)</f>
        <v>4808</v>
      </c>
      <c r="K734" t="str">
        <f>IFERROR(VLOOKUP(VALUE(J734),'Site Info'!$A:$G,3,FALSE),"")</f>
        <v>1517 S. GENE GEORGE BLVD.</v>
      </c>
      <c r="L734" t="str">
        <f>IFERROR(VLOOKUP(VALUE(J734),'Site Info'!$A:$G,4,FALSE),"")</f>
        <v>SPRINGDALE</v>
      </c>
      <c r="M734" t="str">
        <f>IFERROR(VLOOKUP(VALUE(J734),'Site Info'!$A:$G,5,FALSE),"")</f>
        <v>AR</v>
      </c>
      <c r="N734" t="str">
        <f>IFERROR(VLOOKUP(VALUE(J734),'Site Info'!$A:$G,6,FALSE),"")</f>
        <v>72762-0000</v>
      </c>
      <c r="O734">
        <f>IFERROR(VLOOKUP(VALUE(J734),'Site Info'!$A:$G,7,FALSE),"")</f>
        <v>4793658141</v>
      </c>
    </row>
    <row r="735" spans="1:15" x14ac:dyDescent="0.45">
      <c r="A735" t="s">
        <v>16461</v>
      </c>
      <c r="B735" t="s">
        <v>16462</v>
      </c>
      <c r="C735" t="s">
        <v>16463</v>
      </c>
      <c r="D735" t="s">
        <v>14036</v>
      </c>
      <c r="E735" s="1">
        <v>46152.890416666669</v>
      </c>
      <c r="F735">
        <v>1547</v>
      </c>
      <c r="G735" t="s">
        <v>16464</v>
      </c>
      <c r="H735" t="s">
        <v>15</v>
      </c>
      <c r="I735" t="s">
        <v>14038</v>
      </c>
      <c r="J735" t="str">
        <f>RIGHT(D735,4)</f>
        <v>4808</v>
      </c>
      <c r="K735" t="str">
        <f>IFERROR(VLOOKUP(VALUE(J735),'Site Info'!$A:$G,3,FALSE),"")</f>
        <v>1517 S. GENE GEORGE BLVD.</v>
      </c>
      <c r="L735" t="str">
        <f>IFERROR(VLOOKUP(VALUE(J735),'Site Info'!$A:$G,4,FALSE),"")</f>
        <v>SPRINGDALE</v>
      </c>
      <c r="M735" t="str">
        <f>IFERROR(VLOOKUP(VALUE(J735),'Site Info'!$A:$G,5,FALSE),"")</f>
        <v>AR</v>
      </c>
      <c r="N735" t="str">
        <f>IFERROR(VLOOKUP(VALUE(J735),'Site Info'!$A:$G,6,FALSE),"")</f>
        <v>72762-0000</v>
      </c>
      <c r="O735">
        <f>IFERROR(VLOOKUP(VALUE(J735),'Site Info'!$A:$G,7,FALSE),"")</f>
        <v>4793658141</v>
      </c>
    </row>
    <row r="736" spans="1:15" x14ac:dyDescent="0.45">
      <c r="A736" t="s">
        <v>16465</v>
      </c>
      <c r="B736" t="s">
        <v>16466</v>
      </c>
      <c r="C736" t="s">
        <v>16467</v>
      </c>
      <c r="D736" t="s">
        <v>14036</v>
      </c>
      <c r="E736" s="1">
        <v>46153.369976851849</v>
      </c>
      <c r="F736">
        <v>1547</v>
      </c>
      <c r="G736" t="s">
        <v>16468</v>
      </c>
      <c r="H736" t="s">
        <v>15</v>
      </c>
      <c r="I736" t="s">
        <v>14038</v>
      </c>
      <c r="J736" t="str">
        <f>RIGHT(D736,4)</f>
        <v>4808</v>
      </c>
      <c r="K736" t="str">
        <f>IFERROR(VLOOKUP(VALUE(J736),'Site Info'!$A:$G,3,FALSE),"")</f>
        <v>1517 S. GENE GEORGE BLVD.</v>
      </c>
      <c r="L736" t="str">
        <f>IFERROR(VLOOKUP(VALUE(J736),'Site Info'!$A:$G,4,FALSE),"")</f>
        <v>SPRINGDALE</v>
      </c>
      <c r="M736" t="str">
        <f>IFERROR(VLOOKUP(VALUE(J736),'Site Info'!$A:$G,5,FALSE),"")</f>
        <v>AR</v>
      </c>
      <c r="N736" t="str">
        <f>IFERROR(VLOOKUP(VALUE(J736),'Site Info'!$A:$G,6,FALSE),"")</f>
        <v>72762-0000</v>
      </c>
      <c r="O736">
        <f>IFERROR(VLOOKUP(VALUE(J736),'Site Info'!$A:$G,7,FALSE),"")</f>
        <v>4793658141</v>
      </c>
    </row>
    <row r="737" spans="1:15" x14ac:dyDescent="0.45">
      <c r="A737" t="s">
        <v>11120</v>
      </c>
      <c r="B737" t="s">
        <v>11121</v>
      </c>
      <c r="C737" t="s">
        <v>11122</v>
      </c>
      <c r="D737" t="s">
        <v>1967</v>
      </c>
      <c r="E737" s="1">
        <v>46130.369421296295</v>
      </c>
      <c r="F737">
        <v>1547</v>
      </c>
      <c r="G737" t="s">
        <v>11123</v>
      </c>
      <c r="H737" t="s">
        <v>15</v>
      </c>
      <c r="I737" t="s">
        <v>1969</v>
      </c>
      <c r="J737" t="str">
        <f>RIGHT(D737,4)</f>
        <v>4739</v>
      </c>
      <c r="K737" t="str">
        <f>IFERROR(VLOOKUP(VALUE(J737),'Site Info'!$A:$G,3,FALSE),"")</f>
        <v>1520 SCENIC HWY N</v>
      </c>
      <c r="L737" t="str">
        <f>IFERROR(VLOOKUP(VALUE(J737),'Site Info'!$A:$G,4,FALSE),"")</f>
        <v>SNELLVILLE</v>
      </c>
      <c r="M737" t="str">
        <f>IFERROR(VLOOKUP(VALUE(J737),'Site Info'!$A:$G,5,FALSE),"")</f>
        <v>GA</v>
      </c>
      <c r="N737" t="str">
        <f>IFERROR(VLOOKUP(VALUE(J737),'Site Info'!$A:$G,6,FALSE),"")</f>
        <v>30078-2130</v>
      </c>
      <c r="O737">
        <f>IFERROR(VLOOKUP(VALUE(J737),'Site Info'!$A:$G,7,FALSE),"")</f>
        <v>7709790492</v>
      </c>
    </row>
    <row r="738" spans="1:15" x14ac:dyDescent="0.45">
      <c r="A738" t="s">
        <v>11053</v>
      </c>
      <c r="B738" t="s">
        <v>11054</v>
      </c>
      <c r="C738" t="s">
        <v>11055</v>
      </c>
      <c r="D738" t="s">
        <v>1967</v>
      </c>
      <c r="E738" s="1">
        <v>46149.127071759256</v>
      </c>
      <c r="F738">
        <v>1547</v>
      </c>
      <c r="G738" t="s">
        <v>11056</v>
      </c>
      <c r="H738" t="s">
        <v>15</v>
      </c>
      <c r="I738" t="s">
        <v>1969</v>
      </c>
      <c r="J738" t="str">
        <f>RIGHT(D738,4)</f>
        <v>4739</v>
      </c>
      <c r="K738" t="str">
        <f>IFERROR(VLOOKUP(VALUE(J738),'Site Info'!$A:$G,3,FALSE),"")</f>
        <v>1520 SCENIC HWY N</v>
      </c>
      <c r="L738" t="str">
        <f>IFERROR(VLOOKUP(VALUE(J738),'Site Info'!$A:$G,4,FALSE),"")</f>
        <v>SNELLVILLE</v>
      </c>
      <c r="M738" t="str">
        <f>IFERROR(VLOOKUP(VALUE(J738),'Site Info'!$A:$G,5,FALSE),"")</f>
        <v>GA</v>
      </c>
      <c r="N738" t="str">
        <f>IFERROR(VLOOKUP(VALUE(J738),'Site Info'!$A:$G,6,FALSE),"")</f>
        <v>30078-2130</v>
      </c>
      <c r="O738">
        <f>IFERROR(VLOOKUP(VALUE(J738),'Site Info'!$A:$G,7,FALSE),"")</f>
        <v>7709790492</v>
      </c>
    </row>
    <row r="739" spans="1:15" x14ac:dyDescent="0.45">
      <c r="A739" t="s">
        <v>10809</v>
      </c>
      <c r="B739" t="s">
        <v>10810</v>
      </c>
      <c r="C739" t="s">
        <v>10811</v>
      </c>
      <c r="D739" t="s">
        <v>1967</v>
      </c>
      <c r="E739" s="1">
        <v>46151.97550925926</v>
      </c>
      <c r="F739">
        <v>1547</v>
      </c>
      <c r="G739" t="s">
        <v>10812</v>
      </c>
      <c r="H739" t="s">
        <v>15</v>
      </c>
      <c r="I739" t="s">
        <v>1969</v>
      </c>
      <c r="J739" t="str">
        <f>RIGHT(D739,4)</f>
        <v>4739</v>
      </c>
      <c r="K739" t="str">
        <f>IFERROR(VLOOKUP(VALUE(J739),'Site Info'!$A:$G,3,FALSE),"")</f>
        <v>1520 SCENIC HWY N</v>
      </c>
      <c r="L739" t="str">
        <f>IFERROR(VLOOKUP(VALUE(J739),'Site Info'!$A:$G,4,FALSE),"")</f>
        <v>SNELLVILLE</v>
      </c>
      <c r="M739" t="str">
        <f>IFERROR(VLOOKUP(VALUE(J739),'Site Info'!$A:$G,5,FALSE),"")</f>
        <v>GA</v>
      </c>
      <c r="N739" t="str">
        <f>IFERROR(VLOOKUP(VALUE(J739),'Site Info'!$A:$G,6,FALSE),"")</f>
        <v>30078-2130</v>
      </c>
      <c r="O739">
        <f>IFERROR(VLOOKUP(VALUE(J739),'Site Info'!$A:$G,7,FALSE),"")</f>
        <v>7709790492</v>
      </c>
    </row>
    <row r="740" spans="1:15" x14ac:dyDescent="0.45">
      <c r="A740" t="s">
        <v>2463</v>
      </c>
      <c r="B740" t="s">
        <v>2464</v>
      </c>
      <c r="C740" t="s">
        <v>2465</v>
      </c>
      <c r="D740" t="s">
        <v>1967</v>
      </c>
      <c r="E740" s="1">
        <v>46152.613888888889</v>
      </c>
      <c r="F740">
        <v>1481</v>
      </c>
      <c r="G740" t="s">
        <v>2466</v>
      </c>
      <c r="H740" t="s">
        <v>15</v>
      </c>
      <c r="I740" t="s">
        <v>1969</v>
      </c>
      <c r="J740" t="str">
        <f>RIGHT(D740,4)</f>
        <v>4739</v>
      </c>
      <c r="K740" t="str">
        <f>IFERROR(VLOOKUP(VALUE(J740),'Site Info'!$A:$G,3,FALSE),"")</f>
        <v>1520 SCENIC HWY N</v>
      </c>
      <c r="L740" t="str">
        <f>IFERROR(VLOOKUP(VALUE(J740),'Site Info'!$A:$G,4,FALSE),"")</f>
        <v>SNELLVILLE</v>
      </c>
      <c r="M740" t="str">
        <f>IFERROR(VLOOKUP(VALUE(J740),'Site Info'!$A:$G,5,FALSE),"")</f>
        <v>GA</v>
      </c>
      <c r="N740" t="str">
        <f>IFERROR(VLOOKUP(VALUE(J740),'Site Info'!$A:$G,6,FALSE),"")</f>
        <v>30078-2130</v>
      </c>
      <c r="O740">
        <f>IFERROR(VLOOKUP(VALUE(J740),'Site Info'!$A:$G,7,FALSE),"")</f>
        <v>7709790492</v>
      </c>
    </row>
    <row r="741" spans="1:15" x14ac:dyDescent="0.45">
      <c r="A741" t="s">
        <v>1964</v>
      </c>
      <c r="B741" t="s">
        <v>1965</v>
      </c>
      <c r="C741" t="s">
        <v>1966</v>
      </c>
      <c r="D741" t="s">
        <v>1967</v>
      </c>
      <c r="E741" s="1">
        <v>46153.127337962964</v>
      </c>
      <c r="F741">
        <v>1481</v>
      </c>
      <c r="G741" t="s">
        <v>1968</v>
      </c>
      <c r="H741" t="s">
        <v>15</v>
      </c>
      <c r="I741" t="s">
        <v>1969</v>
      </c>
      <c r="J741" t="str">
        <f>RIGHT(D741,4)</f>
        <v>4739</v>
      </c>
      <c r="K741" t="str">
        <f>IFERROR(VLOOKUP(VALUE(J741),'Site Info'!$A:$G,3,FALSE),"")</f>
        <v>1520 SCENIC HWY N</v>
      </c>
      <c r="L741" t="str">
        <f>IFERROR(VLOOKUP(VALUE(J741),'Site Info'!$A:$G,4,FALSE),"")</f>
        <v>SNELLVILLE</v>
      </c>
      <c r="M741" t="str">
        <f>IFERROR(VLOOKUP(VALUE(J741),'Site Info'!$A:$G,5,FALSE),"")</f>
        <v>GA</v>
      </c>
      <c r="N741" t="str">
        <f>IFERROR(VLOOKUP(VALUE(J741),'Site Info'!$A:$G,6,FALSE),"")</f>
        <v>30078-2130</v>
      </c>
      <c r="O741">
        <f>IFERROR(VLOOKUP(VALUE(J741),'Site Info'!$A:$G,7,FALSE),"")</f>
        <v>7709790492</v>
      </c>
    </row>
    <row r="742" spans="1:15" x14ac:dyDescent="0.45">
      <c r="A742" t="s">
        <v>11284</v>
      </c>
      <c r="B742" t="s">
        <v>11285</v>
      </c>
      <c r="C742" t="s">
        <v>11286</v>
      </c>
      <c r="D742" t="s">
        <v>1967</v>
      </c>
      <c r="E742" s="1">
        <v>46151.292002314818</v>
      </c>
      <c r="F742">
        <v>1556</v>
      </c>
      <c r="G742" t="s">
        <v>11287</v>
      </c>
      <c r="H742" t="s">
        <v>15</v>
      </c>
      <c r="I742" t="s">
        <v>1969</v>
      </c>
      <c r="J742" t="str">
        <f>RIGHT(D742,4)</f>
        <v>4739</v>
      </c>
      <c r="K742" t="str">
        <f>IFERROR(VLOOKUP(VALUE(J742),'Site Info'!$A:$G,3,FALSE),"")</f>
        <v>1520 SCENIC HWY N</v>
      </c>
      <c r="L742" t="str">
        <f>IFERROR(VLOOKUP(VALUE(J742),'Site Info'!$A:$G,4,FALSE),"")</f>
        <v>SNELLVILLE</v>
      </c>
      <c r="M742" t="str">
        <f>IFERROR(VLOOKUP(VALUE(J742),'Site Info'!$A:$G,5,FALSE),"")</f>
        <v>GA</v>
      </c>
      <c r="N742" t="str">
        <f>IFERROR(VLOOKUP(VALUE(J742),'Site Info'!$A:$G,6,FALSE),"")</f>
        <v>30078-2130</v>
      </c>
      <c r="O742">
        <f>IFERROR(VLOOKUP(VALUE(J742),'Site Info'!$A:$G,7,FALSE),"")</f>
        <v>7709790492</v>
      </c>
    </row>
    <row r="743" spans="1:15" x14ac:dyDescent="0.45">
      <c r="A743" t="s">
        <v>14087</v>
      </c>
      <c r="B743" t="s">
        <v>14088</v>
      </c>
      <c r="C743" t="s">
        <v>14089</v>
      </c>
      <c r="D743" t="s">
        <v>4050</v>
      </c>
      <c r="E743" s="1">
        <v>46151.792685185188</v>
      </c>
      <c r="F743">
        <v>1547</v>
      </c>
      <c r="G743" t="s">
        <v>14090</v>
      </c>
      <c r="H743" t="s">
        <v>15</v>
      </c>
      <c r="I743" t="s">
        <v>4051</v>
      </c>
      <c r="J743" t="str">
        <f>RIGHT(D743,4)</f>
        <v>6608</v>
      </c>
      <c r="K743" t="str">
        <f>IFERROR(VLOOKUP(VALUE(J743),'Site Info'!$A:$G,3,FALSE),"")</f>
        <v>1525 W BELL RD</v>
      </c>
      <c r="L743" t="str">
        <f>IFERROR(VLOOKUP(VALUE(J743),'Site Info'!$A:$G,4,FALSE),"")</f>
        <v>PHOENIX</v>
      </c>
      <c r="M743" t="str">
        <f>IFERROR(VLOOKUP(VALUE(J743),'Site Info'!$A:$G,5,FALSE),"")</f>
        <v>AZ</v>
      </c>
      <c r="N743" t="str">
        <f>IFERROR(VLOOKUP(VALUE(J743),'Site Info'!$A:$G,6,FALSE),"")</f>
        <v>85023-3411</v>
      </c>
      <c r="O743">
        <f>IFERROR(VLOOKUP(VALUE(J743),'Site Info'!$A:$G,7,FALSE),"")</f>
        <v>6024399852</v>
      </c>
    </row>
    <row r="744" spans="1:15" x14ac:dyDescent="0.45">
      <c r="A744" t="s">
        <v>4974</v>
      </c>
      <c r="B744" t="s">
        <v>4975</v>
      </c>
      <c r="C744" t="s">
        <v>4976</v>
      </c>
      <c r="D744" t="s">
        <v>4050</v>
      </c>
      <c r="E744" s="1">
        <v>46152.553159722222</v>
      </c>
      <c r="F744">
        <v>1547</v>
      </c>
      <c r="G744" t="s">
        <v>4977</v>
      </c>
      <c r="H744" t="s">
        <v>15</v>
      </c>
      <c r="I744" t="s">
        <v>4051</v>
      </c>
      <c r="J744" t="str">
        <f>RIGHT(D744,4)</f>
        <v>6608</v>
      </c>
      <c r="K744" t="str">
        <f>IFERROR(VLOOKUP(VALUE(J744),'Site Info'!$A:$G,3,FALSE),"")</f>
        <v>1525 W BELL RD</v>
      </c>
      <c r="L744" t="str">
        <f>IFERROR(VLOOKUP(VALUE(J744),'Site Info'!$A:$G,4,FALSE),"")</f>
        <v>PHOENIX</v>
      </c>
      <c r="M744" t="str">
        <f>IFERROR(VLOOKUP(VALUE(J744),'Site Info'!$A:$G,5,FALSE),"")</f>
        <v>AZ</v>
      </c>
      <c r="N744" t="str">
        <f>IFERROR(VLOOKUP(VALUE(J744),'Site Info'!$A:$G,6,FALSE),"")</f>
        <v>85023-3411</v>
      </c>
      <c r="O744">
        <f>IFERROR(VLOOKUP(VALUE(J744),'Site Info'!$A:$G,7,FALSE),"")</f>
        <v>6024399852</v>
      </c>
    </row>
    <row r="745" spans="1:15" x14ac:dyDescent="0.45">
      <c r="A745" t="s">
        <v>4970</v>
      </c>
      <c r="B745" t="s">
        <v>4971</v>
      </c>
      <c r="C745" t="s">
        <v>4972</v>
      </c>
      <c r="D745" t="s">
        <v>4050</v>
      </c>
      <c r="E745" s="1">
        <v>46152.587743055556</v>
      </c>
      <c r="F745">
        <v>1547</v>
      </c>
      <c r="G745" t="s">
        <v>4973</v>
      </c>
      <c r="H745" t="s">
        <v>15</v>
      </c>
      <c r="I745" t="s">
        <v>4051</v>
      </c>
      <c r="J745" t="str">
        <f>RIGHT(D745,4)</f>
        <v>6608</v>
      </c>
      <c r="K745" t="str">
        <f>IFERROR(VLOOKUP(VALUE(J745),'Site Info'!$A:$G,3,FALSE),"")</f>
        <v>1525 W BELL RD</v>
      </c>
      <c r="L745" t="str">
        <f>IFERROR(VLOOKUP(VALUE(J745),'Site Info'!$A:$G,4,FALSE),"")</f>
        <v>PHOENIX</v>
      </c>
      <c r="M745" t="str">
        <f>IFERROR(VLOOKUP(VALUE(J745),'Site Info'!$A:$G,5,FALSE),"")</f>
        <v>AZ</v>
      </c>
      <c r="N745" t="str">
        <f>IFERROR(VLOOKUP(VALUE(J745),'Site Info'!$A:$G,6,FALSE),"")</f>
        <v>85023-3411</v>
      </c>
      <c r="O745">
        <f>IFERROR(VLOOKUP(VALUE(J745),'Site Info'!$A:$G,7,FALSE),"")</f>
        <v>6024399852</v>
      </c>
    </row>
    <row r="746" spans="1:15" x14ac:dyDescent="0.45">
      <c r="A746" t="s">
        <v>5372</v>
      </c>
      <c r="B746" t="s">
        <v>5373</v>
      </c>
      <c r="C746" t="s">
        <v>5374</v>
      </c>
      <c r="D746" t="s">
        <v>4050</v>
      </c>
      <c r="E746" s="1">
        <v>46152.653194444443</v>
      </c>
      <c r="F746">
        <v>1547</v>
      </c>
      <c r="G746" t="s">
        <v>5375</v>
      </c>
      <c r="H746" t="s">
        <v>15</v>
      </c>
      <c r="I746" t="s">
        <v>4051</v>
      </c>
      <c r="J746" t="str">
        <f>RIGHT(D746,4)</f>
        <v>6608</v>
      </c>
      <c r="K746" t="str">
        <f>IFERROR(VLOOKUP(VALUE(J746),'Site Info'!$A:$G,3,FALSE),"")</f>
        <v>1525 W BELL RD</v>
      </c>
      <c r="L746" t="str">
        <f>IFERROR(VLOOKUP(VALUE(J746),'Site Info'!$A:$G,4,FALSE),"")</f>
        <v>PHOENIX</v>
      </c>
      <c r="M746" t="str">
        <f>IFERROR(VLOOKUP(VALUE(J746),'Site Info'!$A:$G,5,FALSE),"")</f>
        <v>AZ</v>
      </c>
      <c r="N746" t="str">
        <f>IFERROR(VLOOKUP(VALUE(J746),'Site Info'!$A:$G,6,FALSE),"")</f>
        <v>85023-3411</v>
      </c>
      <c r="O746">
        <f>IFERROR(VLOOKUP(VALUE(J746),'Site Info'!$A:$G,7,FALSE),"")</f>
        <v>6024399852</v>
      </c>
    </row>
    <row r="747" spans="1:15" x14ac:dyDescent="0.45">
      <c r="A747" t="s">
        <v>14099</v>
      </c>
      <c r="B747" t="s">
        <v>14100</v>
      </c>
      <c r="C747" t="s">
        <v>14101</v>
      </c>
      <c r="D747" t="s">
        <v>4050</v>
      </c>
      <c r="E747" s="1">
        <v>46152.778553240743</v>
      </c>
      <c r="F747">
        <v>1547</v>
      </c>
      <c r="G747" t="s">
        <v>14102</v>
      </c>
      <c r="H747" t="s">
        <v>15</v>
      </c>
      <c r="I747" t="s">
        <v>4051</v>
      </c>
      <c r="J747" t="str">
        <f>RIGHT(D747,4)</f>
        <v>6608</v>
      </c>
      <c r="K747" t="str">
        <f>IFERROR(VLOOKUP(VALUE(J747),'Site Info'!$A:$G,3,FALSE),"")</f>
        <v>1525 W BELL RD</v>
      </c>
      <c r="L747" t="str">
        <f>IFERROR(VLOOKUP(VALUE(J747),'Site Info'!$A:$G,4,FALSE),"")</f>
        <v>PHOENIX</v>
      </c>
      <c r="M747" t="str">
        <f>IFERROR(VLOOKUP(VALUE(J747),'Site Info'!$A:$G,5,FALSE),"")</f>
        <v>AZ</v>
      </c>
      <c r="N747" t="str">
        <f>IFERROR(VLOOKUP(VALUE(J747),'Site Info'!$A:$G,6,FALSE),"")</f>
        <v>85023-3411</v>
      </c>
      <c r="O747">
        <f>IFERROR(VLOOKUP(VALUE(J747),'Site Info'!$A:$G,7,FALSE),"")</f>
        <v>6024399852</v>
      </c>
    </row>
    <row r="748" spans="1:15" x14ac:dyDescent="0.45">
      <c r="A748" t="s">
        <v>4924</v>
      </c>
      <c r="B748" t="s">
        <v>4925</v>
      </c>
      <c r="C748" t="s">
        <v>4926</v>
      </c>
      <c r="D748" t="s">
        <v>4050</v>
      </c>
      <c r="E748" s="1">
        <v>46152.953217592592</v>
      </c>
      <c r="F748">
        <v>1547</v>
      </c>
      <c r="G748" t="s">
        <v>4927</v>
      </c>
      <c r="H748" t="s">
        <v>15</v>
      </c>
      <c r="I748" t="s">
        <v>4051</v>
      </c>
      <c r="J748" t="str">
        <f>RIGHT(D748,4)</f>
        <v>6608</v>
      </c>
      <c r="K748" t="str">
        <f>IFERROR(VLOOKUP(VALUE(J748),'Site Info'!$A:$G,3,FALSE),"")</f>
        <v>1525 W BELL RD</v>
      </c>
      <c r="L748" t="str">
        <f>IFERROR(VLOOKUP(VALUE(J748),'Site Info'!$A:$G,4,FALSE),"")</f>
        <v>PHOENIX</v>
      </c>
      <c r="M748" t="str">
        <f>IFERROR(VLOOKUP(VALUE(J748),'Site Info'!$A:$G,5,FALSE),"")</f>
        <v>AZ</v>
      </c>
      <c r="N748" t="str">
        <f>IFERROR(VLOOKUP(VALUE(J748),'Site Info'!$A:$G,6,FALSE),"")</f>
        <v>85023-3411</v>
      </c>
      <c r="O748">
        <f>IFERROR(VLOOKUP(VALUE(J748),'Site Info'!$A:$G,7,FALSE),"")</f>
        <v>6024399852</v>
      </c>
    </row>
    <row r="749" spans="1:15" x14ac:dyDescent="0.45">
      <c r="A749" t="s">
        <v>7238</v>
      </c>
      <c r="B749" t="s">
        <v>7239</v>
      </c>
      <c r="C749" t="s">
        <v>7240</v>
      </c>
      <c r="D749" t="s">
        <v>807</v>
      </c>
      <c r="E749" s="1">
        <v>46151.694907407407</v>
      </c>
      <c r="F749">
        <v>1548</v>
      </c>
      <c r="G749" t="s">
        <v>7241</v>
      </c>
      <c r="H749" t="s">
        <v>15</v>
      </c>
      <c r="I749" t="s">
        <v>809</v>
      </c>
      <c r="J749" t="str">
        <f>RIGHT(D749,4)</f>
        <v>8221</v>
      </c>
      <c r="K749" t="str">
        <f>IFERROR(VLOOKUP(VALUE(J749),'Site Info'!$A:$G,3,FALSE),"")</f>
        <v>1527 MANHATTAN BLVD</v>
      </c>
      <c r="L749" t="str">
        <f>IFERROR(VLOOKUP(VALUE(J749),'Site Info'!$A:$G,4,FALSE),"")</f>
        <v>HARVEY</v>
      </c>
      <c r="M749" t="str">
        <f>IFERROR(VLOOKUP(VALUE(J749),'Site Info'!$A:$G,5,FALSE),"")</f>
        <v>LA</v>
      </c>
      <c r="N749" t="str">
        <f>IFERROR(VLOOKUP(VALUE(J749),'Site Info'!$A:$G,6,FALSE),"")</f>
        <v>70058-3405</v>
      </c>
      <c r="O749">
        <f>IFERROR(VLOOKUP(VALUE(J749),'Site Info'!$A:$G,7,FALSE),"")</f>
        <v>5043613966</v>
      </c>
    </row>
    <row r="750" spans="1:15" x14ac:dyDescent="0.45">
      <c r="A750" t="s">
        <v>8725</v>
      </c>
      <c r="B750" t="s">
        <v>8726</v>
      </c>
      <c r="C750" t="s">
        <v>8727</v>
      </c>
      <c r="D750" t="s">
        <v>807</v>
      </c>
      <c r="E750" s="1">
        <v>46151.618333333332</v>
      </c>
      <c r="F750">
        <v>1547</v>
      </c>
      <c r="G750" t="s">
        <v>8728</v>
      </c>
      <c r="H750" t="s">
        <v>15</v>
      </c>
      <c r="I750" t="s">
        <v>809</v>
      </c>
      <c r="J750" t="str">
        <f>RIGHT(D750,4)</f>
        <v>8221</v>
      </c>
      <c r="K750" t="str">
        <f>IFERROR(VLOOKUP(VALUE(J750),'Site Info'!$A:$G,3,FALSE),"")</f>
        <v>1527 MANHATTAN BLVD</v>
      </c>
      <c r="L750" t="str">
        <f>IFERROR(VLOOKUP(VALUE(J750),'Site Info'!$A:$G,4,FALSE),"")</f>
        <v>HARVEY</v>
      </c>
      <c r="M750" t="str">
        <f>IFERROR(VLOOKUP(VALUE(J750),'Site Info'!$A:$G,5,FALSE),"")</f>
        <v>LA</v>
      </c>
      <c r="N750" t="str">
        <f>IFERROR(VLOOKUP(VALUE(J750),'Site Info'!$A:$G,6,FALSE),"")</f>
        <v>70058-3405</v>
      </c>
      <c r="O750">
        <f>IFERROR(VLOOKUP(VALUE(J750),'Site Info'!$A:$G,7,FALSE),"")</f>
        <v>5043613966</v>
      </c>
    </row>
    <row r="751" spans="1:15" x14ac:dyDescent="0.45">
      <c r="A751" t="s">
        <v>6771</v>
      </c>
      <c r="B751" t="s">
        <v>6772</v>
      </c>
      <c r="C751" t="s">
        <v>6773</v>
      </c>
      <c r="D751" t="s">
        <v>807</v>
      </c>
      <c r="E751" s="1">
        <v>46152.826053240744</v>
      </c>
      <c r="F751">
        <v>1547</v>
      </c>
      <c r="G751" t="s">
        <v>6774</v>
      </c>
      <c r="H751" t="s">
        <v>15</v>
      </c>
      <c r="I751" t="s">
        <v>809</v>
      </c>
      <c r="J751" t="str">
        <f>RIGHT(D751,4)</f>
        <v>8221</v>
      </c>
      <c r="K751" t="str">
        <f>IFERROR(VLOOKUP(VALUE(J751),'Site Info'!$A:$G,3,FALSE),"")</f>
        <v>1527 MANHATTAN BLVD</v>
      </c>
      <c r="L751" t="str">
        <f>IFERROR(VLOOKUP(VALUE(J751),'Site Info'!$A:$G,4,FALSE),"")</f>
        <v>HARVEY</v>
      </c>
      <c r="M751" t="str">
        <f>IFERROR(VLOOKUP(VALUE(J751),'Site Info'!$A:$G,5,FALSE),"")</f>
        <v>LA</v>
      </c>
      <c r="N751" t="str">
        <f>IFERROR(VLOOKUP(VALUE(J751),'Site Info'!$A:$G,6,FALSE),"")</f>
        <v>70058-3405</v>
      </c>
      <c r="O751">
        <f>IFERROR(VLOOKUP(VALUE(J751),'Site Info'!$A:$G,7,FALSE),"")</f>
        <v>5043613966</v>
      </c>
    </row>
    <row r="752" spans="1:15" x14ac:dyDescent="0.45">
      <c r="A752" t="s">
        <v>8501</v>
      </c>
      <c r="B752" t="s">
        <v>8502</v>
      </c>
      <c r="C752" t="s">
        <v>8503</v>
      </c>
      <c r="D752" t="s">
        <v>807</v>
      </c>
      <c r="E752" s="1">
        <v>46153.063032407408</v>
      </c>
      <c r="F752">
        <v>1547</v>
      </c>
      <c r="G752" t="s">
        <v>8504</v>
      </c>
      <c r="H752" t="s">
        <v>15</v>
      </c>
      <c r="I752" t="s">
        <v>809</v>
      </c>
      <c r="J752" t="str">
        <f>RIGHT(D752,4)</f>
        <v>8221</v>
      </c>
      <c r="K752" t="str">
        <f>IFERROR(VLOOKUP(VALUE(J752),'Site Info'!$A:$G,3,FALSE),"")</f>
        <v>1527 MANHATTAN BLVD</v>
      </c>
      <c r="L752" t="str">
        <f>IFERROR(VLOOKUP(VALUE(J752),'Site Info'!$A:$G,4,FALSE),"")</f>
        <v>HARVEY</v>
      </c>
      <c r="M752" t="str">
        <f>IFERROR(VLOOKUP(VALUE(J752),'Site Info'!$A:$G,5,FALSE),"")</f>
        <v>LA</v>
      </c>
      <c r="N752" t="str">
        <f>IFERROR(VLOOKUP(VALUE(J752),'Site Info'!$A:$G,6,FALSE),"")</f>
        <v>70058-3405</v>
      </c>
      <c r="O752">
        <f>IFERROR(VLOOKUP(VALUE(J752),'Site Info'!$A:$G,7,FALSE),"")</f>
        <v>5043613966</v>
      </c>
    </row>
    <row r="753" spans="1:15" x14ac:dyDescent="0.45">
      <c r="A753" t="s">
        <v>1616</v>
      </c>
      <c r="B753" t="s">
        <v>1617</v>
      </c>
      <c r="C753" t="s">
        <v>1618</v>
      </c>
      <c r="D753" t="s">
        <v>807</v>
      </c>
      <c r="E753" s="1">
        <v>46086.708981481483</v>
      </c>
      <c r="F753">
        <v>1481</v>
      </c>
      <c r="G753" t="s">
        <v>1619</v>
      </c>
      <c r="H753" t="s">
        <v>15</v>
      </c>
      <c r="I753" t="s">
        <v>809</v>
      </c>
      <c r="J753" t="str">
        <f>RIGHT(D753,4)</f>
        <v>8221</v>
      </c>
      <c r="K753" t="str">
        <f>IFERROR(VLOOKUP(VALUE(J753),'Site Info'!$A:$G,3,FALSE),"")</f>
        <v>1527 MANHATTAN BLVD</v>
      </c>
      <c r="L753" t="str">
        <f>IFERROR(VLOOKUP(VALUE(J753),'Site Info'!$A:$G,4,FALSE),"")</f>
        <v>HARVEY</v>
      </c>
      <c r="M753" t="str">
        <f>IFERROR(VLOOKUP(VALUE(J753),'Site Info'!$A:$G,5,FALSE),"")</f>
        <v>LA</v>
      </c>
      <c r="N753" t="str">
        <f>IFERROR(VLOOKUP(VALUE(J753),'Site Info'!$A:$G,6,FALSE),"")</f>
        <v>70058-3405</v>
      </c>
      <c r="O753">
        <f>IFERROR(VLOOKUP(VALUE(J753),'Site Info'!$A:$G,7,FALSE),"")</f>
        <v>5043613966</v>
      </c>
    </row>
    <row r="754" spans="1:15" x14ac:dyDescent="0.45">
      <c r="A754" t="s">
        <v>804</v>
      </c>
      <c r="B754" t="s">
        <v>805</v>
      </c>
      <c r="C754" t="s">
        <v>806</v>
      </c>
      <c r="D754" t="s">
        <v>807</v>
      </c>
      <c r="E754" s="1">
        <v>46148.356006944443</v>
      </c>
      <c r="F754">
        <v>1481</v>
      </c>
      <c r="G754" t="s">
        <v>808</v>
      </c>
      <c r="H754" t="s">
        <v>15</v>
      </c>
      <c r="I754" t="s">
        <v>809</v>
      </c>
      <c r="J754" t="str">
        <f>RIGHT(D754,4)</f>
        <v>8221</v>
      </c>
      <c r="K754" t="str">
        <f>IFERROR(VLOOKUP(VALUE(J754),'Site Info'!$A:$G,3,FALSE),"")</f>
        <v>1527 MANHATTAN BLVD</v>
      </c>
      <c r="L754" t="str">
        <f>IFERROR(VLOOKUP(VALUE(J754),'Site Info'!$A:$G,4,FALSE),"")</f>
        <v>HARVEY</v>
      </c>
      <c r="M754" t="str">
        <f>IFERROR(VLOOKUP(VALUE(J754),'Site Info'!$A:$G,5,FALSE),"")</f>
        <v>LA</v>
      </c>
      <c r="N754" t="str">
        <f>IFERROR(VLOOKUP(VALUE(J754),'Site Info'!$A:$G,6,FALSE),"")</f>
        <v>70058-3405</v>
      </c>
      <c r="O754">
        <f>IFERROR(VLOOKUP(VALUE(J754),'Site Info'!$A:$G,7,FALSE),"")</f>
        <v>5043613966</v>
      </c>
    </row>
    <row r="755" spans="1:15" x14ac:dyDescent="0.45">
      <c r="A755" t="s">
        <v>3507</v>
      </c>
      <c r="B755" t="s">
        <v>3508</v>
      </c>
      <c r="C755" t="s">
        <v>3509</v>
      </c>
      <c r="D755" t="s">
        <v>807</v>
      </c>
      <c r="E755" s="1">
        <v>46152.823900462965</v>
      </c>
      <c r="F755">
        <v>1481</v>
      </c>
      <c r="G755" t="s">
        <v>3510</v>
      </c>
      <c r="H755" t="s">
        <v>15</v>
      </c>
      <c r="I755" t="s">
        <v>809</v>
      </c>
      <c r="J755" t="str">
        <f>RIGHT(D755,4)</f>
        <v>8221</v>
      </c>
      <c r="K755" t="str">
        <f>IFERROR(VLOOKUP(VALUE(J755),'Site Info'!$A:$G,3,FALSE),"")</f>
        <v>1527 MANHATTAN BLVD</v>
      </c>
      <c r="L755" t="str">
        <f>IFERROR(VLOOKUP(VALUE(J755),'Site Info'!$A:$G,4,FALSE),"")</f>
        <v>HARVEY</v>
      </c>
      <c r="M755" t="str">
        <f>IFERROR(VLOOKUP(VALUE(J755),'Site Info'!$A:$G,5,FALSE),"")</f>
        <v>LA</v>
      </c>
      <c r="N755" t="str">
        <f>IFERROR(VLOOKUP(VALUE(J755),'Site Info'!$A:$G,6,FALSE),"")</f>
        <v>70058-3405</v>
      </c>
      <c r="O755">
        <f>IFERROR(VLOOKUP(VALUE(J755),'Site Info'!$A:$G,7,FALSE),"")</f>
        <v>5043613966</v>
      </c>
    </row>
    <row r="756" spans="1:15" x14ac:dyDescent="0.45">
      <c r="A756" t="s">
        <v>17175</v>
      </c>
      <c r="B756" t="s">
        <v>17176</v>
      </c>
      <c r="C756" t="s">
        <v>17177</v>
      </c>
      <c r="D756" t="s">
        <v>807</v>
      </c>
      <c r="E756" s="1">
        <v>46151.683611111112</v>
      </c>
      <c r="F756">
        <v>1481</v>
      </c>
      <c r="G756" t="s">
        <v>17178</v>
      </c>
      <c r="H756" t="s">
        <v>15</v>
      </c>
      <c r="I756" t="s">
        <v>809</v>
      </c>
      <c r="J756" t="str">
        <f>RIGHT(D756,4)</f>
        <v>8221</v>
      </c>
      <c r="K756" t="str">
        <f>IFERROR(VLOOKUP(VALUE(J756),'Site Info'!$A:$G,3,FALSE),"")</f>
        <v>1527 MANHATTAN BLVD</v>
      </c>
      <c r="L756" t="str">
        <f>IFERROR(VLOOKUP(VALUE(J756),'Site Info'!$A:$G,4,FALSE),"")</f>
        <v>HARVEY</v>
      </c>
      <c r="M756" t="str">
        <f>IFERROR(VLOOKUP(VALUE(J756),'Site Info'!$A:$G,5,FALSE),"")</f>
        <v>LA</v>
      </c>
      <c r="N756" t="str">
        <f>IFERROR(VLOOKUP(VALUE(J756),'Site Info'!$A:$G,6,FALSE),"")</f>
        <v>70058-3405</v>
      </c>
      <c r="O756">
        <f>IFERROR(VLOOKUP(VALUE(J756),'Site Info'!$A:$G,7,FALSE),"")</f>
        <v>5043613966</v>
      </c>
    </row>
    <row r="757" spans="1:15" x14ac:dyDescent="0.45">
      <c r="A757" t="s">
        <v>13703</v>
      </c>
      <c r="B757" t="s">
        <v>13704</v>
      </c>
      <c r="C757" t="s">
        <v>13705</v>
      </c>
      <c r="D757" t="s">
        <v>5697</v>
      </c>
      <c r="E757" s="1">
        <v>46153.203587962962</v>
      </c>
      <c r="F757">
        <v>1548</v>
      </c>
      <c r="G757" t="s">
        <v>13706</v>
      </c>
      <c r="H757" t="s">
        <v>15</v>
      </c>
      <c r="I757" t="s">
        <v>5699</v>
      </c>
      <c r="J757" t="str">
        <f>RIGHT(D757,4)</f>
        <v>4702</v>
      </c>
      <c r="K757" t="str">
        <f>IFERROR(VLOOKUP(VALUE(J757),'Site Info'!$A:$G,3,FALSE),"")</f>
        <v>155 W EL DORADO BLVD</v>
      </c>
      <c r="L757" t="str">
        <f>IFERROR(VLOOKUP(VALUE(J757),'Site Info'!$A:$G,4,FALSE),"")</f>
        <v>FRIENDSWOOD</v>
      </c>
      <c r="M757" t="str">
        <f>IFERROR(VLOOKUP(VALUE(J757),'Site Info'!$A:$G,5,FALSE),"")</f>
        <v>TX</v>
      </c>
      <c r="N757" t="str">
        <f>IFERROR(VLOOKUP(VALUE(J757),'Site Info'!$A:$G,6,FALSE),"")</f>
        <v>77546-6502</v>
      </c>
      <c r="O757">
        <f>IFERROR(VLOOKUP(VALUE(J757),'Site Info'!$A:$G,7,FALSE),"")</f>
        <v>2812864471</v>
      </c>
    </row>
    <row r="758" spans="1:15" x14ac:dyDescent="0.45">
      <c r="A758" t="s">
        <v>8647</v>
      </c>
      <c r="B758" t="s">
        <v>8648</v>
      </c>
      <c r="C758" t="s">
        <v>8649</v>
      </c>
      <c r="D758" t="s">
        <v>5697</v>
      </c>
      <c r="E758" s="1">
        <v>46152.424143518518</v>
      </c>
      <c r="F758">
        <v>1547</v>
      </c>
      <c r="G758" t="s">
        <v>8650</v>
      </c>
      <c r="H758" t="s">
        <v>15</v>
      </c>
      <c r="I758" t="s">
        <v>5699</v>
      </c>
      <c r="J758" t="str">
        <f>RIGHT(D758,4)</f>
        <v>4702</v>
      </c>
      <c r="K758" t="str">
        <f>IFERROR(VLOOKUP(VALUE(J758),'Site Info'!$A:$G,3,FALSE),"")</f>
        <v>155 W EL DORADO BLVD</v>
      </c>
      <c r="L758" t="str">
        <f>IFERROR(VLOOKUP(VALUE(J758),'Site Info'!$A:$G,4,FALSE),"")</f>
        <v>FRIENDSWOOD</v>
      </c>
      <c r="M758" t="str">
        <f>IFERROR(VLOOKUP(VALUE(J758),'Site Info'!$A:$G,5,FALSE),"")</f>
        <v>TX</v>
      </c>
      <c r="N758" t="str">
        <f>IFERROR(VLOOKUP(VALUE(J758),'Site Info'!$A:$G,6,FALSE),"")</f>
        <v>77546-6502</v>
      </c>
      <c r="O758">
        <f>IFERROR(VLOOKUP(VALUE(J758),'Site Info'!$A:$G,7,FALSE),"")</f>
        <v>2812864471</v>
      </c>
    </row>
    <row r="759" spans="1:15" x14ac:dyDescent="0.45">
      <c r="A759" t="s">
        <v>5870</v>
      </c>
      <c r="B759" t="s">
        <v>5871</v>
      </c>
      <c r="C759" t="s">
        <v>5872</v>
      </c>
      <c r="D759" t="s">
        <v>5697</v>
      </c>
      <c r="E759" s="1">
        <v>46152.586585648147</v>
      </c>
      <c r="F759">
        <v>1547</v>
      </c>
      <c r="G759" t="s">
        <v>5873</v>
      </c>
      <c r="H759" t="s">
        <v>15</v>
      </c>
      <c r="I759" t="s">
        <v>5699</v>
      </c>
      <c r="J759" t="str">
        <f>RIGHT(D759,4)</f>
        <v>4702</v>
      </c>
      <c r="K759" t="str">
        <f>IFERROR(VLOOKUP(VALUE(J759),'Site Info'!$A:$G,3,FALSE),"")</f>
        <v>155 W EL DORADO BLVD</v>
      </c>
      <c r="L759" t="str">
        <f>IFERROR(VLOOKUP(VALUE(J759),'Site Info'!$A:$G,4,FALSE),"")</f>
        <v>FRIENDSWOOD</v>
      </c>
      <c r="M759" t="str">
        <f>IFERROR(VLOOKUP(VALUE(J759),'Site Info'!$A:$G,5,FALSE),"")</f>
        <v>TX</v>
      </c>
      <c r="N759" t="str">
        <f>IFERROR(VLOOKUP(VALUE(J759),'Site Info'!$A:$G,6,FALSE),"")</f>
        <v>77546-6502</v>
      </c>
      <c r="O759">
        <f>IFERROR(VLOOKUP(VALUE(J759),'Site Info'!$A:$G,7,FALSE),"")</f>
        <v>2812864471</v>
      </c>
    </row>
    <row r="760" spans="1:15" x14ac:dyDescent="0.45">
      <c r="A760" t="s">
        <v>5694</v>
      </c>
      <c r="B760" t="s">
        <v>5695</v>
      </c>
      <c r="C760" t="s">
        <v>5696</v>
      </c>
      <c r="D760" t="s">
        <v>5697</v>
      </c>
      <c r="E760" s="1">
        <v>46152.618449074071</v>
      </c>
      <c r="F760">
        <v>1547</v>
      </c>
      <c r="G760" t="s">
        <v>5698</v>
      </c>
      <c r="H760" t="s">
        <v>15</v>
      </c>
      <c r="I760" t="s">
        <v>5699</v>
      </c>
      <c r="J760" t="str">
        <f>RIGHT(D760,4)</f>
        <v>4702</v>
      </c>
      <c r="K760" t="str">
        <f>IFERROR(VLOOKUP(VALUE(J760),'Site Info'!$A:$G,3,FALSE),"")</f>
        <v>155 W EL DORADO BLVD</v>
      </c>
      <c r="L760" t="str">
        <f>IFERROR(VLOOKUP(VALUE(J760),'Site Info'!$A:$G,4,FALSE),"")</f>
        <v>FRIENDSWOOD</v>
      </c>
      <c r="M760" t="str">
        <f>IFERROR(VLOOKUP(VALUE(J760),'Site Info'!$A:$G,5,FALSE),"")</f>
        <v>TX</v>
      </c>
      <c r="N760" t="str">
        <f>IFERROR(VLOOKUP(VALUE(J760),'Site Info'!$A:$G,6,FALSE),"")</f>
        <v>77546-6502</v>
      </c>
      <c r="O760">
        <f>IFERROR(VLOOKUP(VALUE(J760),'Site Info'!$A:$G,7,FALSE),"")</f>
        <v>2812864471</v>
      </c>
    </row>
    <row r="761" spans="1:15" x14ac:dyDescent="0.45">
      <c r="A761" t="s">
        <v>6484</v>
      </c>
      <c r="B761" t="s">
        <v>6485</v>
      </c>
      <c r="C761" t="s">
        <v>6486</v>
      </c>
      <c r="D761" t="s">
        <v>5697</v>
      </c>
      <c r="E761" s="1">
        <v>46152.659212962964</v>
      </c>
      <c r="F761">
        <v>1547</v>
      </c>
      <c r="G761" t="s">
        <v>6487</v>
      </c>
      <c r="H761" t="s">
        <v>15</v>
      </c>
      <c r="I761" t="s">
        <v>6488</v>
      </c>
      <c r="J761" t="str">
        <f>RIGHT(D761,4)</f>
        <v>4702</v>
      </c>
      <c r="K761" t="str">
        <f>IFERROR(VLOOKUP(VALUE(J761),'Site Info'!$A:$G,3,FALSE),"")</f>
        <v>155 W EL DORADO BLVD</v>
      </c>
      <c r="L761" t="str">
        <f>IFERROR(VLOOKUP(VALUE(J761),'Site Info'!$A:$G,4,FALSE),"")</f>
        <v>FRIENDSWOOD</v>
      </c>
      <c r="M761" t="str">
        <f>IFERROR(VLOOKUP(VALUE(J761),'Site Info'!$A:$G,5,FALSE),"")</f>
        <v>TX</v>
      </c>
      <c r="N761" t="str">
        <f>IFERROR(VLOOKUP(VALUE(J761),'Site Info'!$A:$G,6,FALSE),"")</f>
        <v>77546-6502</v>
      </c>
      <c r="O761">
        <f>IFERROR(VLOOKUP(VALUE(J761),'Site Info'!$A:$G,7,FALSE),"")</f>
        <v>2812864471</v>
      </c>
    </row>
    <row r="762" spans="1:15" x14ac:dyDescent="0.45">
      <c r="A762" t="s">
        <v>13679</v>
      </c>
      <c r="B762" t="s">
        <v>13680</v>
      </c>
      <c r="C762" t="s">
        <v>13681</v>
      </c>
      <c r="D762" t="s">
        <v>5697</v>
      </c>
      <c r="E762" s="1">
        <v>46153.204328703701</v>
      </c>
      <c r="F762">
        <v>1547</v>
      </c>
      <c r="G762" t="s">
        <v>13682</v>
      </c>
      <c r="H762" t="s">
        <v>15</v>
      </c>
      <c r="I762" t="s">
        <v>5699</v>
      </c>
      <c r="J762" t="str">
        <f>RIGHT(D762,4)</f>
        <v>4702</v>
      </c>
      <c r="K762" t="str">
        <f>IFERROR(VLOOKUP(VALUE(J762),'Site Info'!$A:$G,3,FALSE),"")</f>
        <v>155 W EL DORADO BLVD</v>
      </c>
      <c r="L762" t="str">
        <f>IFERROR(VLOOKUP(VALUE(J762),'Site Info'!$A:$G,4,FALSE),"")</f>
        <v>FRIENDSWOOD</v>
      </c>
      <c r="M762" t="str">
        <f>IFERROR(VLOOKUP(VALUE(J762),'Site Info'!$A:$G,5,FALSE),"")</f>
        <v>TX</v>
      </c>
      <c r="N762" t="str">
        <f>IFERROR(VLOOKUP(VALUE(J762),'Site Info'!$A:$G,6,FALSE),"")</f>
        <v>77546-6502</v>
      </c>
      <c r="O762">
        <f>IFERROR(VLOOKUP(VALUE(J762),'Site Info'!$A:$G,7,FALSE),"")</f>
        <v>2812864471</v>
      </c>
    </row>
    <row r="763" spans="1:15" x14ac:dyDescent="0.45">
      <c r="A763" t="s">
        <v>9547</v>
      </c>
      <c r="B763" t="s">
        <v>9548</v>
      </c>
      <c r="C763" t="s">
        <v>9549</v>
      </c>
      <c r="D763" t="s">
        <v>247</v>
      </c>
      <c r="E763" s="1">
        <v>46151.376284722224</v>
      </c>
      <c r="F763">
        <v>1547</v>
      </c>
      <c r="G763" t="s">
        <v>9550</v>
      </c>
      <c r="H763" t="s">
        <v>15</v>
      </c>
      <c r="I763" t="s">
        <v>249</v>
      </c>
      <c r="J763" t="str">
        <f>RIGHT(D763,4)</f>
        <v>6412</v>
      </c>
      <c r="K763" t="str">
        <f>IFERROR(VLOOKUP(VALUE(J763),'Site Info'!$A:$G,3,FALSE),"")</f>
        <v>15700 NORTHLINE RD</v>
      </c>
      <c r="L763" t="str">
        <f>IFERROR(VLOOKUP(VALUE(J763),'Site Info'!$A:$G,4,FALSE),"")</f>
        <v>SOUTHGATE</v>
      </c>
      <c r="M763" t="str">
        <f>IFERROR(VLOOKUP(VALUE(J763),'Site Info'!$A:$G,5,FALSE),"")</f>
        <v>MI</v>
      </c>
      <c r="N763" t="str">
        <f>IFERROR(VLOOKUP(VALUE(J763),'Site Info'!$A:$G,6,FALSE),"")</f>
        <v>48195-2378</v>
      </c>
      <c r="O763">
        <f>IFERROR(VLOOKUP(VALUE(J763),'Site Info'!$A:$G,7,FALSE),"")</f>
        <v>7342850030</v>
      </c>
    </row>
    <row r="764" spans="1:15" x14ac:dyDescent="0.45">
      <c r="A764" t="s">
        <v>6541</v>
      </c>
      <c r="B764" t="s">
        <v>6542</v>
      </c>
      <c r="C764" t="s">
        <v>6543</v>
      </c>
      <c r="D764" t="s">
        <v>247</v>
      </c>
      <c r="E764" s="1">
        <v>46151.751967592594</v>
      </c>
      <c r="F764">
        <v>1547</v>
      </c>
      <c r="G764" t="s">
        <v>6544</v>
      </c>
      <c r="H764" t="s">
        <v>15</v>
      </c>
      <c r="I764" t="s">
        <v>249</v>
      </c>
      <c r="J764" t="str">
        <f>RIGHT(D764,4)</f>
        <v>6412</v>
      </c>
      <c r="K764" t="str">
        <f>IFERROR(VLOOKUP(VALUE(J764),'Site Info'!$A:$G,3,FALSE),"")</f>
        <v>15700 NORTHLINE RD</v>
      </c>
      <c r="L764" t="str">
        <f>IFERROR(VLOOKUP(VALUE(J764),'Site Info'!$A:$G,4,FALSE),"")</f>
        <v>SOUTHGATE</v>
      </c>
      <c r="M764" t="str">
        <f>IFERROR(VLOOKUP(VALUE(J764),'Site Info'!$A:$G,5,FALSE),"")</f>
        <v>MI</v>
      </c>
      <c r="N764" t="str">
        <f>IFERROR(VLOOKUP(VALUE(J764),'Site Info'!$A:$G,6,FALSE),"")</f>
        <v>48195-2378</v>
      </c>
      <c r="O764">
        <f>IFERROR(VLOOKUP(VALUE(J764),'Site Info'!$A:$G,7,FALSE),"")</f>
        <v>7342850030</v>
      </c>
    </row>
    <row r="765" spans="1:15" x14ac:dyDescent="0.45">
      <c r="A765" t="s">
        <v>4230</v>
      </c>
      <c r="B765" t="s">
        <v>4231</v>
      </c>
      <c r="C765" t="s">
        <v>4232</v>
      </c>
      <c r="D765" t="s">
        <v>247</v>
      </c>
      <c r="E765" s="1">
        <v>46152.013356481482</v>
      </c>
      <c r="F765">
        <v>1547</v>
      </c>
      <c r="G765" t="s">
        <v>4233</v>
      </c>
      <c r="H765" t="s">
        <v>15</v>
      </c>
      <c r="I765" t="s">
        <v>249</v>
      </c>
      <c r="J765" t="str">
        <f>RIGHT(D765,4)</f>
        <v>6412</v>
      </c>
      <c r="K765" t="str">
        <f>IFERROR(VLOOKUP(VALUE(J765),'Site Info'!$A:$G,3,FALSE),"")</f>
        <v>15700 NORTHLINE RD</v>
      </c>
      <c r="L765" t="str">
        <f>IFERROR(VLOOKUP(VALUE(J765),'Site Info'!$A:$G,4,FALSE),"")</f>
        <v>SOUTHGATE</v>
      </c>
      <c r="M765" t="str">
        <f>IFERROR(VLOOKUP(VALUE(J765),'Site Info'!$A:$G,5,FALSE),"")</f>
        <v>MI</v>
      </c>
      <c r="N765" t="str">
        <f>IFERROR(VLOOKUP(VALUE(J765),'Site Info'!$A:$G,6,FALSE),"")</f>
        <v>48195-2378</v>
      </c>
      <c r="O765">
        <f>IFERROR(VLOOKUP(VALUE(J765),'Site Info'!$A:$G,7,FALSE),"")</f>
        <v>7342850030</v>
      </c>
    </row>
    <row r="766" spans="1:15" x14ac:dyDescent="0.45">
      <c r="A766" t="s">
        <v>6577</v>
      </c>
      <c r="B766" t="s">
        <v>6578</v>
      </c>
      <c r="C766" t="s">
        <v>6579</v>
      </c>
      <c r="D766" t="s">
        <v>247</v>
      </c>
      <c r="E766" s="1">
        <v>46153.206747685188</v>
      </c>
      <c r="F766">
        <v>1547</v>
      </c>
      <c r="G766" t="s">
        <v>6580</v>
      </c>
      <c r="H766" t="s">
        <v>15</v>
      </c>
      <c r="I766" t="s">
        <v>249</v>
      </c>
      <c r="J766" t="str">
        <f>RIGHT(D766,4)</f>
        <v>6412</v>
      </c>
      <c r="K766" t="str">
        <f>IFERROR(VLOOKUP(VALUE(J766),'Site Info'!$A:$G,3,FALSE),"")</f>
        <v>15700 NORTHLINE RD</v>
      </c>
      <c r="L766" t="str">
        <f>IFERROR(VLOOKUP(VALUE(J766),'Site Info'!$A:$G,4,FALSE),"")</f>
        <v>SOUTHGATE</v>
      </c>
      <c r="M766" t="str">
        <f>IFERROR(VLOOKUP(VALUE(J766),'Site Info'!$A:$G,5,FALSE),"")</f>
        <v>MI</v>
      </c>
      <c r="N766" t="str">
        <f>IFERROR(VLOOKUP(VALUE(J766),'Site Info'!$A:$G,6,FALSE),"")</f>
        <v>48195-2378</v>
      </c>
      <c r="O766">
        <f>IFERROR(VLOOKUP(VALUE(J766),'Site Info'!$A:$G,7,FALSE),"")</f>
        <v>7342850030</v>
      </c>
    </row>
    <row r="767" spans="1:15" x14ac:dyDescent="0.45">
      <c r="A767" t="s">
        <v>7300</v>
      </c>
      <c r="B767" t="s">
        <v>7301</v>
      </c>
      <c r="C767" t="s">
        <v>7302</v>
      </c>
      <c r="D767" t="s">
        <v>247</v>
      </c>
      <c r="E767" s="1">
        <v>46153.269004629627</v>
      </c>
      <c r="F767">
        <v>1547</v>
      </c>
      <c r="G767" t="s">
        <v>7303</v>
      </c>
      <c r="H767" t="s">
        <v>15</v>
      </c>
      <c r="I767" t="s">
        <v>249</v>
      </c>
      <c r="J767" t="str">
        <f>RIGHT(D767,4)</f>
        <v>6412</v>
      </c>
      <c r="K767" t="str">
        <f>IFERROR(VLOOKUP(VALUE(J767),'Site Info'!$A:$G,3,FALSE),"")</f>
        <v>15700 NORTHLINE RD</v>
      </c>
      <c r="L767" t="str">
        <f>IFERROR(VLOOKUP(VALUE(J767),'Site Info'!$A:$G,4,FALSE),"")</f>
        <v>SOUTHGATE</v>
      </c>
      <c r="M767" t="str">
        <f>IFERROR(VLOOKUP(VALUE(J767),'Site Info'!$A:$G,5,FALSE),"")</f>
        <v>MI</v>
      </c>
      <c r="N767" t="str">
        <f>IFERROR(VLOOKUP(VALUE(J767),'Site Info'!$A:$G,6,FALSE),"")</f>
        <v>48195-2378</v>
      </c>
      <c r="O767">
        <f>IFERROR(VLOOKUP(VALUE(J767),'Site Info'!$A:$G,7,FALSE),"")</f>
        <v>7342850030</v>
      </c>
    </row>
    <row r="768" spans="1:15" x14ac:dyDescent="0.45">
      <c r="A768" t="s">
        <v>96</v>
      </c>
      <c r="B768" t="s">
        <v>245</v>
      </c>
      <c r="C768" t="s">
        <v>246</v>
      </c>
      <c r="D768" t="s">
        <v>247</v>
      </c>
      <c r="E768" s="1">
        <v>46153.341087962966</v>
      </c>
      <c r="F768">
        <v>1547</v>
      </c>
      <c r="G768" t="s">
        <v>248</v>
      </c>
      <c r="H768" t="s">
        <v>15</v>
      </c>
      <c r="I768" t="s">
        <v>249</v>
      </c>
      <c r="J768" t="str">
        <f>RIGHT(D768,4)</f>
        <v>6412</v>
      </c>
      <c r="K768" t="str">
        <f>IFERROR(VLOOKUP(VALUE(J768),'Site Info'!$A:$G,3,FALSE),"")</f>
        <v>15700 NORTHLINE RD</v>
      </c>
      <c r="L768" t="str">
        <f>IFERROR(VLOOKUP(VALUE(J768),'Site Info'!$A:$G,4,FALSE),"")</f>
        <v>SOUTHGATE</v>
      </c>
      <c r="M768" t="str">
        <f>IFERROR(VLOOKUP(VALUE(J768),'Site Info'!$A:$G,5,FALSE),"")</f>
        <v>MI</v>
      </c>
      <c r="N768" t="str">
        <f>IFERROR(VLOOKUP(VALUE(J768),'Site Info'!$A:$G,6,FALSE),"")</f>
        <v>48195-2378</v>
      </c>
      <c r="O768">
        <f>IFERROR(VLOOKUP(VALUE(J768),'Site Info'!$A:$G,7,FALSE),"")</f>
        <v>7342850030</v>
      </c>
    </row>
    <row r="769" spans="1:15" x14ac:dyDescent="0.45">
      <c r="A769" t="s">
        <v>4262</v>
      </c>
      <c r="B769" t="s">
        <v>4263</v>
      </c>
      <c r="C769" t="s">
        <v>4264</v>
      </c>
      <c r="D769" t="s">
        <v>247</v>
      </c>
      <c r="E769" s="1">
        <v>46153.359259259261</v>
      </c>
      <c r="F769">
        <v>1547</v>
      </c>
      <c r="G769" t="s">
        <v>4265</v>
      </c>
      <c r="H769" t="s">
        <v>15</v>
      </c>
      <c r="I769" t="s">
        <v>249</v>
      </c>
      <c r="J769" t="str">
        <f>RIGHT(D769,4)</f>
        <v>6412</v>
      </c>
      <c r="K769" t="str">
        <f>IFERROR(VLOOKUP(VALUE(J769),'Site Info'!$A:$G,3,FALSE),"")</f>
        <v>15700 NORTHLINE RD</v>
      </c>
      <c r="L769" t="str">
        <f>IFERROR(VLOOKUP(VALUE(J769),'Site Info'!$A:$G,4,FALSE),"")</f>
        <v>SOUTHGATE</v>
      </c>
      <c r="M769" t="str">
        <f>IFERROR(VLOOKUP(VALUE(J769),'Site Info'!$A:$G,5,FALSE),"")</f>
        <v>MI</v>
      </c>
      <c r="N769" t="str">
        <f>IFERROR(VLOOKUP(VALUE(J769),'Site Info'!$A:$G,6,FALSE),"")</f>
        <v>48195-2378</v>
      </c>
      <c r="O769">
        <f>IFERROR(VLOOKUP(VALUE(J769),'Site Info'!$A:$G,7,FALSE),"")</f>
        <v>7342850030</v>
      </c>
    </row>
    <row r="770" spans="1:15" x14ac:dyDescent="0.45">
      <c r="A770" t="s">
        <v>3423</v>
      </c>
      <c r="B770" t="s">
        <v>3424</v>
      </c>
      <c r="C770" t="s">
        <v>3425</v>
      </c>
      <c r="D770" t="s">
        <v>247</v>
      </c>
      <c r="E770" s="1">
        <v>46153.373969907407</v>
      </c>
      <c r="F770">
        <v>1481</v>
      </c>
      <c r="G770" t="s">
        <v>3426</v>
      </c>
      <c r="H770" t="s">
        <v>15</v>
      </c>
      <c r="I770" t="s">
        <v>249</v>
      </c>
      <c r="J770" t="str">
        <f>RIGHT(D770,4)</f>
        <v>6412</v>
      </c>
      <c r="K770" t="str">
        <f>IFERROR(VLOOKUP(VALUE(J770),'Site Info'!$A:$G,3,FALSE),"")</f>
        <v>15700 NORTHLINE RD</v>
      </c>
      <c r="L770" t="str">
        <f>IFERROR(VLOOKUP(VALUE(J770),'Site Info'!$A:$G,4,FALSE),"")</f>
        <v>SOUTHGATE</v>
      </c>
      <c r="M770" t="str">
        <f>IFERROR(VLOOKUP(VALUE(J770),'Site Info'!$A:$G,5,FALSE),"")</f>
        <v>MI</v>
      </c>
      <c r="N770" t="str">
        <f>IFERROR(VLOOKUP(VALUE(J770),'Site Info'!$A:$G,6,FALSE),"")</f>
        <v>48195-2378</v>
      </c>
      <c r="O770">
        <f>IFERROR(VLOOKUP(VALUE(J770),'Site Info'!$A:$G,7,FALSE),"")</f>
        <v>7342850030</v>
      </c>
    </row>
    <row r="771" spans="1:15" x14ac:dyDescent="0.45">
      <c r="A771" t="s">
        <v>8663</v>
      </c>
      <c r="B771" t="s">
        <v>8664</v>
      </c>
      <c r="C771" t="s">
        <v>8665</v>
      </c>
      <c r="D771" t="s">
        <v>2748</v>
      </c>
      <c r="E771" s="1">
        <v>46152.576319444444</v>
      </c>
      <c r="F771">
        <v>1547</v>
      </c>
      <c r="G771" t="s">
        <v>8666</v>
      </c>
      <c r="H771" t="s">
        <v>15</v>
      </c>
      <c r="I771" t="s">
        <v>2750</v>
      </c>
      <c r="J771" t="str">
        <f>RIGHT(D771,4)</f>
        <v>6330</v>
      </c>
      <c r="K771" t="str">
        <f>IFERROR(VLOOKUP(VALUE(J771),'Site Info'!$A:$G,3,FALSE),"")</f>
        <v>1572 N DUPONT HWY</v>
      </c>
      <c r="L771" t="str">
        <f>IFERROR(VLOOKUP(VALUE(J771),'Site Info'!$A:$G,4,FALSE),"")</f>
        <v>DOVER</v>
      </c>
      <c r="M771" t="str">
        <f>IFERROR(VLOOKUP(VALUE(J771),'Site Info'!$A:$G,5,FALSE),"")</f>
        <v>DE</v>
      </c>
      <c r="N771" t="str">
        <f>IFERROR(VLOOKUP(VALUE(J771),'Site Info'!$A:$G,6,FALSE),"")</f>
        <v>19901-2215</v>
      </c>
      <c r="O771">
        <f>IFERROR(VLOOKUP(VALUE(J771),'Site Info'!$A:$G,7,FALSE),"")</f>
        <v>3026784220</v>
      </c>
    </row>
    <row r="772" spans="1:15" x14ac:dyDescent="0.45">
      <c r="A772" t="s">
        <v>13667</v>
      </c>
      <c r="B772" t="s">
        <v>13668</v>
      </c>
      <c r="C772" t="s">
        <v>13669</v>
      </c>
      <c r="D772" t="s">
        <v>2748</v>
      </c>
      <c r="E772" s="1">
        <v>46152.970879629633</v>
      </c>
      <c r="F772">
        <v>1547</v>
      </c>
      <c r="G772" t="s">
        <v>13670</v>
      </c>
      <c r="H772" t="s">
        <v>15</v>
      </c>
      <c r="I772" t="s">
        <v>2750</v>
      </c>
      <c r="J772" t="str">
        <f>RIGHT(D772,4)</f>
        <v>6330</v>
      </c>
      <c r="K772" t="str">
        <f>IFERROR(VLOOKUP(VALUE(J772),'Site Info'!$A:$G,3,FALSE),"")</f>
        <v>1572 N DUPONT HWY</v>
      </c>
      <c r="L772" t="str">
        <f>IFERROR(VLOOKUP(VALUE(J772),'Site Info'!$A:$G,4,FALSE),"")</f>
        <v>DOVER</v>
      </c>
      <c r="M772" t="str">
        <f>IFERROR(VLOOKUP(VALUE(J772),'Site Info'!$A:$G,5,FALSE),"")</f>
        <v>DE</v>
      </c>
      <c r="N772" t="str">
        <f>IFERROR(VLOOKUP(VALUE(J772),'Site Info'!$A:$G,6,FALSE),"")</f>
        <v>19901-2215</v>
      </c>
      <c r="O772">
        <f>IFERROR(VLOOKUP(VALUE(J772),'Site Info'!$A:$G,7,FALSE),"")</f>
        <v>3026784220</v>
      </c>
    </row>
    <row r="773" spans="1:15" x14ac:dyDescent="0.45">
      <c r="A773" t="s">
        <v>3083</v>
      </c>
      <c r="B773" t="s">
        <v>3084</v>
      </c>
      <c r="C773" t="s">
        <v>3085</v>
      </c>
      <c r="D773" t="s">
        <v>2748</v>
      </c>
      <c r="E773" s="1">
        <v>46151.279409722221</v>
      </c>
      <c r="F773">
        <v>1481</v>
      </c>
      <c r="G773" t="s">
        <v>3086</v>
      </c>
      <c r="H773" t="s">
        <v>15</v>
      </c>
      <c r="I773" t="s">
        <v>2750</v>
      </c>
      <c r="J773" t="str">
        <f>RIGHT(D773,4)</f>
        <v>6330</v>
      </c>
      <c r="K773" t="str">
        <f>IFERROR(VLOOKUP(VALUE(J773),'Site Info'!$A:$G,3,FALSE),"")</f>
        <v>1572 N DUPONT HWY</v>
      </c>
      <c r="L773" t="str">
        <f>IFERROR(VLOOKUP(VALUE(J773),'Site Info'!$A:$G,4,FALSE),"")</f>
        <v>DOVER</v>
      </c>
      <c r="M773" t="str">
        <f>IFERROR(VLOOKUP(VALUE(J773),'Site Info'!$A:$G,5,FALSE),"")</f>
        <v>DE</v>
      </c>
      <c r="N773" t="str">
        <f>IFERROR(VLOOKUP(VALUE(J773),'Site Info'!$A:$G,6,FALSE),"")</f>
        <v>19901-2215</v>
      </c>
      <c r="O773">
        <f>IFERROR(VLOOKUP(VALUE(J773),'Site Info'!$A:$G,7,FALSE),"")</f>
        <v>3026784220</v>
      </c>
    </row>
    <row r="774" spans="1:15" x14ac:dyDescent="0.45">
      <c r="A774" t="s">
        <v>2745</v>
      </c>
      <c r="B774" t="s">
        <v>2746</v>
      </c>
      <c r="C774" t="s">
        <v>2747</v>
      </c>
      <c r="D774" t="s">
        <v>2748</v>
      </c>
      <c r="E774" s="1">
        <v>46152.183252314811</v>
      </c>
      <c r="F774">
        <v>1481</v>
      </c>
      <c r="G774" t="s">
        <v>2749</v>
      </c>
      <c r="H774" t="s">
        <v>15</v>
      </c>
      <c r="I774" t="s">
        <v>2750</v>
      </c>
      <c r="J774" t="str">
        <f>RIGHT(D774,4)</f>
        <v>6330</v>
      </c>
      <c r="K774" t="str">
        <f>IFERROR(VLOOKUP(VALUE(J774),'Site Info'!$A:$G,3,FALSE),"")</f>
        <v>1572 N DUPONT HWY</v>
      </c>
      <c r="L774" t="str">
        <f>IFERROR(VLOOKUP(VALUE(J774),'Site Info'!$A:$G,4,FALSE),"")</f>
        <v>DOVER</v>
      </c>
      <c r="M774" t="str">
        <f>IFERROR(VLOOKUP(VALUE(J774),'Site Info'!$A:$G,5,FALSE),"")</f>
        <v>DE</v>
      </c>
      <c r="N774" t="str">
        <f>IFERROR(VLOOKUP(VALUE(J774),'Site Info'!$A:$G,6,FALSE),"")</f>
        <v>19901-2215</v>
      </c>
      <c r="O774">
        <f>IFERROR(VLOOKUP(VALUE(J774),'Site Info'!$A:$G,7,FALSE),"")</f>
        <v>3026784220</v>
      </c>
    </row>
    <row r="775" spans="1:15" x14ac:dyDescent="0.45">
      <c r="A775" t="s">
        <v>2911</v>
      </c>
      <c r="B775" t="s">
        <v>2912</v>
      </c>
      <c r="C775" t="s">
        <v>2913</v>
      </c>
      <c r="D775" t="s">
        <v>2748</v>
      </c>
      <c r="E775" s="1">
        <v>46153.28329861111</v>
      </c>
      <c r="F775">
        <v>1481</v>
      </c>
      <c r="G775" t="s">
        <v>2914</v>
      </c>
      <c r="H775" t="s">
        <v>15</v>
      </c>
      <c r="I775" t="s">
        <v>2750</v>
      </c>
      <c r="J775" t="str">
        <f>RIGHT(D775,4)</f>
        <v>6330</v>
      </c>
      <c r="K775" t="str">
        <f>IFERROR(VLOOKUP(VALUE(J775),'Site Info'!$A:$G,3,FALSE),"")</f>
        <v>1572 N DUPONT HWY</v>
      </c>
      <c r="L775" t="str">
        <f>IFERROR(VLOOKUP(VALUE(J775),'Site Info'!$A:$G,4,FALSE),"")</f>
        <v>DOVER</v>
      </c>
      <c r="M775" t="str">
        <f>IFERROR(VLOOKUP(VALUE(J775),'Site Info'!$A:$G,5,FALSE),"")</f>
        <v>DE</v>
      </c>
      <c r="N775" t="str">
        <f>IFERROR(VLOOKUP(VALUE(J775),'Site Info'!$A:$G,6,FALSE),"")</f>
        <v>19901-2215</v>
      </c>
      <c r="O775">
        <f>IFERROR(VLOOKUP(VALUE(J775),'Site Info'!$A:$G,7,FALSE),"")</f>
        <v>3026784220</v>
      </c>
    </row>
    <row r="776" spans="1:15" x14ac:dyDescent="0.45">
      <c r="A776" t="s">
        <v>11476</v>
      </c>
      <c r="B776" t="s">
        <v>11477</v>
      </c>
      <c r="C776" t="s">
        <v>11478</v>
      </c>
      <c r="D776" t="s">
        <v>1977</v>
      </c>
      <c r="E776" s="1">
        <v>46151.643287037034</v>
      </c>
      <c r="F776">
        <v>1547</v>
      </c>
      <c r="G776" t="s">
        <v>11479</v>
      </c>
      <c r="H776" t="s">
        <v>15</v>
      </c>
      <c r="I776" t="s">
        <v>1979</v>
      </c>
      <c r="J776" t="str">
        <f>RIGHT(D776,4)</f>
        <v>6406</v>
      </c>
      <c r="K776" t="str">
        <f>IFERROR(VLOOKUP(VALUE(J776),'Site Info'!$A:$G,3,FALSE),"")</f>
        <v>1580 MILITARY ROAD</v>
      </c>
      <c r="L776" t="str">
        <f>IFERROR(VLOOKUP(VALUE(J776),'Site Info'!$A:$G,4,FALSE),"")</f>
        <v>NIAGARA FALLS</v>
      </c>
      <c r="M776" t="str">
        <f>IFERROR(VLOOKUP(VALUE(J776),'Site Info'!$A:$G,5,FALSE),"")</f>
        <v>NY</v>
      </c>
      <c r="N776" t="str">
        <f>IFERROR(VLOOKUP(VALUE(J776),'Site Info'!$A:$G,6,FALSE),"")</f>
        <v>14304-1521</v>
      </c>
      <c r="O776">
        <f>IFERROR(VLOOKUP(VALUE(J776),'Site Info'!$A:$G,7,FALSE),"")</f>
        <v>7162981580</v>
      </c>
    </row>
    <row r="777" spans="1:15" x14ac:dyDescent="0.45">
      <c r="A777" t="s">
        <v>10432</v>
      </c>
      <c r="B777" t="s">
        <v>10433</v>
      </c>
      <c r="C777" t="s">
        <v>10434</v>
      </c>
      <c r="D777" t="s">
        <v>1977</v>
      </c>
      <c r="E777" s="1">
        <v>46151.702268518522</v>
      </c>
      <c r="F777">
        <v>1547</v>
      </c>
      <c r="G777" t="s">
        <v>10435</v>
      </c>
      <c r="H777" t="s">
        <v>15</v>
      </c>
      <c r="I777" t="s">
        <v>1979</v>
      </c>
      <c r="J777" t="str">
        <f>RIGHT(D777,4)</f>
        <v>6406</v>
      </c>
      <c r="K777" t="str">
        <f>IFERROR(VLOOKUP(VALUE(J777),'Site Info'!$A:$G,3,FALSE),"")</f>
        <v>1580 MILITARY ROAD</v>
      </c>
      <c r="L777" t="str">
        <f>IFERROR(VLOOKUP(VALUE(J777),'Site Info'!$A:$G,4,FALSE),"")</f>
        <v>NIAGARA FALLS</v>
      </c>
      <c r="M777" t="str">
        <f>IFERROR(VLOOKUP(VALUE(J777),'Site Info'!$A:$G,5,FALSE),"")</f>
        <v>NY</v>
      </c>
      <c r="N777" t="str">
        <f>IFERROR(VLOOKUP(VALUE(J777),'Site Info'!$A:$G,6,FALSE),"")</f>
        <v>14304-1521</v>
      </c>
      <c r="O777">
        <f>IFERROR(VLOOKUP(VALUE(J777),'Site Info'!$A:$G,7,FALSE),"")</f>
        <v>7162981580</v>
      </c>
    </row>
    <row r="778" spans="1:15" x14ac:dyDescent="0.45">
      <c r="A778" t="s">
        <v>11976</v>
      </c>
      <c r="B778" t="s">
        <v>11977</v>
      </c>
      <c r="C778" t="s">
        <v>11978</v>
      </c>
      <c r="D778" t="s">
        <v>1977</v>
      </c>
      <c r="E778" s="1">
        <v>46152.417581018519</v>
      </c>
      <c r="F778">
        <v>1547</v>
      </c>
      <c r="G778" t="s">
        <v>11979</v>
      </c>
      <c r="H778" t="s">
        <v>15</v>
      </c>
      <c r="I778" t="s">
        <v>1979</v>
      </c>
      <c r="J778" t="str">
        <f>RIGHT(D778,4)</f>
        <v>6406</v>
      </c>
      <c r="K778" t="str">
        <f>IFERROR(VLOOKUP(VALUE(J778),'Site Info'!$A:$G,3,FALSE),"")</f>
        <v>1580 MILITARY ROAD</v>
      </c>
      <c r="L778" t="str">
        <f>IFERROR(VLOOKUP(VALUE(J778),'Site Info'!$A:$G,4,FALSE),"")</f>
        <v>NIAGARA FALLS</v>
      </c>
      <c r="M778" t="str">
        <f>IFERROR(VLOOKUP(VALUE(J778),'Site Info'!$A:$G,5,FALSE),"")</f>
        <v>NY</v>
      </c>
      <c r="N778" t="str">
        <f>IFERROR(VLOOKUP(VALUE(J778),'Site Info'!$A:$G,6,FALSE),"")</f>
        <v>14304-1521</v>
      </c>
      <c r="O778">
        <f>IFERROR(VLOOKUP(VALUE(J778),'Site Info'!$A:$G,7,FALSE),"")</f>
        <v>7162981580</v>
      </c>
    </row>
    <row r="779" spans="1:15" x14ac:dyDescent="0.45">
      <c r="A779" t="s">
        <v>10380</v>
      </c>
      <c r="B779" t="s">
        <v>10381</v>
      </c>
      <c r="C779" t="s">
        <v>10382</v>
      </c>
      <c r="D779" t="s">
        <v>1977</v>
      </c>
      <c r="E779" s="1">
        <v>46152.565069444441</v>
      </c>
      <c r="F779">
        <v>1547</v>
      </c>
      <c r="G779" t="s">
        <v>10383</v>
      </c>
      <c r="H779" t="s">
        <v>15</v>
      </c>
      <c r="I779" t="s">
        <v>1979</v>
      </c>
      <c r="J779" t="str">
        <f>RIGHT(D779,4)</f>
        <v>6406</v>
      </c>
      <c r="K779" t="str">
        <f>IFERROR(VLOOKUP(VALUE(J779),'Site Info'!$A:$G,3,FALSE),"")</f>
        <v>1580 MILITARY ROAD</v>
      </c>
      <c r="L779" t="str">
        <f>IFERROR(VLOOKUP(VALUE(J779),'Site Info'!$A:$G,4,FALSE),"")</f>
        <v>NIAGARA FALLS</v>
      </c>
      <c r="M779" t="str">
        <f>IFERROR(VLOOKUP(VALUE(J779),'Site Info'!$A:$G,5,FALSE),"")</f>
        <v>NY</v>
      </c>
      <c r="N779" t="str">
        <f>IFERROR(VLOOKUP(VALUE(J779),'Site Info'!$A:$G,6,FALSE),"")</f>
        <v>14304-1521</v>
      </c>
      <c r="O779">
        <f>IFERROR(VLOOKUP(VALUE(J779),'Site Info'!$A:$G,7,FALSE),"")</f>
        <v>7162981580</v>
      </c>
    </row>
    <row r="780" spans="1:15" x14ac:dyDescent="0.45">
      <c r="A780" t="s">
        <v>10372</v>
      </c>
      <c r="B780" t="s">
        <v>10373</v>
      </c>
      <c r="C780" t="s">
        <v>10374</v>
      </c>
      <c r="D780" t="s">
        <v>1977</v>
      </c>
      <c r="E780" s="1">
        <v>46153.304490740738</v>
      </c>
      <c r="F780">
        <v>1547</v>
      </c>
      <c r="G780" t="s">
        <v>10375</v>
      </c>
      <c r="H780" t="s">
        <v>15</v>
      </c>
      <c r="I780" t="s">
        <v>1979</v>
      </c>
      <c r="J780" t="str">
        <f>RIGHT(D780,4)</f>
        <v>6406</v>
      </c>
      <c r="K780" t="str">
        <f>IFERROR(VLOOKUP(VALUE(J780),'Site Info'!$A:$G,3,FALSE),"")</f>
        <v>1580 MILITARY ROAD</v>
      </c>
      <c r="L780" t="str">
        <f>IFERROR(VLOOKUP(VALUE(J780),'Site Info'!$A:$G,4,FALSE),"")</f>
        <v>NIAGARA FALLS</v>
      </c>
      <c r="M780" t="str">
        <f>IFERROR(VLOOKUP(VALUE(J780),'Site Info'!$A:$G,5,FALSE),"")</f>
        <v>NY</v>
      </c>
      <c r="N780" t="str">
        <f>IFERROR(VLOOKUP(VALUE(J780),'Site Info'!$A:$G,6,FALSE),"")</f>
        <v>14304-1521</v>
      </c>
      <c r="O780">
        <f>IFERROR(VLOOKUP(VALUE(J780),'Site Info'!$A:$G,7,FALSE),"")</f>
        <v>7162981580</v>
      </c>
    </row>
    <row r="781" spans="1:15" x14ac:dyDescent="0.45">
      <c r="A781" t="s">
        <v>2511</v>
      </c>
      <c r="B781" t="s">
        <v>2512</v>
      </c>
      <c r="C781" t="s">
        <v>2513</v>
      </c>
      <c r="D781" t="s">
        <v>1977</v>
      </c>
      <c r="E781" s="1">
        <v>46152.473564814813</v>
      </c>
      <c r="F781">
        <v>1481</v>
      </c>
      <c r="G781" t="s">
        <v>2514</v>
      </c>
      <c r="H781" t="s">
        <v>15</v>
      </c>
      <c r="I781" t="s">
        <v>1979</v>
      </c>
      <c r="J781" t="str">
        <f>RIGHT(D781,4)</f>
        <v>6406</v>
      </c>
      <c r="K781" t="str">
        <f>IFERROR(VLOOKUP(VALUE(J781),'Site Info'!$A:$G,3,FALSE),"")</f>
        <v>1580 MILITARY ROAD</v>
      </c>
      <c r="L781" t="str">
        <f>IFERROR(VLOOKUP(VALUE(J781),'Site Info'!$A:$G,4,FALSE),"")</f>
        <v>NIAGARA FALLS</v>
      </c>
      <c r="M781" t="str">
        <f>IFERROR(VLOOKUP(VALUE(J781),'Site Info'!$A:$G,5,FALSE),"")</f>
        <v>NY</v>
      </c>
      <c r="N781" t="str">
        <f>IFERROR(VLOOKUP(VALUE(J781),'Site Info'!$A:$G,6,FALSE),"")</f>
        <v>14304-1521</v>
      </c>
      <c r="O781">
        <f>IFERROR(VLOOKUP(VALUE(J781),'Site Info'!$A:$G,7,FALSE),"")</f>
        <v>7162981580</v>
      </c>
    </row>
    <row r="782" spans="1:15" x14ac:dyDescent="0.45">
      <c r="A782" t="s">
        <v>1974</v>
      </c>
      <c r="B782" t="s">
        <v>1975</v>
      </c>
      <c r="C782" t="s">
        <v>1976</v>
      </c>
      <c r="D782" t="s">
        <v>1977</v>
      </c>
      <c r="E782" s="1">
        <v>46153.253229166665</v>
      </c>
      <c r="F782">
        <v>1481</v>
      </c>
      <c r="G782" t="s">
        <v>1978</v>
      </c>
      <c r="H782" t="s">
        <v>15</v>
      </c>
      <c r="I782" t="s">
        <v>1979</v>
      </c>
      <c r="J782" t="str">
        <f>RIGHT(D782,4)</f>
        <v>6406</v>
      </c>
      <c r="K782" t="str">
        <f>IFERROR(VLOOKUP(VALUE(J782),'Site Info'!$A:$G,3,FALSE),"")</f>
        <v>1580 MILITARY ROAD</v>
      </c>
      <c r="L782" t="str">
        <f>IFERROR(VLOOKUP(VALUE(J782),'Site Info'!$A:$G,4,FALSE),"")</f>
        <v>NIAGARA FALLS</v>
      </c>
      <c r="M782" t="str">
        <f>IFERROR(VLOOKUP(VALUE(J782),'Site Info'!$A:$G,5,FALSE),"")</f>
        <v>NY</v>
      </c>
      <c r="N782" t="str">
        <f>IFERROR(VLOOKUP(VALUE(J782),'Site Info'!$A:$G,6,FALSE),"")</f>
        <v>14304-1521</v>
      </c>
      <c r="O782">
        <f>IFERROR(VLOOKUP(VALUE(J782),'Site Info'!$A:$G,7,FALSE),"")</f>
        <v>7162981580</v>
      </c>
    </row>
    <row r="783" spans="1:15" x14ac:dyDescent="0.45">
      <c r="A783" t="s">
        <v>16827</v>
      </c>
      <c r="B783" t="s">
        <v>16828</v>
      </c>
      <c r="C783" t="s">
        <v>16829</v>
      </c>
      <c r="D783" t="s">
        <v>1977</v>
      </c>
      <c r="E783" s="1">
        <v>46152.476284722223</v>
      </c>
      <c r="F783">
        <v>1628</v>
      </c>
      <c r="G783" t="s">
        <v>16830</v>
      </c>
      <c r="H783" t="s">
        <v>13988</v>
      </c>
      <c r="I783" t="s">
        <v>1979</v>
      </c>
      <c r="J783" t="str">
        <f>RIGHT(D783,4)</f>
        <v>6406</v>
      </c>
      <c r="K783" t="str">
        <f>IFERROR(VLOOKUP(VALUE(J783),'Site Info'!$A:$G,3,FALSE),"")</f>
        <v>1580 MILITARY ROAD</v>
      </c>
      <c r="L783" t="str">
        <f>IFERROR(VLOOKUP(VALUE(J783),'Site Info'!$A:$G,4,FALSE),"")</f>
        <v>NIAGARA FALLS</v>
      </c>
      <c r="M783" t="str">
        <f>IFERROR(VLOOKUP(VALUE(J783),'Site Info'!$A:$G,5,FALSE),"")</f>
        <v>NY</v>
      </c>
      <c r="N783" t="str">
        <f>IFERROR(VLOOKUP(VALUE(J783),'Site Info'!$A:$G,6,FALSE),"")</f>
        <v>14304-1521</v>
      </c>
      <c r="O783">
        <f>IFERROR(VLOOKUP(VALUE(J783),'Site Info'!$A:$G,7,FALSE),"")</f>
        <v>7162981580</v>
      </c>
    </row>
    <row r="784" spans="1:15" x14ac:dyDescent="0.45">
      <c r="A784" t="s">
        <v>5936</v>
      </c>
      <c r="B784" t="s">
        <v>5937</v>
      </c>
      <c r="C784" t="s">
        <v>5938</v>
      </c>
      <c r="D784" t="s">
        <v>5939</v>
      </c>
      <c r="E784" s="1">
        <v>46151.773194444446</v>
      </c>
      <c r="F784">
        <v>1547</v>
      </c>
      <c r="G784" t="s">
        <v>5940</v>
      </c>
      <c r="H784" t="s">
        <v>15</v>
      </c>
      <c r="I784" t="s">
        <v>5941</v>
      </c>
      <c r="J784" t="str">
        <f>RIGHT(D784,4)</f>
        <v>4843</v>
      </c>
      <c r="K784" t="str">
        <f>IFERROR(VLOOKUP(VALUE(J784),'Site Info'!$A:$G,3,FALSE),"")</f>
        <v>15800 SOUTH FWY</v>
      </c>
      <c r="L784" t="str">
        <f>IFERROR(VLOOKUP(VALUE(J784),'Site Info'!$A:$G,4,FALSE),"")</f>
        <v>PEARLAND</v>
      </c>
      <c r="M784" t="str">
        <f>IFERROR(VLOOKUP(VALUE(J784),'Site Info'!$A:$G,5,FALSE),"")</f>
        <v>TX</v>
      </c>
      <c r="N784" t="str">
        <f>IFERROR(VLOOKUP(VALUE(J784),'Site Info'!$A:$G,6,FALSE),"")</f>
        <v>77584-1834</v>
      </c>
      <c r="O784">
        <f>IFERROR(VLOOKUP(VALUE(J784),'Site Info'!$A:$G,7,FALSE),"")</f>
        <v>7139860080</v>
      </c>
    </row>
    <row r="785" spans="1:15" x14ac:dyDescent="0.45">
      <c r="A785" t="s">
        <v>9986</v>
      </c>
      <c r="B785" t="s">
        <v>9987</v>
      </c>
      <c r="C785" t="s">
        <v>9988</v>
      </c>
      <c r="D785" t="s">
        <v>5939</v>
      </c>
      <c r="E785" s="1">
        <v>46152.653680555559</v>
      </c>
      <c r="F785">
        <v>1547</v>
      </c>
      <c r="G785" t="s">
        <v>9989</v>
      </c>
      <c r="H785" t="s">
        <v>15</v>
      </c>
      <c r="I785" t="s">
        <v>5941</v>
      </c>
      <c r="J785" t="str">
        <f>RIGHT(D785,4)</f>
        <v>4843</v>
      </c>
      <c r="K785" t="str">
        <f>IFERROR(VLOOKUP(VALUE(J785),'Site Info'!$A:$G,3,FALSE),"")</f>
        <v>15800 SOUTH FWY</v>
      </c>
      <c r="L785" t="str">
        <f>IFERROR(VLOOKUP(VALUE(J785),'Site Info'!$A:$G,4,FALSE),"")</f>
        <v>PEARLAND</v>
      </c>
      <c r="M785" t="str">
        <f>IFERROR(VLOOKUP(VALUE(J785),'Site Info'!$A:$G,5,FALSE),"")</f>
        <v>TX</v>
      </c>
      <c r="N785" t="str">
        <f>IFERROR(VLOOKUP(VALUE(J785),'Site Info'!$A:$G,6,FALSE),"")</f>
        <v>77584-1834</v>
      </c>
      <c r="O785">
        <f>IFERROR(VLOOKUP(VALUE(J785),'Site Info'!$A:$G,7,FALSE),"")</f>
        <v>7139860080</v>
      </c>
    </row>
    <row r="786" spans="1:15" x14ac:dyDescent="0.45">
      <c r="A786" t="s">
        <v>12596</v>
      </c>
      <c r="B786" t="s">
        <v>12597</v>
      </c>
      <c r="C786" t="s">
        <v>12598</v>
      </c>
      <c r="D786" t="s">
        <v>5939</v>
      </c>
      <c r="E786" s="1">
        <v>46153.293344907404</v>
      </c>
      <c r="F786">
        <v>1547</v>
      </c>
      <c r="G786" t="s">
        <v>12599</v>
      </c>
      <c r="H786" t="s">
        <v>15</v>
      </c>
      <c r="I786" t="s">
        <v>5941</v>
      </c>
      <c r="J786" t="str">
        <f>RIGHT(D786,4)</f>
        <v>4843</v>
      </c>
      <c r="K786" t="str">
        <f>IFERROR(VLOOKUP(VALUE(J786),'Site Info'!$A:$G,3,FALSE),"")</f>
        <v>15800 SOUTH FWY</v>
      </c>
      <c r="L786" t="str">
        <f>IFERROR(VLOOKUP(VALUE(J786),'Site Info'!$A:$G,4,FALSE),"")</f>
        <v>PEARLAND</v>
      </c>
      <c r="M786" t="str">
        <f>IFERROR(VLOOKUP(VALUE(J786),'Site Info'!$A:$G,5,FALSE),"")</f>
        <v>TX</v>
      </c>
      <c r="N786" t="str">
        <f>IFERROR(VLOOKUP(VALUE(J786),'Site Info'!$A:$G,6,FALSE),"")</f>
        <v>77584-1834</v>
      </c>
      <c r="O786">
        <f>IFERROR(VLOOKUP(VALUE(J786),'Site Info'!$A:$G,7,FALSE),"")</f>
        <v>7139860080</v>
      </c>
    </row>
    <row r="787" spans="1:15" x14ac:dyDescent="0.45">
      <c r="A787" t="s">
        <v>5576</v>
      </c>
      <c r="B787" t="s">
        <v>5577</v>
      </c>
      <c r="C787" t="s">
        <v>5578</v>
      </c>
      <c r="D787" t="s">
        <v>1595</v>
      </c>
      <c r="E787" s="1">
        <v>46086.553912037038</v>
      </c>
      <c r="F787">
        <v>1547</v>
      </c>
      <c r="G787" t="s">
        <v>5579</v>
      </c>
      <c r="H787" t="s">
        <v>15</v>
      </c>
      <c r="I787" t="s">
        <v>1597</v>
      </c>
      <c r="J787" t="str">
        <f>RIGHT(D787,4)</f>
        <v>6401</v>
      </c>
      <c r="K787" t="str">
        <f>IFERROR(VLOOKUP(VALUE(J787),'Site Info'!$A:$G,3,FALSE),"")</f>
        <v>15835 NORTH DALE MABRY</v>
      </c>
      <c r="L787" t="str">
        <f>IFERROR(VLOOKUP(VALUE(J787),'Site Info'!$A:$G,4,FALSE),"")</f>
        <v>TAMPA</v>
      </c>
      <c r="M787" t="str">
        <f>IFERROR(VLOOKUP(VALUE(J787),'Site Info'!$A:$G,5,FALSE),"")</f>
        <v>FL</v>
      </c>
      <c r="N787" t="str">
        <f>IFERROR(VLOOKUP(VALUE(J787),'Site Info'!$A:$G,6,FALSE),"")</f>
        <v>33618-1646</v>
      </c>
      <c r="O787">
        <f>IFERROR(VLOOKUP(VALUE(J787),'Site Info'!$A:$G,7,FALSE),"")</f>
        <v>8139602110</v>
      </c>
    </row>
    <row r="788" spans="1:15" x14ac:dyDescent="0.45">
      <c r="A788" t="s">
        <v>8607</v>
      </c>
      <c r="B788" t="s">
        <v>8608</v>
      </c>
      <c r="C788" t="s">
        <v>8609</v>
      </c>
      <c r="D788" t="s">
        <v>1595</v>
      </c>
      <c r="E788" s="1">
        <v>46150.397245370368</v>
      </c>
      <c r="F788">
        <v>1547</v>
      </c>
      <c r="G788" t="s">
        <v>8610</v>
      </c>
      <c r="H788" t="s">
        <v>15</v>
      </c>
      <c r="I788" t="s">
        <v>1597</v>
      </c>
      <c r="J788" t="str">
        <f>RIGHT(D788,4)</f>
        <v>6401</v>
      </c>
      <c r="K788" t="str">
        <f>IFERROR(VLOOKUP(VALUE(J788),'Site Info'!$A:$G,3,FALSE),"")</f>
        <v>15835 NORTH DALE MABRY</v>
      </c>
      <c r="L788" t="str">
        <f>IFERROR(VLOOKUP(VALUE(J788),'Site Info'!$A:$G,4,FALSE),"")</f>
        <v>TAMPA</v>
      </c>
      <c r="M788" t="str">
        <f>IFERROR(VLOOKUP(VALUE(J788),'Site Info'!$A:$G,5,FALSE),"")</f>
        <v>FL</v>
      </c>
      <c r="N788" t="str">
        <f>IFERROR(VLOOKUP(VALUE(J788),'Site Info'!$A:$G,6,FALSE),"")</f>
        <v>33618-1646</v>
      </c>
      <c r="O788">
        <f>IFERROR(VLOOKUP(VALUE(J788),'Site Info'!$A:$G,7,FALSE),"")</f>
        <v>8139602110</v>
      </c>
    </row>
    <row r="789" spans="1:15" x14ac:dyDescent="0.45">
      <c r="A789" t="s">
        <v>8753</v>
      </c>
      <c r="B789" t="s">
        <v>8754</v>
      </c>
      <c r="C789" t="s">
        <v>8755</v>
      </c>
      <c r="D789" t="s">
        <v>1595</v>
      </c>
      <c r="E789" s="1">
        <v>46152.553055555552</v>
      </c>
      <c r="F789">
        <v>1547</v>
      </c>
      <c r="G789" t="s">
        <v>8756</v>
      </c>
      <c r="H789" t="s">
        <v>15</v>
      </c>
      <c r="I789" t="s">
        <v>1597</v>
      </c>
      <c r="J789" t="str">
        <f>RIGHT(D789,4)</f>
        <v>6401</v>
      </c>
      <c r="K789" t="str">
        <f>IFERROR(VLOOKUP(VALUE(J789),'Site Info'!$A:$G,3,FALSE),"")</f>
        <v>15835 NORTH DALE MABRY</v>
      </c>
      <c r="L789" t="str">
        <f>IFERROR(VLOOKUP(VALUE(J789),'Site Info'!$A:$G,4,FALSE),"")</f>
        <v>TAMPA</v>
      </c>
      <c r="M789" t="str">
        <f>IFERROR(VLOOKUP(VALUE(J789),'Site Info'!$A:$G,5,FALSE),"")</f>
        <v>FL</v>
      </c>
      <c r="N789" t="str">
        <f>IFERROR(VLOOKUP(VALUE(J789),'Site Info'!$A:$G,6,FALSE),"")</f>
        <v>33618-1646</v>
      </c>
      <c r="O789">
        <f>IFERROR(VLOOKUP(VALUE(J789),'Site Info'!$A:$G,7,FALSE),"")</f>
        <v>8139602110</v>
      </c>
    </row>
    <row r="790" spans="1:15" x14ac:dyDescent="0.45">
      <c r="A790" t="s">
        <v>5966</v>
      </c>
      <c r="B790" t="s">
        <v>5967</v>
      </c>
      <c r="C790" t="s">
        <v>5968</v>
      </c>
      <c r="D790" t="s">
        <v>1595</v>
      </c>
      <c r="E790" s="1">
        <v>46153.324918981481</v>
      </c>
      <c r="F790">
        <v>1547</v>
      </c>
      <c r="G790" t="s">
        <v>5969</v>
      </c>
      <c r="H790" t="s">
        <v>15</v>
      </c>
      <c r="I790" t="s">
        <v>1597</v>
      </c>
      <c r="J790" t="str">
        <f>RIGHT(D790,4)</f>
        <v>6401</v>
      </c>
      <c r="K790" t="str">
        <f>IFERROR(VLOOKUP(VALUE(J790),'Site Info'!$A:$G,3,FALSE),"")</f>
        <v>15835 NORTH DALE MABRY</v>
      </c>
      <c r="L790" t="str">
        <f>IFERROR(VLOOKUP(VALUE(J790),'Site Info'!$A:$G,4,FALSE),"")</f>
        <v>TAMPA</v>
      </c>
      <c r="M790" t="str">
        <f>IFERROR(VLOOKUP(VALUE(J790),'Site Info'!$A:$G,5,FALSE),"")</f>
        <v>FL</v>
      </c>
      <c r="N790" t="str">
        <f>IFERROR(VLOOKUP(VALUE(J790),'Site Info'!$A:$G,6,FALSE),"")</f>
        <v>33618-1646</v>
      </c>
      <c r="O790">
        <f>IFERROR(VLOOKUP(VALUE(J790),'Site Info'!$A:$G,7,FALSE),"")</f>
        <v>8139602110</v>
      </c>
    </row>
    <row r="791" spans="1:15" x14ac:dyDescent="0.45">
      <c r="A791" t="s">
        <v>2052</v>
      </c>
      <c r="B791" t="s">
        <v>2053</v>
      </c>
      <c r="C791" t="s">
        <v>2054</v>
      </c>
      <c r="D791" t="s">
        <v>1595</v>
      </c>
      <c r="E791" s="1">
        <v>46151.532256944447</v>
      </c>
      <c r="F791">
        <v>1481</v>
      </c>
      <c r="G791" t="s">
        <v>2055</v>
      </c>
      <c r="H791" t="s">
        <v>15</v>
      </c>
      <c r="I791" t="s">
        <v>1597</v>
      </c>
      <c r="J791" t="str">
        <f>RIGHT(D791,4)</f>
        <v>6401</v>
      </c>
      <c r="K791" t="str">
        <f>IFERROR(VLOOKUP(VALUE(J791),'Site Info'!$A:$G,3,FALSE),"")</f>
        <v>15835 NORTH DALE MABRY</v>
      </c>
      <c r="L791" t="str">
        <f>IFERROR(VLOOKUP(VALUE(J791),'Site Info'!$A:$G,4,FALSE),"")</f>
        <v>TAMPA</v>
      </c>
      <c r="M791" t="str">
        <f>IFERROR(VLOOKUP(VALUE(J791),'Site Info'!$A:$G,5,FALSE),"")</f>
        <v>FL</v>
      </c>
      <c r="N791" t="str">
        <f>IFERROR(VLOOKUP(VALUE(J791),'Site Info'!$A:$G,6,FALSE),"")</f>
        <v>33618-1646</v>
      </c>
      <c r="O791">
        <f>IFERROR(VLOOKUP(VALUE(J791),'Site Info'!$A:$G,7,FALSE),"")</f>
        <v>8139602110</v>
      </c>
    </row>
    <row r="792" spans="1:15" x14ac:dyDescent="0.45">
      <c r="A792" t="s">
        <v>2389</v>
      </c>
      <c r="B792" t="s">
        <v>2390</v>
      </c>
      <c r="C792" t="s">
        <v>2391</v>
      </c>
      <c r="D792" t="s">
        <v>1595</v>
      </c>
      <c r="E792" s="1">
        <v>46152.416284722225</v>
      </c>
      <c r="F792">
        <v>1481</v>
      </c>
      <c r="G792" t="s">
        <v>2392</v>
      </c>
      <c r="H792" t="s">
        <v>15</v>
      </c>
      <c r="I792" t="s">
        <v>1597</v>
      </c>
      <c r="J792" t="str">
        <f>RIGHT(D792,4)</f>
        <v>6401</v>
      </c>
      <c r="K792" t="str">
        <f>IFERROR(VLOOKUP(VALUE(J792),'Site Info'!$A:$G,3,FALSE),"")</f>
        <v>15835 NORTH DALE MABRY</v>
      </c>
      <c r="L792" t="str">
        <f>IFERROR(VLOOKUP(VALUE(J792),'Site Info'!$A:$G,4,FALSE),"")</f>
        <v>TAMPA</v>
      </c>
      <c r="M792" t="str">
        <f>IFERROR(VLOOKUP(VALUE(J792),'Site Info'!$A:$G,5,FALSE),"")</f>
        <v>FL</v>
      </c>
      <c r="N792" t="str">
        <f>IFERROR(VLOOKUP(VALUE(J792),'Site Info'!$A:$G,6,FALSE),"")</f>
        <v>33618-1646</v>
      </c>
      <c r="O792">
        <f>IFERROR(VLOOKUP(VALUE(J792),'Site Info'!$A:$G,7,FALSE),"")</f>
        <v>8139602110</v>
      </c>
    </row>
    <row r="793" spans="1:15" x14ac:dyDescent="0.45">
      <c r="A793" t="s">
        <v>1592</v>
      </c>
      <c r="B793" t="s">
        <v>1593</v>
      </c>
      <c r="C793" t="s">
        <v>1594</v>
      </c>
      <c r="D793" t="s">
        <v>1595</v>
      </c>
      <c r="E793" s="1">
        <v>46153.309583333335</v>
      </c>
      <c r="F793">
        <v>1481</v>
      </c>
      <c r="G793" t="s">
        <v>1596</v>
      </c>
      <c r="H793" t="s">
        <v>15</v>
      </c>
      <c r="I793" t="s">
        <v>1597</v>
      </c>
      <c r="J793" t="str">
        <f>RIGHT(D793,4)</f>
        <v>6401</v>
      </c>
      <c r="K793" t="str">
        <f>IFERROR(VLOOKUP(VALUE(J793),'Site Info'!$A:$G,3,FALSE),"")</f>
        <v>15835 NORTH DALE MABRY</v>
      </c>
      <c r="L793" t="str">
        <f>IFERROR(VLOOKUP(VALUE(J793),'Site Info'!$A:$G,4,FALSE),"")</f>
        <v>TAMPA</v>
      </c>
      <c r="M793" t="str">
        <f>IFERROR(VLOOKUP(VALUE(J793),'Site Info'!$A:$G,5,FALSE),"")</f>
        <v>FL</v>
      </c>
      <c r="N793" t="str">
        <f>IFERROR(VLOOKUP(VALUE(J793),'Site Info'!$A:$G,6,FALSE),"")</f>
        <v>33618-1646</v>
      </c>
      <c r="O793">
        <f>IFERROR(VLOOKUP(VALUE(J793),'Site Info'!$A:$G,7,FALSE),"")</f>
        <v>8139602110</v>
      </c>
    </row>
    <row r="794" spans="1:15" x14ac:dyDescent="0.45">
      <c r="A794" t="s">
        <v>1930</v>
      </c>
      <c r="B794" t="s">
        <v>1931</v>
      </c>
      <c r="C794" t="s">
        <v>1932</v>
      </c>
      <c r="D794" t="s">
        <v>1595</v>
      </c>
      <c r="E794" s="1">
        <v>46153.360891203702</v>
      </c>
      <c r="F794">
        <v>1481</v>
      </c>
      <c r="G794" t="s">
        <v>1933</v>
      </c>
      <c r="H794" t="s">
        <v>15</v>
      </c>
      <c r="I794" t="s">
        <v>1597</v>
      </c>
      <c r="J794" t="str">
        <f>RIGHT(D794,4)</f>
        <v>6401</v>
      </c>
      <c r="K794" t="str">
        <f>IFERROR(VLOOKUP(VALUE(J794),'Site Info'!$A:$G,3,FALSE),"")</f>
        <v>15835 NORTH DALE MABRY</v>
      </c>
      <c r="L794" t="str">
        <f>IFERROR(VLOOKUP(VALUE(J794),'Site Info'!$A:$G,4,FALSE),"")</f>
        <v>TAMPA</v>
      </c>
      <c r="M794" t="str">
        <f>IFERROR(VLOOKUP(VALUE(J794),'Site Info'!$A:$G,5,FALSE),"")</f>
        <v>FL</v>
      </c>
      <c r="N794" t="str">
        <f>IFERROR(VLOOKUP(VALUE(J794),'Site Info'!$A:$G,6,FALSE),"")</f>
        <v>33618-1646</v>
      </c>
      <c r="O794">
        <f>IFERROR(VLOOKUP(VALUE(J794),'Site Info'!$A:$G,7,FALSE),"")</f>
        <v>8139602110</v>
      </c>
    </row>
    <row r="795" spans="1:15" x14ac:dyDescent="0.45">
      <c r="A795" t="s">
        <v>5364</v>
      </c>
      <c r="B795" t="s">
        <v>5365</v>
      </c>
      <c r="C795" t="s">
        <v>5366</v>
      </c>
      <c r="D795" t="s">
        <v>5231</v>
      </c>
      <c r="E795" s="1">
        <v>46153.270300925928</v>
      </c>
      <c r="F795">
        <v>1548</v>
      </c>
      <c r="G795" t="s">
        <v>5367</v>
      </c>
      <c r="H795" t="s">
        <v>15</v>
      </c>
      <c r="I795" t="s">
        <v>5233</v>
      </c>
      <c r="J795" t="str">
        <f>RIGHT(D795,4)</f>
        <v>6485</v>
      </c>
      <c r="K795" t="str">
        <f>IFERROR(VLOOKUP(VALUE(J795),'Site Info'!$A:$G,3,FALSE),"")</f>
        <v>16100 HARLEM AVE</v>
      </c>
      <c r="L795" t="str">
        <f>IFERROR(VLOOKUP(VALUE(J795),'Site Info'!$A:$G,4,FALSE),"")</f>
        <v>TINLEY PARK</v>
      </c>
      <c r="M795" t="str">
        <f>IFERROR(VLOOKUP(VALUE(J795),'Site Info'!$A:$G,5,FALSE),"")</f>
        <v>IL</v>
      </c>
      <c r="N795" t="str">
        <f>IFERROR(VLOOKUP(VALUE(J795),'Site Info'!$A:$G,6,FALSE),"")</f>
        <v>60477-1614</v>
      </c>
      <c r="O795">
        <f>IFERROR(VLOOKUP(VALUE(J795),'Site Info'!$A:$G,7,FALSE),"")</f>
        <v>7084296069</v>
      </c>
    </row>
    <row r="796" spans="1:15" x14ac:dyDescent="0.45">
      <c r="A796" t="s">
        <v>14439</v>
      </c>
      <c r="B796" t="s">
        <v>14440</v>
      </c>
      <c r="C796" t="s">
        <v>14441</v>
      </c>
      <c r="D796" t="s">
        <v>5231</v>
      </c>
      <c r="E796" s="1">
        <v>46151.724976851852</v>
      </c>
      <c r="F796">
        <v>1547</v>
      </c>
      <c r="G796" t="s">
        <v>14442</v>
      </c>
      <c r="H796" t="s">
        <v>15</v>
      </c>
      <c r="I796" t="s">
        <v>5233</v>
      </c>
      <c r="J796" t="str">
        <f>RIGHT(D796,4)</f>
        <v>6485</v>
      </c>
      <c r="K796" t="str">
        <f>IFERROR(VLOOKUP(VALUE(J796),'Site Info'!$A:$G,3,FALSE),"")</f>
        <v>16100 HARLEM AVE</v>
      </c>
      <c r="L796" t="str">
        <f>IFERROR(VLOOKUP(VALUE(J796),'Site Info'!$A:$G,4,FALSE),"")</f>
        <v>TINLEY PARK</v>
      </c>
      <c r="M796" t="str">
        <f>IFERROR(VLOOKUP(VALUE(J796),'Site Info'!$A:$G,5,FALSE),"")</f>
        <v>IL</v>
      </c>
      <c r="N796" t="str">
        <f>IFERROR(VLOOKUP(VALUE(J796),'Site Info'!$A:$G,6,FALSE),"")</f>
        <v>60477-1614</v>
      </c>
      <c r="O796">
        <f>IFERROR(VLOOKUP(VALUE(J796),'Site Info'!$A:$G,7,FALSE),"")</f>
        <v>7084296069</v>
      </c>
    </row>
    <row r="797" spans="1:15" x14ac:dyDescent="0.45">
      <c r="A797" t="s">
        <v>5228</v>
      </c>
      <c r="B797" t="s">
        <v>5229</v>
      </c>
      <c r="C797" t="s">
        <v>5230</v>
      </c>
      <c r="D797" t="s">
        <v>5231</v>
      </c>
      <c r="E797" s="1">
        <v>46152.641412037039</v>
      </c>
      <c r="F797">
        <v>1547</v>
      </c>
      <c r="G797" t="s">
        <v>5232</v>
      </c>
      <c r="H797" t="s">
        <v>15</v>
      </c>
      <c r="I797" t="s">
        <v>5233</v>
      </c>
      <c r="J797" t="str">
        <f>RIGHT(D797,4)</f>
        <v>6485</v>
      </c>
      <c r="K797" t="str">
        <f>IFERROR(VLOOKUP(VALUE(J797),'Site Info'!$A:$G,3,FALSE),"")</f>
        <v>16100 HARLEM AVE</v>
      </c>
      <c r="L797" t="str">
        <f>IFERROR(VLOOKUP(VALUE(J797),'Site Info'!$A:$G,4,FALSE),"")</f>
        <v>TINLEY PARK</v>
      </c>
      <c r="M797" t="str">
        <f>IFERROR(VLOOKUP(VALUE(J797),'Site Info'!$A:$G,5,FALSE),"")</f>
        <v>IL</v>
      </c>
      <c r="N797" t="str">
        <f>IFERROR(VLOOKUP(VALUE(J797),'Site Info'!$A:$G,6,FALSE),"")</f>
        <v>60477-1614</v>
      </c>
      <c r="O797">
        <f>IFERROR(VLOOKUP(VALUE(J797),'Site Info'!$A:$G,7,FALSE),"")</f>
        <v>7084296069</v>
      </c>
    </row>
    <row r="798" spans="1:15" x14ac:dyDescent="0.45">
      <c r="A798" t="s">
        <v>5650</v>
      </c>
      <c r="B798" t="s">
        <v>5651</v>
      </c>
      <c r="C798" t="s">
        <v>5652</v>
      </c>
      <c r="D798" t="s">
        <v>5231</v>
      </c>
      <c r="E798" s="1">
        <v>46153.329224537039</v>
      </c>
      <c r="F798">
        <v>1547</v>
      </c>
      <c r="G798" t="s">
        <v>5653</v>
      </c>
      <c r="H798" t="s">
        <v>15</v>
      </c>
      <c r="I798" t="s">
        <v>5233</v>
      </c>
      <c r="J798" t="str">
        <f>RIGHT(D798,4)</f>
        <v>6485</v>
      </c>
      <c r="K798" t="str">
        <f>IFERROR(VLOOKUP(VALUE(J798),'Site Info'!$A:$G,3,FALSE),"")</f>
        <v>16100 HARLEM AVE</v>
      </c>
      <c r="L798" t="str">
        <f>IFERROR(VLOOKUP(VALUE(J798),'Site Info'!$A:$G,4,FALSE),"")</f>
        <v>TINLEY PARK</v>
      </c>
      <c r="M798" t="str">
        <f>IFERROR(VLOOKUP(VALUE(J798),'Site Info'!$A:$G,5,FALSE),"")</f>
        <v>IL</v>
      </c>
      <c r="N798" t="str">
        <f>IFERROR(VLOOKUP(VALUE(J798),'Site Info'!$A:$G,6,FALSE),"")</f>
        <v>60477-1614</v>
      </c>
      <c r="O798">
        <f>IFERROR(VLOOKUP(VALUE(J798),'Site Info'!$A:$G,7,FALSE),"")</f>
        <v>7084296069</v>
      </c>
    </row>
    <row r="799" spans="1:15" x14ac:dyDescent="0.45">
      <c r="A799" t="s">
        <v>14091</v>
      </c>
      <c r="B799" t="s">
        <v>14092</v>
      </c>
      <c r="C799" t="s">
        <v>14093</v>
      </c>
      <c r="D799" t="s">
        <v>1015</v>
      </c>
      <c r="E799" s="1">
        <v>46153.351041666669</v>
      </c>
      <c r="F799">
        <v>1547</v>
      </c>
      <c r="G799" t="s">
        <v>14094</v>
      </c>
      <c r="H799" t="s">
        <v>15</v>
      </c>
      <c r="I799" t="s">
        <v>1017</v>
      </c>
      <c r="J799" t="str">
        <f>RIGHT(D799,4)</f>
        <v>8275</v>
      </c>
      <c r="K799" t="str">
        <f>IFERROR(VLOOKUP(VALUE(J799),'Site Info'!$A:$G,3,FALSE),"")</f>
        <v>1615 INTERSTATE 10 S</v>
      </c>
      <c r="L799" t="str">
        <f>IFERROR(VLOOKUP(VALUE(J799),'Site Info'!$A:$G,4,FALSE),"")</f>
        <v>BEAUMONT</v>
      </c>
      <c r="M799" t="str">
        <f>IFERROR(VLOOKUP(VALUE(J799),'Site Info'!$A:$G,5,FALSE),"")</f>
        <v>TX</v>
      </c>
      <c r="N799" t="str">
        <f>IFERROR(VLOOKUP(VALUE(J799),'Site Info'!$A:$G,6,FALSE),"")</f>
        <v>77701-4759</v>
      </c>
      <c r="O799">
        <f>IFERROR(VLOOKUP(VALUE(J799),'Site Info'!$A:$G,7,FALSE),"")</f>
        <v>4098425071</v>
      </c>
    </row>
    <row r="800" spans="1:15" x14ac:dyDescent="0.45">
      <c r="A800" t="s">
        <v>8321</v>
      </c>
      <c r="B800" t="s">
        <v>8322</v>
      </c>
      <c r="C800" t="s">
        <v>8323</v>
      </c>
      <c r="D800" t="s">
        <v>1015</v>
      </c>
      <c r="E800" s="1">
        <v>46153.36991898148</v>
      </c>
      <c r="F800">
        <v>1547</v>
      </c>
      <c r="G800" t="s">
        <v>8324</v>
      </c>
      <c r="H800" t="s">
        <v>15</v>
      </c>
      <c r="I800" t="s">
        <v>1017</v>
      </c>
      <c r="J800" t="str">
        <f>RIGHT(D800,4)</f>
        <v>8275</v>
      </c>
      <c r="K800" t="str">
        <f>IFERROR(VLOOKUP(VALUE(J800),'Site Info'!$A:$G,3,FALSE),"")</f>
        <v>1615 INTERSTATE 10 S</v>
      </c>
      <c r="L800" t="str">
        <f>IFERROR(VLOOKUP(VALUE(J800),'Site Info'!$A:$G,4,FALSE),"")</f>
        <v>BEAUMONT</v>
      </c>
      <c r="M800" t="str">
        <f>IFERROR(VLOOKUP(VALUE(J800),'Site Info'!$A:$G,5,FALSE),"")</f>
        <v>TX</v>
      </c>
      <c r="N800" t="str">
        <f>IFERROR(VLOOKUP(VALUE(J800),'Site Info'!$A:$G,6,FALSE),"")</f>
        <v>77701-4759</v>
      </c>
      <c r="O800">
        <f>IFERROR(VLOOKUP(VALUE(J800),'Site Info'!$A:$G,7,FALSE),"")</f>
        <v>4098425071</v>
      </c>
    </row>
    <row r="801" spans="1:15" x14ac:dyDescent="0.45">
      <c r="A801" t="s">
        <v>6593</v>
      </c>
      <c r="B801" t="s">
        <v>6594</v>
      </c>
      <c r="C801" t="s">
        <v>6595</v>
      </c>
      <c r="D801" t="s">
        <v>1015</v>
      </c>
      <c r="E801" s="1">
        <v>46153.370532407411</v>
      </c>
      <c r="F801">
        <v>1547</v>
      </c>
      <c r="G801" t="s">
        <v>6596</v>
      </c>
      <c r="H801" t="s">
        <v>15</v>
      </c>
      <c r="I801" t="s">
        <v>1017</v>
      </c>
      <c r="J801" t="str">
        <f>RIGHT(D801,4)</f>
        <v>8275</v>
      </c>
      <c r="K801" t="str">
        <f>IFERROR(VLOOKUP(VALUE(J801),'Site Info'!$A:$G,3,FALSE),"")</f>
        <v>1615 INTERSTATE 10 S</v>
      </c>
      <c r="L801" t="str">
        <f>IFERROR(VLOOKUP(VALUE(J801),'Site Info'!$A:$G,4,FALSE),"")</f>
        <v>BEAUMONT</v>
      </c>
      <c r="M801" t="str">
        <f>IFERROR(VLOOKUP(VALUE(J801),'Site Info'!$A:$G,5,FALSE),"")</f>
        <v>TX</v>
      </c>
      <c r="N801" t="str">
        <f>IFERROR(VLOOKUP(VALUE(J801),'Site Info'!$A:$G,6,FALSE),"")</f>
        <v>77701-4759</v>
      </c>
      <c r="O801">
        <f>IFERROR(VLOOKUP(VALUE(J801),'Site Info'!$A:$G,7,FALSE),"")</f>
        <v>4098425071</v>
      </c>
    </row>
    <row r="802" spans="1:15" x14ac:dyDescent="0.45">
      <c r="A802" t="s">
        <v>1012</v>
      </c>
      <c r="B802" t="s">
        <v>1013</v>
      </c>
      <c r="C802" t="s">
        <v>1014</v>
      </c>
      <c r="D802" t="s">
        <v>1015</v>
      </c>
      <c r="E802" s="1">
        <v>46153.082256944443</v>
      </c>
      <c r="F802">
        <v>1481</v>
      </c>
      <c r="G802" t="s">
        <v>1016</v>
      </c>
      <c r="H802" t="s">
        <v>15</v>
      </c>
      <c r="I802" t="s">
        <v>1017</v>
      </c>
      <c r="J802" t="str">
        <f>RIGHT(D802,4)</f>
        <v>8275</v>
      </c>
      <c r="K802" t="str">
        <f>IFERROR(VLOOKUP(VALUE(J802),'Site Info'!$A:$G,3,FALSE),"")</f>
        <v>1615 INTERSTATE 10 S</v>
      </c>
      <c r="L802" t="str">
        <f>IFERROR(VLOOKUP(VALUE(J802),'Site Info'!$A:$G,4,FALSE),"")</f>
        <v>BEAUMONT</v>
      </c>
      <c r="M802" t="str">
        <f>IFERROR(VLOOKUP(VALUE(J802),'Site Info'!$A:$G,5,FALSE),"")</f>
        <v>TX</v>
      </c>
      <c r="N802" t="str">
        <f>IFERROR(VLOOKUP(VALUE(J802),'Site Info'!$A:$G,6,FALSE),"")</f>
        <v>77701-4759</v>
      </c>
      <c r="O802">
        <f>IFERROR(VLOOKUP(VALUE(J802),'Site Info'!$A:$G,7,FALSE),"")</f>
        <v>4098425071</v>
      </c>
    </row>
    <row r="803" spans="1:15" x14ac:dyDescent="0.45">
      <c r="A803" t="s">
        <v>14547</v>
      </c>
      <c r="B803" t="s">
        <v>14548</v>
      </c>
      <c r="C803" t="s">
        <v>14549</v>
      </c>
      <c r="D803" t="s">
        <v>14550</v>
      </c>
      <c r="E803" s="1">
        <v>46150.799247685187</v>
      </c>
      <c r="F803">
        <v>1481</v>
      </c>
      <c r="G803" t="s">
        <v>14551</v>
      </c>
      <c r="H803" t="s">
        <v>15</v>
      </c>
      <c r="J803" t="str">
        <f>RIGHT(D803,4)</f>
        <v>7684</v>
      </c>
      <c r="K803" t="str">
        <f>IFERROR(VLOOKUP(VALUE(J803),'Site Info'!$A:$G,3,FALSE),"")</f>
        <v>16150 GOLDEN VLY PKWY</v>
      </c>
      <c r="L803" t="str">
        <f>IFERROR(VLOOKUP(VALUE(J803),'Site Info'!$A:$G,4,FALSE),"")</f>
        <v>LATHROP</v>
      </c>
      <c r="M803" t="str">
        <f>IFERROR(VLOOKUP(VALUE(J803),'Site Info'!$A:$G,5,FALSE),"")</f>
        <v>CA</v>
      </c>
      <c r="N803" t="str">
        <f>IFERROR(VLOOKUP(VALUE(J803),'Site Info'!$A:$G,6,FALSE),"")</f>
        <v>95330-0000</v>
      </c>
      <c r="O803">
        <f>IFERROR(VLOOKUP(VALUE(J803),'Site Info'!$A:$G,7,FALSE),"")</f>
        <v>2093900324</v>
      </c>
    </row>
    <row r="804" spans="1:15" x14ac:dyDescent="0.45">
      <c r="A804" t="s">
        <v>14568</v>
      </c>
      <c r="B804" t="s">
        <v>14569</v>
      </c>
      <c r="C804" t="s">
        <v>14570</v>
      </c>
      <c r="D804" t="s">
        <v>14550</v>
      </c>
      <c r="E804" s="1">
        <v>46152.224745370368</v>
      </c>
      <c r="F804">
        <v>1481</v>
      </c>
      <c r="G804" t="s">
        <v>14571</v>
      </c>
      <c r="H804" t="s">
        <v>15</v>
      </c>
      <c r="J804" t="str">
        <f>RIGHT(D804,4)</f>
        <v>7684</v>
      </c>
      <c r="K804" t="str">
        <f>IFERROR(VLOOKUP(VALUE(J804),'Site Info'!$A:$G,3,FALSE),"")</f>
        <v>16150 GOLDEN VLY PKWY</v>
      </c>
      <c r="L804" t="str">
        <f>IFERROR(VLOOKUP(VALUE(J804),'Site Info'!$A:$G,4,FALSE),"")</f>
        <v>LATHROP</v>
      </c>
      <c r="M804" t="str">
        <f>IFERROR(VLOOKUP(VALUE(J804),'Site Info'!$A:$G,5,FALSE),"")</f>
        <v>CA</v>
      </c>
      <c r="N804" t="str">
        <f>IFERROR(VLOOKUP(VALUE(J804),'Site Info'!$A:$G,6,FALSE),"")</f>
        <v>95330-0000</v>
      </c>
      <c r="O804">
        <f>IFERROR(VLOOKUP(VALUE(J804),'Site Info'!$A:$G,7,FALSE),"")</f>
        <v>2093900324</v>
      </c>
    </row>
    <row r="805" spans="1:15" x14ac:dyDescent="0.45">
      <c r="A805" t="s">
        <v>11094</v>
      </c>
      <c r="B805" t="s">
        <v>11095</v>
      </c>
      <c r="C805" t="s">
        <v>11096</v>
      </c>
      <c r="D805" t="s">
        <v>1437</v>
      </c>
      <c r="E805" s="1">
        <v>46151.875555555554</v>
      </c>
      <c r="F805">
        <v>1547</v>
      </c>
      <c r="G805" t="s">
        <v>11097</v>
      </c>
      <c r="H805" t="s">
        <v>15</v>
      </c>
      <c r="I805" t="s">
        <v>1439</v>
      </c>
      <c r="J805" t="str">
        <f>RIGHT(D805,4)</f>
        <v>4955</v>
      </c>
      <c r="K805" t="str">
        <f>IFERROR(VLOOKUP(VALUE(J805),'Site Info'!$A:$G,3,FALSE),"")</f>
        <v>16573 W BELL RD</v>
      </c>
      <c r="L805" t="str">
        <f>IFERROR(VLOOKUP(VALUE(J805),'Site Info'!$A:$G,4,FALSE),"")</f>
        <v>SURPRISE</v>
      </c>
      <c r="M805" t="str">
        <f>IFERROR(VLOOKUP(VALUE(J805),'Site Info'!$A:$G,5,FALSE),"")</f>
        <v>AZ</v>
      </c>
      <c r="N805" t="str">
        <f>IFERROR(VLOOKUP(VALUE(J805),'Site Info'!$A:$G,6,FALSE),"")</f>
        <v>85374-9892</v>
      </c>
      <c r="O805">
        <f>IFERROR(VLOOKUP(VALUE(J805),'Site Info'!$A:$G,7,FALSE),"")</f>
        <v>6235840054</v>
      </c>
    </row>
    <row r="806" spans="1:15" x14ac:dyDescent="0.45">
      <c r="A806" t="s">
        <v>10813</v>
      </c>
      <c r="B806" t="s">
        <v>10814</v>
      </c>
      <c r="C806" t="s">
        <v>10815</v>
      </c>
      <c r="D806" t="s">
        <v>1437</v>
      </c>
      <c r="E806" s="1">
        <v>46152.52884259259</v>
      </c>
      <c r="F806">
        <v>1547</v>
      </c>
      <c r="G806" t="s">
        <v>10816</v>
      </c>
      <c r="H806" t="s">
        <v>15</v>
      </c>
      <c r="I806" t="s">
        <v>1439</v>
      </c>
      <c r="J806" t="str">
        <f>RIGHT(D806,4)</f>
        <v>4955</v>
      </c>
      <c r="K806" t="str">
        <f>IFERROR(VLOOKUP(VALUE(J806),'Site Info'!$A:$G,3,FALSE),"")</f>
        <v>16573 W BELL RD</v>
      </c>
      <c r="L806" t="str">
        <f>IFERROR(VLOOKUP(VALUE(J806),'Site Info'!$A:$G,4,FALSE),"")</f>
        <v>SURPRISE</v>
      </c>
      <c r="M806" t="str">
        <f>IFERROR(VLOOKUP(VALUE(J806),'Site Info'!$A:$G,5,FALSE),"")</f>
        <v>AZ</v>
      </c>
      <c r="N806" t="str">
        <f>IFERROR(VLOOKUP(VALUE(J806),'Site Info'!$A:$G,6,FALSE),"")</f>
        <v>85374-9892</v>
      </c>
      <c r="O806">
        <f>IFERROR(VLOOKUP(VALUE(J806),'Site Info'!$A:$G,7,FALSE),"")</f>
        <v>6235840054</v>
      </c>
    </row>
    <row r="807" spans="1:15" x14ac:dyDescent="0.45">
      <c r="A807" t="s">
        <v>11300</v>
      </c>
      <c r="B807" t="s">
        <v>11301</v>
      </c>
      <c r="C807" t="s">
        <v>11302</v>
      </c>
      <c r="D807" t="s">
        <v>1437</v>
      </c>
      <c r="E807" s="1">
        <v>46152.75949074074</v>
      </c>
      <c r="F807">
        <v>1547</v>
      </c>
      <c r="G807" t="s">
        <v>11303</v>
      </c>
      <c r="H807" t="s">
        <v>15</v>
      </c>
      <c r="I807" t="s">
        <v>1439</v>
      </c>
      <c r="J807" t="str">
        <f>RIGHT(D807,4)</f>
        <v>4955</v>
      </c>
      <c r="K807" t="str">
        <f>IFERROR(VLOOKUP(VALUE(J807),'Site Info'!$A:$G,3,FALSE),"")</f>
        <v>16573 W BELL RD</v>
      </c>
      <c r="L807" t="str">
        <f>IFERROR(VLOOKUP(VALUE(J807),'Site Info'!$A:$G,4,FALSE),"")</f>
        <v>SURPRISE</v>
      </c>
      <c r="M807" t="str">
        <f>IFERROR(VLOOKUP(VALUE(J807),'Site Info'!$A:$G,5,FALSE),"")</f>
        <v>AZ</v>
      </c>
      <c r="N807" t="str">
        <f>IFERROR(VLOOKUP(VALUE(J807),'Site Info'!$A:$G,6,FALSE),"")</f>
        <v>85374-9892</v>
      </c>
      <c r="O807">
        <f>IFERROR(VLOOKUP(VALUE(J807),'Site Info'!$A:$G,7,FALSE),"")</f>
        <v>6235840054</v>
      </c>
    </row>
    <row r="808" spans="1:15" x14ac:dyDescent="0.45">
      <c r="A808" t="s">
        <v>11134</v>
      </c>
      <c r="B808" t="s">
        <v>11135</v>
      </c>
      <c r="C808" t="s">
        <v>11136</v>
      </c>
      <c r="D808" t="s">
        <v>1437</v>
      </c>
      <c r="E808" s="1">
        <v>46152.765150462961</v>
      </c>
      <c r="F808">
        <v>1547</v>
      </c>
      <c r="G808" t="s">
        <v>11137</v>
      </c>
      <c r="H808" t="s">
        <v>15</v>
      </c>
      <c r="I808" t="s">
        <v>1439</v>
      </c>
      <c r="J808" t="str">
        <f>RIGHT(D808,4)</f>
        <v>4955</v>
      </c>
      <c r="K808" t="str">
        <f>IFERROR(VLOOKUP(VALUE(J808),'Site Info'!$A:$G,3,FALSE),"")</f>
        <v>16573 W BELL RD</v>
      </c>
      <c r="L808" t="str">
        <f>IFERROR(VLOOKUP(VALUE(J808),'Site Info'!$A:$G,4,FALSE),"")</f>
        <v>SURPRISE</v>
      </c>
      <c r="M808" t="str">
        <f>IFERROR(VLOOKUP(VALUE(J808),'Site Info'!$A:$G,5,FALSE),"")</f>
        <v>AZ</v>
      </c>
      <c r="N808" t="str">
        <f>IFERROR(VLOOKUP(VALUE(J808),'Site Info'!$A:$G,6,FALSE),"")</f>
        <v>85374-9892</v>
      </c>
      <c r="O808">
        <f>IFERROR(VLOOKUP(VALUE(J808),'Site Info'!$A:$G,7,FALSE),"")</f>
        <v>6235840054</v>
      </c>
    </row>
    <row r="809" spans="1:15" x14ac:dyDescent="0.45">
      <c r="A809" t="s">
        <v>11124</v>
      </c>
      <c r="B809" t="s">
        <v>11125</v>
      </c>
      <c r="C809" t="s">
        <v>11126</v>
      </c>
      <c r="D809" t="s">
        <v>1437</v>
      </c>
      <c r="E809" s="1">
        <v>46152.887800925928</v>
      </c>
      <c r="F809">
        <v>1547</v>
      </c>
      <c r="G809" t="s">
        <v>11127</v>
      </c>
      <c r="H809" t="s">
        <v>15</v>
      </c>
      <c r="I809" t="s">
        <v>1439</v>
      </c>
      <c r="J809" t="str">
        <f>RIGHT(D809,4)</f>
        <v>4955</v>
      </c>
      <c r="K809" t="str">
        <f>IFERROR(VLOOKUP(VALUE(J809),'Site Info'!$A:$G,3,FALSE),"")</f>
        <v>16573 W BELL RD</v>
      </c>
      <c r="L809" t="str">
        <f>IFERROR(VLOOKUP(VALUE(J809),'Site Info'!$A:$G,4,FALSE),"")</f>
        <v>SURPRISE</v>
      </c>
      <c r="M809" t="str">
        <f>IFERROR(VLOOKUP(VALUE(J809),'Site Info'!$A:$G,5,FALSE),"")</f>
        <v>AZ</v>
      </c>
      <c r="N809" t="str">
        <f>IFERROR(VLOOKUP(VALUE(J809),'Site Info'!$A:$G,6,FALSE),"")</f>
        <v>85374-9892</v>
      </c>
      <c r="O809">
        <f>IFERROR(VLOOKUP(VALUE(J809),'Site Info'!$A:$G,7,FALSE),"")</f>
        <v>6235840054</v>
      </c>
    </row>
    <row r="810" spans="1:15" x14ac:dyDescent="0.45">
      <c r="A810" t="s">
        <v>5246</v>
      </c>
      <c r="B810" t="s">
        <v>5247</v>
      </c>
      <c r="C810" t="s">
        <v>5248</v>
      </c>
      <c r="D810" t="s">
        <v>1437</v>
      </c>
      <c r="E810" s="1">
        <v>46153.281701388885</v>
      </c>
      <c r="F810">
        <v>1547</v>
      </c>
      <c r="G810" t="s">
        <v>5249</v>
      </c>
      <c r="H810" t="s">
        <v>15</v>
      </c>
      <c r="I810" t="s">
        <v>1439</v>
      </c>
      <c r="J810" t="str">
        <f>RIGHT(D810,4)</f>
        <v>4955</v>
      </c>
      <c r="K810" t="str">
        <f>IFERROR(VLOOKUP(VALUE(J810),'Site Info'!$A:$G,3,FALSE),"")</f>
        <v>16573 W BELL RD</v>
      </c>
      <c r="L810" t="str">
        <f>IFERROR(VLOOKUP(VALUE(J810),'Site Info'!$A:$G,4,FALSE),"")</f>
        <v>SURPRISE</v>
      </c>
      <c r="M810" t="str">
        <f>IFERROR(VLOOKUP(VALUE(J810),'Site Info'!$A:$G,5,FALSE),"")</f>
        <v>AZ</v>
      </c>
      <c r="N810" t="str">
        <f>IFERROR(VLOOKUP(VALUE(J810),'Site Info'!$A:$G,6,FALSE),"")</f>
        <v>85374-9892</v>
      </c>
      <c r="O810">
        <f>IFERROR(VLOOKUP(VALUE(J810),'Site Info'!$A:$G,7,FALSE),"")</f>
        <v>6235840054</v>
      </c>
    </row>
    <row r="811" spans="1:15" x14ac:dyDescent="0.45">
      <c r="A811" t="s">
        <v>3139</v>
      </c>
      <c r="B811" t="s">
        <v>3140</v>
      </c>
      <c r="C811" t="s">
        <v>3141</v>
      </c>
      <c r="D811" t="s">
        <v>1437</v>
      </c>
      <c r="E811" s="1">
        <v>46152.663518518515</v>
      </c>
      <c r="F811">
        <v>1481</v>
      </c>
      <c r="G811" t="s">
        <v>3142</v>
      </c>
      <c r="H811" t="s">
        <v>15</v>
      </c>
      <c r="I811" t="s">
        <v>1439</v>
      </c>
      <c r="J811" t="str">
        <f>RIGHT(D811,4)</f>
        <v>4955</v>
      </c>
      <c r="K811" t="str">
        <f>IFERROR(VLOOKUP(VALUE(J811),'Site Info'!$A:$G,3,FALSE),"")</f>
        <v>16573 W BELL RD</v>
      </c>
      <c r="L811" t="str">
        <f>IFERROR(VLOOKUP(VALUE(J811),'Site Info'!$A:$G,4,FALSE),"")</f>
        <v>SURPRISE</v>
      </c>
      <c r="M811" t="str">
        <f>IFERROR(VLOOKUP(VALUE(J811),'Site Info'!$A:$G,5,FALSE),"")</f>
        <v>AZ</v>
      </c>
      <c r="N811" t="str">
        <f>IFERROR(VLOOKUP(VALUE(J811),'Site Info'!$A:$G,6,FALSE),"")</f>
        <v>85374-9892</v>
      </c>
      <c r="O811">
        <f>IFERROR(VLOOKUP(VALUE(J811),'Site Info'!$A:$G,7,FALSE),"")</f>
        <v>6235840054</v>
      </c>
    </row>
    <row r="812" spans="1:15" x14ac:dyDescent="0.45">
      <c r="A812" t="s">
        <v>1514</v>
      </c>
      <c r="B812" t="s">
        <v>1515</v>
      </c>
      <c r="C812" t="s">
        <v>1516</v>
      </c>
      <c r="D812" t="s">
        <v>1437</v>
      </c>
      <c r="E812" s="1">
        <v>46153.273344907408</v>
      </c>
      <c r="F812">
        <v>1481</v>
      </c>
      <c r="G812" t="s">
        <v>1517</v>
      </c>
      <c r="H812" t="s">
        <v>15</v>
      </c>
      <c r="I812" t="s">
        <v>1439</v>
      </c>
      <c r="J812" t="str">
        <f>RIGHT(D812,4)</f>
        <v>4955</v>
      </c>
      <c r="K812" t="str">
        <f>IFERROR(VLOOKUP(VALUE(J812),'Site Info'!$A:$G,3,FALSE),"")</f>
        <v>16573 W BELL RD</v>
      </c>
      <c r="L812" t="str">
        <f>IFERROR(VLOOKUP(VALUE(J812),'Site Info'!$A:$G,4,FALSE),"")</f>
        <v>SURPRISE</v>
      </c>
      <c r="M812" t="str">
        <f>IFERROR(VLOOKUP(VALUE(J812),'Site Info'!$A:$G,5,FALSE),"")</f>
        <v>AZ</v>
      </c>
      <c r="N812" t="str">
        <f>IFERROR(VLOOKUP(VALUE(J812),'Site Info'!$A:$G,6,FALSE),"")</f>
        <v>85374-9892</v>
      </c>
      <c r="O812">
        <f>IFERROR(VLOOKUP(VALUE(J812),'Site Info'!$A:$G,7,FALSE),"")</f>
        <v>6235840054</v>
      </c>
    </row>
    <row r="813" spans="1:15" x14ac:dyDescent="0.45">
      <c r="A813" t="s">
        <v>1434</v>
      </c>
      <c r="B813" t="s">
        <v>1435</v>
      </c>
      <c r="C813" t="s">
        <v>1436</v>
      </c>
      <c r="D813" t="s">
        <v>1437</v>
      </c>
      <c r="E813" s="1">
        <v>46153.280798611115</v>
      </c>
      <c r="F813">
        <v>1481</v>
      </c>
      <c r="G813" t="s">
        <v>1438</v>
      </c>
      <c r="H813" t="s">
        <v>15</v>
      </c>
      <c r="I813" t="s">
        <v>1439</v>
      </c>
      <c r="J813" t="str">
        <f>RIGHT(D813,4)</f>
        <v>4955</v>
      </c>
      <c r="K813" t="str">
        <f>IFERROR(VLOOKUP(VALUE(J813),'Site Info'!$A:$G,3,FALSE),"")</f>
        <v>16573 W BELL RD</v>
      </c>
      <c r="L813" t="str">
        <f>IFERROR(VLOOKUP(VALUE(J813),'Site Info'!$A:$G,4,FALSE),"")</f>
        <v>SURPRISE</v>
      </c>
      <c r="M813" t="str">
        <f>IFERROR(VLOOKUP(VALUE(J813),'Site Info'!$A:$G,5,FALSE),"")</f>
        <v>AZ</v>
      </c>
      <c r="N813" t="str">
        <f>IFERROR(VLOOKUP(VALUE(J813),'Site Info'!$A:$G,6,FALSE),"")</f>
        <v>85374-9892</v>
      </c>
      <c r="O813">
        <f>IFERROR(VLOOKUP(VALUE(J813),'Site Info'!$A:$G,7,FALSE),"")</f>
        <v>6235840054</v>
      </c>
    </row>
    <row r="814" spans="1:15" x14ac:dyDescent="0.45">
      <c r="A814" t="s">
        <v>10484</v>
      </c>
      <c r="B814" t="s">
        <v>10485</v>
      </c>
      <c r="C814" t="s">
        <v>10486</v>
      </c>
      <c r="D814" t="s">
        <v>2183</v>
      </c>
      <c r="E814" s="1">
        <v>46152.507754629631</v>
      </c>
      <c r="F814">
        <v>1547</v>
      </c>
      <c r="G814" t="s">
        <v>10487</v>
      </c>
      <c r="H814" t="s">
        <v>15</v>
      </c>
      <c r="I814" t="s">
        <v>2185</v>
      </c>
      <c r="J814" t="str">
        <f>RIGHT(D814,4)</f>
        <v>4906</v>
      </c>
      <c r="K814" t="str">
        <f>IFERROR(VLOOKUP(VALUE(J814),'Site Info'!$A:$G,3,FALSE),"")</f>
        <v>1670 W UNIVERSITY DR</v>
      </c>
      <c r="L814" t="str">
        <f>IFERROR(VLOOKUP(VALUE(J814),'Site Info'!$A:$G,4,FALSE),"")</f>
        <v>MCKINNEY</v>
      </c>
      <c r="M814" t="str">
        <f>IFERROR(VLOOKUP(VALUE(J814),'Site Info'!$A:$G,5,FALSE),"")</f>
        <v>TX</v>
      </c>
      <c r="N814" t="str">
        <f>IFERROR(VLOOKUP(VALUE(J814),'Site Info'!$A:$G,6,FALSE),"")</f>
        <v>75069-3444</v>
      </c>
      <c r="O814">
        <f>IFERROR(VLOOKUP(VALUE(J814),'Site Info'!$A:$G,7,FALSE),"")</f>
        <v>4699522417</v>
      </c>
    </row>
    <row r="815" spans="1:15" x14ac:dyDescent="0.45">
      <c r="A815" t="s">
        <v>13904</v>
      </c>
      <c r="B815" t="s">
        <v>13905</v>
      </c>
      <c r="C815" t="s">
        <v>13906</v>
      </c>
      <c r="D815" t="s">
        <v>2183</v>
      </c>
      <c r="E815" s="1">
        <v>46152.513113425928</v>
      </c>
      <c r="F815">
        <v>1547</v>
      </c>
      <c r="G815" t="s">
        <v>13907</v>
      </c>
      <c r="H815" t="s">
        <v>15</v>
      </c>
      <c r="I815" t="s">
        <v>2185</v>
      </c>
      <c r="J815" t="str">
        <f>RIGHT(D815,4)</f>
        <v>4906</v>
      </c>
      <c r="K815" t="str">
        <f>IFERROR(VLOOKUP(VALUE(J815),'Site Info'!$A:$G,3,FALSE),"")</f>
        <v>1670 W UNIVERSITY DR</v>
      </c>
      <c r="L815" t="str">
        <f>IFERROR(VLOOKUP(VALUE(J815),'Site Info'!$A:$G,4,FALSE),"")</f>
        <v>MCKINNEY</v>
      </c>
      <c r="M815" t="str">
        <f>IFERROR(VLOOKUP(VALUE(J815),'Site Info'!$A:$G,5,FALSE),"")</f>
        <v>TX</v>
      </c>
      <c r="N815" t="str">
        <f>IFERROR(VLOOKUP(VALUE(J815),'Site Info'!$A:$G,6,FALSE),"")</f>
        <v>75069-3444</v>
      </c>
      <c r="O815">
        <f>IFERROR(VLOOKUP(VALUE(J815),'Site Info'!$A:$G,7,FALSE),"")</f>
        <v>4699522417</v>
      </c>
    </row>
    <row r="816" spans="1:15" x14ac:dyDescent="0.45">
      <c r="A816" t="s">
        <v>11574</v>
      </c>
      <c r="B816" t="s">
        <v>11575</v>
      </c>
      <c r="C816" t="s">
        <v>11576</v>
      </c>
      <c r="D816" t="s">
        <v>2183</v>
      </c>
      <c r="E816" s="1">
        <v>46152.673888888887</v>
      </c>
      <c r="F816">
        <v>1547</v>
      </c>
      <c r="G816" t="s">
        <v>11577</v>
      </c>
      <c r="H816" t="s">
        <v>15</v>
      </c>
      <c r="I816" t="s">
        <v>2185</v>
      </c>
      <c r="J816" t="str">
        <f>RIGHT(D816,4)</f>
        <v>4906</v>
      </c>
      <c r="K816" t="str">
        <f>IFERROR(VLOOKUP(VALUE(J816),'Site Info'!$A:$G,3,FALSE),"")</f>
        <v>1670 W UNIVERSITY DR</v>
      </c>
      <c r="L816" t="str">
        <f>IFERROR(VLOOKUP(VALUE(J816),'Site Info'!$A:$G,4,FALSE),"")</f>
        <v>MCKINNEY</v>
      </c>
      <c r="M816" t="str">
        <f>IFERROR(VLOOKUP(VALUE(J816),'Site Info'!$A:$G,5,FALSE),"")</f>
        <v>TX</v>
      </c>
      <c r="N816" t="str">
        <f>IFERROR(VLOOKUP(VALUE(J816),'Site Info'!$A:$G,6,FALSE),"")</f>
        <v>75069-3444</v>
      </c>
      <c r="O816">
        <f>IFERROR(VLOOKUP(VALUE(J816),'Site Info'!$A:$G,7,FALSE),"")</f>
        <v>4699522417</v>
      </c>
    </row>
    <row r="817" spans="1:15" x14ac:dyDescent="0.45">
      <c r="A817" t="s">
        <v>13359</v>
      </c>
      <c r="B817" t="s">
        <v>13360</v>
      </c>
      <c r="C817" t="s">
        <v>13361</v>
      </c>
      <c r="D817" t="s">
        <v>2183</v>
      </c>
      <c r="E817" s="1">
        <v>46152.989942129629</v>
      </c>
      <c r="F817">
        <v>1547</v>
      </c>
      <c r="G817" t="s">
        <v>13362</v>
      </c>
      <c r="H817" t="s">
        <v>15</v>
      </c>
      <c r="I817" t="s">
        <v>2185</v>
      </c>
      <c r="J817" t="str">
        <f>RIGHT(D817,4)</f>
        <v>4906</v>
      </c>
      <c r="K817" t="str">
        <f>IFERROR(VLOOKUP(VALUE(J817),'Site Info'!$A:$G,3,FALSE),"")</f>
        <v>1670 W UNIVERSITY DR</v>
      </c>
      <c r="L817" t="str">
        <f>IFERROR(VLOOKUP(VALUE(J817),'Site Info'!$A:$G,4,FALSE),"")</f>
        <v>MCKINNEY</v>
      </c>
      <c r="M817" t="str">
        <f>IFERROR(VLOOKUP(VALUE(J817),'Site Info'!$A:$G,5,FALSE),"")</f>
        <v>TX</v>
      </c>
      <c r="N817" t="str">
        <f>IFERROR(VLOOKUP(VALUE(J817),'Site Info'!$A:$G,6,FALSE),"")</f>
        <v>75069-3444</v>
      </c>
      <c r="O817">
        <f>IFERROR(VLOOKUP(VALUE(J817),'Site Info'!$A:$G,7,FALSE),"")</f>
        <v>4699522417</v>
      </c>
    </row>
    <row r="818" spans="1:15" x14ac:dyDescent="0.45">
      <c r="A818" t="s">
        <v>13167</v>
      </c>
      <c r="B818" t="s">
        <v>13168</v>
      </c>
      <c r="C818" t="s">
        <v>13169</v>
      </c>
      <c r="D818" t="s">
        <v>2183</v>
      </c>
      <c r="E818" s="1">
        <v>46153.29960648148</v>
      </c>
      <c r="F818">
        <v>1547</v>
      </c>
      <c r="G818" t="s">
        <v>13170</v>
      </c>
      <c r="H818" t="s">
        <v>15</v>
      </c>
      <c r="I818" t="s">
        <v>2185</v>
      </c>
      <c r="J818" t="str">
        <f>RIGHT(D818,4)</f>
        <v>4906</v>
      </c>
      <c r="K818" t="str">
        <f>IFERROR(VLOOKUP(VALUE(J818),'Site Info'!$A:$G,3,FALSE),"")</f>
        <v>1670 W UNIVERSITY DR</v>
      </c>
      <c r="L818" t="str">
        <f>IFERROR(VLOOKUP(VALUE(J818),'Site Info'!$A:$G,4,FALSE),"")</f>
        <v>MCKINNEY</v>
      </c>
      <c r="M818" t="str">
        <f>IFERROR(VLOOKUP(VALUE(J818),'Site Info'!$A:$G,5,FALSE),"")</f>
        <v>TX</v>
      </c>
      <c r="N818" t="str">
        <f>IFERROR(VLOOKUP(VALUE(J818),'Site Info'!$A:$G,6,FALSE),"")</f>
        <v>75069-3444</v>
      </c>
      <c r="O818">
        <f>IFERROR(VLOOKUP(VALUE(J818),'Site Info'!$A:$G,7,FALSE),"")</f>
        <v>4699522417</v>
      </c>
    </row>
    <row r="819" spans="1:15" x14ac:dyDescent="0.45">
      <c r="A819" t="s">
        <v>13343</v>
      </c>
      <c r="B819" t="s">
        <v>13344</v>
      </c>
      <c r="C819" t="s">
        <v>13345</v>
      </c>
      <c r="D819" t="s">
        <v>2183</v>
      </c>
      <c r="E819" s="1">
        <v>46153.312291666669</v>
      </c>
      <c r="F819">
        <v>1547</v>
      </c>
      <c r="G819" t="s">
        <v>13346</v>
      </c>
      <c r="H819" t="s">
        <v>15</v>
      </c>
      <c r="I819" t="s">
        <v>2185</v>
      </c>
      <c r="J819" t="str">
        <f>RIGHT(D819,4)</f>
        <v>4906</v>
      </c>
      <c r="K819" t="str">
        <f>IFERROR(VLOOKUP(VALUE(J819),'Site Info'!$A:$G,3,FALSE),"")</f>
        <v>1670 W UNIVERSITY DR</v>
      </c>
      <c r="L819" t="str">
        <f>IFERROR(VLOOKUP(VALUE(J819),'Site Info'!$A:$G,4,FALSE),"")</f>
        <v>MCKINNEY</v>
      </c>
      <c r="M819" t="str">
        <f>IFERROR(VLOOKUP(VALUE(J819),'Site Info'!$A:$G,5,FALSE),"")</f>
        <v>TX</v>
      </c>
      <c r="N819" t="str">
        <f>IFERROR(VLOOKUP(VALUE(J819),'Site Info'!$A:$G,6,FALSE),"")</f>
        <v>75069-3444</v>
      </c>
      <c r="O819">
        <f>IFERROR(VLOOKUP(VALUE(J819),'Site Info'!$A:$G,7,FALSE),"")</f>
        <v>4699522417</v>
      </c>
    </row>
    <row r="820" spans="1:15" x14ac:dyDescent="0.45">
      <c r="A820" t="s">
        <v>2863</v>
      </c>
      <c r="B820" t="s">
        <v>2864</v>
      </c>
      <c r="C820" t="s">
        <v>2865</v>
      </c>
      <c r="D820" t="s">
        <v>2183</v>
      </c>
      <c r="E820" s="1">
        <v>46150.646377314813</v>
      </c>
      <c r="F820">
        <v>1481</v>
      </c>
      <c r="G820" t="s">
        <v>2866</v>
      </c>
      <c r="H820" t="s">
        <v>15</v>
      </c>
      <c r="I820" t="s">
        <v>2185</v>
      </c>
      <c r="J820" t="str">
        <f>RIGHT(D820,4)</f>
        <v>4906</v>
      </c>
      <c r="K820" t="str">
        <f>IFERROR(VLOOKUP(VALUE(J820),'Site Info'!$A:$G,3,FALSE),"")</f>
        <v>1670 W UNIVERSITY DR</v>
      </c>
      <c r="L820" t="str">
        <f>IFERROR(VLOOKUP(VALUE(J820),'Site Info'!$A:$G,4,FALSE),"")</f>
        <v>MCKINNEY</v>
      </c>
      <c r="M820" t="str">
        <f>IFERROR(VLOOKUP(VALUE(J820),'Site Info'!$A:$G,5,FALSE),"")</f>
        <v>TX</v>
      </c>
      <c r="N820" t="str">
        <f>IFERROR(VLOOKUP(VALUE(J820),'Site Info'!$A:$G,6,FALSE),"")</f>
        <v>75069-3444</v>
      </c>
      <c r="O820">
        <f>IFERROR(VLOOKUP(VALUE(J820),'Site Info'!$A:$G,7,FALSE),"")</f>
        <v>4699522417</v>
      </c>
    </row>
    <row r="821" spans="1:15" x14ac:dyDescent="0.45">
      <c r="A821" t="s">
        <v>2455</v>
      </c>
      <c r="B821" t="s">
        <v>2456</v>
      </c>
      <c r="C821" t="s">
        <v>2457</v>
      </c>
      <c r="D821" t="s">
        <v>2183</v>
      </c>
      <c r="E821" s="1">
        <v>46152.379583333335</v>
      </c>
      <c r="F821">
        <v>1481</v>
      </c>
      <c r="G821" t="s">
        <v>2458</v>
      </c>
      <c r="H821" t="s">
        <v>15</v>
      </c>
      <c r="I821" t="s">
        <v>2185</v>
      </c>
      <c r="J821" t="str">
        <f>RIGHT(D821,4)</f>
        <v>4906</v>
      </c>
      <c r="K821" t="str">
        <f>IFERROR(VLOOKUP(VALUE(J821),'Site Info'!$A:$G,3,FALSE),"")</f>
        <v>1670 W UNIVERSITY DR</v>
      </c>
      <c r="L821" t="str">
        <f>IFERROR(VLOOKUP(VALUE(J821),'Site Info'!$A:$G,4,FALSE),"")</f>
        <v>MCKINNEY</v>
      </c>
      <c r="M821" t="str">
        <f>IFERROR(VLOOKUP(VALUE(J821),'Site Info'!$A:$G,5,FALSE),"")</f>
        <v>TX</v>
      </c>
      <c r="N821" t="str">
        <f>IFERROR(VLOOKUP(VALUE(J821),'Site Info'!$A:$G,6,FALSE),"")</f>
        <v>75069-3444</v>
      </c>
      <c r="O821">
        <f>IFERROR(VLOOKUP(VALUE(J821),'Site Info'!$A:$G,7,FALSE),"")</f>
        <v>4699522417</v>
      </c>
    </row>
    <row r="822" spans="1:15" x14ac:dyDescent="0.45">
      <c r="A822" t="s">
        <v>2180</v>
      </c>
      <c r="B822" t="s">
        <v>2181</v>
      </c>
      <c r="C822" t="s">
        <v>2182</v>
      </c>
      <c r="D822" t="s">
        <v>2183</v>
      </c>
      <c r="E822" s="1">
        <v>46153.19672453704</v>
      </c>
      <c r="F822">
        <v>1481</v>
      </c>
      <c r="G822" t="s">
        <v>2184</v>
      </c>
      <c r="H822" t="s">
        <v>15</v>
      </c>
      <c r="I822" t="s">
        <v>2185</v>
      </c>
      <c r="J822" t="str">
        <f>RIGHT(D822,4)</f>
        <v>4906</v>
      </c>
      <c r="K822" t="str">
        <f>IFERROR(VLOOKUP(VALUE(J822),'Site Info'!$A:$G,3,FALSE),"")</f>
        <v>1670 W UNIVERSITY DR</v>
      </c>
      <c r="L822" t="str">
        <f>IFERROR(VLOOKUP(VALUE(J822),'Site Info'!$A:$G,4,FALSE),"")</f>
        <v>MCKINNEY</v>
      </c>
      <c r="M822" t="str">
        <f>IFERROR(VLOOKUP(VALUE(J822),'Site Info'!$A:$G,5,FALSE),"")</f>
        <v>TX</v>
      </c>
      <c r="N822" t="str">
        <f>IFERROR(VLOOKUP(VALUE(J822),'Site Info'!$A:$G,6,FALSE),"")</f>
        <v>75069-3444</v>
      </c>
      <c r="O822">
        <f>IFERROR(VLOOKUP(VALUE(J822),'Site Info'!$A:$G,7,FALSE),"")</f>
        <v>4699522417</v>
      </c>
    </row>
    <row r="823" spans="1:15" x14ac:dyDescent="0.45">
      <c r="A823" t="s">
        <v>9689</v>
      </c>
      <c r="B823" t="s">
        <v>9690</v>
      </c>
      <c r="C823" t="s">
        <v>9691</v>
      </c>
      <c r="D823" t="s">
        <v>489</v>
      </c>
      <c r="E823" s="1">
        <v>46151.627303240741</v>
      </c>
      <c r="F823">
        <v>1547</v>
      </c>
      <c r="G823" t="s">
        <v>9692</v>
      </c>
      <c r="H823" t="s">
        <v>15</v>
      </c>
      <c r="I823" t="s">
        <v>491</v>
      </c>
      <c r="J823" t="str">
        <f>RIGHT(D823,4)</f>
        <v>6254</v>
      </c>
      <c r="K823" t="str">
        <f>IFERROR(VLOOKUP(VALUE(J823),'Site Info'!$A:$G,3,FALSE),"")</f>
        <v>16701 94TH AVE N</v>
      </c>
      <c r="L823" t="str">
        <f>IFERROR(VLOOKUP(VALUE(J823),'Site Info'!$A:$G,4,FALSE),"")</f>
        <v>MAPLE GROVE</v>
      </c>
      <c r="M823" t="str">
        <f>IFERROR(VLOOKUP(VALUE(J823),'Site Info'!$A:$G,5,FALSE),"")</f>
        <v>MN</v>
      </c>
      <c r="N823" t="str">
        <f>IFERROR(VLOOKUP(VALUE(J823),'Site Info'!$A:$G,6,FALSE),"")</f>
        <v>55311-5448</v>
      </c>
      <c r="O823">
        <f>IFERROR(VLOOKUP(VALUE(J823),'Site Info'!$A:$G,7,FALSE),"")</f>
        <v>7634165320</v>
      </c>
    </row>
    <row r="824" spans="1:15" x14ac:dyDescent="0.45">
      <c r="A824" t="s">
        <v>10412</v>
      </c>
      <c r="B824" t="s">
        <v>10413</v>
      </c>
      <c r="C824" t="s">
        <v>10414</v>
      </c>
      <c r="D824" t="s">
        <v>489</v>
      </c>
      <c r="E824" s="1">
        <v>46153.34175925926</v>
      </c>
      <c r="F824">
        <v>1547</v>
      </c>
      <c r="G824" t="s">
        <v>10415</v>
      </c>
      <c r="H824" t="s">
        <v>15</v>
      </c>
      <c r="I824" t="s">
        <v>491</v>
      </c>
      <c r="J824" t="str">
        <f>RIGHT(D824,4)</f>
        <v>6254</v>
      </c>
      <c r="K824" t="str">
        <f>IFERROR(VLOOKUP(VALUE(J824),'Site Info'!$A:$G,3,FALSE),"")</f>
        <v>16701 94TH AVE N</v>
      </c>
      <c r="L824" t="str">
        <f>IFERROR(VLOOKUP(VALUE(J824),'Site Info'!$A:$G,4,FALSE),"")</f>
        <v>MAPLE GROVE</v>
      </c>
      <c r="M824" t="str">
        <f>IFERROR(VLOOKUP(VALUE(J824),'Site Info'!$A:$G,5,FALSE),"")</f>
        <v>MN</v>
      </c>
      <c r="N824" t="str">
        <f>IFERROR(VLOOKUP(VALUE(J824),'Site Info'!$A:$G,6,FALSE),"")</f>
        <v>55311-5448</v>
      </c>
      <c r="O824">
        <f>IFERROR(VLOOKUP(VALUE(J824),'Site Info'!$A:$G,7,FALSE),"")</f>
        <v>7634165320</v>
      </c>
    </row>
    <row r="825" spans="1:15" x14ac:dyDescent="0.45">
      <c r="A825" t="s">
        <v>1446</v>
      </c>
      <c r="B825" t="s">
        <v>1447</v>
      </c>
      <c r="C825" t="s">
        <v>1448</v>
      </c>
      <c r="D825" t="s">
        <v>489</v>
      </c>
      <c r="E825" s="1">
        <v>46087.603194444448</v>
      </c>
      <c r="F825">
        <v>1481</v>
      </c>
      <c r="G825" t="s">
        <v>1449</v>
      </c>
      <c r="H825" t="s">
        <v>15</v>
      </c>
      <c r="I825" t="s">
        <v>491</v>
      </c>
      <c r="J825" t="str">
        <f>RIGHT(D825,4)</f>
        <v>6254</v>
      </c>
      <c r="K825" t="str">
        <f>IFERROR(VLOOKUP(VALUE(J825),'Site Info'!$A:$G,3,FALSE),"")</f>
        <v>16701 94TH AVE N</v>
      </c>
      <c r="L825" t="str">
        <f>IFERROR(VLOOKUP(VALUE(J825),'Site Info'!$A:$G,4,FALSE),"")</f>
        <v>MAPLE GROVE</v>
      </c>
      <c r="M825" t="str">
        <f>IFERROR(VLOOKUP(VALUE(J825),'Site Info'!$A:$G,5,FALSE),"")</f>
        <v>MN</v>
      </c>
      <c r="N825" t="str">
        <f>IFERROR(VLOOKUP(VALUE(J825),'Site Info'!$A:$G,6,FALSE),"")</f>
        <v>55311-5448</v>
      </c>
      <c r="O825">
        <f>IFERROR(VLOOKUP(VALUE(J825),'Site Info'!$A:$G,7,FALSE),"")</f>
        <v>7634165320</v>
      </c>
    </row>
    <row r="826" spans="1:15" x14ac:dyDescent="0.45">
      <c r="A826" t="s">
        <v>2200</v>
      </c>
      <c r="B826" t="s">
        <v>2201</v>
      </c>
      <c r="C826" t="s">
        <v>2202</v>
      </c>
      <c r="D826" t="s">
        <v>489</v>
      </c>
      <c r="E826" s="1">
        <v>46115.343518518515</v>
      </c>
      <c r="F826">
        <v>1481</v>
      </c>
      <c r="G826" t="s">
        <v>2203</v>
      </c>
      <c r="H826" t="s">
        <v>15</v>
      </c>
      <c r="I826" t="s">
        <v>491</v>
      </c>
      <c r="J826" t="str">
        <f>RIGHT(D826,4)</f>
        <v>6254</v>
      </c>
      <c r="K826" t="str">
        <f>IFERROR(VLOOKUP(VALUE(J826),'Site Info'!$A:$G,3,FALSE),"")</f>
        <v>16701 94TH AVE N</v>
      </c>
      <c r="L826" t="str">
        <f>IFERROR(VLOOKUP(VALUE(J826),'Site Info'!$A:$G,4,FALSE),"")</f>
        <v>MAPLE GROVE</v>
      </c>
      <c r="M826" t="str">
        <f>IFERROR(VLOOKUP(VALUE(J826),'Site Info'!$A:$G,5,FALSE),"")</f>
        <v>MN</v>
      </c>
      <c r="N826" t="str">
        <f>IFERROR(VLOOKUP(VALUE(J826),'Site Info'!$A:$G,6,FALSE),"")</f>
        <v>55311-5448</v>
      </c>
      <c r="O826">
        <f>IFERROR(VLOOKUP(VALUE(J826),'Site Info'!$A:$G,7,FALSE),"")</f>
        <v>7634165320</v>
      </c>
    </row>
    <row r="827" spans="1:15" x14ac:dyDescent="0.45">
      <c r="A827" t="s">
        <v>652</v>
      </c>
      <c r="B827" t="s">
        <v>653</v>
      </c>
      <c r="C827" t="s">
        <v>654</v>
      </c>
      <c r="D827" t="s">
        <v>489</v>
      </c>
      <c r="E827" s="1">
        <v>46152.868460648147</v>
      </c>
      <c r="F827">
        <v>1481</v>
      </c>
      <c r="G827" t="s">
        <v>655</v>
      </c>
      <c r="H827" t="s">
        <v>15</v>
      </c>
      <c r="I827" t="s">
        <v>491</v>
      </c>
      <c r="J827" t="str">
        <f>RIGHT(D827,4)</f>
        <v>6254</v>
      </c>
      <c r="K827" t="str">
        <f>IFERROR(VLOOKUP(VALUE(J827),'Site Info'!$A:$G,3,FALSE),"")</f>
        <v>16701 94TH AVE N</v>
      </c>
      <c r="L827" t="str">
        <f>IFERROR(VLOOKUP(VALUE(J827),'Site Info'!$A:$G,4,FALSE),"")</f>
        <v>MAPLE GROVE</v>
      </c>
      <c r="M827" t="str">
        <f>IFERROR(VLOOKUP(VALUE(J827),'Site Info'!$A:$G,5,FALSE),"")</f>
        <v>MN</v>
      </c>
      <c r="N827" t="str">
        <f>IFERROR(VLOOKUP(VALUE(J827),'Site Info'!$A:$G,6,FALSE),"")</f>
        <v>55311-5448</v>
      </c>
      <c r="O827">
        <f>IFERROR(VLOOKUP(VALUE(J827),'Site Info'!$A:$G,7,FALSE),"")</f>
        <v>7634165320</v>
      </c>
    </row>
    <row r="828" spans="1:15" x14ac:dyDescent="0.45">
      <c r="A828" t="s">
        <v>486</v>
      </c>
      <c r="B828" t="s">
        <v>487</v>
      </c>
      <c r="C828" t="s">
        <v>488</v>
      </c>
      <c r="D828" t="s">
        <v>489</v>
      </c>
      <c r="E828" s="1">
        <v>46153.176701388889</v>
      </c>
      <c r="F828">
        <v>1481</v>
      </c>
      <c r="G828" t="s">
        <v>490</v>
      </c>
      <c r="H828" t="s">
        <v>15</v>
      </c>
      <c r="I828" t="s">
        <v>491</v>
      </c>
      <c r="J828" t="str">
        <f>RIGHT(D828,4)</f>
        <v>6254</v>
      </c>
      <c r="K828" t="str">
        <f>IFERROR(VLOOKUP(VALUE(J828),'Site Info'!$A:$G,3,FALSE),"")</f>
        <v>16701 94TH AVE N</v>
      </c>
      <c r="L828" t="str">
        <f>IFERROR(VLOOKUP(VALUE(J828),'Site Info'!$A:$G,4,FALSE),"")</f>
        <v>MAPLE GROVE</v>
      </c>
      <c r="M828" t="str">
        <f>IFERROR(VLOOKUP(VALUE(J828),'Site Info'!$A:$G,5,FALSE),"")</f>
        <v>MN</v>
      </c>
      <c r="N828" t="str">
        <f>IFERROR(VLOOKUP(VALUE(J828),'Site Info'!$A:$G,6,FALSE),"")</f>
        <v>55311-5448</v>
      </c>
      <c r="O828">
        <f>IFERROR(VLOOKUP(VALUE(J828),'Site Info'!$A:$G,7,FALSE),"")</f>
        <v>7634165320</v>
      </c>
    </row>
    <row r="829" spans="1:15" x14ac:dyDescent="0.45">
      <c r="A829" t="s">
        <v>16489</v>
      </c>
      <c r="B829" t="s">
        <v>16657</v>
      </c>
      <c r="C829" s="4" t="s">
        <v>16658</v>
      </c>
      <c r="D829" t="s">
        <v>489</v>
      </c>
      <c r="E829" s="1">
        <v>46152.364224537036</v>
      </c>
      <c r="F829">
        <v>1628</v>
      </c>
      <c r="G829" t="s">
        <v>16659</v>
      </c>
      <c r="H829" t="s">
        <v>13988</v>
      </c>
      <c r="I829" t="s">
        <v>491</v>
      </c>
      <c r="J829" t="str">
        <f>RIGHT(D829,4)</f>
        <v>6254</v>
      </c>
      <c r="K829" t="str">
        <f>IFERROR(VLOOKUP(VALUE(J829),'Site Info'!$A:$G,3,FALSE),"")</f>
        <v>16701 94TH AVE N</v>
      </c>
      <c r="L829" t="str">
        <f>IFERROR(VLOOKUP(VALUE(J829),'Site Info'!$A:$G,4,FALSE),"")</f>
        <v>MAPLE GROVE</v>
      </c>
      <c r="M829" t="str">
        <f>IFERROR(VLOOKUP(VALUE(J829),'Site Info'!$A:$G,5,FALSE),"")</f>
        <v>MN</v>
      </c>
      <c r="N829" t="str">
        <f>IFERROR(VLOOKUP(VALUE(J829),'Site Info'!$A:$G,6,FALSE),"")</f>
        <v>55311-5448</v>
      </c>
      <c r="O829">
        <f>IFERROR(VLOOKUP(VALUE(J829),'Site Info'!$A:$G,7,FALSE),"")</f>
        <v>7634165320</v>
      </c>
    </row>
    <row r="830" spans="1:15" x14ac:dyDescent="0.45">
      <c r="A830" t="s">
        <v>16660</v>
      </c>
      <c r="B830" t="s">
        <v>16661</v>
      </c>
      <c r="C830" t="s">
        <v>16662</v>
      </c>
      <c r="D830" t="s">
        <v>489</v>
      </c>
      <c r="E830" s="1">
        <v>46152.518460648149</v>
      </c>
      <c r="F830">
        <v>1547</v>
      </c>
      <c r="G830" t="s">
        <v>16663</v>
      </c>
      <c r="H830" t="s">
        <v>15</v>
      </c>
      <c r="I830" t="s">
        <v>491</v>
      </c>
      <c r="J830" t="str">
        <f>RIGHT(D830,4)</f>
        <v>6254</v>
      </c>
      <c r="K830" t="str">
        <f>IFERROR(VLOOKUP(VALUE(J830),'Site Info'!$A:$G,3,FALSE),"")</f>
        <v>16701 94TH AVE N</v>
      </c>
      <c r="L830" t="str">
        <f>IFERROR(VLOOKUP(VALUE(J830),'Site Info'!$A:$G,4,FALSE),"")</f>
        <v>MAPLE GROVE</v>
      </c>
      <c r="M830" t="str">
        <f>IFERROR(VLOOKUP(VALUE(J830),'Site Info'!$A:$G,5,FALSE),"")</f>
        <v>MN</v>
      </c>
      <c r="N830" t="str">
        <f>IFERROR(VLOOKUP(VALUE(J830),'Site Info'!$A:$G,6,FALSE),"")</f>
        <v>55311-5448</v>
      </c>
      <c r="O830">
        <f>IFERROR(VLOOKUP(VALUE(J830),'Site Info'!$A:$G,7,FALSE),"")</f>
        <v>7634165320</v>
      </c>
    </row>
    <row r="831" spans="1:15" x14ac:dyDescent="0.45">
      <c r="A831" t="s">
        <v>8249</v>
      </c>
      <c r="B831" t="s">
        <v>8250</v>
      </c>
      <c r="C831" t="s">
        <v>8251</v>
      </c>
      <c r="D831" t="s">
        <v>2578</v>
      </c>
      <c r="E831" s="1">
        <v>46151.676840277774</v>
      </c>
      <c r="F831">
        <v>1547</v>
      </c>
      <c r="G831" t="s">
        <v>8252</v>
      </c>
      <c r="H831" t="s">
        <v>15</v>
      </c>
      <c r="I831" t="s">
        <v>2580</v>
      </c>
      <c r="J831" t="str">
        <f>RIGHT(D831,4)</f>
        <v>8193</v>
      </c>
      <c r="K831" t="str">
        <f>IFERROR(VLOOKUP(VALUE(J831),'Site Info'!$A:$G,3,FALSE),"")</f>
        <v>1700 WESEL BLVD</v>
      </c>
      <c r="L831" t="str">
        <f>IFERROR(VLOOKUP(VALUE(J831),'Site Info'!$A:$G,4,FALSE),"")</f>
        <v>HAGERSTOWN</v>
      </c>
      <c r="M831" t="str">
        <f>IFERROR(VLOOKUP(VALUE(J831),'Site Info'!$A:$G,5,FALSE),"")</f>
        <v>MD</v>
      </c>
      <c r="N831" t="str">
        <f>IFERROR(VLOOKUP(VALUE(J831),'Site Info'!$A:$G,6,FALSE),"")</f>
        <v>21740-5389</v>
      </c>
      <c r="O831">
        <f>IFERROR(VLOOKUP(VALUE(J831),'Site Info'!$A:$G,7,FALSE),"")</f>
        <v>3017140096</v>
      </c>
    </row>
    <row r="832" spans="1:15" x14ac:dyDescent="0.45">
      <c r="A832" t="s">
        <v>7705</v>
      </c>
      <c r="B832" t="s">
        <v>7706</v>
      </c>
      <c r="C832" t="s">
        <v>7707</v>
      </c>
      <c r="D832" t="s">
        <v>2578</v>
      </c>
      <c r="E832" s="1">
        <v>46152.857615740744</v>
      </c>
      <c r="F832">
        <v>1547</v>
      </c>
      <c r="G832" t="s">
        <v>7708</v>
      </c>
      <c r="H832" t="s">
        <v>15</v>
      </c>
      <c r="I832" t="s">
        <v>2580</v>
      </c>
      <c r="J832" t="str">
        <f>RIGHT(D832,4)</f>
        <v>8193</v>
      </c>
      <c r="K832" t="str">
        <f>IFERROR(VLOOKUP(VALUE(J832),'Site Info'!$A:$G,3,FALSE),"")</f>
        <v>1700 WESEL BLVD</v>
      </c>
      <c r="L832" t="str">
        <f>IFERROR(VLOOKUP(VALUE(J832),'Site Info'!$A:$G,4,FALSE),"")</f>
        <v>HAGERSTOWN</v>
      </c>
      <c r="M832" t="str">
        <f>IFERROR(VLOOKUP(VALUE(J832),'Site Info'!$A:$G,5,FALSE),"")</f>
        <v>MD</v>
      </c>
      <c r="N832" t="str">
        <f>IFERROR(VLOOKUP(VALUE(J832),'Site Info'!$A:$G,6,FALSE),"")</f>
        <v>21740-5389</v>
      </c>
      <c r="O832">
        <f>IFERROR(VLOOKUP(VALUE(J832),'Site Info'!$A:$G,7,FALSE),"")</f>
        <v>3017140096</v>
      </c>
    </row>
    <row r="833" spans="1:15" x14ac:dyDescent="0.45">
      <c r="A833" t="s">
        <v>7717</v>
      </c>
      <c r="B833" t="s">
        <v>7718</v>
      </c>
      <c r="C833" t="s">
        <v>7719</v>
      </c>
      <c r="D833" t="s">
        <v>2578</v>
      </c>
      <c r="E833" s="1">
        <v>46153.317511574074</v>
      </c>
      <c r="F833">
        <v>1547</v>
      </c>
      <c r="G833" t="s">
        <v>7720</v>
      </c>
      <c r="H833" t="s">
        <v>15</v>
      </c>
      <c r="I833" t="s">
        <v>2580</v>
      </c>
      <c r="J833" t="str">
        <f>RIGHT(D833,4)</f>
        <v>8193</v>
      </c>
      <c r="K833" t="str">
        <f>IFERROR(VLOOKUP(VALUE(J833),'Site Info'!$A:$G,3,FALSE),"")</f>
        <v>1700 WESEL BLVD</v>
      </c>
      <c r="L833" t="str">
        <f>IFERROR(VLOOKUP(VALUE(J833),'Site Info'!$A:$G,4,FALSE),"")</f>
        <v>HAGERSTOWN</v>
      </c>
      <c r="M833" t="str">
        <f>IFERROR(VLOOKUP(VALUE(J833),'Site Info'!$A:$G,5,FALSE),"")</f>
        <v>MD</v>
      </c>
      <c r="N833" t="str">
        <f>IFERROR(VLOOKUP(VALUE(J833),'Site Info'!$A:$G,6,FALSE),"")</f>
        <v>21740-5389</v>
      </c>
      <c r="O833">
        <f>IFERROR(VLOOKUP(VALUE(J833),'Site Info'!$A:$G,7,FALSE),"")</f>
        <v>3017140096</v>
      </c>
    </row>
    <row r="834" spans="1:15" x14ac:dyDescent="0.45">
      <c r="A834" t="s">
        <v>3897</v>
      </c>
      <c r="B834" t="s">
        <v>3898</v>
      </c>
      <c r="C834" t="s">
        <v>3899</v>
      </c>
      <c r="D834" t="s">
        <v>2578</v>
      </c>
      <c r="E834" s="1">
        <v>46150.743680555555</v>
      </c>
      <c r="F834">
        <v>1481</v>
      </c>
      <c r="G834" t="s">
        <v>3900</v>
      </c>
      <c r="H834" t="s">
        <v>15</v>
      </c>
      <c r="I834" t="s">
        <v>2580</v>
      </c>
      <c r="J834" t="str">
        <f>RIGHT(D834,4)</f>
        <v>8193</v>
      </c>
      <c r="K834" t="str">
        <f>IFERROR(VLOOKUP(VALUE(J834),'Site Info'!$A:$G,3,FALSE),"")</f>
        <v>1700 WESEL BLVD</v>
      </c>
      <c r="L834" t="str">
        <f>IFERROR(VLOOKUP(VALUE(J834),'Site Info'!$A:$G,4,FALSE),"")</f>
        <v>HAGERSTOWN</v>
      </c>
      <c r="M834" t="str">
        <f>IFERROR(VLOOKUP(VALUE(J834),'Site Info'!$A:$G,5,FALSE),"")</f>
        <v>MD</v>
      </c>
      <c r="N834" t="str">
        <f>IFERROR(VLOOKUP(VALUE(J834),'Site Info'!$A:$G,6,FALSE),"")</f>
        <v>21740-5389</v>
      </c>
      <c r="O834">
        <f>IFERROR(VLOOKUP(VALUE(J834),'Site Info'!$A:$G,7,FALSE),"")</f>
        <v>3017140096</v>
      </c>
    </row>
    <row r="835" spans="1:15" x14ac:dyDescent="0.45">
      <c r="A835" t="s">
        <v>2575</v>
      </c>
      <c r="B835" t="s">
        <v>2576</v>
      </c>
      <c r="C835" t="s">
        <v>2577</v>
      </c>
      <c r="D835" t="s">
        <v>2578</v>
      </c>
      <c r="E835" s="1">
        <v>46153.151712962965</v>
      </c>
      <c r="F835">
        <v>1481</v>
      </c>
      <c r="G835" t="s">
        <v>2579</v>
      </c>
      <c r="H835" t="s">
        <v>15</v>
      </c>
      <c r="I835" t="s">
        <v>2580</v>
      </c>
      <c r="J835" t="str">
        <f>RIGHT(D835,4)</f>
        <v>8193</v>
      </c>
      <c r="K835" t="str">
        <f>IFERROR(VLOOKUP(VALUE(J835),'Site Info'!$A:$G,3,FALSE),"")</f>
        <v>1700 WESEL BLVD</v>
      </c>
      <c r="L835" t="str">
        <f>IFERROR(VLOOKUP(VALUE(J835),'Site Info'!$A:$G,4,FALSE),"")</f>
        <v>HAGERSTOWN</v>
      </c>
      <c r="M835" t="str">
        <f>IFERROR(VLOOKUP(VALUE(J835),'Site Info'!$A:$G,5,FALSE),"")</f>
        <v>MD</v>
      </c>
      <c r="N835" t="str">
        <f>IFERROR(VLOOKUP(VALUE(J835),'Site Info'!$A:$G,6,FALSE),"")</f>
        <v>21740-5389</v>
      </c>
      <c r="O835">
        <f>IFERROR(VLOOKUP(VALUE(J835),'Site Info'!$A:$G,7,FALSE),"")</f>
        <v>3017140096</v>
      </c>
    </row>
    <row r="836" spans="1:15" x14ac:dyDescent="0.45">
      <c r="A836" t="s">
        <v>17152</v>
      </c>
      <c r="B836" t="s">
        <v>17153</v>
      </c>
      <c r="C836" t="s">
        <v>17154</v>
      </c>
      <c r="D836" t="s">
        <v>2578</v>
      </c>
      <c r="E836" s="1">
        <v>46152.627974537034</v>
      </c>
      <c r="F836">
        <v>1547</v>
      </c>
      <c r="G836" t="s">
        <v>17155</v>
      </c>
      <c r="H836" t="s">
        <v>15</v>
      </c>
      <c r="I836" t="s">
        <v>2580</v>
      </c>
      <c r="J836" t="str">
        <f>RIGHT(D836,4)</f>
        <v>8193</v>
      </c>
      <c r="K836" t="str">
        <f>IFERROR(VLOOKUP(VALUE(J836),'Site Info'!$A:$G,3,FALSE),"")</f>
        <v>1700 WESEL BLVD</v>
      </c>
      <c r="L836" t="str">
        <f>IFERROR(VLOOKUP(VALUE(J836),'Site Info'!$A:$G,4,FALSE),"")</f>
        <v>HAGERSTOWN</v>
      </c>
      <c r="M836" t="str">
        <f>IFERROR(VLOOKUP(VALUE(J836),'Site Info'!$A:$G,5,FALSE),"")</f>
        <v>MD</v>
      </c>
      <c r="N836" t="str">
        <f>IFERROR(VLOOKUP(VALUE(J836),'Site Info'!$A:$G,6,FALSE),"")</f>
        <v>21740-5389</v>
      </c>
      <c r="O836">
        <f>IFERROR(VLOOKUP(VALUE(J836),'Site Info'!$A:$G,7,FALSE),"")</f>
        <v>3017140096</v>
      </c>
    </row>
    <row r="837" spans="1:15" x14ac:dyDescent="0.45">
      <c r="A837" t="s">
        <v>14331</v>
      </c>
      <c r="B837" t="s">
        <v>14332</v>
      </c>
      <c r="C837" t="s">
        <v>14333</v>
      </c>
      <c r="D837" t="s">
        <v>14328</v>
      </c>
      <c r="E837" s="1">
        <v>46152.386122685188</v>
      </c>
      <c r="F837">
        <v>1481</v>
      </c>
      <c r="G837" t="s">
        <v>14334</v>
      </c>
      <c r="H837" t="s">
        <v>15</v>
      </c>
      <c r="I837" t="s">
        <v>14330</v>
      </c>
      <c r="J837" t="str">
        <f>RIGHT(D837,4)</f>
        <v>4795</v>
      </c>
      <c r="K837" t="str">
        <f>IFERROR(VLOOKUP(VALUE(J837),'Site Info'!$A:$G,3,FALSE),"")</f>
        <v>1701 W STATE HIGHWAY 114</v>
      </c>
      <c r="L837" t="str">
        <f>IFERROR(VLOOKUP(VALUE(J837),'Site Info'!$A:$G,4,FALSE),"")</f>
        <v>GRAPEVINE</v>
      </c>
      <c r="M837" t="str">
        <f>IFERROR(VLOOKUP(VALUE(J837),'Site Info'!$A:$G,5,FALSE),"")</f>
        <v>TX</v>
      </c>
      <c r="N837" t="str">
        <f>IFERROR(VLOOKUP(VALUE(J837),'Site Info'!$A:$G,6,FALSE),"")</f>
        <v>76051-8652</v>
      </c>
      <c r="O837">
        <f>IFERROR(VLOOKUP(VALUE(J837),'Site Info'!$A:$G,7,FALSE),"")</f>
        <v>6822715220</v>
      </c>
    </row>
    <row r="838" spans="1:15" x14ac:dyDescent="0.45">
      <c r="A838" t="s">
        <v>14325</v>
      </c>
      <c r="B838" t="s">
        <v>14326</v>
      </c>
      <c r="C838" t="s">
        <v>14327</v>
      </c>
      <c r="D838" t="s">
        <v>14328</v>
      </c>
      <c r="E838" s="1">
        <v>46153.344317129631</v>
      </c>
      <c r="F838">
        <v>1481</v>
      </c>
      <c r="G838" t="s">
        <v>14329</v>
      </c>
      <c r="H838" t="s">
        <v>15</v>
      </c>
      <c r="I838" t="s">
        <v>14330</v>
      </c>
      <c r="J838" t="str">
        <f>RIGHT(D838,4)</f>
        <v>4795</v>
      </c>
      <c r="K838" t="str">
        <f>IFERROR(VLOOKUP(VALUE(J838),'Site Info'!$A:$G,3,FALSE),"")</f>
        <v>1701 W STATE HIGHWAY 114</v>
      </c>
      <c r="L838" t="str">
        <f>IFERROR(VLOOKUP(VALUE(J838),'Site Info'!$A:$G,4,FALSE),"")</f>
        <v>GRAPEVINE</v>
      </c>
      <c r="M838" t="str">
        <f>IFERROR(VLOOKUP(VALUE(J838),'Site Info'!$A:$G,5,FALSE),"")</f>
        <v>TX</v>
      </c>
      <c r="N838" t="str">
        <f>IFERROR(VLOOKUP(VALUE(J838),'Site Info'!$A:$G,6,FALSE),"")</f>
        <v>76051-8652</v>
      </c>
      <c r="O838">
        <f>IFERROR(VLOOKUP(VALUE(J838),'Site Info'!$A:$G,7,FALSE),"")</f>
        <v>6822715220</v>
      </c>
    </row>
    <row r="839" spans="1:15" x14ac:dyDescent="0.45">
      <c r="A839" t="s">
        <v>4742</v>
      </c>
      <c r="B839" t="s">
        <v>4743</v>
      </c>
      <c r="C839" t="s">
        <v>4744</v>
      </c>
      <c r="D839" t="s">
        <v>1601</v>
      </c>
      <c r="E839" s="1">
        <v>46152.731585648151</v>
      </c>
      <c r="F839">
        <v>1547</v>
      </c>
      <c r="G839" t="s">
        <v>4745</v>
      </c>
      <c r="H839" t="s">
        <v>15</v>
      </c>
      <c r="I839" t="s">
        <v>1603</v>
      </c>
      <c r="J839" t="str">
        <f>RIGHT(D839,4)</f>
        <v>6779</v>
      </c>
      <c r="K839" t="str">
        <f>IFERROR(VLOOKUP(VALUE(J839),'Site Info'!$A:$G,3,FALSE),"")</f>
        <v>1705 SOUTH BROADWAY AVENUE</v>
      </c>
      <c r="L839" t="str">
        <f>IFERROR(VLOOKUP(VALUE(J839),'Site Info'!$A:$G,4,FALSE),"")</f>
        <v>MOORE</v>
      </c>
      <c r="M839" t="str">
        <f>IFERROR(VLOOKUP(VALUE(J839),'Site Info'!$A:$G,5,FALSE),"")</f>
        <v>OK</v>
      </c>
      <c r="N839" t="str">
        <f>IFERROR(VLOOKUP(VALUE(J839),'Site Info'!$A:$G,6,FALSE),"")</f>
        <v>73160-0000</v>
      </c>
      <c r="O839">
        <f>IFERROR(VLOOKUP(VALUE(J839),'Site Info'!$A:$G,7,FALSE),"")</f>
        <v>4053006019</v>
      </c>
    </row>
    <row r="840" spans="1:15" x14ac:dyDescent="0.45">
      <c r="A840" t="s">
        <v>4426</v>
      </c>
      <c r="B840" t="s">
        <v>4427</v>
      </c>
      <c r="C840" t="s">
        <v>4428</v>
      </c>
      <c r="D840" t="s">
        <v>1601</v>
      </c>
      <c r="E840" s="1">
        <v>46153.108993055554</v>
      </c>
      <c r="F840">
        <v>1547</v>
      </c>
      <c r="G840" t="s">
        <v>4429</v>
      </c>
      <c r="H840" t="s">
        <v>15</v>
      </c>
      <c r="I840" t="s">
        <v>1603</v>
      </c>
      <c r="J840" t="str">
        <f>RIGHT(D840,4)</f>
        <v>6779</v>
      </c>
      <c r="K840" t="str">
        <f>IFERROR(VLOOKUP(VALUE(J840),'Site Info'!$A:$G,3,FALSE),"")</f>
        <v>1705 SOUTH BROADWAY AVENUE</v>
      </c>
      <c r="L840" t="str">
        <f>IFERROR(VLOOKUP(VALUE(J840),'Site Info'!$A:$G,4,FALSE),"")</f>
        <v>MOORE</v>
      </c>
      <c r="M840" t="str">
        <f>IFERROR(VLOOKUP(VALUE(J840),'Site Info'!$A:$G,5,FALSE),"")</f>
        <v>OK</v>
      </c>
      <c r="N840" t="str">
        <f>IFERROR(VLOOKUP(VALUE(J840),'Site Info'!$A:$G,6,FALSE),"")</f>
        <v>73160-0000</v>
      </c>
      <c r="O840">
        <f>IFERROR(VLOOKUP(VALUE(J840),'Site Info'!$A:$G,7,FALSE),"")</f>
        <v>4053006019</v>
      </c>
    </row>
    <row r="841" spans="1:15" x14ac:dyDescent="0.45">
      <c r="A841" t="s">
        <v>4774</v>
      </c>
      <c r="B841" t="s">
        <v>4775</v>
      </c>
      <c r="C841" t="s">
        <v>4776</v>
      </c>
      <c r="D841" t="s">
        <v>1601</v>
      </c>
      <c r="E841" s="1">
        <v>46153.325300925928</v>
      </c>
      <c r="F841">
        <v>1547</v>
      </c>
      <c r="G841" t="s">
        <v>4777</v>
      </c>
      <c r="H841" t="s">
        <v>15</v>
      </c>
      <c r="I841" t="s">
        <v>1603</v>
      </c>
      <c r="J841" t="str">
        <f>RIGHT(D841,4)</f>
        <v>6779</v>
      </c>
      <c r="K841" t="str">
        <f>IFERROR(VLOOKUP(VALUE(J841),'Site Info'!$A:$G,3,FALSE),"")</f>
        <v>1705 SOUTH BROADWAY AVENUE</v>
      </c>
      <c r="L841" t="str">
        <f>IFERROR(VLOOKUP(VALUE(J841),'Site Info'!$A:$G,4,FALSE),"")</f>
        <v>MOORE</v>
      </c>
      <c r="M841" t="str">
        <f>IFERROR(VLOOKUP(VALUE(J841),'Site Info'!$A:$G,5,FALSE),"")</f>
        <v>OK</v>
      </c>
      <c r="N841" t="str">
        <f>IFERROR(VLOOKUP(VALUE(J841),'Site Info'!$A:$G,6,FALSE),"")</f>
        <v>73160-0000</v>
      </c>
      <c r="O841">
        <f>IFERROR(VLOOKUP(VALUE(J841),'Site Info'!$A:$G,7,FALSE),"")</f>
        <v>4053006019</v>
      </c>
    </row>
    <row r="842" spans="1:15" x14ac:dyDescent="0.45">
      <c r="A842" t="s">
        <v>1598</v>
      </c>
      <c r="B842" t="s">
        <v>1599</v>
      </c>
      <c r="C842" t="s">
        <v>1600</v>
      </c>
      <c r="D842" t="s">
        <v>1601</v>
      </c>
      <c r="E842" s="1">
        <v>46153.191724537035</v>
      </c>
      <c r="F842">
        <v>1481</v>
      </c>
      <c r="G842" t="s">
        <v>1602</v>
      </c>
      <c r="H842" t="s">
        <v>15</v>
      </c>
      <c r="I842" t="s">
        <v>1603</v>
      </c>
      <c r="J842" t="str">
        <f>RIGHT(D842,4)</f>
        <v>6779</v>
      </c>
      <c r="K842" t="str">
        <f>IFERROR(VLOOKUP(VALUE(J842),'Site Info'!$A:$G,3,FALSE),"")</f>
        <v>1705 SOUTH BROADWAY AVENUE</v>
      </c>
      <c r="L842" t="str">
        <f>IFERROR(VLOOKUP(VALUE(J842),'Site Info'!$A:$G,4,FALSE),"")</f>
        <v>MOORE</v>
      </c>
      <c r="M842" t="str">
        <f>IFERROR(VLOOKUP(VALUE(J842),'Site Info'!$A:$G,5,FALSE),"")</f>
        <v>OK</v>
      </c>
      <c r="N842" t="str">
        <f>IFERROR(VLOOKUP(VALUE(J842),'Site Info'!$A:$G,6,FALSE),"")</f>
        <v>73160-0000</v>
      </c>
      <c r="O842">
        <f>IFERROR(VLOOKUP(VALUE(J842),'Site Info'!$A:$G,7,FALSE),"")</f>
        <v>4053006019</v>
      </c>
    </row>
    <row r="843" spans="1:15" x14ac:dyDescent="0.45">
      <c r="A843" t="s">
        <v>12320</v>
      </c>
      <c r="B843" t="s">
        <v>12321</v>
      </c>
      <c r="C843" t="s">
        <v>12322</v>
      </c>
      <c r="D843" t="s">
        <v>2540</v>
      </c>
      <c r="E843" s="1">
        <v>46151.374074074076</v>
      </c>
      <c r="F843">
        <v>1547</v>
      </c>
      <c r="G843" t="s">
        <v>12323</v>
      </c>
      <c r="H843" t="s">
        <v>15</v>
      </c>
      <c r="I843" t="s">
        <v>2542</v>
      </c>
      <c r="J843" t="str">
        <f>RIGHT(D843,4)</f>
        <v>6562</v>
      </c>
      <c r="K843" t="str">
        <f>IFERROR(VLOOKUP(VALUE(J843),'Site Info'!$A:$G,3,FALSE),"")</f>
        <v>1707 E SHERMAN BLVD</v>
      </c>
      <c r="L843" t="str">
        <f>IFERROR(VLOOKUP(VALUE(J843),'Site Info'!$A:$G,4,FALSE),"")</f>
        <v>MUSKEGON</v>
      </c>
      <c r="M843" t="str">
        <f>IFERROR(VLOOKUP(VALUE(J843),'Site Info'!$A:$G,5,FALSE),"")</f>
        <v>MI</v>
      </c>
      <c r="N843" t="str">
        <f>IFERROR(VLOOKUP(VALUE(J843),'Site Info'!$A:$G,6,FALSE),"")</f>
        <v>49444-1862</v>
      </c>
      <c r="O843">
        <f>IFERROR(VLOOKUP(VALUE(J843),'Site Info'!$A:$G,7,FALSE),"")</f>
        <v>2317332575</v>
      </c>
    </row>
    <row r="844" spans="1:15" x14ac:dyDescent="0.45">
      <c r="A844" t="s">
        <v>12512</v>
      </c>
      <c r="B844" t="s">
        <v>12513</v>
      </c>
      <c r="C844" t="s">
        <v>12514</v>
      </c>
      <c r="D844" t="s">
        <v>2540</v>
      </c>
      <c r="E844" s="1">
        <v>46152.591932870368</v>
      </c>
      <c r="F844">
        <v>1547</v>
      </c>
      <c r="G844" t="s">
        <v>12515</v>
      </c>
      <c r="H844" t="s">
        <v>15</v>
      </c>
      <c r="I844" t="s">
        <v>2542</v>
      </c>
      <c r="J844" t="str">
        <f>RIGHT(D844,4)</f>
        <v>6562</v>
      </c>
      <c r="K844" t="str">
        <f>IFERROR(VLOOKUP(VALUE(J844),'Site Info'!$A:$G,3,FALSE),"")</f>
        <v>1707 E SHERMAN BLVD</v>
      </c>
      <c r="L844" t="str">
        <f>IFERROR(VLOOKUP(VALUE(J844),'Site Info'!$A:$G,4,FALSE),"")</f>
        <v>MUSKEGON</v>
      </c>
      <c r="M844" t="str">
        <f>IFERROR(VLOOKUP(VALUE(J844),'Site Info'!$A:$G,5,FALSE),"")</f>
        <v>MI</v>
      </c>
      <c r="N844" t="str">
        <f>IFERROR(VLOOKUP(VALUE(J844),'Site Info'!$A:$G,6,FALSE),"")</f>
        <v>49444-1862</v>
      </c>
      <c r="O844">
        <f>IFERROR(VLOOKUP(VALUE(J844),'Site Info'!$A:$G,7,FALSE),"")</f>
        <v>2317332575</v>
      </c>
    </row>
    <row r="845" spans="1:15" x14ac:dyDescent="0.45">
      <c r="A845" t="s">
        <v>12088</v>
      </c>
      <c r="B845" t="s">
        <v>12089</v>
      </c>
      <c r="C845" t="s">
        <v>12090</v>
      </c>
      <c r="D845" t="s">
        <v>2540</v>
      </c>
      <c r="E845" s="1">
        <v>46153.350034722222</v>
      </c>
      <c r="F845">
        <v>1547</v>
      </c>
      <c r="G845" t="s">
        <v>12091</v>
      </c>
      <c r="H845" t="s">
        <v>15</v>
      </c>
      <c r="I845" t="s">
        <v>2542</v>
      </c>
      <c r="J845" t="str">
        <f>RIGHT(D845,4)</f>
        <v>6562</v>
      </c>
      <c r="K845" t="str">
        <f>IFERROR(VLOOKUP(VALUE(J845),'Site Info'!$A:$G,3,FALSE),"")</f>
        <v>1707 E SHERMAN BLVD</v>
      </c>
      <c r="L845" t="str">
        <f>IFERROR(VLOOKUP(VALUE(J845),'Site Info'!$A:$G,4,FALSE),"")</f>
        <v>MUSKEGON</v>
      </c>
      <c r="M845" t="str">
        <f>IFERROR(VLOOKUP(VALUE(J845),'Site Info'!$A:$G,5,FALSE),"")</f>
        <v>MI</v>
      </c>
      <c r="N845" t="str">
        <f>IFERROR(VLOOKUP(VALUE(J845),'Site Info'!$A:$G,6,FALSE),"")</f>
        <v>49444-1862</v>
      </c>
      <c r="O845">
        <f>IFERROR(VLOOKUP(VALUE(J845),'Site Info'!$A:$G,7,FALSE),"")</f>
        <v>2317332575</v>
      </c>
    </row>
    <row r="846" spans="1:15" x14ac:dyDescent="0.45">
      <c r="A846" t="s">
        <v>2731</v>
      </c>
      <c r="B846" t="s">
        <v>2732</v>
      </c>
      <c r="C846" t="s">
        <v>2733</v>
      </c>
      <c r="D846" t="s">
        <v>2540</v>
      </c>
      <c r="E846" s="1">
        <v>46131.321377314816</v>
      </c>
      <c r="F846">
        <v>1481</v>
      </c>
      <c r="G846" t="s">
        <v>2734</v>
      </c>
      <c r="H846" t="s">
        <v>15</v>
      </c>
      <c r="I846" t="s">
        <v>2542</v>
      </c>
      <c r="J846" t="str">
        <f>RIGHT(D846,4)</f>
        <v>6562</v>
      </c>
      <c r="K846" t="str">
        <f>IFERROR(VLOOKUP(VALUE(J846),'Site Info'!$A:$G,3,FALSE),"")</f>
        <v>1707 E SHERMAN BLVD</v>
      </c>
      <c r="L846" t="str">
        <f>IFERROR(VLOOKUP(VALUE(J846),'Site Info'!$A:$G,4,FALSE),"")</f>
        <v>MUSKEGON</v>
      </c>
      <c r="M846" t="str">
        <f>IFERROR(VLOOKUP(VALUE(J846),'Site Info'!$A:$G,5,FALSE),"")</f>
        <v>MI</v>
      </c>
      <c r="N846" t="str">
        <f>IFERROR(VLOOKUP(VALUE(J846),'Site Info'!$A:$G,6,FALSE),"")</f>
        <v>49444-1862</v>
      </c>
      <c r="O846">
        <f>IFERROR(VLOOKUP(VALUE(J846),'Site Info'!$A:$G,7,FALSE),"")</f>
        <v>2317332575</v>
      </c>
    </row>
    <row r="847" spans="1:15" x14ac:dyDescent="0.45">
      <c r="A847" t="s">
        <v>4045</v>
      </c>
      <c r="B847" t="s">
        <v>4046</v>
      </c>
      <c r="C847" t="s">
        <v>4047</v>
      </c>
      <c r="D847" t="s">
        <v>2540</v>
      </c>
      <c r="E847" s="1">
        <v>46151.34611111111</v>
      </c>
      <c r="F847">
        <v>1481</v>
      </c>
      <c r="G847" t="s">
        <v>4048</v>
      </c>
      <c r="H847" t="s">
        <v>15</v>
      </c>
      <c r="I847" t="s">
        <v>2542</v>
      </c>
      <c r="J847" t="str">
        <f>RIGHT(D847,4)</f>
        <v>6562</v>
      </c>
      <c r="K847" t="str">
        <f>IFERROR(VLOOKUP(VALUE(J847),'Site Info'!$A:$G,3,FALSE),"")</f>
        <v>1707 E SHERMAN BLVD</v>
      </c>
      <c r="L847" t="str">
        <f>IFERROR(VLOOKUP(VALUE(J847),'Site Info'!$A:$G,4,FALSE),"")</f>
        <v>MUSKEGON</v>
      </c>
      <c r="M847" t="str">
        <f>IFERROR(VLOOKUP(VALUE(J847),'Site Info'!$A:$G,5,FALSE),"")</f>
        <v>MI</v>
      </c>
      <c r="N847" t="str">
        <f>IFERROR(VLOOKUP(VALUE(J847),'Site Info'!$A:$G,6,FALSE),"")</f>
        <v>49444-1862</v>
      </c>
      <c r="O847">
        <f>IFERROR(VLOOKUP(VALUE(J847),'Site Info'!$A:$G,7,FALSE),"")</f>
        <v>2317332575</v>
      </c>
    </row>
    <row r="848" spans="1:15" x14ac:dyDescent="0.45">
      <c r="A848" t="s">
        <v>3583</v>
      </c>
      <c r="B848" t="s">
        <v>3584</v>
      </c>
      <c r="C848" t="s">
        <v>3585</v>
      </c>
      <c r="D848" t="s">
        <v>2540</v>
      </c>
      <c r="E848" s="1">
        <v>46152.199733796297</v>
      </c>
      <c r="F848">
        <v>1481</v>
      </c>
      <c r="G848" t="s">
        <v>3586</v>
      </c>
      <c r="H848" t="s">
        <v>15</v>
      </c>
      <c r="I848" t="s">
        <v>2542</v>
      </c>
      <c r="J848" t="str">
        <f>RIGHT(D848,4)</f>
        <v>6562</v>
      </c>
      <c r="K848" t="str">
        <f>IFERROR(VLOOKUP(VALUE(J848),'Site Info'!$A:$G,3,FALSE),"")</f>
        <v>1707 E SHERMAN BLVD</v>
      </c>
      <c r="L848" t="str">
        <f>IFERROR(VLOOKUP(VALUE(J848),'Site Info'!$A:$G,4,FALSE),"")</f>
        <v>MUSKEGON</v>
      </c>
      <c r="M848" t="str">
        <f>IFERROR(VLOOKUP(VALUE(J848),'Site Info'!$A:$G,5,FALSE),"")</f>
        <v>MI</v>
      </c>
      <c r="N848" t="str">
        <f>IFERROR(VLOOKUP(VALUE(J848),'Site Info'!$A:$G,6,FALSE),"")</f>
        <v>49444-1862</v>
      </c>
      <c r="O848">
        <f>IFERROR(VLOOKUP(VALUE(J848),'Site Info'!$A:$G,7,FALSE),"")</f>
        <v>2317332575</v>
      </c>
    </row>
    <row r="849" spans="1:15" x14ac:dyDescent="0.45">
      <c r="A849" t="s">
        <v>2805</v>
      </c>
      <c r="B849" t="s">
        <v>2806</v>
      </c>
      <c r="C849" t="s">
        <v>2807</v>
      </c>
      <c r="D849" t="s">
        <v>2540</v>
      </c>
      <c r="E849" s="1">
        <v>46153.094976851855</v>
      </c>
      <c r="F849">
        <v>1481</v>
      </c>
      <c r="G849" t="s">
        <v>2808</v>
      </c>
      <c r="H849" t="s">
        <v>15</v>
      </c>
      <c r="I849" t="s">
        <v>2542</v>
      </c>
      <c r="J849" t="str">
        <f>RIGHT(D849,4)</f>
        <v>6562</v>
      </c>
      <c r="K849" t="str">
        <f>IFERROR(VLOOKUP(VALUE(J849),'Site Info'!$A:$G,3,FALSE),"")</f>
        <v>1707 E SHERMAN BLVD</v>
      </c>
      <c r="L849" t="str">
        <f>IFERROR(VLOOKUP(VALUE(J849),'Site Info'!$A:$G,4,FALSE),"")</f>
        <v>MUSKEGON</v>
      </c>
      <c r="M849" t="str">
        <f>IFERROR(VLOOKUP(VALUE(J849),'Site Info'!$A:$G,5,FALSE),"")</f>
        <v>MI</v>
      </c>
      <c r="N849" t="str">
        <f>IFERROR(VLOOKUP(VALUE(J849),'Site Info'!$A:$G,6,FALSE),"")</f>
        <v>49444-1862</v>
      </c>
      <c r="O849">
        <f>IFERROR(VLOOKUP(VALUE(J849),'Site Info'!$A:$G,7,FALSE),"")</f>
        <v>2317332575</v>
      </c>
    </row>
    <row r="850" spans="1:15" x14ac:dyDescent="0.45">
      <c r="A850" t="s">
        <v>2537</v>
      </c>
      <c r="B850" t="s">
        <v>2538</v>
      </c>
      <c r="C850" t="s">
        <v>2539</v>
      </c>
      <c r="D850" t="s">
        <v>2540</v>
      </c>
      <c r="E850" s="1">
        <v>46153.365590277775</v>
      </c>
      <c r="F850">
        <v>1481</v>
      </c>
      <c r="G850" t="s">
        <v>2541</v>
      </c>
      <c r="H850" t="s">
        <v>15</v>
      </c>
      <c r="I850" t="s">
        <v>2542</v>
      </c>
      <c r="J850" t="str">
        <f>RIGHT(D850,4)</f>
        <v>6562</v>
      </c>
      <c r="K850" t="str">
        <f>IFERROR(VLOOKUP(VALUE(J850),'Site Info'!$A:$G,3,FALSE),"")</f>
        <v>1707 E SHERMAN BLVD</v>
      </c>
      <c r="L850" t="str">
        <f>IFERROR(VLOOKUP(VALUE(J850),'Site Info'!$A:$G,4,FALSE),"")</f>
        <v>MUSKEGON</v>
      </c>
      <c r="M850" t="str">
        <f>IFERROR(VLOOKUP(VALUE(J850),'Site Info'!$A:$G,5,FALSE),"")</f>
        <v>MI</v>
      </c>
      <c r="N850" t="str">
        <f>IFERROR(VLOOKUP(VALUE(J850),'Site Info'!$A:$G,6,FALSE),"")</f>
        <v>49444-1862</v>
      </c>
      <c r="O850">
        <f>IFERROR(VLOOKUP(VALUE(J850),'Site Info'!$A:$G,7,FALSE),"")</f>
        <v>2317332575</v>
      </c>
    </row>
    <row r="851" spans="1:15" x14ac:dyDescent="0.45">
      <c r="A851" t="s">
        <v>10969</v>
      </c>
      <c r="B851" t="s">
        <v>10970</v>
      </c>
      <c r="C851" t="s">
        <v>10971</v>
      </c>
      <c r="D851" t="s">
        <v>3656</v>
      </c>
      <c r="E851" s="1">
        <v>46151.764120370368</v>
      </c>
      <c r="F851">
        <v>1547</v>
      </c>
      <c r="G851" t="s">
        <v>10972</v>
      </c>
      <c r="H851" t="s">
        <v>15</v>
      </c>
      <c r="I851" t="s">
        <v>3658</v>
      </c>
      <c r="J851" t="str">
        <f>RIGHT(D851,4)</f>
        <v>8151</v>
      </c>
      <c r="K851" t="str">
        <f>IFERROR(VLOOKUP(VALUE(J851),'Site Info'!$A:$G,3,FALSE),"")</f>
        <v>1707 W 23RD ST</v>
      </c>
      <c r="L851" t="str">
        <f>IFERROR(VLOOKUP(VALUE(J851),'Site Info'!$A:$G,4,FALSE),"")</f>
        <v>PANAMA CITY</v>
      </c>
      <c r="M851" t="str">
        <f>IFERROR(VLOOKUP(VALUE(J851),'Site Info'!$A:$G,5,FALSE),"")</f>
        <v>FL</v>
      </c>
      <c r="N851" t="str">
        <f>IFERROR(VLOOKUP(VALUE(J851),'Site Info'!$A:$G,6,FALSE),"")</f>
        <v>32405-2916</v>
      </c>
      <c r="O851">
        <f>IFERROR(VLOOKUP(VALUE(J851),'Site Info'!$A:$G,7,FALSE),"")</f>
        <v>8507692222</v>
      </c>
    </row>
    <row r="852" spans="1:15" x14ac:dyDescent="0.45">
      <c r="A852" t="s">
        <v>10048</v>
      </c>
      <c r="B852" t="s">
        <v>10049</v>
      </c>
      <c r="C852" t="s">
        <v>10050</v>
      </c>
      <c r="D852" t="s">
        <v>3656</v>
      </c>
      <c r="E852" s="1">
        <v>46152.439340277779</v>
      </c>
      <c r="F852">
        <v>1547</v>
      </c>
      <c r="G852" t="s">
        <v>10051</v>
      </c>
      <c r="H852" t="s">
        <v>15</v>
      </c>
      <c r="I852" t="s">
        <v>3658</v>
      </c>
      <c r="J852" t="str">
        <f>RIGHT(D852,4)</f>
        <v>8151</v>
      </c>
      <c r="K852" t="str">
        <f>IFERROR(VLOOKUP(VALUE(J852),'Site Info'!$A:$G,3,FALSE),"")</f>
        <v>1707 W 23RD ST</v>
      </c>
      <c r="L852" t="str">
        <f>IFERROR(VLOOKUP(VALUE(J852),'Site Info'!$A:$G,4,FALSE),"")</f>
        <v>PANAMA CITY</v>
      </c>
      <c r="M852" t="str">
        <f>IFERROR(VLOOKUP(VALUE(J852),'Site Info'!$A:$G,5,FALSE),"")</f>
        <v>FL</v>
      </c>
      <c r="N852" t="str">
        <f>IFERROR(VLOOKUP(VALUE(J852),'Site Info'!$A:$G,6,FALSE),"")</f>
        <v>32405-2916</v>
      </c>
      <c r="O852">
        <f>IFERROR(VLOOKUP(VALUE(J852),'Site Info'!$A:$G,7,FALSE),"")</f>
        <v>8507692222</v>
      </c>
    </row>
    <row r="853" spans="1:15" x14ac:dyDescent="0.45">
      <c r="A853" t="s">
        <v>9645</v>
      </c>
      <c r="B853" t="s">
        <v>9646</v>
      </c>
      <c r="C853" t="s">
        <v>9647</v>
      </c>
      <c r="D853" t="s">
        <v>3656</v>
      </c>
      <c r="E853" s="1">
        <v>46153.3434837963</v>
      </c>
      <c r="F853">
        <v>1547</v>
      </c>
      <c r="G853" t="s">
        <v>9648</v>
      </c>
      <c r="H853" t="s">
        <v>15</v>
      </c>
      <c r="I853" t="s">
        <v>3658</v>
      </c>
      <c r="J853" t="str">
        <f>RIGHT(D853,4)</f>
        <v>8151</v>
      </c>
      <c r="K853" t="str">
        <f>IFERROR(VLOOKUP(VALUE(J853),'Site Info'!$A:$G,3,FALSE),"")</f>
        <v>1707 W 23RD ST</v>
      </c>
      <c r="L853" t="str">
        <f>IFERROR(VLOOKUP(VALUE(J853),'Site Info'!$A:$G,4,FALSE),"")</f>
        <v>PANAMA CITY</v>
      </c>
      <c r="M853" t="str">
        <f>IFERROR(VLOOKUP(VALUE(J853),'Site Info'!$A:$G,5,FALSE),"")</f>
        <v>FL</v>
      </c>
      <c r="N853" t="str">
        <f>IFERROR(VLOOKUP(VALUE(J853),'Site Info'!$A:$G,6,FALSE),"")</f>
        <v>32405-2916</v>
      </c>
      <c r="O853">
        <f>IFERROR(VLOOKUP(VALUE(J853),'Site Info'!$A:$G,7,FALSE),"")</f>
        <v>8507692222</v>
      </c>
    </row>
    <row r="854" spans="1:15" x14ac:dyDescent="0.45">
      <c r="A854" t="s">
        <v>10106</v>
      </c>
      <c r="B854" t="s">
        <v>10107</v>
      </c>
      <c r="C854" t="s">
        <v>10108</v>
      </c>
      <c r="D854" t="s">
        <v>3656</v>
      </c>
      <c r="E854" s="1">
        <v>46153.36791666667</v>
      </c>
      <c r="F854">
        <v>1547</v>
      </c>
      <c r="G854" t="s">
        <v>10109</v>
      </c>
      <c r="H854" t="s">
        <v>15</v>
      </c>
      <c r="I854" t="s">
        <v>3658</v>
      </c>
      <c r="J854" t="str">
        <f>RIGHT(D854,4)</f>
        <v>8151</v>
      </c>
      <c r="K854" t="str">
        <f>IFERROR(VLOOKUP(VALUE(J854),'Site Info'!$A:$G,3,FALSE),"")</f>
        <v>1707 W 23RD ST</v>
      </c>
      <c r="L854" t="str">
        <f>IFERROR(VLOOKUP(VALUE(J854),'Site Info'!$A:$G,4,FALSE),"")</f>
        <v>PANAMA CITY</v>
      </c>
      <c r="M854" t="str">
        <f>IFERROR(VLOOKUP(VALUE(J854),'Site Info'!$A:$G,5,FALSE),"")</f>
        <v>FL</v>
      </c>
      <c r="N854" t="str">
        <f>IFERROR(VLOOKUP(VALUE(J854),'Site Info'!$A:$G,6,FALSE),"")</f>
        <v>32405-2916</v>
      </c>
      <c r="O854">
        <f>IFERROR(VLOOKUP(VALUE(J854),'Site Info'!$A:$G,7,FALSE),"")</f>
        <v>8507692222</v>
      </c>
    </row>
    <row r="855" spans="1:15" x14ac:dyDescent="0.45">
      <c r="A855" t="s">
        <v>10078</v>
      </c>
      <c r="B855" t="s">
        <v>10079</v>
      </c>
      <c r="C855" t="s">
        <v>10080</v>
      </c>
      <c r="D855" t="s">
        <v>3656</v>
      </c>
      <c r="E855" s="1">
        <v>46153.370393518519</v>
      </c>
      <c r="F855">
        <v>1547</v>
      </c>
      <c r="G855" t="s">
        <v>10081</v>
      </c>
      <c r="H855" t="s">
        <v>15</v>
      </c>
      <c r="I855" t="s">
        <v>3658</v>
      </c>
      <c r="J855" t="str">
        <f>RIGHT(D855,4)</f>
        <v>8151</v>
      </c>
      <c r="K855" t="str">
        <f>IFERROR(VLOOKUP(VALUE(J855),'Site Info'!$A:$G,3,FALSE),"")</f>
        <v>1707 W 23RD ST</v>
      </c>
      <c r="L855" t="str">
        <f>IFERROR(VLOOKUP(VALUE(J855),'Site Info'!$A:$G,4,FALSE),"")</f>
        <v>PANAMA CITY</v>
      </c>
      <c r="M855" t="str">
        <f>IFERROR(VLOOKUP(VALUE(J855),'Site Info'!$A:$G,5,FALSE),"")</f>
        <v>FL</v>
      </c>
      <c r="N855" t="str">
        <f>IFERROR(VLOOKUP(VALUE(J855),'Site Info'!$A:$G,6,FALSE),"")</f>
        <v>32405-2916</v>
      </c>
      <c r="O855">
        <f>IFERROR(VLOOKUP(VALUE(J855),'Site Info'!$A:$G,7,FALSE),"")</f>
        <v>8507692222</v>
      </c>
    </row>
    <row r="856" spans="1:15" x14ac:dyDescent="0.45">
      <c r="A856" t="s">
        <v>3653</v>
      </c>
      <c r="B856" t="s">
        <v>3654</v>
      </c>
      <c r="C856" t="s">
        <v>3655</v>
      </c>
      <c r="D856" t="s">
        <v>3656</v>
      </c>
      <c r="E856" s="1">
        <v>46153.167743055557</v>
      </c>
      <c r="F856">
        <v>1481</v>
      </c>
      <c r="G856" t="s">
        <v>3657</v>
      </c>
      <c r="H856" t="s">
        <v>15</v>
      </c>
      <c r="I856" t="s">
        <v>3658</v>
      </c>
      <c r="J856" t="str">
        <f>RIGHT(D856,4)</f>
        <v>8151</v>
      </c>
      <c r="K856" t="str">
        <f>IFERROR(VLOOKUP(VALUE(J856),'Site Info'!$A:$G,3,FALSE),"")</f>
        <v>1707 W 23RD ST</v>
      </c>
      <c r="L856" t="str">
        <f>IFERROR(VLOOKUP(VALUE(J856),'Site Info'!$A:$G,4,FALSE),"")</f>
        <v>PANAMA CITY</v>
      </c>
      <c r="M856" t="str">
        <f>IFERROR(VLOOKUP(VALUE(J856),'Site Info'!$A:$G,5,FALSE),"")</f>
        <v>FL</v>
      </c>
      <c r="N856" t="str">
        <f>IFERROR(VLOOKUP(VALUE(J856),'Site Info'!$A:$G,6,FALSE),"")</f>
        <v>32405-2916</v>
      </c>
      <c r="O856">
        <f>IFERROR(VLOOKUP(VALUE(J856),'Site Info'!$A:$G,7,FALSE),"")</f>
        <v>8507692222</v>
      </c>
    </row>
    <row r="857" spans="1:15" x14ac:dyDescent="0.45">
      <c r="A857" t="s">
        <v>11276</v>
      </c>
      <c r="B857" t="s">
        <v>11277</v>
      </c>
      <c r="C857" t="s">
        <v>11278</v>
      </c>
      <c r="D857" t="s">
        <v>2884</v>
      </c>
      <c r="E857" s="1">
        <v>46151.335335648146</v>
      </c>
      <c r="F857">
        <v>1547</v>
      </c>
      <c r="G857" t="s">
        <v>11279</v>
      </c>
      <c r="H857" t="s">
        <v>15</v>
      </c>
      <c r="I857" t="s">
        <v>2886</v>
      </c>
      <c r="J857" t="str">
        <f>RIGHT(D857,4)</f>
        <v>6615</v>
      </c>
      <c r="K857" t="str">
        <f>IFERROR(VLOOKUP(VALUE(J857),'Site Info'!$A:$G,3,FALSE),"")</f>
        <v>17099 BROOKHURST ST</v>
      </c>
      <c r="L857" t="str">
        <f>IFERROR(VLOOKUP(VALUE(J857),'Site Info'!$A:$G,4,FALSE),"")</f>
        <v>FOUNTAIN VALLEY</v>
      </c>
      <c r="M857" t="str">
        <f>IFERROR(VLOOKUP(VALUE(J857),'Site Info'!$A:$G,5,FALSE),"")</f>
        <v>CA</v>
      </c>
      <c r="N857" t="str">
        <f>IFERROR(VLOOKUP(VALUE(J857),'Site Info'!$A:$G,6,FALSE),"")</f>
        <v>92708-3601</v>
      </c>
      <c r="O857">
        <f>IFERROR(VLOOKUP(VALUE(J857),'Site Info'!$A:$G,7,FALSE),"")</f>
        <v>7149650410</v>
      </c>
    </row>
    <row r="858" spans="1:15" x14ac:dyDescent="0.45">
      <c r="A858" t="s">
        <v>14523</v>
      </c>
      <c r="B858" t="s">
        <v>14524</v>
      </c>
      <c r="C858" t="s">
        <v>14525</v>
      </c>
      <c r="D858" t="s">
        <v>2884</v>
      </c>
      <c r="E858" s="1">
        <v>46152.755555555559</v>
      </c>
      <c r="F858">
        <v>1547</v>
      </c>
      <c r="G858" t="s">
        <v>14526</v>
      </c>
      <c r="H858" t="s">
        <v>15</v>
      </c>
      <c r="I858" t="s">
        <v>2886</v>
      </c>
      <c r="J858" t="str">
        <f>RIGHT(D858,4)</f>
        <v>6615</v>
      </c>
      <c r="K858" t="str">
        <f>IFERROR(VLOOKUP(VALUE(J858),'Site Info'!$A:$G,3,FALSE),"")</f>
        <v>17099 BROOKHURST ST</v>
      </c>
      <c r="L858" t="str">
        <f>IFERROR(VLOOKUP(VALUE(J858),'Site Info'!$A:$G,4,FALSE),"")</f>
        <v>FOUNTAIN VALLEY</v>
      </c>
      <c r="M858" t="str">
        <f>IFERROR(VLOOKUP(VALUE(J858),'Site Info'!$A:$G,5,FALSE),"")</f>
        <v>CA</v>
      </c>
      <c r="N858" t="str">
        <f>IFERROR(VLOOKUP(VALUE(J858),'Site Info'!$A:$G,6,FALSE),"")</f>
        <v>92708-3601</v>
      </c>
      <c r="O858">
        <f>IFERROR(VLOOKUP(VALUE(J858),'Site Info'!$A:$G,7,FALSE),"")</f>
        <v>7149650410</v>
      </c>
    </row>
    <row r="859" spans="1:15" x14ac:dyDescent="0.45">
      <c r="A859" t="s">
        <v>9970</v>
      </c>
      <c r="B859" t="s">
        <v>9971</v>
      </c>
      <c r="C859" t="s">
        <v>9972</v>
      </c>
      <c r="D859" t="s">
        <v>2884</v>
      </c>
      <c r="E859" s="1">
        <v>46153.365034722221</v>
      </c>
      <c r="F859">
        <v>1547</v>
      </c>
      <c r="G859" t="s">
        <v>9973</v>
      </c>
      <c r="H859" t="s">
        <v>15</v>
      </c>
      <c r="I859" t="s">
        <v>2886</v>
      </c>
      <c r="J859" t="str">
        <f>RIGHT(D859,4)</f>
        <v>6615</v>
      </c>
      <c r="K859" t="str">
        <f>IFERROR(VLOOKUP(VALUE(J859),'Site Info'!$A:$G,3,FALSE),"")</f>
        <v>17099 BROOKHURST ST</v>
      </c>
      <c r="L859" t="str">
        <f>IFERROR(VLOOKUP(VALUE(J859),'Site Info'!$A:$G,4,FALSE),"")</f>
        <v>FOUNTAIN VALLEY</v>
      </c>
      <c r="M859" t="str">
        <f>IFERROR(VLOOKUP(VALUE(J859),'Site Info'!$A:$G,5,FALSE),"")</f>
        <v>CA</v>
      </c>
      <c r="N859" t="str">
        <f>IFERROR(VLOOKUP(VALUE(J859),'Site Info'!$A:$G,6,FALSE),"")</f>
        <v>92708-3601</v>
      </c>
      <c r="O859">
        <f>IFERROR(VLOOKUP(VALUE(J859),'Site Info'!$A:$G,7,FALSE),"")</f>
        <v>7149650410</v>
      </c>
    </row>
    <row r="860" spans="1:15" x14ac:dyDescent="0.45">
      <c r="A860" t="s">
        <v>2881</v>
      </c>
      <c r="B860" t="s">
        <v>2882</v>
      </c>
      <c r="C860" t="s">
        <v>2883</v>
      </c>
      <c r="D860" t="s">
        <v>2884</v>
      </c>
      <c r="E860" s="1">
        <v>46152.742847222224</v>
      </c>
      <c r="F860">
        <v>1481</v>
      </c>
      <c r="G860" t="s">
        <v>2885</v>
      </c>
      <c r="H860" t="s">
        <v>15</v>
      </c>
      <c r="I860" t="s">
        <v>2886</v>
      </c>
      <c r="J860" t="str">
        <f>RIGHT(D860,4)</f>
        <v>6615</v>
      </c>
      <c r="K860" t="str">
        <f>IFERROR(VLOOKUP(VALUE(J860),'Site Info'!$A:$G,3,FALSE),"")</f>
        <v>17099 BROOKHURST ST</v>
      </c>
      <c r="L860" t="str">
        <f>IFERROR(VLOOKUP(VALUE(J860),'Site Info'!$A:$G,4,FALSE),"")</f>
        <v>FOUNTAIN VALLEY</v>
      </c>
      <c r="M860" t="str">
        <f>IFERROR(VLOOKUP(VALUE(J860),'Site Info'!$A:$G,5,FALSE),"")</f>
        <v>CA</v>
      </c>
      <c r="N860" t="str">
        <f>IFERROR(VLOOKUP(VALUE(J860),'Site Info'!$A:$G,6,FALSE),"")</f>
        <v>92708-3601</v>
      </c>
      <c r="O860">
        <f>IFERROR(VLOOKUP(VALUE(J860),'Site Info'!$A:$G,7,FALSE),"")</f>
        <v>7149650410</v>
      </c>
    </row>
    <row r="861" spans="1:15" x14ac:dyDescent="0.45">
      <c r="A861" t="s">
        <v>2899</v>
      </c>
      <c r="B861" t="s">
        <v>2900</v>
      </c>
      <c r="C861" t="s">
        <v>2901</v>
      </c>
      <c r="D861" t="s">
        <v>2884</v>
      </c>
      <c r="E861" s="1">
        <v>46153.26</v>
      </c>
      <c r="F861">
        <v>1481</v>
      </c>
      <c r="G861" t="s">
        <v>2902</v>
      </c>
      <c r="H861" t="s">
        <v>15</v>
      </c>
      <c r="I861" t="s">
        <v>2886</v>
      </c>
      <c r="J861" t="str">
        <f>RIGHT(D861,4)</f>
        <v>6615</v>
      </c>
      <c r="K861" t="str">
        <f>IFERROR(VLOOKUP(VALUE(J861),'Site Info'!$A:$G,3,FALSE),"")</f>
        <v>17099 BROOKHURST ST</v>
      </c>
      <c r="L861" t="str">
        <f>IFERROR(VLOOKUP(VALUE(J861),'Site Info'!$A:$G,4,FALSE),"")</f>
        <v>FOUNTAIN VALLEY</v>
      </c>
      <c r="M861" t="str">
        <f>IFERROR(VLOOKUP(VALUE(J861),'Site Info'!$A:$G,5,FALSE),"")</f>
        <v>CA</v>
      </c>
      <c r="N861" t="str">
        <f>IFERROR(VLOOKUP(VALUE(J861),'Site Info'!$A:$G,6,FALSE),"")</f>
        <v>92708-3601</v>
      </c>
      <c r="O861">
        <f>IFERROR(VLOOKUP(VALUE(J861),'Site Info'!$A:$G,7,FALSE),"")</f>
        <v>7149650410</v>
      </c>
    </row>
    <row r="862" spans="1:15" x14ac:dyDescent="0.45">
      <c r="A862" t="s">
        <v>9061</v>
      </c>
      <c r="B862" t="s">
        <v>9062</v>
      </c>
      <c r="C862" t="s">
        <v>9063</v>
      </c>
      <c r="D862" t="s">
        <v>7946</v>
      </c>
      <c r="E862" s="1">
        <v>46153.357881944445</v>
      </c>
      <c r="F862">
        <v>1547</v>
      </c>
      <c r="G862" t="s">
        <v>9064</v>
      </c>
      <c r="H862" t="s">
        <v>15</v>
      </c>
      <c r="I862" t="s">
        <v>7948</v>
      </c>
      <c r="J862" t="str">
        <f>RIGHT(D862,4)</f>
        <v>6693</v>
      </c>
      <c r="K862" t="str">
        <f>IFERROR(VLOOKUP(VALUE(J862),'Site Info'!$A:$G,3,FALSE),"")</f>
        <v>1717 E LINCOLN HWY</v>
      </c>
      <c r="L862" t="str">
        <f>IFERROR(VLOOKUP(VALUE(J862),'Site Info'!$A:$G,4,FALSE),"")</f>
        <v>LANGHORNE</v>
      </c>
      <c r="M862" t="str">
        <f>IFERROR(VLOOKUP(VALUE(J862),'Site Info'!$A:$G,5,FALSE),"")</f>
        <v>PA</v>
      </c>
      <c r="N862" t="str">
        <f>IFERROR(VLOOKUP(VALUE(J862),'Site Info'!$A:$G,6,FALSE),"")</f>
        <v>19047-3043</v>
      </c>
      <c r="O862">
        <f>IFERROR(VLOOKUP(VALUE(J862),'Site Info'!$A:$G,7,FALSE),"")</f>
        <v>2159496501</v>
      </c>
    </row>
    <row r="863" spans="1:15" x14ac:dyDescent="0.45">
      <c r="A863" t="s">
        <v>7943</v>
      </c>
      <c r="B863" t="s">
        <v>7944</v>
      </c>
      <c r="C863" t="s">
        <v>7945</v>
      </c>
      <c r="D863" t="s">
        <v>7946</v>
      </c>
      <c r="E863" s="1">
        <v>46153.373148148145</v>
      </c>
      <c r="F863">
        <v>1547</v>
      </c>
      <c r="G863" t="s">
        <v>7947</v>
      </c>
      <c r="H863" t="s">
        <v>15</v>
      </c>
      <c r="I863" t="s">
        <v>7948</v>
      </c>
      <c r="J863" t="str">
        <f>RIGHT(D863,4)</f>
        <v>6693</v>
      </c>
      <c r="K863" t="str">
        <f>IFERROR(VLOOKUP(VALUE(J863),'Site Info'!$A:$G,3,FALSE),"")</f>
        <v>1717 E LINCOLN HWY</v>
      </c>
      <c r="L863" t="str">
        <f>IFERROR(VLOOKUP(VALUE(J863),'Site Info'!$A:$G,4,FALSE),"")</f>
        <v>LANGHORNE</v>
      </c>
      <c r="M863" t="str">
        <f>IFERROR(VLOOKUP(VALUE(J863),'Site Info'!$A:$G,5,FALSE),"")</f>
        <v>PA</v>
      </c>
      <c r="N863" t="str">
        <f>IFERROR(VLOOKUP(VALUE(J863),'Site Info'!$A:$G,6,FALSE),"")</f>
        <v>19047-3043</v>
      </c>
      <c r="O863">
        <f>IFERROR(VLOOKUP(VALUE(J863),'Site Info'!$A:$G,7,FALSE),"")</f>
        <v>2159496501</v>
      </c>
    </row>
    <row r="864" spans="1:15" x14ac:dyDescent="0.45">
      <c r="A864" t="s">
        <v>10722</v>
      </c>
      <c r="B864" t="s">
        <v>10723</v>
      </c>
      <c r="C864" t="s">
        <v>10724</v>
      </c>
      <c r="D864" t="s">
        <v>2003</v>
      </c>
      <c r="E864" s="1">
        <v>46103.428159722222</v>
      </c>
      <c r="F864">
        <v>1548</v>
      </c>
      <c r="G864" t="s">
        <v>10725</v>
      </c>
      <c r="H864" t="s">
        <v>15</v>
      </c>
      <c r="I864" t="s">
        <v>2005</v>
      </c>
      <c r="J864" t="str">
        <f>RIGHT(D864,4)</f>
        <v>4861</v>
      </c>
      <c r="K864" t="str">
        <f>IFERROR(VLOOKUP(VALUE(J864),'Site Info'!$A:$G,3,FALSE),"")</f>
        <v>1725 34TH ST N</v>
      </c>
      <c r="L864" t="str">
        <f>IFERROR(VLOOKUP(VALUE(J864),'Site Info'!$A:$G,4,FALSE),"")</f>
        <v>ST PETERSBURG</v>
      </c>
      <c r="M864" t="str">
        <f>IFERROR(VLOOKUP(VALUE(J864),'Site Info'!$A:$G,5,FALSE),"")</f>
        <v>FL</v>
      </c>
      <c r="N864" t="str">
        <f>IFERROR(VLOOKUP(VALUE(J864),'Site Info'!$A:$G,6,FALSE),"")</f>
        <v>33713-3601</v>
      </c>
      <c r="O864">
        <f>IFERROR(VLOOKUP(VALUE(J864),'Site Info'!$A:$G,7,FALSE),"")</f>
        <v>7273690511</v>
      </c>
    </row>
    <row r="865" spans="1:15" x14ac:dyDescent="0.45">
      <c r="A865" t="s">
        <v>9950</v>
      </c>
      <c r="B865" t="s">
        <v>9951</v>
      </c>
      <c r="C865" t="s">
        <v>9952</v>
      </c>
      <c r="D865" t="s">
        <v>2003</v>
      </c>
      <c r="E865" s="1">
        <v>46153.146006944444</v>
      </c>
      <c r="F865">
        <v>1547</v>
      </c>
      <c r="G865" t="s">
        <v>9953</v>
      </c>
      <c r="H865" t="s">
        <v>15</v>
      </c>
      <c r="I865" t="s">
        <v>2005</v>
      </c>
      <c r="J865" t="str">
        <f>RIGHT(D865,4)</f>
        <v>4861</v>
      </c>
      <c r="K865" t="str">
        <f>IFERROR(VLOOKUP(VALUE(J865),'Site Info'!$A:$G,3,FALSE),"")</f>
        <v>1725 34TH ST N</v>
      </c>
      <c r="L865" t="str">
        <f>IFERROR(VLOOKUP(VALUE(J865),'Site Info'!$A:$G,4,FALSE),"")</f>
        <v>ST PETERSBURG</v>
      </c>
      <c r="M865" t="str">
        <f>IFERROR(VLOOKUP(VALUE(J865),'Site Info'!$A:$G,5,FALSE),"")</f>
        <v>FL</v>
      </c>
      <c r="N865" t="str">
        <f>IFERROR(VLOOKUP(VALUE(J865),'Site Info'!$A:$G,6,FALSE),"")</f>
        <v>33713-3601</v>
      </c>
      <c r="O865">
        <f>IFERROR(VLOOKUP(VALUE(J865),'Site Info'!$A:$G,7,FALSE),"")</f>
        <v>7273690511</v>
      </c>
    </row>
    <row r="866" spans="1:15" x14ac:dyDescent="0.45">
      <c r="A866" t="s">
        <v>11484</v>
      </c>
      <c r="B866" t="s">
        <v>11485</v>
      </c>
      <c r="C866" t="s">
        <v>11486</v>
      </c>
      <c r="D866" t="s">
        <v>2003</v>
      </c>
      <c r="E866" s="1">
        <v>46153.358923611115</v>
      </c>
      <c r="F866">
        <v>1547</v>
      </c>
      <c r="G866" t="s">
        <v>11487</v>
      </c>
      <c r="H866" t="s">
        <v>15</v>
      </c>
      <c r="I866" t="s">
        <v>2005</v>
      </c>
      <c r="J866" t="str">
        <f>RIGHT(D866,4)</f>
        <v>4861</v>
      </c>
      <c r="K866" t="str">
        <f>IFERROR(VLOOKUP(VALUE(J866),'Site Info'!$A:$G,3,FALSE),"")</f>
        <v>1725 34TH ST N</v>
      </c>
      <c r="L866" t="str">
        <f>IFERROR(VLOOKUP(VALUE(J866),'Site Info'!$A:$G,4,FALSE),"")</f>
        <v>ST PETERSBURG</v>
      </c>
      <c r="M866" t="str">
        <f>IFERROR(VLOOKUP(VALUE(J866),'Site Info'!$A:$G,5,FALSE),"")</f>
        <v>FL</v>
      </c>
      <c r="N866" t="str">
        <f>IFERROR(VLOOKUP(VALUE(J866),'Site Info'!$A:$G,6,FALSE),"")</f>
        <v>33713-3601</v>
      </c>
      <c r="O866">
        <f>IFERROR(VLOOKUP(VALUE(J866),'Site Info'!$A:$G,7,FALSE),"")</f>
        <v>7273690511</v>
      </c>
    </row>
    <row r="867" spans="1:15" x14ac:dyDescent="0.45">
      <c r="A867" t="s">
        <v>11400</v>
      </c>
      <c r="B867" t="s">
        <v>11401</v>
      </c>
      <c r="C867" t="s">
        <v>11402</v>
      </c>
      <c r="D867" t="s">
        <v>2003</v>
      </c>
      <c r="E867" s="1">
        <v>46153.37263888889</v>
      </c>
      <c r="F867">
        <v>1547</v>
      </c>
      <c r="G867" t="s">
        <v>11403</v>
      </c>
      <c r="H867" t="s">
        <v>15</v>
      </c>
      <c r="I867" t="s">
        <v>2005</v>
      </c>
      <c r="J867" t="str">
        <f>RIGHT(D867,4)</f>
        <v>4861</v>
      </c>
      <c r="K867" t="str">
        <f>IFERROR(VLOOKUP(VALUE(J867),'Site Info'!$A:$G,3,FALSE),"")</f>
        <v>1725 34TH ST N</v>
      </c>
      <c r="L867" t="str">
        <f>IFERROR(VLOOKUP(VALUE(J867),'Site Info'!$A:$G,4,FALSE),"")</f>
        <v>ST PETERSBURG</v>
      </c>
      <c r="M867" t="str">
        <f>IFERROR(VLOOKUP(VALUE(J867),'Site Info'!$A:$G,5,FALSE),"")</f>
        <v>FL</v>
      </c>
      <c r="N867" t="str">
        <f>IFERROR(VLOOKUP(VALUE(J867),'Site Info'!$A:$G,6,FALSE),"")</f>
        <v>33713-3601</v>
      </c>
      <c r="O867">
        <f>IFERROR(VLOOKUP(VALUE(J867),'Site Info'!$A:$G,7,FALSE),"")</f>
        <v>7273690511</v>
      </c>
    </row>
    <row r="868" spans="1:15" x14ac:dyDescent="0.45">
      <c r="A868" t="s">
        <v>9946</v>
      </c>
      <c r="B868" t="s">
        <v>9947</v>
      </c>
      <c r="C868" t="s">
        <v>9948</v>
      </c>
      <c r="D868" t="s">
        <v>2003</v>
      </c>
      <c r="E868" s="1">
        <v>46153.373773148145</v>
      </c>
      <c r="F868">
        <v>1547</v>
      </c>
      <c r="G868" t="s">
        <v>9949</v>
      </c>
      <c r="H868" t="s">
        <v>15</v>
      </c>
      <c r="I868" t="s">
        <v>2005</v>
      </c>
      <c r="J868" t="str">
        <f>RIGHT(D868,4)</f>
        <v>4861</v>
      </c>
      <c r="K868" t="str">
        <f>IFERROR(VLOOKUP(VALUE(J868),'Site Info'!$A:$G,3,FALSE),"")</f>
        <v>1725 34TH ST N</v>
      </c>
      <c r="L868" t="str">
        <f>IFERROR(VLOOKUP(VALUE(J868),'Site Info'!$A:$G,4,FALSE),"")</f>
        <v>ST PETERSBURG</v>
      </c>
      <c r="M868" t="str">
        <f>IFERROR(VLOOKUP(VALUE(J868),'Site Info'!$A:$G,5,FALSE),"")</f>
        <v>FL</v>
      </c>
      <c r="N868" t="str">
        <f>IFERROR(VLOOKUP(VALUE(J868),'Site Info'!$A:$G,6,FALSE),"")</f>
        <v>33713-3601</v>
      </c>
      <c r="O868">
        <f>IFERROR(VLOOKUP(VALUE(J868),'Site Info'!$A:$G,7,FALSE),"")</f>
        <v>7273690511</v>
      </c>
    </row>
    <row r="869" spans="1:15" x14ac:dyDescent="0.45">
      <c r="A869" t="s">
        <v>2000</v>
      </c>
      <c r="B869" t="s">
        <v>2001</v>
      </c>
      <c r="C869" t="s">
        <v>2002</v>
      </c>
      <c r="D869" t="s">
        <v>2003</v>
      </c>
      <c r="E869" s="1">
        <v>46152.481076388889</v>
      </c>
      <c r="F869">
        <v>1481</v>
      </c>
      <c r="G869" t="s">
        <v>2004</v>
      </c>
      <c r="H869" t="s">
        <v>15</v>
      </c>
      <c r="I869" t="s">
        <v>2005</v>
      </c>
      <c r="J869" t="str">
        <f>RIGHT(D869,4)</f>
        <v>4861</v>
      </c>
      <c r="K869" t="str">
        <f>IFERROR(VLOOKUP(VALUE(J869),'Site Info'!$A:$G,3,FALSE),"")</f>
        <v>1725 34TH ST N</v>
      </c>
      <c r="L869" t="str">
        <f>IFERROR(VLOOKUP(VALUE(J869),'Site Info'!$A:$G,4,FALSE),"")</f>
        <v>ST PETERSBURG</v>
      </c>
      <c r="M869" t="str">
        <f>IFERROR(VLOOKUP(VALUE(J869),'Site Info'!$A:$G,5,FALSE),"")</f>
        <v>FL</v>
      </c>
      <c r="N869" t="str">
        <f>IFERROR(VLOOKUP(VALUE(J869),'Site Info'!$A:$G,6,FALSE),"")</f>
        <v>33713-3601</v>
      </c>
      <c r="O869">
        <f>IFERROR(VLOOKUP(VALUE(J869),'Site Info'!$A:$G,7,FALSE),"")</f>
        <v>7273690511</v>
      </c>
    </row>
    <row r="870" spans="1:15" x14ac:dyDescent="0.45">
      <c r="A870" t="s">
        <v>16508</v>
      </c>
      <c r="B870" t="s">
        <v>16509</v>
      </c>
      <c r="C870" t="s">
        <v>16510</v>
      </c>
      <c r="D870" t="s">
        <v>2003</v>
      </c>
      <c r="E870" s="1">
        <v>46152.801342592589</v>
      </c>
      <c r="F870">
        <v>1481</v>
      </c>
      <c r="G870" t="s">
        <v>16511</v>
      </c>
      <c r="H870" t="s">
        <v>15</v>
      </c>
      <c r="I870" t="s">
        <v>2005</v>
      </c>
      <c r="J870" t="str">
        <f>RIGHT(D870,4)</f>
        <v>4861</v>
      </c>
      <c r="K870" t="str">
        <f>IFERROR(VLOOKUP(VALUE(J870),'Site Info'!$A:$G,3,FALSE),"")</f>
        <v>1725 34TH ST N</v>
      </c>
      <c r="L870" t="str">
        <f>IFERROR(VLOOKUP(VALUE(J870),'Site Info'!$A:$G,4,FALSE),"")</f>
        <v>ST PETERSBURG</v>
      </c>
      <c r="M870" t="str">
        <f>IFERROR(VLOOKUP(VALUE(J870),'Site Info'!$A:$G,5,FALSE),"")</f>
        <v>FL</v>
      </c>
      <c r="N870" t="str">
        <f>IFERROR(VLOOKUP(VALUE(J870),'Site Info'!$A:$G,6,FALSE),"")</f>
        <v>33713-3601</v>
      </c>
      <c r="O870">
        <f>IFERROR(VLOOKUP(VALUE(J870),'Site Info'!$A:$G,7,FALSE),"")</f>
        <v>7273690511</v>
      </c>
    </row>
    <row r="871" spans="1:15" x14ac:dyDescent="0.45">
      <c r="A871" t="s">
        <v>14265</v>
      </c>
      <c r="B871" t="s">
        <v>14266</v>
      </c>
      <c r="C871" t="s">
        <v>14267</v>
      </c>
      <c r="D871" t="s">
        <v>4837</v>
      </c>
      <c r="E871" s="1">
        <v>46152.801736111112</v>
      </c>
      <c r="F871">
        <v>1863</v>
      </c>
      <c r="G871" t="s">
        <v>14268</v>
      </c>
      <c r="H871" t="s">
        <v>136</v>
      </c>
      <c r="I871" t="s">
        <v>4839</v>
      </c>
      <c r="J871" t="str">
        <f>RIGHT(D871,4)</f>
        <v>4911</v>
      </c>
      <c r="K871" t="str">
        <f>IFERROR(VLOOKUP(VALUE(J871),'Site Info'!$A:$G,3,FALSE),"")</f>
        <v>1740 NORTH FM 157</v>
      </c>
      <c r="L871" t="str">
        <f>IFERROR(VLOOKUP(VALUE(J871),'Site Info'!$A:$G,4,FALSE),"")</f>
        <v>MANSFIELD</v>
      </c>
      <c r="M871" t="str">
        <f>IFERROR(VLOOKUP(VALUE(J871),'Site Info'!$A:$G,5,FALSE),"")</f>
        <v>TX</v>
      </c>
      <c r="N871" t="str">
        <f>IFERROR(VLOOKUP(VALUE(J871),'Site Info'!$A:$G,6,FALSE),"")</f>
        <v>76063-0000</v>
      </c>
      <c r="O871">
        <f>IFERROR(VLOOKUP(VALUE(J871),'Site Info'!$A:$G,7,FALSE),"")</f>
        <v>8177796047</v>
      </c>
    </row>
    <row r="872" spans="1:15" x14ac:dyDescent="0.45">
      <c r="A872" t="s">
        <v>4834</v>
      </c>
      <c r="B872" t="s">
        <v>4835</v>
      </c>
      <c r="C872" t="s">
        <v>4836</v>
      </c>
      <c r="D872" t="s">
        <v>4837</v>
      </c>
      <c r="E872" s="1">
        <v>46143.46947916667</v>
      </c>
      <c r="F872">
        <v>1547</v>
      </c>
      <c r="G872" t="s">
        <v>4838</v>
      </c>
      <c r="H872" t="s">
        <v>15</v>
      </c>
      <c r="I872" t="s">
        <v>4839</v>
      </c>
      <c r="J872" t="str">
        <f>RIGHT(D872,4)</f>
        <v>4911</v>
      </c>
      <c r="K872" t="str">
        <f>IFERROR(VLOOKUP(VALUE(J872),'Site Info'!$A:$G,3,FALSE),"")</f>
        <v>1740 NORTH FM 157</v>
      </c>
      <c r="L872" t="str">
        <f>IFERROR(VLOOKUP(VALUE(J872),'Site Info'!$A:$G,4,FALSE),"")</f>
        <v>MANSFIELD</v>
      </c>
      <c r="M872" t="str">
        <f>IFERROR(VLOOKUP(VALUE(J872),'Site Info'!$A:$G,5,FALSE),"")</f>
        <v>TX</v>
      </c>
      <c r="N872" t="str">
        <f>IFERROR(VLOOKUP(VALUE(J872),'Site Info'!$A:$G,6,FALSE),"")</f>
        <v>76063-0000</v>
      </c>
      <c r="O872">
        <f>IFERROR(VLOOKUP(VALUE(J872),'Site Info'!$A:$G,7,FALSE),"")</f>
        <v>8177796047</v>
      </c>
    </row>
    <row r="873" spans="1:15" x14ac:dyDescent="0.45">
      <c r="A873" t="s">
        <v>11156</v>
      </c>
      <c r="B873" t="s">
        <v>11157</v>
      </c>
      <c r="C873" t="s">
        <v>11158</v>
      </c>
      <c r="D873" t="s">
        <v>4837</v>
      </c>
      <c r="E873" s="1">
        <v>46151.735810185186</v>
      </c>
      <c r="F873">
        <v>1547</v>
      </c>
      <c r="G873" t="s">
        <v>11159</v>
      </c>
      <c r="H873" t="s">
        <v>15</v>
      </c>
      <c r="I873" t="s">
        <v>4839</v>
      </c>
      <c r="J873" t="str">
        <f>RIGHT(D873,4)</f>
        <v>4911</v>
      </c>
      <c r="K873" t="str">
        <f>IFERROR(VLOOKUP(VALUE(J873),'Site Info'!$A:$G,3,FALSE),"")</f>
        <v>1740 NORTH FM 157</v>
      </c>
      <c r="L873" t="str">
        <f>IFERROR(VLOOKUP(VALUE(J873),'Site Info'!$A:$G,4,FALSE),"")</f>
        <v>MANSFIELD</v>
      </c>
      <c r="M873" t="str">
        <f>IFERROR(VLOOKUP(VALUE(J873),'Site Info'!$A:$G,5,FALSE),"")</f>
        <v>TX</v>
      </c>
      <c r="N873" t="str">
        <f>IFERROR(VLOOKUP(VALUE(J873),'Site Info'!$A:$G,6,FALSE),"")</f>
        <v>76063-0000</v>
      </c>
      <c r="O873">
        <f>IFERROR(VLOOKUP(VALUE(J873),'Site Info'!$A:$G,7,FALSE),"")</f>
        <v>8177796047</v>
      </c>
    </row>
    <row r="874" spans="1:15" x14ac:dyDescent="0.45">
      <c r="A874" t="s">
        <v>11860</v>
      </c>
      <c r="B874" t="s">
        <v>11861</v>
      </c>
      <c r="C874" t="s">
        <v>11862</v>
      </c>
      <c r="D874" t="s">
        <v>4837</v>
      </c>
      <c r="E874" s="1">
        <v>46152.821863425925</v>
      </c>
      <c r="F874">
        <v>1547</v>
      </c>
      <c r="G874" t="s">
        <v>11863</v>
      </c>
      <c r="H874" t="s">
        <v>15</v>
      </c>
      <c r="I874" t="s">
        <v>4839</v>
      </c>
      <c r="J874" t="str">
        <f>RIGHT(D874,4)</f>
        <v>4911</v>
      </c>
      <c r="K874" t="str">
        <f>IFERROR(VLOOKUP(VALUE(J874),'Site Info'!$A:$G,3,FALSE),"")</f>
        <v>1740 NORTH FM 157</v>
      </c>
      <c r="L874" t="str">
        <f>IFERROR(VLOOKUP(VALUE(J874),'Site Info'!$A:$G,4,FALSE),"")</f>
        <v>MANSFIELD</v>
      </c>
      <c r="M874" t="str">
        <f>IFERROR(VLOOKUP(VALUE(J874),'Site Info'!$A:$G,5,FALSE),"")</f>
        <v>TX</v>
      </c>
      <c r="N874" t="str">
        <f>IFERROR(VLOOKUP(VALUE(J874),'Site Info'!$A:$G,6,FALSE),"")</f>
        <v>76063-0000</v>
      </c>
      <c r="O874">
        <f>IFERROR(VLOOKUP(VALUE(J874),'Site Info'!$A:$G,7,FALSE),"")</f>
        <v>8177796047</v>
      </c>
    </row>
    <row r="875" spans="1:15" x14ac:dyDescent="0.45">
      <c r="A875" t="s">
        <v>11508</v>
      </c>
      <c r="B875" t="s">
        <v>11509</v>
      </c>
      <c r="C875" t="s">
        <v>11510</v>
      </c>
      <c r="D875" t="s">
        <v>4837</v>
      </c>
      <c r="E875" s="1">
        <v>46153.33053240741</v>
      </c>
      <c r="F875">
        <v>1547</v>
      </c>
      <c r="G875" t="s">
        <v>11511</v>
      </c>
      <c r="H875" t="s">
        <v>15</v>
      </c>
      <c r="I875" t="s">
        <v>4839</v>
      </c>
      <c r="J875" t="str">
        <f>RIGHT(D875,4)</f>
        <v>4911</v>
      </c>
      <c r="K875" t="str">
        <f>IFERROR(VLOOKUP(VALUE(J875),'Site Info'!$A:$G,3,FALSE),"")</f>
        <v>1740 NORTH FM 157</v>
      </c>
      <c r="L875" t="str">
        <f>IFERROR(VLOOKUP(VALUE(J875),'Site Info'!$A:$G,4,FALSE),"")</f>
        <v>MANSFIELD</v>
      </c>
      <c r="M875" t="str">
        <f>IFERROR(VLOOKUP(VALUE(J875),'Site Info'!$A:$G,5,FALSE),"")</f>
        <v>TX</v>
      </c>
      <c r="N875" t="str">
        <f>IFERROR(VLOOKUP(VALUE(J875),'Site Info'!$A:$G,6,FALSE),"")</f>
        <v>76063-0000</v>
      </c>
      <c r="O875">
        <f>IFERROR(VLOOKUP(VALUE(J875),'Site Info'!$A:$G,7,FALSE),"")</f>
        <v>8177796047</v>
      </c>
    </row>
    <row r="876" spans="1:15" x14ac:dyDescent="0.45">
      <c r="A876" t="s">
        <v>10552</v>
      </c>
      <c r="B876" t="s">
        <v>10553</v>
      </c>
      <c r="C876" t="s">
        <v>10554</v>
      </c>
      <c r="D876" t="s">
        <v>4837</v>
      </c>
      <c r="E876" s="1">
        <v>46153.372187499997</v>
      </c>
      <c r="F876">
        <v>1547</v>
      </c>
      <c r="G876" t="s">
        <v>10555</v>
      </c>
      <c r="H876" t="s">
        <v>15</v>
      </c>
      <c r="I876" t="s">
        <v>4839</v>
      </c>
      <c r="J876" t="str">
        <f>RIGHT(D876,4)</f>
        <v>4911</v>
      </c>
      <c r="K876" t="str">
        <f>IFERROR(VLOOKUP(VALUE(J876),'Site Info'!$A:$G,3,FALSE),"")</f>
        <v>1740 NORTH FM 157</v>
      </c>
      <c r="L876" t="str">
        <f>IFERROR(VLOOKUP(VALUE(J876),'Site Info'!$A:$G,4,FALSE),"")</f>
        <v>MANSFIELD</v>
      </c>
      <c r="M876" t="str">
        <f>IFERROR(VLOOKUP(VALUE(J876),'Site Info'!$A:$G,5,FALSE),"")</f>
        <v>TX</v>
      </c>
      <c r="N876" t="str">
        <f>IFERROR(VLOOKUP(VALUE(J876),'Site Info'!$A:$G,6,FALSE),"")</f>
        <v>76063-0000</v>
      </c>
      <c r="O876">
        <f>IFERROR(VLOOKUP(VALUE(J876),'Site Info'!$A:$G,7,FALSE),"")</f>
        <v>8177796047</v>
      </c>
    </row>
    <row r="877" spans="1:15" x14ac:dyDescent="0.45">
      <c r="A877" t="s">
        <v>5850</v>
      </c>
      <c r="B877" t="s">
        <v>5851</v>
      </c>
      <c r="C877" t="s">
        <v>5852</v>
      </c>
      <c r="D877" t="s">
        <v>5703</v>
      </c>
      <c r="E877" s="1">
        <v>46152.587083333332</v>
      </c>
      <c r="F877">
        <v>1547</v>
      </c>
      <c r="G877" t="s">
        <v>5853</v>
      </c>
      <c r="H877" t="s">
        <v>15</v>
      </c>
      <c r="I877" t="s">
        <v>5705</v>
      </c>
      <c r="J877" t="str">
        <f>RIGHT(D877,4)</f>
        <v>4972</v>
      </c>
      <c r="K877" t="str">
        <f>IFERROR(VLOOKUP(VALUE(J877),'Site Info'!$A:$G,3,FALSE),"")</f>
        <v>1750 SW GATLIN BLVD</v>
      </c>
      <c r="L877" t="str">
        <f>IFERROR(VLOOKUP(VALUE(J877),'Site Info'!$A:$G,4,FALSE),"")</f>
        <v>PORT ST LUCIE</v>
      </c>
      <c r="M877" t="str">
        <f>IFERROR(VLOOKUP(VALUE(J877),'Site Info'!$A:$G,5,FALSE),"")</f>
        <v>FL</v>
      </c>
      <c r="N877" t="str">
        <f>IFERROR(VLOOKUP(VALUE(J877),'Site Info'!$A:$G,6,FALSE),"")</f>
        <v>34953-2777</v>
      </c>
      <c r="O877">
        <f>IFERROR(VLOOKUP(VALUE(J877),'Site Info'!$A:$G,7,FALSE),"")</f>
        <v>7728784881</v>
      </c>
    </row>
    <row r="878" spans="1:15" x14ac:dyDescent="0.45">
      <c r="A878" t="s">
        <v>5700</v>
      </c>
      <c r="B878" t="s">
        <v>5701</v>
      </c>
      <c r="C878" t="s">
        <v>5702</v>
      </c>
      <c r="D878" t="s">
        <v>5703</v>
      </c>
      <c r="E878" s="1">
        <v>46153.313391203701</v>
      </c>
      <c r="F878">
        <v>1547</v>
      </c>
      <c r="G878" t="s">
        <v>5704</v>
      </c>
      <c r="H878" t="s">
        <v>15</v>
      </c>
      <c r="I878" t="s">
        <v>5705</v>
      </c>
      <c r="J878" t="str">
        <f>RIGHT(D878,4)</f>
        <v>4972</v>
      </c>
      <c r="K878" t="str">
        <f>IFERROR(VLOOKUP(VALUE(J878),'Site Info'!$A:$G,3,FALSE),"")</f>
        <v>1750 SW GATLIN BLVD</v>
      </c>
      <c r="L878" t="str">
        <f>IFERROR(VLOOKUP(VALUE(J878),'Site Info'!$A:$G,4,FALSE),"")</f>
        <v>PORT ST LUCIE</v>
      </c>
      <c r="M878" t="str">
        <f>IFERROR(VLOOKUP(VALUE(J878),'Site Info'!$A:$G,5,FALSE),"")</f>
        <v>FL</v>
      </c>
      <c r="N878" t="str">
        <f>IFERROR(VLOOKUP(VALUE(J878),'Site Info'!$A:$G,6,FALSE),"")</f>
        <v>34953-2777</v>
      </c>
      <c r="O878">
        <f>IFERROR(VLOOKUP(VALUE(J878),'Site Info'!$A:$G,7,FALSE),"")</f>
        <v>7728784881</v>
      </c>
    </row>
    <row r="879" spans="1:15" x14ac:dyDescent="0.45">
      <c r="A879" t="s">
        <v>13607</v>
      </c>
      <c r="B879" t="s">
        <v>13608</v>
      </c>
      <c r="C879" t="s">
        <v>13609</v>
      </c>
      <c r="D879" t="s">
        <v>5703</v>
      </c>
      <c r="E879" s="1">
        <v>46153.33394675926</v>
      </c>
      <c r="F879">
        <v>1547</v>
      </c>
      <c r="G879" t="s">
        <v>13610</v>
      </c>
      <c r="H879" t="s">
        <v>15</v>
      </c>
      <c r="I879" t="s">
        <v>5705</v>
      </c>
      <c r="J879" t="str">
        <f>RIGHT(D879,4)</f>
        <v>4972</v>
      </c>
      <c r="K879" t="str">
        <f>IFERROR(VLOOKUP(VALUE(J879),'Site Info'!$A:$G,3,FALSE),"")</f>
        <v>1750 SW GATLIN BLVD</v>
      </c>
      <c r="L879" t="str">
        <f>IFERROR(VLOOKUP(VALUE(J879),'Site Info'!$A:$G,4,FALSE),"")</f>
        <v>PORT ST LUCIE</v>
      </c>
      <c r="M879" t="str">
        <f>IFERROR(VLOOKUP(VALUE(J879),'Site Info'!$A:$G,5,FALSE),"")</f>
        <v>FL</v>
      </c>
      <c r="N879" t="str">
        <f>IFERROR(VLOOKUP(VALUE(J879),'Site Info'!$A:$G,6,FALSE),"")</f>
        <v>34953-2777</v>
      </c>
      <c r="O879">
        <f>IFERROR(VLOOKUP(VALUE(J879),'Site Info'!$A:$G,7,FALSE),"")</f>
        <v>7728784881</v>
      </c>
    </row>
    <row r="880" spans="1:15" x14ac:dyDescent="0.45">
      <c r="A880" t="s">
        <v>16489</v>
      </c>
      <c r="B880" t="s">
        <v>16566</v>
      </c>
      <c r="C880" t="s">
        <v>16567</v>
      </c>
      <c r="D880" t="s">
        <v>5703</v>
      </c>
      <c r="E880" s="1">
        <v>46126.458761574075</v>
      </c>
      <c r="F880">
        <v>1628</v>
      </c>
      <c r="G880" t="s">
        <v>16568</v>
      </c>
      <c r="H880" t="s">
        <v>13988</v>
      </c>
      <c r="I880" t="s">
        <v>5705</v>
      </c>
      <c r="J880" t="str">
        <f>RIGHT(D880,4)</f>
        <v>4972</v>
      </c>
      <c r="K880" t="str">
        <f>IFERROR(VLOOKUP(VALUE(J880),'Site Info'!$A:$G,3,FALSE),"")</f>
        <v>1750 SW GATLIN BLVD</v>
      </c>
      <c r="L880" t="str">
        <f>IFERROR(VLOOKUP(VALUE(J880),'Site Info'!$A:$G,4,FALSE),"")</f>
        <v>PORT ST LUCIE</v>
      </c>
      <c r="M880" t="str">
        <f>IFERROR(VLOOKUP(VALUE(J880),'Site Info'!$A:$G,5,FALSE),"")</f>
        <v>FL</v>
      </c>
      <c r="N880" t="str">
        <f>IFERROR(VLOOKUP(VALUE(J880),'Site Info'!$A:$G,6,FALSE),"")</f>
        <v>34953-2777</v>
      </c>
      <c r="O880">
        <f>IFERROR(VLOOKUP(VALUE(J880),'Site Info'!$A:$G,7,FALSE),"")</f>
        <v>7728784881</v>
      </c>
    </row>
    <row r="881" spans="1:15" x14ac:dyDescent="0.45">
      <c r="A881" t="s">
        <v>14632</v>
      </c>
      <c r="B881" t="s">
        <v>16569</v>
      </c>
      <c r="C881" t="s">
        <v>16570</v>
      </c>
      <c r="D881" t="s">
        <v>5703</v>
      </c>
      <c r="E881" s="1">
        <v>46153.358090277776</v>
      </c>
      <c r="F881">
        <v>1547</v>
      </c>
      <c r="G881" t="s">
        <v>16571</v>
      </c>
      <c r="H881" t="s">
        <v>15</v>
      </c>
      <c r="I881" t="s">
        <v>5705</v>
      </c>
      <c r="J881" t="str">
        <f>RIGHT(D881,4)</f>
        <v>4972</v>
      </c>
      <c r="K881" t="str">
        <f>IFERROR(VLOOKUP(VALUE(J881),'Site Info'!$A:$G,3,FALSE),"")</f>
        <v>1750 SW GATLIN BLVD</v>
      </c>
      <c r="L881" t="str">
        <f>IFERROR(VLOOKUP(VALUE(J881),'Site Info'!$A:$G,4,FALSE),"")</f>
        <v>PORT ST LUCIE</v>
      </c>
      <c r="M881" t="str">
        <f>IFERROR(VLOOKUP(VALUE(J881),'Site Info'!$A:$G,5,FALSE),"")</f>
        <v>FL</v>
      </c>
      <c r="N881" t="str">
        <f>IFERROR(VLOOKUP(VALUE(J881),'Site Info'!$A:$G,6,FALSE),"")</f>
        <v>34953-2777</v>
      </c>
      <c r="O881">
        <f>IFERROR(VLOOKUP(VALUE(J881),'Site Info'!$A:$G,7,FALSE),"")</f>
        <v>7728784881</v>
      </c>
    </row>
    <row r="882" spans="1:15" x14ac:dyDescent="0.45">
      <c r="A882" t="s">
        <v>14415</v>
      </c>
      <c r="B882" t="s">
        <v>14416</v>
      </c>
      <c r="C882" t="s">
        <v>14417</v>
      </c>
      <c r="D882" t="s">
        <v>6970</v>
      </c>
      <c r="E882" s="1">
        <v>46147.902465277781</v>
      </c>
      <c r="F882">
        <v>1547</v>
      </c>
      <c r="G882" t="s">
        <v>14418</v>
      </c>
      <c r="H882" t="s">
        <v>15</v>
      </c>
      <c r="I882" t="s">
        <v>6972</v>
      </c>
      <c r="J882" t="str">
        <f>RIGHT(D882,4)</f>
        <v>6308</v>
      </c>
      <c r="K882" t="str">
        <f>IFERROR(VLOOKUP(VALUE(J882),'Site Info'!$A:$G,3,FALSE),"")</f>
        <v>1755 HILLIARD ROME RD EAST</v>
      </c>
      <c r="L882" t="str">
        <f>IFERROR(VLOOKUP(VALUE(J882),'Site Info'!$A:$G,4,FALSE),"")</f>
        <v>COLUMBUS</v>
      </c>
      <c r="M882" t="str">
        <f>IFERROR(VLOOKUP(VALUE(J882),'Site Info'!$A:$G,5,FALSE),"")</f>
        <v>OH</v>
      </c>
      <c r="N882" t="str">
        <f>IFERROR(VLOOKUP(VALUE(J882),'Site Info'!$A:$G,6,FALSE),"")</f>
        <v>43228-0000</v>
      </c>
      <c r="O882">
        <f>IFERROR(VLOOKUP(VALUE(J882),'Site Info'!$A:$G,7,FALSE),"")</f>
        <v>6149210057</v>
      </c>
    </row>
    <row r="883" spans="1:15" x14ac:dyDescent="0.45">
      <c r="A883" t="s">
        <v>8817</v>
      </c>
      <c r="B883" t="s">
        <v>8818</v>
      </c>
      <c r="C883" t="s">
        <v>8819</v>
      </c>
      <c r="D883" t="s">
        <v>6970</v>
      </c>
      <c r="E883" s="1">
        <v>46150.752592592595</v>
      </c>
      <c r="F883">
        <v>1547</v>
      </c>
      <c r="G883" t="s">
        <v>8820</v>
      </c>
      <c r="H883" t="s">
        <v>15</v>
      </c>
      <c r="I883" t="s">
        <v>6972</v>
      </c>
      <c r="J883" t="str">
        <f>RIGHT(D883,4)</f>
        <v>6308</v>
      </c>
      <c r="K883" t="str">
        <f>IFERROR(VLOOKUP(VALUE(J883),'Site Info'!$A:$G,3,FALSE),"")</f>
        <v>1755 HILLIARD ROME RD EAST</v>
      </c>
      <c r="L883" t="str">
        <f>IFERROR(VLOOKUP(VALUE(J883),'Site Info'!$A:$G,4,FALSE),"")</f>
        <v>COLUMBUS</v>
      </c>
      <c r="M883" t="str">
        <f>IFERROR(VLOOKUP(VALUE(J883),'Site Info'!$A:$G,5,FALSE),"")</f>
        <v>OH</v>
      </c>
      <c r="N883" t="str">
        <f>IFERROR(VLOOKUP(VALUE(J883),'Site Info'!$A:$G,6,FALSE),"")</f>
        <v>43228-0000</v>
      </c>
      <c r="O883">
        <f>IFERROR(VLOOKUP(VALUE(J883),'Site Info'!$A:$G,7,FALSE),"")</f>
        <v>6149210057</v>
      </c>
    </row>
    <row r="884" spans="1:15" x14ac:dyDescent="0.45">
      <c r="A884" t="s">
        <v>6967</v>
      </c>
      <c r="B884" t="s">
        <v>6968</v>
      </c>
      <c r="C884" t="s">
        <v>6969</v>
      </c>
      <c r="D884" t="s">
        <v>6970</v>
      </c>
      <c r="E884" s="1">
        <v>46152.622870370367</v>
      </c>
      <c r="F884">
        <v>1547</v>
      </c>
      <c r="G884" t="s">
        <v>6971</v>
      </c>
      <c r="H884" t="s">
        <v>15</v>
      </c>
      <c r="I884" t="s">
        <v>6972</v>
      </c>
      <c r="J884" t="str">
        <f>RIGHT(D884,4)</f>
        <v>6308</v>
      </c>
      <c r="K884" t="str">
        <f>IFERROR(VLOOKUP(VALUE(J884),'Site Info'!$A:$G,3,FALSE),"")</f>
        <v>1755 HILLIARD ROME RD EAST</v>
      </c>
      <c r="L884" t="str">
        <f>IFERROR(VLOOKUP(VALUE(J884),'Site Info'!$A:$G,4,FALSE),"")</f>
        <v>COLUMBUS</v>
      </c>
      <c r="M884" t="str">
        <f>IFERROR(VLOOKUP(VALUE(J884),'Site Info'!$A:$G,5,FALSE),"")</f>
        <v>OH</v>
      </c>
      <c r="N884" t="str">
        <f>IFERROR(VLOOKUP(VALUE(J884),'Site Info'!$A:$G,6,FALSE),"")</f>
        <v>43228-0000</v>
      </c>
      <c r="O884">
        <f>IFERROR(VLOOKUP(VALUE(J884),'Site Info'!$A:$G,7,FALSE),"")</f>
        <v>6149210057</v>
      </c>
    </row>
    <row r="885" spans="1:15" x14ac:dyDescent="0.45">
      <c r="A885" t="s">
        <v>7150</v>
      </c>
      <c r="B885" t="s">
        <v>7151</v>
      </c>
      <c r="C885" t="s">
        <v>7152</v>
      </c>
      <c r="D885" t="s">
        <v>6970</v>
      </c>
      <c r="E885" s="1">
        <v>46153.097627314812</v>
      </c>
      <c r="F885">
        <v>1547</v>
      </c>
      <c r="G885" t="s">
        <v>7153</v>
      </c>
      <c r="H885" t="s">
        <v>15</v>
      </c>
      <c r="I885" t="s">
        <v>6972</v>
      </c>
      <c r="J885" t="str">
        <f>RIGHT(D885,4)</f>
        <v>6308</v>
      </c>
      <c r="K885" t="str">
        <f>IFERROR(VLOOKUP(VALUE(J885),'Site Info'!$A:$G,3,FALSE),"")</f>
        <v>1755 HILLIARD ROME RD EAST</v>
      </c>
      <c r="L885" t="str">
        <f>IFERROR(VLOOKUP(VALUE(J885),'Site Info'!$A:$G,4,FALSE),"")</f>
        <v>COLUMBUS</v>
      </c>
      <c r="M885" t="str">
        <f>IFERROR(VLOOKUP(VALUE(J885),'Site Info'!$A:$G,5,FALSE),"")</f>
        <v>OH</v>
      </c>
      <c r="N885" t="str">
        <f>IFERROR(VLOOKUP(VALUE(J885),'Site Info'!$A:$G,6,FALSE),"")</f>
        <v>43228-0000</v>
      </c>
      <c r="O885">
        <f>IFERROR(VLOOKUP(VALUE(J885),'Site Info'!$A:$G,7,FALSE),"")</f>
        <v>6149210057</v>
      </c>
    </row>
    <row r="886" spans="1:15" x14ac:dyDescent="0.45">
      <c r="A886" t="s">
        <v>8889</v>
      </c>
      <c r="B886" t="s">
        <v>8890</v>
      </c>
      <c r="C886" t="s">
        <v>8891</v>
      </c>
      <c r="D886" t="s">
        <v>6970</v>
      </c>
      <c r="E886" s="1">
        <v>46153.148877314816</v>
      </c>
      <c r="F886">
        <v>1547</v>
      </c>
      <c r="G886" t="s">
        <v>8892</v>
      </c>
      <c r="H886" t="s">
        <v>15</v>
      </c>
      <c r="I886" t="s">
        <v>6972</v>
      </c>
      <c r="J886" t="str">
        <f>RIGHT(D886,4)</f>
        <v>6308</v>
      </c>
      <c r="K886" t="str">
        <f>IFERROR(VLOOKUP(VALUE(J886),'Site Info'!$A:$G,3,FALSE),"")</f>
        <v>1755 HILLIARD ROME RD EAST</v>
      </c>
      <c r="L886" t="str">
        <f>IFERROR(VLOOKUP(VALUE(J886),'Site Info'!$A:$G,4,FALSE),"")</f>
        <v>COLUMBUS</v>
      </c>
      <c r="M886" t="str">
        <f>IFERROR(VLOOKUP(VALUE(J886),'Site Info'!$A:$G,5,FALSE),"")</f>
        <v>OH</v>
      </c>
      <c r="N886" t="str">
        <f>IFERROR(VLOOKUP(VALUE(J886),'Site Info'!$A:$G,6,FALSE),"")</f>
        <v>43228-0000</v>
      </c>
      <c r="O886">
        <f>IFERROR(VLOOKUP(VALUE(J886),'Site Info'!$A:$G,7,FALSE),"")</f>
        <v>6149210057</v>
      </c>
    </row>
    <row r="887" spans="1:15" x14ac:dyDescent="0.45">
      <c r="A887" t="s">
        <v>13527</v>
      </c>
      <c r="B887" t="s">
        <v>13528</v>
      </c>
      <c r="C887" t="s">
        <v>13529</v>
      </c>
      <c r="D887" t="s">
        <v>6970</v>
      </c>
      <c r="E887" s="1">
        <v>46153.216493055559</v>
      </c>
      <c r="F887">
        <v>1547</v>
      </c>
      <c r="G887" t="s">
        <v>13530</v>
      </c>
      <c r="H887" t="s">
        <v>15</v>
      </c>
      <c r="I887" t="s">
        <v>6972</v>
      </c>
      <c r="J887" t="str">
        <f>RIGHT(D887,4)</f>
        <v>6308</v>
      </c>
      <c r="K887" t="str">
        <f>IFERROR(VLOOKUP(VALUE(J887),'Site Info'!$A:$G,3,FALSE),"")</f>
        <v>1755 HILLIARD ROME RD EAST</v>
      </c>
      <c r="L887" t="str">
        <f>IFERROR(VLOOKUP(VALUE(J887),'Site Info'!$A:$G,4,FALSE),"")</f>
        <v>COLUMBUS</v>
      </c>
      <c r="M887" t="str">
        <f>IFERROR(VLOOKUP(VALUE(J887),'Site Info'!$A:$G,5,FALSE),"")</f>
        <v>OH</v>
      </c>
      <c r="N887" t="str">
        <f>IFERROR(VLOOKUP(VALUE(J887),'Site Info'!$A:$G,6,FALSE),"")</f>
        <v>43228-0000</v>
      </c>
      <c r="O887">
        <f>IFERROR(VLOOKUP(VALUE(J887),'Site Info'!$A:$G,7,FALSE),"")</f>
        <v>6149210057</v>
      </c>
    </row>
    <row r="888" spans="1:15" x14ac:dyDescent="0.45">
      <c r="A888" t="s">
        <v>16696</v>
      </c>
      <c r="B888" t="s">
        <v>16697</v>
      </c>
      <c r="C888" t="s">
        <v>16698</v>
      </c>
      <c r="D888" t="s">
        <v>6970</v>
      </c>
      <c r="E888" s="1">
        <v>46153.200335648151</v>
      </c>
      <c r="F888">
        <v>1481</v>
      </c>
      <c r="G888" t="s">
        <v>16699</v>
      </c>
      <c r="H888" t="s">
        <v>15</v>
      </c>
      <c r="I888" t="s">
        <v>6972</v>
      </c>
      <c r="J888" t="str">
        <f>RIGHT(D888,4)</f>
        <v>6308</v>
      </c>
      <c r="K888" t="str">
        <f>IFERROR(VLOOKUP(VALUE(J888),'Site Info'!$A:$G,3,FALSE),"")</f>
        <v>1755 HILLIARD ROME RD EAST</v>
      </c>
      <c r="L888" t="str">
        <f>IFERROR(VLOOKUP(VALUE(J888),'Site Info'!$A:$G,4,FALSE),"")</f>
        <v>COLUMBUS</v>
      </c>
      <c r="M888" t="str">
        <f>IFERROR(VLOOKUP(VALUE(J888),'Site Info'!$A:$G,5,FALSE),"")</f>
        <v>OH</v>
      </c>
      <c r="N888" t="str">
        <f>IFERROR(VLOOKUP(VALUE(J888),'Site Info'!$A:$G,6,FALSE),"")</f>
        <v>43228-0000</v>
      </c>
      <c r="O888">
        <f>IFERROR(VLOOKUP(VALUE(J888),'Site Info'!$A:$G,7,FALSE),"")</f>
        <v>6149210057</v>
      </c>
    </row>
    <row r="889" spans="1:15" x14ac:dyDescent="0.45">
      <c r="A889" t="s">
        <v>10927</v>
      </c>
      <c r="B889" t="s">
        <v>10928</v>
      </c>
      <c r="C889" t="s">
        <v>10929</v>
      </c>
      <c r="D889" t="s">
        <v>2027</v>
      </c>
      <c r="E889" s="1">
        <v>46149.690324074072</v>
      </c>
      <c r="F889">
        <v>1547</v>
      </c>
      <c r="G889" t="s">
        <v>10930</v>
      </c>
      <c r="H889" t="s">
        <v>15</v>
      </c>
      <c r="I889" t="s">
        <v>2029</v>
      </c>
      <c r="J889" t="str">
        <f>RIGHT(D889,4)</f>
        <v>4804</v>
      </c>
      <c r="K889" t="str">
        <f>IFERROR(VLOOKUP(VALUE(J889),'Site Info'!$A:$G,3,FALSE),"")</f>
        <v>1765 JONESBORO RD</v>
      </c>
      <c r="L889" t="str">
        <f>IFERROR(VLOOKUP(VALUE(J889),'Site Info'!$A:$G,4,FALSE),"")</f>
        <v>MCDONOUGH</v>
      </c>
      <c r="M889" t="str">
        <f>IFERROR(VLOOKUP(VALUE(J889),'Site Info'!$A:$G,5,FALSE),"")</f>
        <v>GA</v>
      </c>
      <c r="N889" t="str">
        <f>IFERROR(VLOOKUP(VALUE(J889),'Site Info'!$A:$G,6,FALSE),"")</f>
        <v>30253-5969</v>
      </c>
      <c r="O889">
        <f>IFERROR(VLOOKUP(VALUE(J889),'Site Info'!$A:$G,7,FALSE),"")</f>
        <v>7709140488</v>
      </c>
    </row>
    <row r="890" spans="1:15" x14ac:dyDescent="0.45">
      <c r="A890" t="s">
        <v>11090</v>
      </c>
      <c r="B890" t="s">
        <v>11091</v>
      </c>
      <c r="C890" t="s">
        <v>11092</v>
      </c>
      <c r="D890" t="s">
        <v>2027</v>
      </c>
      <c r="E890" s="1">
        <v>46151.462465277778</v>
      </c>
      <c r="F890">
        <v>1547</v>
      </c>
      <c r="G890" t="s">
        <v>11093</v>
      </c>
      <c r="H890" t="s">
        <v>15</v>
      </c>
      <c r="I890" t="s">
        <v>2029</v>
      </c>
      <c r="J890" t="str">
        <f>RIGHT(D890,4)</f>
        <v>4804</v>
      </c>
      <c r="K890" t="str">
        <f>IFERROR(VLOOKUP(VALUE(J890),'Site Info'!$A:$G,3,FALSE),"")</f>
        <v>1765 JONESBORO RD</v>
      </c>
      <c r="L890" t="str">
        <f>IFERROR(VLOOKUP(VALUE(J890),'Site Info'!$A:$G,4,FALSE),"")</f>
        <v>MCDONOUGH</v>
      </c>
      <c r="M890" t="str">
        <f>IFERROR(VLOOKUP(VALUE(J890),'Site Info'!$A:$G,5,FALSE),"")</f>
        <v>GA</v>
      </c>
      <c r="N890" t="str">
        <f>IFERROR(VLOOKUP(VALUE(J890),'Site Info'!$A:$G,6,FALSE),"")</f>
        <v>30253-5969</v>
      </c>
      <c r="O890">
        <f>IFERROR(VLOOKUP(VALUE(J890),'Site Info'!$A:$G,7,FALSE),"")</f>
        <v>7709140488</v>
      </c>
    </row>
    <row r="891" spans="1:15" x14ac:dyDescent="0.45">
      <c r="A891" t="s">
        <v>11236</v>
      </c>
      <c r="B891" t="s">
        <v>11237</v>
      </c>
      <c r="C891" t="s">
        <v>11238</v>
      </c>
      <c r="D891" t="s">
        <v>2027</v>
      </c>
      <c r="E891" s="1">
        <v>46153.312141203707</v>
      </c>
      <c r="F891">
        <v>1547</v>
      </c>
      <c r="G891" t="s">
        <v>11239</v>
      </c>
      <c r="H891" t="s">
        <v>15</v>
      </c>
      <c r="I891" t="s">
        <v>2029</v>
      </c>
      <c r="J891" t="str">
        <f>RIGHT(D891,4)</f>
        <v>4804</v>
      </c>
      <c r="K891" t="str">
        <f>IFERROR(VLOOKUP(VALUE(J891),'Site Info'!$A:$G,3,FALSE),"")</f>
        <v>1765 JONESBORO RD</v>
      </c>
      <c r="L891" t="str">
        <f>IFERROR(VLOOKUP(VALUE(J891),'Site Info'!$A:$G,4,FALSE),"")</f>
        <v>MCDONOUGH</v>
      </c>
      <c r="M891" t="str">
        <f>IFERROR(VLOOKUP(VALUE(J891),'Site Info'!$A:$G,5,FALSE),"")</f>
        <v>GA</v>
      </c>
      <c r="N891" t="str">
        <f>IFERROR(VLOOKUP(VALUE(J891),'Site Info'!$A:$G,6,FALSE),"")</f>
        <v>30253-5969</v>
      </c>
      <c r="O891">
        <f>IFERROR(VLOOKUP(VALUE(J891),'Site Info'!$A:$G,7,FALSE),"")</f>
        <v>7709140488</v>
      </c>
    </row>
    <row r="892" spans="1:15" x14ac:dyDescent="0.45">
      <c r="A892" t="s">
        <v>11220</v>
      </c>
      <c r="B892" t="s">
        <v>11221</v>
      </c>
      <c r="C892" t="s">
        <v>11222</v>
      </c>
      <c r="D892" t="s">
        <v>2027</v>
      </c>
      <c r="E892" s="1">
        <v>46153.313530092593</v>
      </c>
      <c r="F892">
        <v>1547</v>
      </c>
      <c r="G892" t="s">
        <v>11223</v>
      </c>
      <c r="H892" t="s">
        <v>15</v>
      </c>
      <c r="I892" t="s">
        <v>2029</v>
      </c>
      <c r="J892" t="str">
        <f>RIGHT(D892,4)</f>
        <v>4804</v>
      </c>
      <c r="K892" t="str">
        <f>IFERROR(VLOOKUP(VALUE(J892),'Site Info'!$A:$G,3,FALSE),"")</f>
        <v>1765 JONESBORO RD</v>
      </c>
      <c r="L892" t="str">
        <f>IFERROR(VLOOKUP(VALUE(J892),'Site Info'!$A:$G,4,FALSE),"")</f>
        <v>MCDONOUGH</v>
      </c>
      <c r="M892" t="str">
        <f>IFERROR(VLOOKUP(VALUE(J892),'Site Info'!$A:$G,5,FALSE),"")</f>
        <v>GA</v>
      </c>
      <c r="N892" t="str">
        <f>IFERROR(VLOOKUP(VALUE(J892),'Site Info'!$A:$G,6,FALSE),"")</f>
        <v>30253-5969</v>
      </c>
      <c r="O892">
        <f>IFERROR(VLOOKUP(VALUE(J892),'Site Info'!$A:$G,7,FALSE),"")</f>
        <v>7709140488</v>
      </c>
    </row>
    <row r="893" spans="1:15" x14ac:dyDescent="0.45">
      <c r="A893" t="s">
        <v>2024</v>
      </c>
      <c r="B893" t="s">
        <v>2025</v>
      </c>
      <c r="C893" t="s">
        <v>2026</v>
      </c>
      <c r="D893" t="s">
        <v>2027</v>
      </c>
      <c r="E893" s="1">
        <v>46153.285393518519</v>
      </c>
      <c r="F893">
        <v>1481</v>
      </c>
      <c r="G893" t="s">
        <v>2028</v>
      </c>
      <c r="H893" t="s">
        <v>15</v>
      </c>
      <c r="I893" t="s">
        <v>2029</v>
      </c>
      <c r="J893" t="str">
        <f>RIGHT(D893,4)</f>
        <v>4804</v>
      </c>
      <c r="K893" t="str">
        <f>IFERROR(VLOOKUP(VALUE(J893),'Site Info'!$A:$G,3,FALSE),"")</f>
        <v>1765 JONESBORO RD</v>
      </c>
      <c r="L893" t="str">
        <f>IFERROR(VLOOKUP(VALUE(J893),'Site Info'!$A:$G,4,FALSE),"")</f>
        <v>MCDONOUGH</v>
      </c>
      <c r="M893" t="str">
        <f>IFERROR(VLOOKUP(VALUE(J893),'Site Info'!$A:$G,5,FALSE),"")</f>
        <v>GA</v>
      </c>
      <c r="N893" t="str">
        <f>IFERROR(VLOOKUP(VALUE(J893),'Site Info'!$A:$G,6,FALSE),"")</f>
        <v>30253-5969</v>
      </c>
      <c r="O893">
        <f>IFERROR(VLOOKUP(VALUE(J893),'Site Info'!$A:$G,7,FALSE),"")</f>
        <v>7709140488</v>
      </c>
    </row>
    <row r="894" spans="1:15" x14ac:dyDescent="0.45">
      <c r="A894" t="s">
        <v>14491</v>
      </c>
      <c r="B894" t="s">
        <v>14492</v>
      </c>
      <c r="C894" t="s">
        <v>14493</v>
      </c>
      <c r="D894" t="s">
        <v>8956</v>
      </c>
      <c r="E894" s="1">
        <v>46152.643854166665</v>
      </c>
      <c r="F894">
        <v>1547</v>
      </c>
      <c r="G894" t="s">
        <v>14494</v>
      </c>
      <c r="H894" t="s">
        <v>15</v>
      </c>
      <c r="I894" t="s">
        <v>8958</v>
      </c>
      <c r="J894" t="str">
        <f>RIGHT(D894,4)</f>
        <v>6445</v>
      </c>
      <c r="K894" t="str">
        <f>IFERROR(VLOOKUP(VALUE(J894),'Site Info'!$A:$G,3,FALSE),"")</f>
        <v>17700 MURDOCK CIR</v>
      </c>
      <c r="L894" t="str">
        <f>IFERROR(VLOOKUP(VALUE(J894),'Site Info'!$A:$G,4,FALSE),"")</f>
        <v>PORT CHARLOTTE</v>
      </c>
      <c r="M894" t="str">
        <f>IFERROR(VLOOKUP(VALUE(J894),'Site Info'!$A:$G,5,FALSE),"")</f>
        <v>FL</v>
      </c>
      <c r="N894" t="str">
        <f>IFERROR(VLOOKUP(VALUE(J894),'Site Info'!$A:$G,6,FALSE),"")</f>
        <v>33948-1054</v>
      </c>
      <c r="O894">
        <f>IFERROR(VLOOKUP(VALUE(J894),'Site Info'!$A:$G,7,FALSE),"")</f>
        <v>9412555556</v>
      </c>
    </row>
    <row r="895" spans="1:15" x14ac:dyDescent="0.45">
      <c r="A895" t="s">
        <v>8953</v>
      </c>
      <c r="B895" t="s">
        <v>8954</v>
      </c>
      <c r="C895" t="s">
        <v>8955</v>
      </c>
      <c r="D895" t="s">
        <v>8956</v>
      </c>
      <c r="E895" s="1">
        <v>46153.278680555559</v>
      </c>
      <c r="F895">
        <v>1547</v>
      </c>
      <c r="G895" t="s">
        <v>8957</v>
      </c>
      <c r="H895" t="s">
        <v>15</v>
      </c>
      <c r="I895" t="s">
        <v>8958</v>
      </c>
      <c r="J895" t="str">
        <f>RIGHT(D895,4)</f>
        <v>6445</v>
      </c>
      <c r="K895" t="str">
        <f>IFERROR(VLOOKUP(VALUE(J895),'Site Info'!$A:$G,3,FALSE),"")</f>
        <v>17700 MURDOCK CIR</v>
      </c>
      <c r="L895" t="str">
        <f>IFERROR(VLOOKUP(VALUE(J895),'Site Info'!$A:$G,4,FALSE),"")</f>
        <v>PORT CHARLOTTE</v>
      </c>
      <c r="M895" t="str">
        <f>IFERROR(VLOOKUP(VALUE(J895),'Site Info'!$A:$G,5,FALSE),"")</f>
        <v>FL</v>
      </c>
      <c r="N895" t="str">
        <f>IFERROR(VLOOKUP(VALUE(J895),'Site Info'!$A:$G,6,FALSE),"")</f>
        <v>33948-1054</v>
      </c>
      <c r="O895">
        <f>IFERROR(VLOOKUP(VALUE(J895),'Site Info'!$A:$G,7,FALSE),"")</f>
        <v>9412555556</v>
      </c>
    </row>
    <row r="896" spans="1:15" x14ac:dyDescent="0.45">
      <c r="A896" t="s">
        <v>10028</v>
      </c>
      <c r="B896" t="s">
        <v>10029</v>
      </c>
      <c r="C896" t="s">
        <v>10030</v>
      </c>
      <c r="D896" t="s">
        <v>8956</v>
      </c>
      <c r="E896" s="1">
        <v>46153.305810185186</v>
      </c>
      <c r="F896">
        <v>1547</v>
      </c>
      <c r="G896" t="s">
        <v>10031</v>
      </c>
      <c r="H896" t="s">
        <v>15</v>
      </c>
      <c r="I896" t="s">
        <v>8958</v>
      </c>
      <c r="J896" t="str">
        <f>RIGHT(D896,4)</f>
        <v>6445</v>
      </c>
      <c r="K896" t="str">
        <f>IFERROR(VLOOKUP(VALUE(J896),'Site Info'!$A:$G,3,FALSE),"")</f>
        <v>17700 MURDOCK CIR</v>
      </c>
      <c r="L896" t="str">
        <f>IFERROR(VLOOKUP(VALUE(J896),'Site Info'!$A:$G,4,FALSE),"")</f>
        <v>PORT CHARLOTTE</v>
      </c>
      <c r="M896" t="str">
        <f>IFERROR(VLOOKUP(VALUE(J896),'Site Info'!$A:$G,5,FALSE),"")</f>
        <v>FL</v>
      </c>
      <c r="N896" t="str">
        <f>IFERROR(VLOOKUP(VALUE(J896),'Site Info'!$A:$G,6,FALSE),"")</f>
        <v>33948-1054</v>
      </c>
      <c r="O896">
        <f>IFERROR(VLOOKUP(VALUE(J896),'Site Info'!$A:$G,7,FALSE),"")</f>
        <v>9412555556</v>
      </c>
    </row>
    <row r="897" spans="1:15" x14ac:dyDescent="0.45">
      <c r="A897" t="s">
        <v>11368</v>
      </c>
      <c r="B897" t="s">
        <v>11369</v>
      </c>
      <c r="C897" t="s">
        <v>11370</v>
      </c>
      <c r="D897" t="s">
        <v>8956</v>
      </c>
      <c r="E897" s="1">
        <v>46153.348900462966</v>
      </c>
      <c r="F897">
        <v>1547</v>
      </c>
      <c r="G897" t="s">
        <v>11371</v>
      </c>
      <c r="H897" t="s">
        <v>15</v>
      </c>
      <c r="I897" t="s">
        <v>8958</v>
      </c>
      <c r="J897" t="str">
        <f>RIGHT(D897,4)</f>
        <v>6445</v>
      </c>
      <c r="K897" t="str">
        <f>IFERROR(VLOOKUP(VALUE(J897),'Site Info'!$A:$G,3,FALSE),"")</f>
        <v>17700 MURDOCK CIR</v>
      </c>
      <c r="L897" t="str">
        <f>IFERROR(VLOOKUP(VALUE(J897),'Site Info'!$A:$G,4,FALSE),"")</f>
        <v>PORT CHARLOTTE</v>
      </c>
      <c r="M897" t="str">
        <f>IFERROR(VLOOKUP(VALUE(J897),'Site Info'!$A:$G,5,FALSE),"")</f>
        <v>FL</v>
      </c>
      <c r="N897" t="str">
        <f>IFERROR(VLOOKUP(VALUE(J897),'Site Info'!$A:$G,6,FALSE),"")</f>
        <v>33948-1054</v>
      </c>
      <c r="O897">
        <f>IFERROR(VLOOKUP(VALUE(J897),'Site Info'!$A:$G,7,FALSE),"")</f>
        <v>9412555556</v>
      </c>
    </row>
    <row r="898" spans="1:15" x14ac:dyDescent="0.45">
      <c r="A898" t="s">
        <v>11472</v>
      </c>
      <c r="B898" t="s">
        <v>11473</v>
      </c>
      <c r="C898" t="s">
        <v>11474</v>
      </c>
      <c r="D898" t="s">
        <v>8956</v>
      </c>
      <c r="E898" s="1">
        <v>46153.373680555553</v>
      </c>
      <c r="F898">
        <v>1547</v>
      </c>
      <c r="G898" t="s">
        <v>11475</v>
      </c>
      <c r="H898" t="s">
        <v>15</v>
      </c>
      <c r="I898" t="s">
        <v>8958</v>
      </c>
      <c r="J898" t="str">
        <f>RIGHT(D898,4)</f>
        <v>6445</v>
      </c>
      <c r="K898" t="str">
        <f>IFERROR(VLOOKUP(VALUE(J898),'Site Info'!$A:$G,3,FALSE),"")</f>
        <v>17700 MURDOCK CIR</v>
      </c>
      <c r="L898" t="str">
        <f>IFERROR(VLOOKUP(VALUE(J898),'Site Info'!$A:$G,4,FALSE),"")</f>
        <v>PORT CHARLOTTE</v>
      </c>
      <c r="M898" t="str">
        <f>IFERROR(VLOOKUP(VALUE(J898),'Site Info'!$A:$G,5,FALSE),"")</f>
        <v>FL</v>
      </c>
      <c r="N898" t="str">
        <f>IFERROR(VLOOKUP(VALUE(J898),'Site Info'!$A:$G,6,FALSE),"")</f>
        <v>33948-1054</v>
      </c>
      <c r="O898">
        <f>IFERROR(VLOOKUP(VALUE(J898),'Site Info'!$A:$G,7,FALSE),"")</f>
        <v>9412555556</v>
      </c>
    </row>
    <row r="899" spans="1:15" x14ac:dyDescent="0.45">
      <c r="A899" t="s">
        <v>11408</v>
      </c>
      <c r="B899" t="s">
        <v>11409</v>
      </c>
      <c r="C899" t="s">
        <v>11410</v>
      </c>
      <c r="D899" t="s">
        <v>8956</v>
      </c>
      <c r="E899" s="1">
        <v>46153.374085648145</v>
      </c>
      <c r="F899">
        <v>1547</v>
      </c>
      <c r="G899" t="s">
        <v>11411</v>
      </c>
      <c r="H899" t="s">
        <v>15</v>
      </c>
      <c r="I899" t="s">
        <v>8958</v>
      </c>
      <c r="J899" t="str">
        <f>RIGHT(D899,4)</f>
        <v>6445</v>
      </c>
      <c r="K899" t="str">
        <f>IFERROR(VLOOKUP(VALUE(J899),'Site Info'!$A:$G,3,FALSE),"")</f>
        <v>17700 MURDOCK CIR</v>
      </c>
      <c r="L899" t="str">
        <f>IFERROR(VLOOKUP(VALUE(J899),'Site Info'!$A:$G,4,FALSE),"")</f>
        <v>PORT CHARLOTTE</v>
      </c>
      <c r="M899" t="str">
        <f>IFERROR(VLOOKUP(VALUE(J899),'Site Info'!$A:$G,5,FALSE),"")</f>
        <v>FL</v>
      </c>
      <c r="N899" t="str">
        <f>IFERROR(VLOOKUP(VALUE(J899),'Site Info'!$A:$G,6,FALSE),"")</f>
        <v>33948-1054</v>
      </c>
      <c r="O899">
        <f>IFERROR(VLOOKUP(VALUE(J899),'Site Info'!$A:$G,7,FALSE),"")</f>
        <v>9412555556</v>
      </c>
    </row>
    <row r="900" spans="1:15" x14ac:dyDescent="0.45">
      <c r="A900" t="s">
        <v>7613</v>
      </c>
      <c r="B900" t="s">
        <v>7614</v>
      </c>
      <c r="C900" t="s">
        <v>7615</v>
      </c>
      <c r="D900" t="s">
        <v>2009</v>
      </c>
      <c r="E900" s="1">
        <v>46148.65357638889</v>
      </c>
      <c r="F900">
        <v>1548</v>
      </c>
      <c r="G900" t="s">
        <v>7616</v>
      </c>
      <c r="H900" t="s">
        <v>15</v>
      </c>
      <c r="I900" t="s">
        <v>2011</v>
      </c>
      <c r="J900" t="str">
        <f>RIGHT(D900,4)</f>
        <v>8219</v>
      </c>
      <c r="K900" t="str">
        <f>IFERROR(VLOOKUP(VALUE(J900),'Site Info'!$A:$G,3,FALSE),"")</f>
        <v>1801 WINDSOR SQUARE DR</v>
      </c>
      <c r="L900" t="str">
        <f>IFERROR(VLOOKUP(VALUE(J900),'Site Info'!$A:$G,4,FALSE),"")</f>
        <v>MATTHEWS</v>
      </c>
      <c r="M900" t="str">
        <f>IFERROR(VLOOKUP(VALUE(J900),'Site Info'!$A:$G,5,FALSE),"")</f>
        <v>NC</v>
      </c>
      <c r="N900" t="str">
        <f>IFERROR(VLOOKUP(VALUE(J900),'Site Info'!$A:$G,6,FALSE),"")</f>
        <v>28105-4662</v>
      </c>
      <c r="O900">
        <f>IFERROR(VLOOKUP(VALUE(J900),'Site Info'!$A:$G,7,FALSE),"")</f>
        <v>7048476742</v>
      </c>
    </row>
    <row r="901" spans="1:15" x14ac:dyDescent="0.45">
      <c r="A901" t="s">
        <v>14383</v>
      </c>
      <c r="B901" t="s">
        <v>14384</v>
      </c>
      <c r="C901" t="s">
        <v>14385</v>
      </c>
      <c r="D901" t="s">
        <v>2009</v>
      </c>
      <c r="E901" s="1">
        <v>46153.337858796294</v>
      </c>
      <c r="F901">
        <v>1547</v>
      </c>
      <c r="G901" t="s">
        <v>14386</v>
      </c>
      <c r="H901" t="s">
        <v>15</v>
      </c>
      <c r="I901" t="s">
        <v>2011</v>
      </c>
      <c r="J901" t="str">
        <f>RIGHT(D901,4)</f>
        <v>8219</v>
      </c>
      <c r="K901" t="str">
        <f>IFERROR(VLOOKUP(VALUE(J901),'Site Info'!$A:$G,3,FALSE),"")</f>
        <v>1801 WINDSOR SQUARE DR</v>
      </c>
      <c r="L901" t="str">
        <f>IFERROR(VLOOKUP(VALUE(J901),'Site Info'!$A:$G,4,FALSE),"")</f>
        <v>MATTHEWS</v>
      </c>
      <c r="M901" t="str">
        <f>IFERROR(VLOOKUP(VALUE(J901),'Site Info'!$A:$G,5,FALSE),"")</f>
        <v>NC</v>
      </c>
      <c r="N901" t="str">
        <f>IFERROR(VLOOKUP(VALUE(J901),'Site Info'!$A:$G,6,FALSE),"")</f>
        <v>28105-4662</v>
      </c>
      <c r="O901">
        <f>IFERROR(VLOOKUP(VALUE(J901),'Site Info'!$A:$G,7,FALSE),"")</f>
        <v>7048476742</v>
      </c>
    </row>
    <row r="902" spans="1:15" x14ac:dyDescent="0.45">
      <c r="A902" t="s">
        <v>4001</v>
      </c>
      <c r="B902" t="s">
        <v>4002</v>
      </c>
      <c r="C902" t="s">
        <v>4003</v>
      </c>
      <c r="D902" t="s">
        <v>2009</v>
      </c>
      <c r="E902" s="1">
        <v>46152.690081018518</v>
      </c>
      <c r="F902">
        <v>1481</v>
      </c>
      <c r="G902" t="s">
        <v>4004</v>
      </c>
      <c r="H902" t="s">
        <v>15</v>
      </c>
      <c r="I902" t="s">
        <v>2011</v>
      </c>
      <c r="J902" t="str">
        <f>RIGHT(D902,4)</f>
        <v>8219</v>
      </c>
      <c r="K902" t="str">
        <f>IFERROR(VLOOKUP(VALUE(J902),'Site Info'!$A:$G,3,FALSE),"")</f>
        <v>1801 WINDSOR SQUARE DR</v>
      </c>
      <c r="L902" t="str">
        <f>IFERROR(VLOOKUP(VALUE(J902),'Site Info'!$A:$G,4,FALSE),"")</f>
        <v>MATTHEWS</v>
      </c>
      <c r="M902" t="str">
        <f>IFERROR(VLOOKUP(VALUE(J902),'Site Info'!$A:$G,5,FALSE),"")</f>
        <v>NC</v>
      </c>
      <c r="N902" t="str">
        <f>IFERROR(VLOOKUP(VALUE(J902),'Site Info'!$A:$G,6,FALSE),"")</f>
        <v>28105-4662</v>
      </c>
      <c r="O902">
        <f>IFERROR(VLOOKUP(VALUE(J902),'Site Info'!$A:$G,7,FALSE),"")</f>
        <v>7048476742</v>
      </c>
    </row>
    <row r="903" spans="1:15" x14ac:dyDescent="0.45">
      <c r="A903" t="s">
        <v>2006</v>
      </c>
      <c r="B903" t="s">
        <v>2007</v>
      </c>
      <c r="C903" t="s">
        <v>2008</v>
      </c>
      <c r="D903" t="s">
        <v>2009</v>
      </c>
      <c r="E903" s="1">
        <v>46153.310497685183</v>
      </c>
      <c r="F903">
        <v>1481</v>
      </c>
      <c r="G903" t="s">
        <v>2010</v>
      </c>
      <c r="H903" t="s">
        <v>15</v>
      </c>
      <c r="I903" t="s">
        <v>2011</v>
      </c>
      <c r="J903" t="str">
        <f>RIGHT(D903,4)</f>
        <v>8219</v>
      </c>
      <c r="K903" t="str">
        <f>IFERROR(VLOOKUP(VALUE(J903),'Site Info'!$A:$G,3,FALSE),"")</f>
        <v>1801 WINDSOR SQUARE DR</v>
      </c>
      <c r="L903" t="str">
        <f>IFERROR(VLOOKUP(VALUE(J903),'Site Info'!$A:$G,4,FALSE),"")</f>
        <v>MATTHEWS</v>
      </c>
      <c r="M903" t="str">
        <f>IFERROR(VLOOKUP(VALUE(J903),'Site Info'!$A:$G,5,FALSE),"")</f>
        <v>NC</v>
      </c>
      <c r="N903" t="str">
        <f>IFERROR(VLOOKUP(VALUE(J903),'Site Info'!$A:$G,6,FALSE),"")</f>
        <v>28105-4662</v>
      </c>
      <c r="O903">
        <f>IFERROR(VLOOKUP(VALUE(J903),'Site Info'!$A:$G,7,FALSE),"")</f>
        <v>7048476742</v>
      </c>
    </row>
    <row r="904" spans="1:15" x14ac:dyDescent="0.45">
      <c r="A904" t="s">
        <v>3545</v>
      </c>
      <c r="B904" t="s">
        <v>3546</v>
      </c>
      <c r="C904" t="s">
        <v>3547</v>
      </c>
      <c r="D904" t="s">
        <v>2009</v>
      </c>
      <c r="E904" s="1">
        <v>46153.344513888886</v>
      </c>
      <c r="F904">
        <v>1481</v>
      </c>
      <c r="G904" t="s">
        <v>3548</v>
      </c>
      <c r="H904" t="s">
        <v>15</v>
      </c>
      <c r="I904" t="s">
        <v>2011</v>
      </c>
      <c r="J904" t="str">
        <f>RIGHT(D904,4)</f>
        <v>8219</v>
      </c>
      <c r="K904" t="str">
        <f>IFERROR(VLOOKUP(VALUE(J904),'Site Info'!$A:$G,3,FALSE),"")</f>
        <v>1801 WINDSOR SQUARE DR</v>
      </c>
      <c r="L904" t="str">
        <f>IFERROR(VLOOKUP(VALUE(J904),'Site Info'!$A:$G,4,FALSE),"")</f>
        <v>MATTHEWS</v>
      </c>
      <c r="M904" t="str">
        <f>IFERROR(VLOOKUP(VALUE(J904),'Site Info'!$A:$G,5,FALSE),"")</f>
        <v>NC</v>
      </c>
      <c r="N904" t="str">
        <f>IFERROR(VLOOKUP(VALUE(J904),'Site Info'!$A:$G,6,FALSE),"")</f>
        <v>28105-4662</v>
      </c>
      <c r="O904">
        <f>IFERROR(VLOOKUP(VALUE(J904),'Site Info'!$A:$G,7,FALSE),"")</f>
        <v>7048476742</v>
      </c>
    </row>
    <row r="905" spans="1:15" x14ac:dyDescent="0.45">
      <c r="A905" t="s">
        <v>2204</v>
      </c>
      <c r="B905" t="s">
        <v>2205</v>
      </c>
      <c r="C905" t="s">
        <v>2206</v>
      </c>
      <c r="D905" t="s">
        <v>2009</v>
      </c>
      <c r="E905" s="1">
        <v>46153.368680555555</v>
      </c>
      <c r="F905">
        <v>1481</v>
      </c>
      <c r="G905" t="s">
        <v>2207</v>
      </c>
      <c r="H905" t="s">
        <v>15</v>
      </c>
      <c r="I905" t="s">
        <v>2011</v>
      </c>
      <c r="J905" t="str">
        <f>RIGHT(D905,4)</f>
        <v>8219</v>
      </c>
      <c r="K905" t="str">
        <f>IFERROR(VLOOKUP(VALUE(J905),'Site Info'!$A:$G,3,FALSE),"")</f>
        <v>1801 WINDSOR SQUARE DR</v>
      </c>
      <c r="L905" t="str">
        <f>IFERROR(VLOOKUP(VALUE(J905),'Site Info'!$A:$G,4,FALSE),"")</f>
        <v>MATTHEWS</v>
      </c>
      <c r="M905" t="str">
        <f>IFERROR(VLOOKUP(VALUE(J905),'Site Info'!$A:$G,5,FALSE),"")</f>
        <v>NC</v>
      </c>
      <c r="N905" t="str">
        <f>IFERROR(VLOOKUP(VALUE(J905),'Site Info'!$A:$G,6,FALSE),"")</f>
        <v>28105-4662</v>
      </c>
      <c r="O905">
        <f>IFERROR(VLOOKUP(VALUE(J905),'Site Info'!$A:$G,7,FALSE),"")</f>
        <v>7048476742</v>
      </c>
    </row>
    <row r="906" spans="1:15" x14ac:dyDescent="0.45">
      <c r="A906" t="s">
        <v>12340</v>
      </c>
      <c r="B906" t="s">
        <v>12341</v>
      </c>
      <c r="C906" t="s">
        <v>12342</v>
      </c>
      <c r="D906" t="s">
        <v>183</v>
      </c>
      <c r="E906" s="1">
        <v>46151.664560185185</v>
      </c>
      <c r="F906">
        <v>1547</v>
      </c>
      <c r="G906" t="s">
        <v>12343</v>
      </c>
      <c r="H906" t="s">
        <v>15</v>
      </c>
      <c r="I906" t="s">
        <v>184</v>
      </c>
      <c r="J906" t="str">
        <f>RIGHT(D906,4)</f>
        <v>6220</v>
      </c>
      <c r="K906" t="str">
        <f>IFERROR(VLOOKUP(VALUE(J906),'Site Info'!$A:$G,3,FALSE),"")</f>
        <v>181 NORTHSHORE BLVD</v>
      </c>
      <c r="L906" t="str">
        <f>IFERROR(VLOOKUP(VALUE(J906),'Site Info'!$A:$G,4,FALSE),"")</f>
        <v>SLIDELL</v>
      </c>
      <c r="M906" t="str">
        <f>IFERROR(VLOOKUP(VALUE(J906),'Site Info'!$A:$G,5,FALSE),"")</f>
        <v>LA</v>
      </c>
      <c r="N906" t="str">
        <f>IFERROR(VLOOKUP(VALUE(J906),'Site Info'!$A:$G,6,FALSE),"")</f>
        <v>70460-6821</v>
      </c>
      <c r="O906">
        <f>IFERROR(VLOOKUP(VALUE(J906),'Site Info'!$A:$G,7,FALSE),"")</f>
        <v>9856411401</v>
      </c>
    </row>
    <row r="907" spans="1:15" x14ac:dyDescent="0.45">
      <c r="A907" t="s">
        <v>12504</v>
      </c>
      <c r="B907" t="s">
        <v>12505</v>
      </c>
      <c r="C907" t="s">
        <v>12506</v>
      </c>
      <c r="D907" t="s">
        <v>183</v>
      </c>
      <c r="E907" s="1">
        <v>46152.669479166667</v>
      </c>
      <c r="F907">
        <v>1547</v>
      </c>
      <c r="G907" t="s">
        <v>12507</v>
      </c>
      <c r="H907" t="s">
        <v>15</v>
      </c>
      <c r="I907" t="s">
        <v>184</v>
      </c>
      <c r="J907" t="str">
        <f>RIGHT(D907,4)</f>
        <v>6220</v>
      </c>
      <c r="K907" t="str">
        <f>IFERROR(VLOOKUP(VALUE(J907),'Site Info'!$A:$G,3,FALSE),"")</f>
        <v>181 NORTHSHORE BLVD</v>
      </c>
      <c r="L907" t="str">
        <f>IFERROR(VLOOKUP(VALUE(J907),'Site Info'!$A:$G,4,FALSE),"")</f>
        <v>SLIDELL</v>
      </c>
      <c r="M907" t="str">
        <f>IFERROR(VLOOKUP(VALUE(J907),'Site Info'!$A:$G,5,FALSE),"")</f>
        <v>LA</v>
      </c>
      <c r="N907" t="str">
        <f>IFERROR(VLOOKUP(VALUE(J907),'Site Info'!$A:$G,6,FALSE),"")</f>
        <v>70460-6821</v>
      </c>
      <c r="O907">
        <f>IFERROR(VLOOKUP(VALUE(J907),'Site Info'!$A:$G,7,FALSE),"")</f>
        <v>9856411401</v>
      </c>
    </row>
    <row r="908" spans="1:15" x14ac:dyDescent="0.45">
      <c r="A908" t="s">
        <v>12172</v>
      </c>
      <c r="B908" t="s">
        <v>12173</v>
      </c>
      <c r="C908" t="s">
        <v>12174</v>
      </c>
      <c r="D908" t="s">
        <v>183</v>
      </c>
      <c r="E908" s="1">
        <v>46153.247187499997</v>
      </c>
      <c r="F908">
        <v>1547</v>
      </c>
      <c r="G908" t="s">
        <v>12175</v>
      </c>
      <c r="H908" t="s">
        <v>15</v>
      </c>
      <c r="I908" t="s">
        <v>184</v>
      </c>
      <c r="J908" t="str">
        <f>RIGHT(D908,4)</f>
        <v>6220</v>
      </c>
      <c r="K908" t="str">
        <f>IFERROR(VLOOKUP(VALUE(J908),'Site Info'!$A:$G,3,FALSE),"")</f>
        <v>181 NORTHSHORE BLVD</v>
      </c>
      <c r="L908" t="str">
        <f>IFERROR(VLOOKUP(VALUE(J908),'Site Info'!$A:$G,4,FALSE),"")</f>
        <v>SLIDELL</v>
      </c>
      <c r="M908" t="str">
        <f>IFERROR(VLOOKUP(VALUE(J908),'Site Info'!$A:$G,5,FALSE),"")</f>
        <v>LA</v>
      </c>
      <c r="N908" t="str">
        <f>IFERROR(VLOOKUP(VALUE(J908),'Site Info'!$A:$G,6,FALSE),"")</f>
        <v>70460-6821</v>
      </c>
      <c r="O908">
        <f>IFERROR(VLOOKUP(VALUE(J908),'Site Info'!$A:$G,7,FALSE),"")</f>
        <v>9856411401</v>
      </c>
    </row>
    <row r="909" spans="1:15" x14ac:dyDescent="0.45">
      <c r="A909" t="s">
        <v>16420</v>
      </c>
      <c r="B909" t="s">
        <v>16629</v>
      </c>
      <c r="C909" t="s">
        <v>16630</v>
      </c>
      <c r="D909" t="s">
        <v>183</v>
      </c>
      <c r="E909" s="1">
        <v>46067.04996527778</v>
      </c>
      <c r="F909">
        <v>1628</v>
      </c>
      <c r="G909" t="s">
        <v>16631</v>
      </c>
      <c r="H909" t="s">
        <v>13988</v>
      </c>
      <c r="I909" t="s">
        <v>184</v>
      </c>
      <c r="J909" t="str">
        <f>RIGHT(D909,4)</f>
        <v>6220</v>
      </c>
      <c r="K909" t="str">
        <f>IFERROR(VLOOKUP(VALUE(J909),'Site Info'!$A:$G,3,FALSE),"")</f>
        <v>181 NORTHSHORE BLVD</v>
      </c>
      <c r="L909" t="str">
        <f>IFERROR(VLOOKUP(VALUE(J909),'Site Info'!$A:$G,4,FALSE),"")</f>
        <v>SLIDELL</v>
      </c>
      <c r="M909" t="str">
        <f>IFERROR(VLOOKUP(VALUE(J909),'Site Info'!$A:$G,5,FALSE),"")</f>
        <v>LA</v>
      </c>
      <c r="N909" t="str">
        <f>IFERROR(VLOOKUP(VALUE(J909),'Site Info'!$A:$G,6,FALSE),"")</f>
        <v>70460-6821</v>
      </c>
      <c r="O909">
        <f>IFERROR(VLOOKUP(VALUE(J909),'Site Info'!$A:$G,7,FALSE),"")</f>
        <v>9856411401</v>
      </c>
    </row>
    <row r="910" spans="1:15" x14ac:dyDescent="0.45">
      <c r="A910" t="s">
        <v>16632</v>
      </c>
      <c r="B910" t="s">
        <v>16633</v>
      </c>
      <c r="C910" t="s">
        <v>16634</v>
      </c>
      <c r="D910" t="s">
        <v>183</v>
      </c>
      <c r="E910" s="1">
        <v>46153.237060185187</v>
      </c>
      <c r="F910">
        <v>1547</v>
      </c>
      <c r="G910" t="s">
        <v>16635</v>
      </c>
      <c r="H910" t="s">
        <v>15</v>
      </c>
      <c r="I910" t="s">
        <v>184</v>
      </c>
      <c r="J910" t="str">
        <f>RIGHT(D910,4)</f>
        <v>6220</v>
      </c>
      <c r="K910" t="str">
        <f>IFERROR(VLOOKUP(VALUE(J910),'Site Info'!$A:$G,3,FALSE),"")</f>
        <v>181 NORTHSHORE BLVD</v>
      </c>
      <c r="L910" t="str">
        <f>IFERROR(VLOOKUP(VALUE(J910),'Site Info'!$A:$G,4,FALSE),"")</f>
        <v>SLIDELL</v>
      </c>
      <c r="M910" t="str">
        <f>IFERROR(VLOOKUP(VALUE(J910),'Site Info'!$A:$G,5,FALSE),"")</f>
        <v>LA</v>
      </c>
      <c r="N910" t="str">
        <f>IFERROR(VLOOKUP(VALUE(J910),'Site Info'!$A:$G,6,FALSE),"")</f>
        <v>70460-6821</v>
      </c>
      <c r="O910">
        <f>IFERROR(VLOOKUP(VALUE(J910),'Site Info'!$A:$G,7,FALSE),"")</f>
        <v>9856411401</v>
      </c>
    </row>
    <row r="911" spans="1:15" x14ac:dyDescent="0.45">
      <c r="A911" t="s">
        <v>11746</v>
      </c>
      <c r="B911" t="s">
        <v>11747</v>
      </c>
      <c r="C911" t="s">
        <v>11748</v>
      </c>
      <c r="D911" t="s">
        <v>1565</v>
      </c>
      <c r="E911" s="1">
        <v>46150.570601851854</v>
      </c>
      <c r="F911">
        <v>1547</v>
      </c>
      <c r="G911" t="s">
        <v>11749</v>
      </c>
      <c r="H911" t="s">
        <v>15</v>
      </c>
      <c r="I911" t="s">
        <v>1567</v>
      </c>
      <c r="J911" t="str">
        <f>RIGHT(D911,4)</f>
        <v>6510</v>
      </c>
      <c r="K911" t="str">
        <f>IFERROR(VLOOKUP(VALUE(J911),'Site Info'!$A:$G,3,FALSE),"")</f>
        <v>1831 E MADISON AVE</v>
      </c>
      <c r="L911" t="str">
        <f>IFERROR(VLOOKUP(VALUE(J911),'Site Info'!$A:$G,4,FALSE),"")</f>
        <v>MANKATO</v>
      </c>
      <c r="M911" t="str">
        <f>IFERROR(VLOOKUP(VALUE(J911),'Site Info'!$A:$G,5,FALSE),"")</f>
        <v>MN</v>
      </c>
      <c r="N911" t="str">
        <f>IFERROR(VLOOKUP(VALUE(J911),'Site Info'!$A:$G,6,FALSE),"")</f>
        <v>56001-5449</v>
      </c>
      <c r="O911">
        <f>IFERROR(VLOOKUP(VALUE(J911),'Site Info'!$A:$G,7,FALSE),"")</f>
        <v>5073867600</v>
      </c>
    </row>
    <row r="912" spans="1:15" x14ac:dyDescent="0.45">
      <c r="A912" t="s">
        <v>12938</v>
      </c>
      <c r="B912" t="s">
        <v>12939</v>
      </c>
      <c r="C912" t="s">
        <v>12940</v>
      </c>
      <c r="D912" t="s">
        <v>1565</v>
      </c>
      <c r="E912" s="1">
        <v>46151.416030092594</v>
      </c>
      <c r="F912">
        <v>1547</v>
      </c>
      <c r="G912" t="s">
        <v>12941</v>
      </c>
      <c r="H912" t="s">
        <v>15</v>
      </c>
      <c r="I912" t="s">
        <v>1567</v>
      </c>
      <c r="J912" t="str">
        <f>RIGHT(D912,4)</f>
        <v>6510</v>
      </c>
      <c r="K912" t="str">
        <f>IFERROR(VLOOKUP(VALUE(J912),'Site Info'!$A:$G,3,FALSE),"")</f>
        <v>1831 E MADISON AVE</v>
      </c>
      <c r="L912" t="str">
        <f>IFERROR(VLOOKUP(VALUE(J912),'Site Info'!$A:$G,4,FALSE),"")</f>
        <v>MANKATO</v>
      </c>
      <c r="M912" t="str">
        <f>IFERROR(VLOOKUP(VALUE(J912),'Site Info'!$A:$G,5,FALSE),"")</f>
        <v>MN</v>
      </c>
      <c r="N912" t="str">
        <f>IFERROR(VLOOKUP(VALUE(J912),'Site Info'!$A:$G,6,FALSE),"")</f>
        <v>56001-5449</v>
      </c>
      <c r="O912">
        <f>IFERROR(VLOOKUP(VALUE(J912),'Site Info'!$A:$G,7,FALSE),"")</f>
        <v>5073867600</v>
      </c>
    </row>
    <row r="913" spans="1:15" x14ac:dyDescent="0.45">
      <c r="A913" t="s">
        <v>13066</v>
      </c>
      <c r="B913" t="s">
        <v>13067</v>
      </c>
      <c r="C913" t="s">
        <v>13068</v>
      </c>
      <c r="D913" t="s">
        <v>1565</v>
      </c>
      <c r="E913" s="1">
        <v>46151.484409722223</v>
      </c>
      <c r="F913">
        <v>1547</v>
      </c>
      <c r="G913" t="s">
        <v>13069</v>
      </c>
      <c r="H913" t="s">
        <v>15</v>
      </c>
      <c r="I913" t="s">
        <v>1567</v>
      </c>
      <c r="J913" t="str">
        <f>RIGHT(D913,4)</f>
        <v>6510</v>
      </c>
      <c r="K913" t="str">
        <f>IFERROR(VLOOKUP(VALUE(J913),'Site Info'!$A:$G,3,FALSE),"")</f>
        <v>1831 E MADISON AVE</v>
      </c>
      <c r="L913" t="str">
        <f>IFERROR(VLOOKUP(VALUE(J913),'Site Info'!$A:$G,4,FALSE),"")</f>
        <v>MANKATO</v>
      </c>
      <c r="M913" t="str">
        <f>IFERROR(VLOOKUP(VALUE(J913),'Site Info'!$A:$G,5,FALSE),"")</f>
        <v>MN</v>
      </c>
      <c r="N913" t="str">
        <f>IFERROR(VLOOKUP(VALUE(J913),'Site Info'!$A:$G,6,FALSE),"")</f>
        <v>56001-5449</v>
      </c>
      <c r="O913">
        <f>IFERROR(VLOOKUP(VALUE(J913),'Site Info'!$A:$G,7,FALSE),"")</f>
        <v>5073867600</v>
      </c>
    </row>
    <row r="914" spans="1:15" x14ac:dyDescent="0.45">
      <c r="A914" t="s">
        <v>11634</v>
      </c>
      <c r="B914" t="s">
        <v>11635</v>
      </c>
      <c r="C914" t="s">
        <v>11636</v>
      </c>
      <c r="D914" t="s">
        <v>1565</v>
      </c>
      <c r="E914" s="1">
        <v>46151.638657407406</v>
      </c>
      <c r="F914">
        <v>1547</v>
      </c>
      <c r="G914" t="s">
        <v>11637</v>
      </c>
      <c r="H914" t="s">
        <v>15</v>
      </c>
      <c r="I914" t="s">
        <v>1567</v>
      </c>
      <c r="J914" t="str">
        <f>RIGHT(D914,4)</f>
        <v>6510</v>
      </c>
      <c r="K914" t="str">
        <f>IFERROR(VLOOKUP(VALUE(J914),'Site Info'!$A:$G,3,FALSE),"")</f>
        <v>1831 E MADISON AVE</v>
      </c>
      <c r="L914" t="str">
        <f>IFERROR(VLOOKUP(VALUE(J914),'Site Info'!$A:$G,4,FALSE),"")</f>
        <v>MANKATO</v>
      </c>
      <c r="M914" t="str">
        <f>IFERROR(VLOOKUP(VALUE(J914),'Site Info'!$A:$G,5,FALSE),"")</f>
        <v>MN</v>
      </c>
      <c r="N914" t="str">
        <f>IFERROR(VLOOKUP(VALUE(J914),'Site Info'!$A:$G,6,FALSE),"")</f>
        <v>56001-5449</v>
      </c>
      <c r="O914">
        <f>IFERROR(VLOOKUP(VALUE(J914),'Site Info'!$A:$G,7,FALSE),"")</f>
        <v>5073867600</v>
      </c>
    </row>
    <row r="915" spans="1:15" x14ac:dyDescent="0.45">
      <c r="A915" t="s">
        <v>2703</v>
      </c>
      <c r="B915" t="s">
        <v>2704</v>
      </c>
      <c r="C915" t="s">
        <v>2705</v>
      </c>
      <c r="D915" t="s">
        <v>1565</v>
      </c>
      <c r="E915" s="1">
        <v>46153.298009259262</v>
      </c>
      <c r="F915">
        <v>1481</v>
      </c>
      <c r="G915" t="s">
        <v>2706</v>
      </c>
      <c r="H915" t="s">
        <v>15</v>
      </c>
      <c r="I915" t="s">
        <v>1567</v>
      </c>
      <c r="J915" t="str">
        <f>RIGHT(D915,4)</f>
        <v>6510</v>
      </c>
      <c r="K915" t="str">
        <f>IFERROR(VLOOKUP(VALUE(J915),'Site Info'!$A:$G,3,FALSE),"")</f>
        <v>1831 E MADISON AVE</v>
      </c>
      <c r="L915" t="str">
        <f>IFERROR(VLOOKUP(VALUE(J915),'Site Info'!$A:$G,4,FALSE),"")</f>
        <v>MANKATO</v>
      </c>
      <c r="M915" t="str">
        <f>IFERROR(VLOOKUP(VALUE(J915),'Site Info'!$A:$G,5,FALSE),"")</f>
        <v>MN</v>
      </c>
      <c r="N915" t="str">
        <f>IFERROR(VLOOKUP(VALUE(J915),'Site Info'!$A:$G,6,FALSE),"")</f>
        <v>56001-5449</v>
      </c>
      <c r="O915">
        <f>IFERROR(VLOOKUP(VALUE(J915),'Site Info'!$A:$G,7,FALSE),"")</f>
        <v>5073867600</v>
      </c>
    </row>
    <row r="916" spans="1:15" x14ac:dyDescent="0.45">
      <c r="A916" t="s">
        <v>1562</v>
      </c>
      <c r="B916" t="s">
        <v>1563</v>
      </c>
      <c r="C916" t="s">
        <v>1564</v>
      </c>
      <c r="D916" t="s">
        <v>1565</v>
      </c>
      <c r="E916" s="1">
        <v>46153.313171296293</v>
      </c>
      <c r="F916">
        <v>1481</v>
      </c>
      <c r="G916" t="s">
        <v>1566</v>
      </c>
      <c r="H916" t="s">
        <v>15</v>
      </c>
      <c r="I916" t="s">
        <v>1567</v>
      </c>
      <c r="J916" t="str">
        <f>RIGHT(D916,4)</f>
        <v>6510</v>
      </c>
      <c r="K916" t="str">
        <f>IFERROR(VLOOKUP(VALUE(J916),'Site Info'!$A:$G,3,FALSE),"")</f>
        <v>1831 E MADISON AVE</v>
      </c>
      <c r="L916" t="str">
        <f>IFERROR(VLOOKUP(VALUE(J916),'Site Info'!$A:$G,4,FALSE),"")</f>
        <v>MANKATO</v>
      </c>
      <c r="M916" t="str">
        <f>IFERROR(VLOOKUP(VALUE(J916),'Site Info'!$A:$G,5,FALSE),"")</f>
        <v>MN</v>
      </c>
      <c r="N916" t="str">
        <f>IFERROR(VLOOKUP(VALUE(J916),'Site Info'!$A:$G,6,FALSE),"")</f>
        <v>56001-5449</v>
      </c>
      <c r="O916">
        <f>IFERROR(VLOOKUP(VALUE(J916),'Site Info'!$A:$G,7,FALSE),"")</f>
        <v>5073867600</v>
      </c>
    </row>
    <row r="917" spans="1:15" x14ac:dyDescent="0.45">
      <c r="A917" t="s">
        <v>13123</v>
      </c>
      <c r="B917" t="s">
        <v>13124</v>
      </c>
      <c r="C917" t="s">
        <v>13125</v>
      </c>
      <c r="D917" t="s">
        <v>1143</v>
      </c>
      <c r="E917" s="1">
        <v>46151.4844212963</v>
      </c>
      <c r="F917">
        <v>1547</v>
      </c>
      <c r="G917" t="s">
        <v>13126</v>
      </c>
      <c r="H917" t="s">
        <v>15</v>
      </c>
      <c r="I917" t="s">
        <v>1145</v>
      </c>
      <c r="J917" t="str">
        <f>RIGHT(D917,4)</f>
        <v>6309</v>
      </c>
      <c r="K917" t="str">
        <f>IFERROR(VLOOKUP(VALUE(J917),'Site Info'!$A:$G,3,FALSE),"")</f>
        <v>1850 BUERKLE RD</v>
      </c>
      <c r="L917" t="str">
        <f>IFERROR(VLOOKUP(VALUE(J917),'Site Info'!$A:$G,4,FALSE),"")</f>
        <v>WHITE BEAR LAKE</v>
      </c>
      <c r="M917" t="str">
        <f>IFERROR(VLOOKUP(VALUE(J917),'Site Info'!$A:$G,5,FALSE),"")</f>
        <v>MN</v>
      </c>
      <c r="N917" t="str">
        <f>IFERROR(VLOOKUP(VALUE(J917),'Site Info'!$A:$G,6,FALSE),"")</f>
        <v>55110-5245</v>
      </c>
      <c r="O917">
        <f>IFERROR(VLOOKUP(VALUE(J917),'Site Info'!$A:$G,7,FALSE),"")</f>
        <v>6517796535</v>
      </c>
    </row>
    <row r="918" spans="1:15" x14ac:dyDescent="0.45">
      <c r="A918" t="s">
        <v>12464</v>
      </c>
      <c r="B918" t="s">
        <v>12465</v>
      </c>
      <c r="C918" t="s">
        <v>12466</v>
      </c>
      <c r="D918" t="s">
        <v>1143</v>
      </c>
      <c r="E918" s="1">
        <v>46152.672800925924</v>
      </c>
      <c r="F918">
        <v>1547</v>
      </c>
      <c r="G918" t="s">
        <v>12467</v>
      </c>
      <c r="H918" t="s">
        <v>15</v>
      </c>
      <c r="I918" t="s">
        <v>1145</v>
      </c>
      <c r="J918" t="str">
        <f>RIGHT(D918,4)</f>
        <v>6309</v>
      </c>
      <c r="K918" t="str">
        <f>IFERROR(VLOOKUP(VALUE(J918),'Site Info'!$A:$G,3,FALSE),"")</f>
        <v>1850 BUERKLE RD</v>
      </c>
      <c r="L918" t="str">
        <f>IFERROR(VLOOKUP(VALUE(J918),'Site Info'!$A:$G,4,FALSE),"")</f>
        <v>WHITE BEAR LAKE</v>
      </c>
      <c r="M918" t="str">
        <f>IFERROR(VLOOKUP(VALUE(J918),'Site Info'!$A:$G,5,FALSE),"")</f>
        <v>MN</v>
      </c>
      <c r="N918" t="str">
        <f>IFERROR(VLOOKUP(VALUE(J918),'Site Info'!$A:$G,6,FALSE),"")</f>
        <v>55110-5245</v>
      </c>
      <c r="O918">
        <f>IFERROR(VLOOKUP(VALUE(J918),'Site Info'!$A:$G,7,FALSE),"")</f>
        <v>6517796535</v>
      </c>
    </row>
    <row r="919" spans="1:15" x14ac:dyDescent="0.45">
      <c r="A919" t="s">
        <v>12264</v>
      </c>
      <c r="B919" t="s">
        <v>12265</v>
      </c>
      <c r="C919" t="s">
        <v>12266</v>
      </c>
      <c r="D919" t="s">
        <v>1143</v>
      </c>
      <c r="E919" s="1">
        <v>46152.769745370373</v>
      </c>
      <c r="F919">
        <v>1547</v>
      </c>
      <c r="G919" t="s">
        <v>12267</v>
      </c>
      <c r="H919" t="s">
        <v>15</v>
      </c>
      <c r="I919" t="s">
        <v>1145</v>
      </c>
      <c r="J919" t="str">
        <f>RIGHT(D919,4)</f>
        <v>6309</v>
      </c>
      <c r="K919" t="str">
        <f>IFERROR(VLOOKUP(VALUE(J919),'Site Info'!$A:$G,3,FALSE),"")</f>
        <v>1850 BUERKLE RD</v>
      </c>
      <c r="L919" t="str">
        <f>IFERROR(VLOOKUP(VALUE(J919),'Site Info'!$A:$G,4,FALSE),"")</f>
        <v>WHITE BEAR LAKE</v>
      </c>
      <c r="M919" t="str">
        <f>IFERROR(VLOOKUP(VALUE(J919),'Site Info'!$A:$G,5,FALSE),"")</f>
        <v>MN</v>
      </c>
      <c r="N919" t="str">
        <f>IFERROR(VLOOKUP(VALUE(J919),'Site Info'!$A:$G,6,FALSE),"")</f>
        <v>55110-5245</v>
      </c>
      <c r="O919">
        <f>IFERROR(VLOOKUP(VALUE(J919),'Site Info'!$A:$G,7,FALSE),"")</f>
        <v>6517796535</v>
      </c>
    </row>
    <row r="920" spans="1:15" x14ac:dyDescent="0.45">
      <c r="A920" t="s">
        <v>13082</v>
      </c>
      <c r="B920" t="s">
        <v>13083</v>
      </c>
      <c r="C920" t="s">
        <v>13084</v>
      </c>
      <c r="D920" t="s">
        <v>1143</v>
      </c>
      <c r="E920" s="1">
        <v>46153.363171296296</v>
      </c>
      <c r="F920">
        <v>1547</v>
      </c>
      <c r="G920" t="s">
        <v>13085</v>
      </c>
      <c r="H920" t="s">
        <v>15</v>
      </c>
      <c r="I920" t="s">
        <v>1145</v>
      </c>
      <c r="J920" t="str">
        <f>RIGHT(D920,4)</f>
        <v>6309</v>
      </c>
      <c r="K920" t="str">
        <f>IFERROR(VLOOKUP(VALUE(J920),'Site Info'!$A:$G,3,FALSE),"")</f>
        <v>1850 BUERKLE RD</v>
      </c>
      <c r="L920" t="str">
        <f>IFERROR(VLOOKUP(VALUE(J920),'Site Info'!$A:$G,4,FALSE),"")</f>
        <v>WHITE BEAR LAKE</v>
      </c>
      <c r="M920" t="str">
        <f>IFERROR(VLOOKUP(VALUE(J920),'Site Info'!$A:$G,5,FALSE),"")</f>
        <v>MN</v>
      </c>
      <c r="N920" t="str">
        <f>IFERROR(VLOOKUP(VALUE(J920),'Site Info'!$A:$G,6,FALSE),"")</f>
        <v>55110-5245</v>
      </c>
      <c r="O920">
        <f>IFERROR(VLOOKUP(VALUE(J920),'Site Info'!$A:$G,7,FALSE),"")</f>
        <v>6517796535</v>
      </c>
    </row>
    <row r="921" spans="1:15" x14ac:dyDescent="0.45">
      <c r="A921" t="s">
        <v>1140</v>
      </c>
      <c r="B921" t="s">
        <v>1141</v>
      </c>
      <c r="C921" t="s">
        <v>1142</v>
      </c>
      <c r="D921" t="s">
        <v>1143</v>
      </c>
      <c r="E921" s="1">
        <v>46153.349340277775</v>
      </c>
      <c r="F921">
        <v>1481</v>
      </c>
      <c r="G921" t="s">
        <v>1144</v>
      </c>
      <c r="H921" t="s">
        <v>15</v>
      </c>
      <c r="I921" t="s">
        <v>1145</v>
      </c>
      <c r="J921" t="str">
        <f>RIGHT(D921,4)</f>
        <v>6309</v>
      </c>
      <c r="K921" t="str">
        <f>IFERROR(VLOOKUP(VALUE(J921),'Site Info'!$A:$G,3,FALSE),"")</f>
        <v>1850 BUERKLE RD</v>
      </c>
      <c r="L921" t="str">
        <f>IFERROR(VLOOKUP(VALUE(J921),'Site Info'!$A:$G,4,FALSE),"")</f>
        <v>WHITE BEAR LAKE</v>
      </c>
      <c r="M921" t="str">
        <f>IFERROR(VLOOKUP(VALUE(J921),'Site Info'!$A:$G,5,FALSE),"")</f>
        <v>MN</v>
      </c>
      <c r="N921" t="str">
        <f>IFERROR(VLOOKUP(VALUE(J921),'Site Info'!$A:$G,6,FALSE),"")</f>
        <v>55110-5245</v>
      </c>
      <c r="O921">
        <f>IFERROR(VLOOKUP(VALUE(J921),'Site Info'!$A:$G,7,FALSE),"")</f>
        <v>6517796535</v>
      </c>
    </row>
    <row r="922" spans="1:15" x14ac:dyDescent="0.45">
      <c r="A922" t="s">
        <v>16420</v>
      </c>
      <c r="B922" t="s">
        <v>16700</v>
      </c>
      <c r="C922" t="s">
        <v>16701</v>
      </c>
      <c r="D922" t="s">
        <v>1143</v>
      </c>
      <c r="E922" s="1">
        <v>46153.38008101852</v>
      </c>
      <c r="F922">
        <v>1628</v>
      </c>
      <c r="G922" t="s">
        <v>16702</v>
      </c>
      <c r="H922" t="s">
        <v>13988</v>
      </c>
      <c r="I922" t="s">
        <v>1145</v>
      </c>
      <c r="J922" t="str">
        <f>RIGHT(D922,4)</f>
        <v>6309</v>
      </c>
      <c r="K922" t="str">
        <f>IFERROR(VLOOKUP(VALUE(J922),'Site Info'!$A:$G,3,FALSE),"")</f>
        <v>1850 BUERKLE RD</v>
      </c>
      <c r="L922" t="str">
        <f>IFERROR(VLOOKUP(VALUE(J922),'Site Info'!$A:$G,4,FALSE),"")</f>
        <v>WHITE BEAR LAKE</v>
      </c>
      <c r="M922" t="str">
        <f>IFERROR(VLOOKUP(VALUE(J922),'Site Info'!$A:$G,5,FALSE),"")</f>
        <v>MN</v>
      </c>
      <c r="N922" t="str">
        <f>IFERROR(VLOOKUP(VALUE(J922),'Site Info'!$A:$G,6,FALSE),"")</f>
        <v>55110-5245</v>
      </c>
      <c r="O922">
        <f>IFERROR(VLOOKUP(VALUE(J922),'Site Info'!$A:$G,7,FALSE),"")</f>
        <v>6517796535</v>
      </c>
    </row>
    <row r="923" spans="1:15" x14ac:dyDescent="0.45">
      <c r="A923" t="s">
        <v>13435</v>
      </c>
      <c r="B923" t="s">
        <v>13436</v>
      </c>
      <c r="C923" t="s">
        <v>13437</v>
      </c>
      <c r="D923" t="s">
        <v>911</v>
      </c>
      <c r="E923" s="1">
        <v>46150.77239583333</v>
      </c>
      <c r="F923">
        <v>1547</v>
      </c>
      <c r="G923" t="s">
        <v>13438</v>
      </c>
      <c r="H923" t="s">
        <v>15</v>
      </c>
      <c r="I923" t="s">
        <v>913</v>
      </c>
      <c r="J923" t="str">
        <f>RIGHT(D923,4)</f>
        <v>6219</v>
      </c>
      <c r="K923" t="str">
        <f>IFERROR(VLOOKUP(VALUE(J923),'Site Info'!$A:$G,3,FALSE),"")</f>
        <v>1850 E WOODMEN RD</v>
      </c>
      <c r="L923" t="str">
        <f>IFERROR(VLOOKUP(VALUE(J923),'Site Info'!$A:$G,4,FALSE),"")</f>
        <v>COLORADO SPRINGS</v>
      </c>
      <c r="M923" t="str">
        <f>IFERROR(VLOOKUP(VALUE(J923),'Site Info'!$A:$G,5,FALSE),"")</f>
        <v>CO</v>
      </c>
      <c r="N923" t="str">
        <f>IFERROR(VLOOKUP(VALUE(J923),'Site Info'!$A:$G,6,FALSE),"")</f>
        <v>80920-3326</v>
      </c>
      <c r="O923">
        <f>IFERROR(VLOOKUP(VALUE(J923),'Site Info'!$A:$G,7,FALSE),"")</f>
        <v>7192770407</v>
      </c>
    </row>
    <row r="924" spans="1:15" x14ac:dyDescent="0.45">
      <c r="A924" t="s">
        <v>9077</v>
      </c>
      <c r="B924" t="s">
        <v>9078</v>
      </c>
      <c r="C924" t="s">
        <v>9079</v>
      </c>
      <c r="D924" t="s">
        <v>911</v>
      </c>
      <c r="E924" s="1">
        <v>46150.890601851854</v>
      </c>
      <c r="F924">
        <v>1547</v>
      </c>
      <c r="G924" t="s">
        <v>9080</v>
      </c>
      <c r="H924" t="s">
        <v>15</v>
      </c>
      <c r="I924" t="s">
        <v>913</v>
      </c>
      <c r="J924" t="str">
        <f>RIGHT(D924,4)</f>
        <v>6219</v>
      </c>
      <c r="K924" t="str">
        <f>IFERROR(VLOOKUP(VALUE(J924),'Site Info'!$A:$G,3,FALSE),"")</f>
        <v>1850 E WOODMEN RD</v>
      </c>
      <c r="L924" t="str">
        <f>IFERROR(VLOOKUP(VALUE(J924),'Site Info'!$A:$G,4,FALSE),"")</f>
        <v>COLORADO SPRINGS</v>
      </c>
      <c r="M924" t="str">
        <f>IFERROR(VLOOKUP(VALUE(J924),'Site Info'!$A:$G,5,FALSE),"")</f>
        <v>CO</v>
      </c>
      <c r="N924" t="str">
        <f>IFERROR(VLOOKUP(VALUE(J924),'Site Info'!$A:$G,6,FALSE),"")</f>
        <v>80920-3326</v>
      </c>
      <c r="O924">
        <f>IFERROR(VLOOKUP(VALUE(J924),'Site Info'!$A:$G,7,FALSE),"")</f>
        <v>7192770407</v>
      </c>
    </row>
    <row r="925" spans="1:15" x14ac:dyDescent="0.45">
      <c r="A925" t="s">
        <v>11392</v>
      </c>
      <c r="B925" t="s">
        <v>11393</v>
      </c>
      <c r="C925" t="s">
        <v>11394</v>
      </c>
      <c r="D925" t="s">
        <v>911</v>
      </c>
      <c r="E925" s="1">
        <v>46152.561238425929</v>
      </c>
      <c r="F925">
        <v>1547</v>
      </c>
      <c r="G925" t="s">
        <v>11395</v>
      </c>
      <c r="H925" t="s">
        <v>15</v>
      </c>
      <c r="I925" t="s">
        <v>913</v>
      </c>
      <c r="J925" t="str">
        <f>RIGHT(D925,4)</f>
        <v>6219</v>
      </c>
      <c r="K925" t="str">
        <f>IFERROR(VLOOKUP(VALUE(J925),'Site Info'!$A:$G,3,FALSE),"")</f>
        <v>1850 E WOODMEN RD</v>
      </c>
      <c r="L925" t="str">
        <f>IFERROR(VLOOKUP(VALUE(J925),'Site Info'!$A:$G,4,FALSE),"")</f>
        <v>COLORADO SPRINGS</v>
      </c>
      <c r="M925" t="str">
        <f>IFERROR(VLOOKUP(VALUE(J925),'Site Info'!$A:$G,5,FALSE),"")</f>
        <v>CO</v>
      </c>
      <c r="N925" t="str">
        <f>IFERROR(VLOOKUP(VALUE(J925),'Site Info'!$A:$G,6,FALSE),"")</f>
        <v>80920-3326</v>
      </c>
      <c r="O925">
        <f>IFERROR(VLOOKUP(VALUE(J925),'Site Info'!$A:$G,7,FALSE),"")</f>
        <v>7192770407</v>
      </c>
    </row>
    <row r="926" spans="1:15" x14ac:dyDescent="0.45">
      <c r="A926" t="s">
        <v>14399</v>
      </c>
      <c r="B926" t="s">
        <v>14400</v>
      </c>
      <c r="C926" t="s">
        <v>14401</v>
      </c>
      <c r="D926" t="s">
        <v>911</v>
      </c>
      <c r="E926" s="1">
        <v>46152.787627314814</v>
      </c>
      <c r="F926">
        <v>1547</v>
      </c>
      <c r="G926" t="s">
        <v>14402</v>
      </c>
      <c r="H926" t="s">
        <v>15</v>
      </c>
      <c r="I926" t="s">
        <v>913</v>
      </c>
      <c r="J926" t="str">
        <f>RIGHT(D926,4)</f>
        <v>6219</v>
      </c>
      <c r="K926" t="str">
        <f>IFERROR(VLOOKUP(VALUE(J926),'Site Info'!$A:$G,3,FALSE),"")</f>
        <v>1850 E WOODMEN RD</v>
      </c>
      <c r="L926" t="str">
        <f>IFERROR(VLOOKUP(VALUE(J926),'Site Info'!$A:$G,4,FALSE),"")</f>
        <v>COLORADO SPRINGS</v>
      </c>
      <c r="M926" t="str">
        <f>IFERROR(VLOOKUP(VALUE(J926),'Site Info'!$A:$G,5,FALSE),"")</f>
        <v>CO</v>
      </c>
      <c r="N926" t="str">
        <f>IFERROR(VLOOKUP(VALUE(J926),'Site Info'!$A:$G,6,FALSE),"")</f>
        <v>80920-3326</v>
      </c>
      <c r="O926">
        <f>IFERROR(VLOOKUP(VALUE(J926),'Site Info'!$A:$G,7,FALSE),"")</f>
        <v>7192770407</v>
      </c>
    </row>
    <row r="927" spans="1:15" x14ac:dyDescent="0.45">
      <c r="A927" t="s">
        <v>13403</v>
      </c>
      <c r="B927" t="s">
        <v>13404</v>
      </c>
      <c r="C927" t="s">
        <v>13405</v>
      </c>
      <c r="D927" t="s">
        <v>911</v>
      </c>
      <c r="E927" s="1">
        <v>46153.325277777774</v>
      </c>
      <c r="F927">
        <v>1547</v>
      </c>
      <c r="G927" t="s">
        <v>13406</v>
      </c>
      <c r="H927" t="s">
        <v>15</v>
      </c>
      <c r="I927" t="s">
        <v>913</v>
      </c>
      <c r="J927" t="str">
        <f>RIGHT(D927,4)</f>
        <v>6219</v>
      </c>
      <c r="K927" t="str">
        <f>IFERROR(VLOOKUP(VALUE(J927),'Site Info'!$A:$G,3,FALSE),"")</f>
        <v>1850 E WOODMEN RD</v>
      </c>
      <c r="L927" t="str">
        <f>IFERROR(VLOOKUP(VALUE(J927),'Site Info'!$A:$G,4,FALSE),"")</f>
        <v>COLORADO SPRINGS</v>
      </c>
      <c r="M927" t="str">
        <f>IFERROR(VLOOKUP(VALUE(J927),'Site Info'!$A:$G,5,FALSE),"")</f>
        <v>CO</v>
      </c>
      <c r="N927" t="str">
        <f>IFERROR(VLOOKUP(VALUE(J927),'Site Info'!$A:$G,6,FALSE),"")</f>
        <v>80920-3326</v>
      </c>
      <c r="O927">
        <f>IFERROR(VLOOKUP(VALUE(J927),'Site Info'!$A:$G,7,FALSE),"")</f>
        <v>7192770407</v>
      </c>
    </row>
    <row r="928" spans="1:15" x14ac:dyDescent="0.45">
      <c r="A928" t="s">
        <v>11404</v>
      </c>
      <c r="B928" t="s">
        <v>11405</v>
      </c>
      <c r="C928" t="s">
        <v>11406</v>
      </c>
      <c r="D928" t="s">
        <v>911</v>
      </c>
      <c r="E928" s="1">
        <v>46153.358749999999</v>
      </c>
      <c r="F928">
        <v>1547</v>
      </c>
      <c r="G928" t="s">
        <v>11407</v>
      </c>
      <c r="H928" t="s">
        <v>15</v>
      </c>
      <c r="I928" t="s">
        <v>913</v>
      </c>
      <c r="J928" t="str">
        <f>RIGHT(D928,4)</f>
        <v>6219</v>
      </c>
      <c r="K928" t="str">
        <f>IFERROR(VLOOKUP(VALUE(J928),'Site Info'!$A:$G,3,FALSE),"")</f>
        <v>1850 E WOODMEN RD</v>
      </c>
      <c r="L928" t="str">
        <f>IFERROR(VLOOKUP(VALUE(J928),'Site Info'!$A:$G,4,FALSE),"")</f>
        <v>COLORADO SPRINGS</v>
      </c>
      <c r="M928" t="str">
        <f>IFERROR(VLOOKUP(VALUE(J928),'Site Info'!$A:$G,5,FALSE),"")</f>
        <v>CO</v>
      </c>
      <c r="N928" t="str">
        <f>IFERROR(VLOOKUP(VALUE(J928),'Site Info'!$A:$G,6,FALSE),"")</f>
        <v>80920-3326</v>
      </c>
      <c r="O928">
        <f>IFERROR(VLOOKUP(VALUE(J928),'Site Info'!$A:$G,7,FALSE),"")</f>
        <v>7192770407</v>
      </c>
    </row>
    <row r="929" spans="1:15" x14ac:dyDescent="0.45">
      <c r="A929" t="s">
        <v>908</v>
      </c>
      <c r="B929" t="s">
        <v>909</v>
      </c>
      <c r="C929" t="s">
        <v>910</v>
      </c>
      <c r="D929" t="s">
        <v>911</v>
      </c>
      <c r="E929" s="1">
        <v>46153.371504629627</v>
      </c>
      <c r="F929">
        <v>1481</v>
      </c>
      <c r="G929" t="s">
        <v>912</v>
      </c>
      <c r="H929" t="s">
        <v>15</v>
      </c>
      <c r="I929" t="s">
        <v>913</v>
      </c>
      <c r="J929" t="str">
        <f>RIGHT(D929,4)</f>
        <v>6219</v>
      </c>
      <c r="K929" t="str">
        <f>IFERROR(VLOOKUP(VALUE(J929),'Site Info'!$A:$G,3,FALSE),"")</f>
        <v>1850 E WOODMEN RD</v>
      </c>
      <c r="L929" t="str">
        <f>IFERROR(VLOOKUP(VALUE(J929),'Site Info'!$A:$G,4,FALSE),"")</f>
        <v>COLORADO SPRINGS</v>
      </c>
      <c r="M929" t="str">
        <f>IFERROR(VLOOKUP(VALUE(J929),'Site Info'!$A:$G,5,FALSE),"")</f>
        <v>CO</v>
      </c>
      <c r="N929" t="str">
        <f>IFERROR(VLOOKUP(VALUE(J929),'Site Info'!$A:$G,6,FALSE),"")</f>
        <v>80920-3326</v>
      </c>
      <c r="O929">
        <f>IFERROR(VLOOKUP(VALUE(J929),'Site Info'!$A:$G,7,FALSE),"")</f>
        <v>7192770407</v>
      </c>
    </row>
    <row r="930" spans="1:15" x14ac:dyDescent="0.45">
      <c r="A930" t="s">
        <v>16625</v>
      </c>
      <c r="B930" t="s">
        <v>16626</v>
      </c>
      <c r="C930" t="s">
        <v>16627</v>
      </c>
      <c r="D930" t="s">
        <v>911</v>
      </c>
      <c r="E930" s="1">
        <v>46152.727743055555</v>
      </c>
      <c r="F930">
        <v>1547</v>
      </c>
      <c r="G930" t="s">
        <v>16628</v>
      </c>
      <c r="H930" t="s">
        <v>15</v>
      </c>
      <c r="I930" t="s">
        <v>913</v>
      </c>
      <c r="J930" t="str">
        <f>RIGHT(D930,4)</f>
        <v>6219</v>
      </c>
      <c r="K930" t="str">
        <f>IFERROR(VLOOKUP(VALUE(J930),'Site Info'!$A:$G,3,FALSE),"")</f>
        <v>1850 E WOODMEN RD</v>
      </c>
      <c r="L930" t="str">
        <f>IFERROR(VLOOKUP(VALUE(J930),'Site Info'!$A:$G,4,FALSE),"")</f>
        <v>COLORADO SPRINGS</v>
      </c>
      <c r="M930" t="str">
        <f>IFERROR(VLOOKUP(VALUE(J930),'Site Info'!$A:$G,5,FALSE),"")</f>
        <v>CO</v>
      </c>
      <c r="N930" t="str">
        <f>IFERROR(VLOOKUP(VALUE(J930),'Site Info'!$A:$G,6,FALSE),"")</f>
        <v>80920-3326</v>
      </c>
      <c r="O930">
        <f>IFERROR(VLOOKUP(VALUE(J930),'Site Info'!$A:$G,7,FALSE),"")</f>
        <v>7192770407</v>
      </c>
    </row>
    <row r="931" spans="1:15" x14ac:dyDescent="0.45">
      <c r="A931" t="s">
        <v>5556</v>
      </c>
      <c r="B931" t="s">
        <v>5557</v>
      </c>
      <c r="C931" t="s">
        <v>5558</v>
      </c>
      <c r="D931" t="s">
        <v>1073</v>
      </c>
      <c r="E931" s="1">
        <v>46149.517870370371</v>
      </c>
      <c r="F931">
        <v>1547</v>
      </c>
      <c r="G931" t="s">
        <v>5559</v>
      </c>
      <c r="H931" t="s">
        <v>15</v>
      </c>
      <c r="I931" t="s">
        <v>1075</v>
      </c>
      <c r="J931" t="str">
        <f>RIGHT(D931,4)</f>
        <v>4732</v>
      </c>
      <c r="K931" t="str">
        <f>IFERROR(VLOOKUP(VALUE(J931),'Site Info'!$A:$G,3,FALSE),"")</f>
        <v>18501 N 83RD AVE</v>
      </c>
      <c r="L931" t="str">
        <f>IFERROR(VLOOKUP(VALUE(J931),'Site Info'!$A:$G,4,FALSE),"")</f>
        <v>GLENDALE</v>
      </c>
      <c r="M931" t="str">
        <f>IFERROR(VLOOKUP(VALUE(J931),'Site Info'!$A:$G,5,FALSE),"")</f>
        <v>AZ</v>
      </c>
      <c r="N931" t="str">
        <f>IFERROR(VLOOKUP(VALUE(J931),'Site Info'!$A:$G,6,FALSE),"")</f>
        <v>85308-0501</v>
      </c>
      <c r="O931">
        <f>IFERROR(VLOOKUP(VALUE(J931),'Site Info'!$A:$G,7,FALSE),"")</f>
        <v>6238259257</v>
      </c>
    </row>
    <row r="932" spans="1:15" x14ac:dyDescent="0.45">
      <c r="A932" t="s">
        <v>5348</v>
      </c>
      <c r="B932" t="s">
        <v>5349</v>
      </c>
      <c r="C932" t="s">
        <v>5350</v>
      </c>
      <c r="D932" t="s">
        <v>1073</v>
      </c>
      <c r="E932" s="1">
        <v>46151.646111111113</v>
      </c>
      <c r="F932">
        <v>1547</v>
      </c>
      <c r="G932" t="s">
        <v>5351</v>
      </c>
      <c r="H932" t="s">
        <v>15</v>
      </c>
      <c r="I932" t="s">
        <v>1075</v>
      </c>
      <c r="J932" t="str">
        <f>RIGHT(D932,4)</f>
        <v>4732</v>
      </c>
      <c r="K932" t="str">
        <f>IFERROR(VLOOKUP(VALUE(J932),'Site Info'!$A:$G,3,FALSE),"")</f>
        <v>18501 N 83RD AVE</v>
      </c>
      <c r="L932" t="str">
        <f>IFERROR(VLOOKUP(VALUE(J932),'Site Info'!$A:$G,4,FALSE),"")</f>
        <v>GLENDALE</v>
      </c>
      <c r="M932" t="str">
        <f>IFERROR(VLOOKUP(VALUE(J932),'Site Info'!$A:$G,5,FALSE),"")</f>
        <v>AZ</v>
      </c>
      <c r="N932" t="str">
        <f>IFERROR(VLOOKUP(VALUE(J932),'Site Info'!$A:$G,6,FALSE),"")</f>
        <v>85308-0501</v>
      </c>
      <c r="O932">
        <f>IFERROR(VLOOKUP(VALUE(J932),'Site Info'!$A:$G,7,FALSE),"")</f>
        <v>6238259257</v>
      </c>
    </row>
    <row r="933" spans="1:15" x14ac:dyDescent="0.45">
      <c r="A933" t="s">
        <v>5474</v>
      </c>
      <c r="B933" t="s">
        <v>5475</v>
      </c>
      <c r="C933" t="s">
        <v>5476</v>
      </c>
      <c r="D933" t="s">
        <v>1073</v>
      </c>
      <c r="E933" s="1">
        <v>46151.672500000001</v>
      </c>
      <c r="F933">
        <v>1547</v>
      </c>
      <c r="G933" t="s">
        <v>5477</v>
      </c>
      <c r="H933" t="s">
        <v>15</v>
      </c>
      <c r="I933" t="s">
        <v>1075</v>
      </c>
      <c r="J933" t="str">
        <f>RIGHT(D933,4)</f>
        <v>4732</v>
      </c>
      <c r="K933" t="str">
        <f>IFERROR(VLOOKUP(VALUE(J933),'Site Info'!$A:$G,3,FALSE),"")</f>
        <v>18501 N 83RD AVE</v>
      </c>
      <c r="L933" t="str">
        <f>IFERROR(VLOOKUP(VALUE(J933),'Site Info'!$A:$G,4,FALSE),"")</f>
        <v>GLENDALE</v>
      </c>
      <c r="M933" t="str">
        <f>IFERROR(VLOOKUP(VALUE(J933),'Site Info'!$A:$G,5,FALSE),"")</f>
        <v>AZ</v>
      </c>
      <c r="N933" t="str">
        <f>IFERROR(VLOOKUP(VALUE(J933),'Site Info'!$A:$G,6,FALSE),"")</f>
        <v>85308-0501</v>
      </c>
      <c r="O933">
        <f>IFERROR(VLOOKUP(VALUE(J933),'Site Info'!$A:$G,7,FALSE),"")</f>
        <v>6238259257</v>
      </c>
    </row>
    <row r="934" spans="1:15" x14ac:dyDescent="0.45">
      <c r="A934" t="s">
        <v>5830</v>
      </c>
      <c r="B934" t="s">
        <v>5831</v>
      </c>
      <c r="C934" t="s">
        <v>5832</v>
      </c>
      <c r="D934" t="s">
        <v>1073</v>
      </c>
      <c r="E934" s="1">
        <v>46151.865520833337</v>
      </c>
      <c r="F934">
        <v>1547</v>
      </c>
      <c r="G934" t="s">
        <v>5833</v>
      </c>
      <c r="H934" t="s">
        <v>15</v>
      </c>
      <c r="I934" t="s">
        <v>1075</v>
      </c>
      <c r="J934" t="str">
        <f>RIGHT(D934,4)</f>
        <v>4732</v>
      </c>
      <c r="K934" t="str">
        <f>IFERROR(VLOOKUP(VALUE(J934),'Site Info'!$A:$G,3,FALSE),"")</f>
        <v>18501 N 83RD AVE</v>
      </c>
      <c r="L934" t="str">
        <f>IFERROR(VLOOKUP(VALUE(J934),'Site Info'!$A:$G,4,FALSE),"")</f>
        <v>GLENDALE</v>
      </c>
      <c r="M934" t="str">
        <f>IFERROR(VLOOKUP(VALUE(J934),'Site Info'!$A:$G,5,FALSE),"")</f>
        <v>AZ</v>
      </c>
      <c r="N934" t="str">
        <f>IFERROR(VLOOKUP(VALUE(J934),'Site Info'!$A:$G,6,FALSE),"")</f>
        <v>85308-0501</v>
      </c>
      <c r="O934">
        <f>IFERROR(VLOOKUP(VALUE(J934),'Site Info'!$A:$G,7,FALSE),"")</f>
        <v>6238259257</v>
      </c>
    </row>
    <row r="935" spans="1:15" x14ac:dyDescent="0.45">
      <c r="A935" t="s">
        <v>5842</v>
      </c>
      <c r="B935" t="s">
        <v>5843</v>
      </c>
      <c r="C935" t="s">
        <v>5844</v>
      </c>
      <c r="D935" t="s">
        <v>1073</v>
      </c>
      <c r="E935" s="1">
        <v>46152.15415509259</v>
      </c>
      <c r="F935">
        <v>1547</v>
      </c>
      <c r="G935" t="s">
        <v>5845</v>
      </c>
      <c r="H935" t="s">
        <v>15</v>
      </c>
      <c r="I935" t="s">
        <v>1075</v>
      </c>
      <c r="J935" t="str">
        <f>RIGHT(D935,4)</f>
        <v>4732</v>
      </c>
      <c r="K935" t="str">
        <f>IFERROR(VLOOKUP(VALUE(J935),'Site Info'!$A:$G,3,FALSE),"")</f>
        <v>18501 N 83RD AVE</v>
      </c>
      <c r="L935" t="str">
        <f>IFERROR(VLOOKUP(VALUE(J935),'Site Info'!$A:$G,4,FALSE),"")</f>
        <v>GLENDALE</v>
      </c>
      <c r="M935" t="str">
        <f>IFERROR(VLOOKUP(VALUE(J935),'Site Info'!$A:$G,5,FALSE),"")</f>
        <v>AZ</v>
      </c>
      <c r="N935" t="str">
        <f>IFERROR(VLOOKUP(VALUE(J935),'Site Info'!$A:$G,6,FALSE),"")</f>
        <v>85308-0501</v>
      </c>
      <c r="O935">
        <f>IFERROR(VLOOKUP(VALUE(J935),'Site Info'!$A:$G,7,FALSE),"")</f>
        <v>6238259257</v>
      </c>
    </row>
    <row r="936" spans="1:15" x14ac:dyDescent="0.45">
      <c r="A936" t="s">
        <v>5490</v>
      </c>
      <c r="B936" t="s">
        <v>5491</v>
      </c>
      <c r="C936" t="s">
        <v>5492</v>
      </c>
      <c r="D936" t="s">
        <v>1073</v>
      </c>
      <c r="E936" s="1">
        <v>46152.949571759258</v>
      </c>
      <c r="F936">
        <v>1547</v>
      </c>
      <c r="G936" t="s">
        <v>5493</v>
      </c>
      <c r="H936" t="s">
        <v>15</v>
      </c>
      <c r="I936" t="s">
        <v>1075</v>
      </c>
      <c r="J936" t="str">
        <f>RIGHT(D936,4)</f>
        <v>4732</v>
      </c>
      <c r="K936" t="str">
        <f>IFERROR(VLOOKUP(VALUE(J936),'Site Info'!$A:$G,3,FALSE),"")</f>
        <v>18501 N 83RD AVE</v>
      </c>
      <c r="L936" t="str">
        <f>IFERROR(VLOOKUP(VALUE(J936),'Site Info'!$A:$G,4,FALSE),"")</f>
        <v>GLENDALE</v>
      </c>
      <c r="M936" t="str">
        <f>IFERROR(VLOOKUP(VALUE(J936),'Site Info'!$A:$G,5,FALSE),"")</f>
        <v>AZ</v>
      </c>
      <c r="N936" t="str">
        <f>IFERROR(VLOOKUP(VALUE(J936),'Site Info'!$A:$G,6,FALSE),"")</f>
        <v>85308-0501</v>
      </c>
      <c r="O936">
        <f>IFERROR(VLOOKUP(VALUE(J936),'Site Info'!$A:$G,7,FALSE),"")</f>
        <v>6238259257</v>
      </c>
    </row>
    <row r="937" spans="1:15" x14ac:dyDescent="0.45">
      <c r="A937" t="s">
        <v>12870</v>
      </c>
      <c r="B937" t="s">
        <v>12871</v>
      </c>
      <c r="C937" t="s">
        <v>12872</v>
      </c>
      <c r="D937" t="s">
        <v>1073</v>
      </c>
      <c r="E937" s="1">
        <v>46153.26353009259</v>
      </c>
      <c r="F937">
        <v>1547</v>
      </c>
      <c r="G937" t="s">
        <v>12873</v>
      </c>
      <c r="H937" t="s">
        <v>15</v>
      </c>
      <c r="I937" t="s">
        <v>1075</v>
      </c>
      <c r="J937" t="str">
        <f>RIGHT(D937,4)</f>
        <v>4732</v>
      </c>
      <c r="K937" t="str">
        <f>IFERROR(VLOOKUP(VALUE(J937),'Site Info'!$A:$G,3,FALSE),"")</f>
        <v>18501 N 83RD AVE</v>
      </c>
      <c r="L937" t="str">
        <f>IFERROR(VLOOKUP(VALUE(J937),'Site Info'!$A:$G,4,FALSE),"")</f>
        <v>GLENDALE</v>
      </c>
      <c r="M937" t="str">
        <f>IFERROR(VLOOKUP(VALUE(J937),'Site Info'!$A:$G,5,FALSE),"")</f>
        <v>AZ</v>
      </c>
      <c r="N937" t="str">
        <f>IFERROR(VLOOKUP(VALUE(J937),'Site Info'!$A:$G,6,FALSE),"")</f>
        <v>85308-0501</v>
      </c>
      <c r="O937">
        <f>IFERROR(VLOOKUP(VALUE(J937),'Site Info'!$A:$G,7,FALSE),"")</f>
        <v>6238259257</v>
      </c>
    </row>
    <row r="938" spans="1:15" x14ac:dyDescent="0.45">
      <c r="A938" t="s">
        <v>1070</v>
      </c>
      <c r="B938" t="s">
        <v>1071</v>
      </c>
      <c r="C938" t="s">
        <v>1072</v>
      </c>
      <c r="D938" t="s">
        <v>1073</v>
      </c>
      <c r="E938" s="1">
        <v>46153.371377314812</v>
      </c>
      <c r="F938">
        <v>1481</v>
      </c>
      <c r="G938" t="s">
        <v>1074</v>
      </c>
      <c r="H938" t="s">
        <v>15</v>
      </c>
      <c r="I938" t="s">
        <v>1075</v>
      </c>
      <c r="J938" t="str">
        <f>RIGHT(D938,4)</f>
        <v>4732</v>
      </c>
      <c r="K938" t="str">
        <f>IFERROR(VLOOKUP(VALUE(J938),'Site Info'!$A:$G,3,FALSE),"")</f>
        <v>18501 N 83RD AVE</v>
      </c>
      <c r="L938" t="str">
        <f>IFERROR(VLOOKUP(VALUE(J938),'Site Info'!$A:$G,4,FALSE),"")</f>
        <v>GLENDALE</v>
      </c>
      <c r="M938" t="str">
        <f>IFERROR(VLOOKUP(VALUE(J938),'Site Info'!$A:$G,5,FALSE),"")</f>
        <v>AZ</v>
      </c>
      <c r="N938" t="str">
        <f>IFERROR(VLOOKUP(VALUE(J938),'Site Info'!$A:$G,6,FALSE),"")</f>
        <v>85308-0501</v>
      </c>
      <c r="O938">
        <f>IFERROR(VLOOKUP(VALUE(J938),'Site Info'!$A:$G,7,FALSE),"")</f>
        <v>6238259257</v>
      </c>
    </row>
    <row r="939" spans="1:15" x14ac:dyDescent="0.45">
      <c r="A939" t="s">
        <v>14285</v>
      </c>
      <c r="B939" t="s">
        <v>14286</v>
      </c>
      <c r="C939" t="s">
        <v>14287</v>
      </c>
      <c r="D939" t="s">
        <v>785</v>
      </c>
      <c r="E939" s="1">
        <v>46153.371817129628</v>
      </c>
      <c r="F939">
        <v>1863</v>
      </c>
      <c r="G939" t="s">
        <v>14288</v>
      </c>
      <c r="H939" t="s">
        <v>136</v>
      </c>
      <c r="I939" t="s">
        <v>787</v>
      </c>
      <c r="J939" t="str">
        <f>RIGHT(D939,4)</f>
        <v>6604</v>
      </c>
      <c r="K939" t="str">
        <f>IFERROR(VLOOKUP(VALUE(J939),'Site Info'!$A:$G,3,FALSE),"")</f>
        <v>1851 E BUTLER AVE</v>
      </c>
      <c r="L939" t="str">
        <f>IFERROR(VLOOKUP(VALUE(J939),'Site Info'!$A:$G,4,FALSE),"")</f>
        <v>FLAGSTAFF</v>
      </c>
      <c r="M939" t="str">
        <f>IFERROR(VLOOKUP(VALUE(J939),'Site Info'!$A:$G,5,FALSE),"")</f>
        <v>AZ</v>
      </c>
      <c r="N939" t="str">
        <f>IFERROR(VLOOKUP(VALUE(J939),'Site Info'!$A:$G,6,FALSE),"")</f>
        <v>86001-5911</v>
      </c>
      <c r="O939">
        <f>IFERROR(VLOOKUP(VALUE(J939),'Site Info'!$A:$G,7,FALSE),"")</f>
        <v>9287749444</v>
      </c>
    </row>
    <row r="940" spans="1:15" x14ac:dyDescent="0.45">
      <c r="A940" t="s">
        <v>6809</v>
      </c>
      <c r="B940" t="s">
        <v>6810</v>
      </c>
      <c r="C940" t="s">
        <v>6811</v>
      </c>
      <c r="D940" t="s">
        <v>785</v>
      </c>
      <c r="E940" s="1">
        <v>46151.737939814811</v>
      </c>
      <c r="F940">
        <v>1547</v>
      </c>
      <c r="G940" t="s">
        <v>6812</v>
      </c>
      <c r="H940" t="s">
        <v>15</v>
      </c>
      <c r="I940" t="s">
        <v>787</v>
      </c>
      <c r="J940" t="str">
        <f>RIGHT(D940,4)</f>
        <v>6604</v>
      </c>
      <c r="K940" t="str">
        <f>IFERROR(VLOOKUP(VALUE(J940),'Site Info'!$A:$G,3,FALSE),"")</f>
        <v>1851 E BUTLER AVE</v>
      </c>
      <c r="L940" t="str">
        <f>IFERROR(VLOOKUP(VALUE(J940),'Site Info'!$A:$G,4,FALSE),"")</f>
        <v>FLAGSTAFF</v>
      </c>
      <c r="M940" t="str">
        <f>IFERROR(VLOOKUP(VALUE(J940),'Site Info'!$A:$G,5,FALSE),"")</f>
        <v>AZ</v>
      </c>
      <c r="N940" t="str">
        <f>IFERROR(VLOOKUP(VALUE(J940),'Site Info'!$A:$G,6,FALSE),"")</f>
        <v>86001-5911</v>
      </c>
      <c r="O940">
        <f>IFERROR(VLOOKUP(VALUE(J940),'Site Info'!$A:$G,7,FALSE),"")</f>
        <v>9287749444</v>
      </c>
    </row>
    <row r="941" spans="1:15" x14ac:dyDescent="0.45">
      <c r="A941" t="s">
        <v>6829</v>
      </c>
      <c r="B941" t="s">
        <v>6830</v>
      </c>
      <c r="C941" t="s">
        <v>6831</v>
      </c>
      <c r="D941" t="s">
        <v>785</v>
      </c>
      <c r="E941" s="1">
        <v>46151.897800925923</v>
      </c>
      <c r="F941">
        <v>1547</v>
      </c>
      <c r="G941" t="s">
        <v>6832</v>
      </c>
      <c r="H941" t="s">
        <v>15</v>
      </c>
      <c r="I941" t="s">
        <v>787</v>
      </c>
      <c r="J941" t="str">
        <f>RIGHT(D941,4)</f>
        <v>6604</v>
      </c>
      <c r="K941" t="str">
        <f>IFERROR(VLOOKUP(VALUE(J941),'Site Info'!$A:$G,3,FALSE),"")</f>
        <v>1851 E BUTLER AVE</v>
      </c>
      <c r="L941" t="str">
        <f>IFERROR(VLOOKUP(VALUE(J941),'Site Info'!$A:$G,4,FALSE),"")</f>
        <v>FLAGSTAFF</v>
      </c>
      <c r="M941" t="str">
        <f>IFERROR(VLOOKUP(VALUE(J941),'Site Info'!$A:$G,5,FALSE),"")</f>
        <v>AZ</v>
      </c>
      <c r="N941" t="str">
        <f>IFERROR(VLOOKUP(VALUE(J941),'Site Info'!$A:$G,6,FALSE),"")</f>
        <v>86001-5911</v>
      </c>
      <c r="O941">
        <f>IFERROR(VLOOKUP(VALUE(J941),'Site Info'!$A:$G,7,FALSE),"")</f>
        <v>9287749444</v>
      </c>
    </row>
    <row r="942" spans="1:15" x14ac:dyDescent="0.45">
      <c r="A942" t="s">
        <v>8269</v>
      </c>
      <c r="B942" t="s">
        <v>8270</v>
      </c>
      <c r="C942" t="s">
        <v>8271</v>
      </c>
      <c r="D942" t="s">
        <v>785</v>
      </c>
      <c r="E942" s="1">
        <v>46152.527627314812</v>
      </c>
      <c r="F942">
        <v>1547</v>
      </c>
      <c r="G942" t="s">
        <v>8272</v>
      </c>
      <c r="H942" t="s">
        <v>15</v>
      </c>
      <c r="I942" t="s">
        <v>787</v>
      </c>
      <c r="J942" t="str">
        <f>RIGHT(D942,4)</f>
        <v>6604</v>
      </c>
      <c r="K942" t="str">
        <f>IFERROR(VLOOKUP(VALUE(J942),'Site Info'!$A:$G,3,FALSE),"")</f>
        <v>1851 E BUTLER AVE</v>
      </c>
      <c r="L942" t="str">
        <f>IFERROR(VLOOKUP(VALUE(J942),'Site Info'!$A:$G,4,FALSE),"")</f>
        <v>FLAGSTAFF</v>
      </c>
      <c r="M942" t="str">
        <f>IFERROR(VLOOKUP(VALUE(J942),'Site Info'!$A:$G,5,FALSE),"")</f>
        <v>AZ</v>
      </c>
      <c r="N942" t="str">
        <f>IFERROR(VLOOKUP(VALUE(J942),'Site Info'!$A:$G,6,FALSE),"")</f>
        <v>86001-5911</v>
      </c>
      <c r="O942">
        <f>IFERROR(VLOOKUP(VALUE(J942),'Site Info'!$A:$G,7,FALSE),"")</f>
        <v>9287749444</v>
      </c>
    </row>
    <row r="943" spans="1:15" x14ac:dyDescent="0.45">
      <c r="A943" t="s">
        <v>7133</v>
      </c>
      <c r="B943" t="s">
        <v>7134</v>
      </c>
      <c r="C943" t="s">
        <v>7135</v>
      </c>
      <c r="D943" t="s">
        <v>785</v>
      </c>
      <c r="E943" s="1">
        <v>46152.749039351853</v>
      </c>
      <c r="F943">
        <v>1547</v>
      </c>
      <c r="G943" t="s">
        <v>7136</v>
      </c>
      <c r="H943" t="s">
        <v>15</v>
      </c>
      <c r="I943" t="s">
        <v>787</v>
      </c>
      <c r="J943" t="str">
        <f>RIGHT(D943,4)</f>
        <v>6604</v>
      </c>
      <c r="K943" t="str">
        <f>IFERROR(VLOOKUP(VALUE(J943),'Site Info'!$A:$G,3,FALSE),"")</f>
        <v>1851 E BUTLER AVE</v>
      </c>
      <c r="L943" t="str">
        <f>IFERROR(VLOOKUP(VALUE(J943),'Site Info'!$A:$G,4,FALSE),"")</f>
        <v>FLAGSTAFF</v>
      </c>
      <c r="M943" t="str">
        <f>IFERROR(VLOOKUP(VALUE(J943),'Site Info'!$A:$G,5,FALSE),"")</f>
        <v>AZ</v>
      </c>
      <c r="N943" t="str">
        <f>IFERROR(VLOOKUP(VALUE(J943),'Site Info'!$A:$G,6,FALSE),"")</f>
        <v>86001-5911</v>
      </c>
      <c r="O943">
        <f>IFERROR(VLOOKUP(VALUE(J943),'Site Info'!$A:$G,7,FALSE),"")</f>
        <v>9287749444</v>
      </c>
    </row>
    <row r="944" spans="1:15" x14ac:dyDescent="0.45">
      <c r="A944" t="s">
        <v>8705</v>
      </c>
      <c r="B944" t="s">
        <v>8706</v>
      </c>
      <c r="C944" t="s">
        <v>8707</v>
      </c>
      <c r="D944" t="s">
        <v>785</v>
      </c>
      <c r="E944" s="1">
        <v>46153.274571759262</v>
      </c>
      <c r="F944">
        <v>1547</v>
      </c>
      <c r="G944" t="s">
        <v>8708</v>
      </c>
      <c r="H944" t="s">
        <v>15</v>
      </c>
      <c r="I944" t="s">
        <v>787</v>
      </c>
      <c r="J944" t="str">
        <f>RIGHT(D944,4)</f>
        <v>6604</v>
      </c>
      <c r="K944" t="str">
        <f>IFERROR(VLOOKUP(VALUE(J944),'Site Info'!$A:$G,3,FALSE),"")</f>
        <v>1851 E BUTLER AVE</v>
      </c>
      <c r="L944" t="str">
        <f>IFERROR(VLOOKUP(VALUE(J944),'Site Info'!$A:$G,4,FALSE),"")</f>
        <v>FLAGSTAFF</v>
      </c>
      <c r="M944" t="str">
        <f>IFERROR(VLOOKUP(VALUE(J944),'Site Info'!$A:$G,5,FALSE),"")</f>
        <v>AZ</v>
      </c>
      <c r="N944" t="str">
        <f>IFERROR(VLOOKUP(VALUE(J944),'Site Info'!$A:$G,6,FALSE),"")</f>
        <v>86001-5911</v>
      </c>
      <c r="O944">
        <f>IFERROR(VLOOKUP(VALUE(J944),'Site Info'!$A:$G,7,FALSE),"")</f>
        <v>9287749444</v>
      </c>
    </row>
    <row r="945" spans="1:15" x14ac:dyDescent="0.45">
      <c r="A945" t="s">
        <v>844</v>
      </c>
      <c r="B945" t="s">
        <v>845</v>
      </c>
      <c r="C945" t="s">
        <v>846</v>
      </c>
      <c r="D945" t="s">
        <v>785</v>
      </c>
      <c r="E945" s="1">
        <v>46149.387488425928</v>
      </c>
      <c r="F945">
        <v>1481</v>
      </c>
      <c r="G945" t="s">
        <v>847</v>
      </c>
      <c r="H945" t="s">
        <v>15</v>
      </c>
      <c r="I945" t="s">
        <v>787</v>
      </c>
      <c r="J945" t="str">
        <f>RIGHT(D945,4)</f>
        <v>6604</v>
      </c>
      <c r="K945" t="str">
        <f>IFERROR(VLOOKUP(VALUE(J945),'Site Info'!$A:$G,3,FALSE),"")</f>
        <v>1851 E BUTLER AVE</v>
      </c>
      <c r="L945" t="str">
        <f>IFERROR(VLOOKUP(VALUE(J945),'Site Info'!$A:$G,4,FALSE),"")</f>
        <v>FLAGSTAFF</v>
      </c>
      <c r="M945" t="str">
        <f>IFERROR(VLOOKUP(VALUE(J945),'Site Info'!$A:$G,5,FALSE),"")</f>
        <v>AZ</v>
      </c>
      <c r="N945" t="str">
        <f>IFERROR(VLOOKUP(VALUE(J945),'Site Info'!$A:$G,6,FALSE),"")</f>
        <v>86001-5911</v>
      </c>
      <c r="O945">
        <f>IFERROR(VLOOKUP(VALUE(J945),'Site Info'!$A:$G,7,FALSE),"")</f>
        <v>9287749444</v>
      </c>
    </row>
    <row r="946" spans="1:15" x14ac:dyDescent="0.45">
      <c r="A946" t="s">
        <v>914</v>
      </c>
      <c r="B946" t="s">
        <v>915</v>
      </c>
      <c r="C946" t="s">
        <v>916</v>
      </c>
      <c r="D946" t="s">
        <v>785</v>
      </c>
      <c r="E946" s="1">
        <v>46152.722557870373</v>
      </c>
      <c r="F946">
        <v>1481</v>
      </c>
      <c r="G946" t="s">
        <v>917</v>
      </c>
      <c r="H946" t="s">
        <v>15</v>
      </c>
      <c r="I946" t="s">
        <v>787</v>
      </c>
      <c r="J946" t="str">
        <f>RIGHT(D946,4)</f>
        <v>6604</v>
      </c>
      <c r="K946" t="str">
        <f>IFERROR(VLOOKUP(VALUE(J946),'Site Info'!$A:$G,3,FALSE),"")</f>
        <v>1851 E BUTLER AVE</v>
      </c>
      <c r="L946" t="str">
        <f>IFERROR(VLOOKUP(VALUE(J946),'Site Info'!$A:$G,4,FALSE),"")</f>
        <v>FLAGSTAFF</v>
      </c>
      <c r="M946" t="str">
        <f>IFERROR(VLOOKUP(VALUE(J946),'Site Info'!$A:$G,5,FALSE),"")</f>
        <v>AZ</v>
      </c>
      <c r="N946" t="str">
        <f>IFERROR(VLOOKUP(VALUE(J946),'Site Info'!$A:$G,6,FALSE),"")</f>
        <v>86001-5911</v>
      </c>
      <c r="O946">
        <f>IFERROR(VLOOKUP(VALUE(J946),'Site Info'!$A:$G,7,FALSE),"")</f>
        <v>9287749444</v>
      </c>
    </row>
    <row r="947" spans="1:15" x14ac:dyDescent="0.45">
      <c r="A947" t="s">
        <v>1496</v>
      </c>
      <c r="B947" t="s">
        <v>1497</v>
      </c>
      <c r="C947" t="s">
        <v>1498</v>
      </c>
      <c r="D947" t="s">
        <v>785</v>
      </c>
      <c r="E947" s="1">
        <v>46152.964432870373</v>
      </c>
      <c r="F947">
        <v>1481</v>
      </c>
      <c r="G947" t="s">
        <v>1499</v>
      </c>
      <c r="H947" t="s">
        <v>15</v>
      </c>
      <c r="I947" t="s">
        <v>787</v>
      </c>
      <c r="J947" t="str">
        <f>RIGHT(D947,4)</f>
        <v>6604</v>
      </c>
      <c r="K947" t="str">
        <f>IFERROR(VLOOKUP(VALUE(J947),'Site Info'!$A:$G,3,FALSE),"")</f>
        <v>1851 E BUTLER AVE</v>
      </c>
      <c r="L947" t="str">
        <f>IFERROR(VLOOKUP(VALUE(J947),'Site Info'!$A:$G,4,FALSE),"")</f>
        <v>FLAGSTAFF</v>
      </c>
      <c r="M947" t="str">
        <f>IFERROR(VLOOKUP(VALUE(J947),'Site Info'!$A:$G,5,FALSE),"")</f>
        <v>AZ</v>
      </c>
      <c r="N947" t="str">
        <f>IFERROR(VLOOKUP(VALUE(J947),'Site Info'!$A:$G,6,FALSE),"")</f>
        <v>86001-5911</v>
      </c>
      <c r="O947">
        <f>IFERROR(VLOOKUP(VALUE(J947),'Site Info'!$A:$G,7,FALSE),"")</f>
        <v>9287749444</v>
      </c>
    </row>
    <row r="948" spans="1:15" x14ac:dyDescent="0.45">
      <c r="A948" t="s">
        <v>782</v>
      </c>
      <c r="B948" t="s">
        <v>783</v>
      </c>
      <c r="C948" t="s">
        <v>784</v>
      </c>
      <c r="D948" t="s">
        <v>785</v>
      </c>
      <c r="E948" s="1">
        <v>46153.351203703707</v>
      </c>
      <c r="F948">
        <v>1481</v>
      </c>
      <c r="G948" t="s">
        <v>786</v>
      </c>
      <c r="H948" t="s">
        <v>15</v>
      </c>
      <c r="I948" t="s">
        <v>787</v>
      </c>
      <c r="J948" t="str">
        <f>RIGHT(D948,4)</f>
        <v>6604</v>
      </c>
      <c r="K948" t="str">
        <f>IFERROR(VLOOKUP(VALUE(J948),'Site Info'!$A:$G,3,FALSE),"")</f>
        <v>1851 E BUTLER AVE</v>
      </c>
      <c r="L948" t="str">
        <f>IFERROR(VLOOKUP(VALUE(J948),'Site Info'!$A:$G,4,FALSE),"")</f>
        <v>FLAGSTAFF</v>
      </c>
      <c r="M948" t="str">
        <f>IFERROR(VLOOKUP(VALUE(J948),'Site Info'!$A:$G,5,FALSE),"")</f>
        <v>AZ</v>
      </c>
      <c r="N948" t="str">
        <f>IFERROR(VLOOKUP(VALUE(J948),'Site Info'!$A:$G,6,FALSE),"")</f>
        <v>86001-5911</v>
      </c>
      <c r="O948">
        <f>IFERROR(VLOOKUP(VALUE(J948),'Site Info'!$A:$G,7,FALSE),"")</f>
        <v>9287749444</v>
      </c>
    </row>
    <row r="949" spans="1:15" x14ac:dyDescent="0.45">
      <c r="A949" t="s">
        <v>16957</v>
      </c>
      <c r="B949" t="s">
        <v>16958</v>
      </c>
      <c r="C949" t="s">
        <v>16959</v>
      </c>
      <c r="D949" t="s">
        <v>785</v>
      </c>
      <c r="E949" s="1">
        <v>46151.532581018517</v>
      </c>
      <c r="F949">
        <v>1863</v>
      </c>
      <c r="G949" t="s">
        <v>16960</v>
      </c>
      <c r="H949" t="s">
        <v>136</v>
      </c>
      <c r="I949" t="s">
        <v>787</v>
      </c>
      <c r="J949" t="str">
        <f>RIGHT(D949,4)</f>
        <v>6604</v>
      </c>
      <c r="K949" t="str">
        <f>IFERROR(VLOOKUP(VALUE(J949),'Site Info'!$A:$G,3,FALSE),"")</f>
        <v>1851 E BUTLER AVE</v>
      </c>
      <c r="L949" t="str">
        <f>IFERROR(VLOOKUP(VALUE(J949),'Site Info'!$A:$G,4,FALSE),"")</f>
        <v>FLAGSTAFF</v>
      </c>
      <c r="M949" t="str">
        <f>IFERROR(VLOOKUP(VALUE(J949),'Site Info'!$A:$G,5,FALSE),"")</f>
        <v>AZ</v>
      </c>
      <c r="N949" t="str">
        <f>IFERROR(VLOOKUP(VALUE(J949),'Site Info'!$A:$G,6,FALSE),"")</f>
        <v>86001-5911</v>
      </c>
      <c r="O949">
        <f>IFERROR(VLOOKUP(VALUE(J949),'Site Info'!$A:$G,7,FALSE),"")</f>
        <v>9287749444</v>
      </c>
    </row>
    <row r="950" spans="1:15" x14ac:dyDescent="0.45">
      <c r="A950" t="s">
        <v>16961</v>
      </c>
      <c r="B950" t="s">
        <v>16962</v>
      </c>
      <c r="C950" t="s">
        <v>16963</v>
      </c>
      <c r="D950" t="s">
        <v>785</v>
      </c>
      <c r="E950" s="1">
        <v>46151.748553240737</v>
      </c>
      <c r="F950">
        <v>1547</v>
      </c>
      <c r="G950" t="s">
        <v>16964</v>
      </c>
      <c r="H950" t="s">
        <v>15</v>
      </c>
      <c r="I950" t="s">
        <v>787</v>
      </c>
      <c r="J950" t="str">
        <f>RIGHT(D950,4)</f>
        <v>6604</v>
      </c>
      <c r="K950" t="str">
        <f>IFERROR(VLOOKUP(VALUE(J950),'Site Info'!$A:$G,3,FALSE),"")</f>
        <v>1851 E BUTLER AVE</v>
      </c>
      <c r="L950" t="str">
        <f>IFERROR(VLOOKUP(VALUE(J950),'Site Info'!$A:$G,4,FALSE),"")</f>
        <v>FLAGSTAFF</v>
      </c>
      <c r="M950" t="str">
        <f>IFERROR(VLOOKUP(VALUE(J950),'Site Info'!$A:$G,5,FALSE),"")</f>
        <v>AZ</v>
      </c>
      <c r="N950" t="str">
        <f>IFERROR(VLOOKUP(VALUE(J950),'Site Info'!$A:$G,6,FALSE),"")</f>
        <v>86001-5911</v>
      </c>
      <c r="O950">
        <f>IFERROR(VLOOKUP(VALUE(J950),'Site Info'!$A:$G,7,FALSE),"")</f>
        <v>9287749444</v>
      </c>
    </row>
    <row r="951" spans="1:15" x14ac:dyDescent="0.45">
      <c r="A951" t="s">
        <v>14111</v>
      </c>
      <c r="B951" t="s">
        <v>14112</v>
      </c>
      <c r="C951" t="s">
        <v>14113</v>
      </c>
      <c r="D951" t="s">
        <v>152</v>
      </c>
      <c r="E951" s="1">
        <v>46153.296238425923</v>
      </c>
      <c r="F951">
        <v>1547</v>
      </c>
      <c r="G951" t="s">
        <v>14114</v>
      </c>
      <c r="H951" t="s">
        <v>15</v>
      </c>
      <c r="I951" t="s">
        <v>153</v>
      </c>
      <c r="J951" t="str">
        <f>RIGHT(D951,4)</f>
        <v>4041</v>
      </c>
      <c r="K951" t="str">
        <f>IFERROR(VLOOKUP(VALUE(J951),'Site Info'!$A:$G,3,FALSE),"")</f>
        <v>1900 EAST LINDEN AVENUE</v>
      </c>
      <c r="L951" t="str">
        <f>IFERROR(VLOOKUP(VALUE(J951),'Site Info'!$A:$G,4,FALSE),"")</f>
        <v>LINDEN</v>
      </c>
      <c r="M951" t="str">
        <f>IFERROR(VLOOKUP(VALUE(J951),'Site Info'!$A:$G,5,FALSE),"")</f>
        <v>NJ</v>
      </c>
      <c r="N951" t="str">
        <f>IFERROR(VLOOKUP(VALUE(J951),'Site Info'!$A:$G,6,FALSE),"")</f>
        <v>07036-1133</v>
      </c>
      <c r="O951">
        <f>IFERROR(VLOOKUP(VALUE(J951),'Site Info'!$A:$G,7,FALSE),"")</f>
        <v>9085879820</v>
      </c>
    </row>
    <row r="952" spans="1:15" x14ac:dyDescent="0.45">
      <c r="A952" t="s">
        <v>11646</v>
      </c>
      <c r="B952" t="s">
        <v>11647</v>
      </c>
      <c r="C952" t="s">
        <v>11648</v>
      </c>
      <c r="D952" t="s">
        <v>11649</v>
      </c>
      <c r="E952" s="1">
        <v>46153.349166666667</v>
      </c>
      <c r="F952">
        <v>1548</v>
      </c>
      <c r="G952" t="s">
        <v>11650</v>
      </c>
      <c r="H952" t="s">
        <v>15</v>
      </c>
      <c r="I952" t="s">
        <v>11651</v>
      </c>
      <c r="J952" t="str">
        <f>RIGHT(D952,4)</f>
        <v>4836</v>
      </c>
      <c r="K952" t="str">
        <f>IFERROR(VLOOKUP(VALUE(J952),'Site Info'!$A:$G,3,FALSE),"")</f>
        <v>1900 OXFORD EXCHANGE BLVD</v>
      </c>
      <c r="L952" t="str">
        <f>IFERROR(VLOOKUP(VALUE(J952),'Site Info'!$A:$G,4,FALSE),"")</f>
        <v>OXFORD</v>
      </c>
      <c r="M952" t="str">
        <f>IFERROR(VLOOKUP(VALUE(J952),'Site Info'!$A:$G,5,FALSE),"")</f>
        <v>AL</v>
      </c>
      <c r="N952" t="str">
        <f>IFERROR(VLOOKUP(VALUE(J952),'Site Info'!$A:$G,6,FALSE),"")</f>
        <v>36203-3487</v>
      </c>
      <c r="O952">
        <f>IFERROR(VLOOKUP(VALUE(J952),'Site Info'!$A:$G,7,FALSE),"")</f>
        <v>2563420125</v>
      </c>
    </row>
    <row r="953" spans="1:15" x14ac:dyDescent="0.45">
      <c r="A953" t="s">
        <v>14459</v>
      </c>
      <c r="B953" t="s">
        <v>14460</v>
      </c>
      <c r="C953" t="s">
        <v>14461</v>
      </c>
      <c r="D953" t="s">
        <v>11649</v>
      </c>
      <c r="E953" s="1">
        <v>46151.744502314818</v>
      </c>
      <c r="F953">
        <v>1547</v>
      </c>
      <c r="G953" t="s">
        <v>14462</v>
      </c>
      <c r="H953" t="s">
        <v>15</v>
      </c>
      <c r="I953" t="s">
        <v>11651</v>
      </c>
      <c r="J953" t="str">
        <f>RIGHT(D953,4)</f>
        <v>4836</v>
      </c>
      <c r="K953" t="str">
        <f>IFERROR(VLOOKUP(VALUE(J953),'Site Info'!$A:$G,3,FALSE),"")</f>
        <v>1900 OXFORD EXCHANGE BLVD</v>
      </c>
      <c r="L953" t="str">
        <f>IFERROR(VLOOKUP(VALUE(J953),'Site Info'!$A:$G,4,FALSE),"")</f>
        <v>OXFORD</v>
      </c>
      <c r="M953" t="str">
        <f>IFERROR(VLOOKUP(VALUE(J953),'Site Info'!$A:$G,5,FALSE),"")</f>
        <v>AL</v>
      </c>
      <c r="N953" t="str">
        <f>IFERROR(VLOOKUP(VALUE(J953),'Site Info'!$A:$G,6,FALSE),"")</f>
        <v>36203-3487</v>
      </c>
      <c r="O953">
        <f>IFERROR(VLOOKUP(VALUE(J953),'Site Info'!$A:$G,7,FALSE),"")</f>
        <v>2563420125</v>
      </c>
    </row>
    <row r="954" spans="1:15" x14ac:dyDescent="0.45">
      <c r="A954" t="s">
        <v>11948</v>
      </c>
      <c r="B954" t="s">
        <v>11949</v>
      </c>
      <c r="C954" t="s">
        <v>11950</v>
      </c>
      <c r="D954" t="s">
        <v>11649</v>
      </c>
      <c r="E954" s="1">
        <v>46152.45894675926</v>
      </c>
      <c r="F954">
        <v>1547</v>
      </c>
      <c r="G954" t="s">
        <v>11951</v>
      </c>
      <c r="H954" t="s">
        <v>15</v>
      </c>
      <c r="I954" t="s">
        <v>11651</v>
      </c>
      <c r="J954" t="str">
        <f>RIGHT(D954,4)</f>
        <v>4836</v>
      </c>
      <c r="K954" t="str">
        <f>IFERROR(VLOOKUP(VALUE(J954),'Site Info'!$A:$G,3,FALSE),"")</f>
        <v>1900 OXFORD EXCHANGE BLVD</v>
      </c>
      <c r="L954" t="str">
        <f>IFERROR(VLOOKUP(VALUE(J954),'Site Info'!$A:$G,4,FALSE),"")</f>
        <v>OXFORD</v>
      </c>
      <c r="M954" t="str">
        <f>IFERROR(VLOOKUP(VALUE(J954),'Site Info'!$A:$G,5,FALSE),"")</f>
        <v>AL</v>
      </c>
      <c r="N954" t="str">
        <f>IFERROR(VLOOKUP(VALUE(J954),'Site Info'!$A:$G,6,FALSE),"")</f>
        <v>36203-3487</v>
      </c>
      <c r="O954">
        <f>IFERROR(VLOOKUP(VALUE(J954),'Site Info'!$A:$G,7,FALSE),"")</f>
        <v>2563420125</v>
      </c>
    </row>
    <row r="955" spans="1:15" x14ac:dyDescent="0.45">
      <c r="A955" t="s">
        <v>13840</v>
      </c>
      <c r="B955" t="s">
        <v>13841</v>
      </c>
      <c r="C955" t="s">
        <v>13842</v>
      </c>
      <c r="D955" t="s">
        <v>11649</v>
      </c>
      <c r="E955" s="1">
        <v>46152.664131944446</v>
      </c>
      <c r="F955">
        <v>1547</v>
      </c>
      <c r="G955" t="s">
        <v>13843</v>
      </c>
      <c r="H955" t="s">
        <v>15</v>
      </c>
      <c r="I955" t="s">
        <v>11651</v>
      </c>
      <c r="J955" t="str">
        <f>RIGHT(D955,4)</f>
        <v>4836</v>
      </c>
      <c r="K955" t="str">
        <f>IFERROR(VLOOKUP(VALUE(J955),'Site Info'!$A:$G,3,FALSE),"")</f>
        <v>1900 OXFORD EXCHANGE BLVD</v>
      </c>
      <c r="L955" t="str">
        <f>IFERROR(VLOOKUP(VALUE(J955),'Site Info'!$A:$G,4,FALSE),"")</f>
        <v>OXFORD</v>
      </c>
      <c r="M955" t="str">
        <f>IFERROR(VLOOKUP(VALUE(J955),'Site Info'!$A:$G,5,FALSE),"")</f>
        <v>AL</v>
      </c>
      <c r="N955" t="str">
        <f>IFERROR(VLOOKUP(VALUE(J955),'Site Info'!$A:$G,6,FALSE),"")</f>
        <v>36203-3487</v>
      </c>
      <c r="O955">
        <f>IFERROR(VLOOKUP(VALUE(J955),'Site Info'!$A:$G,7,FALSE),"")</f>
        <v>2563420125</v>
      </c>
    </row>
    <row r="956" spans="1:15" x14ac:dyDescent="0.45">
      <c r="A956" t="s">
        <v>11824</v>
      </c>
      <c r="B956" t="s">
        <v>11825</v>
      </c>
      <c r="C956" t="s">
        <v>11826</v>
      </c>
      <c r="D956" t="s">
        <v>11649</v>
      </c>
      <c r="E956" s="1">
        <v>46153.181388888886</v>
      </c>
      <c r="F956">
        <v>1547</v>
      </c>
      <c r="G956" t="s">
        <v>11827</v>
      </c>
      <c r="H956" t="s">
        <v>15</v>
      </c>
      <c r="I956" t="s">
        <v>11651</v>
      </c>
      <c r="J956" t="str">
        <f>RIGHT(D956,4)</f>
        <v>4836</v>
      </c>
      <c r="K956" t="str">
        <f>IFERROR(VLOOKUP(VALUE(J956),'Site Info'!$A:$G,3,FALSE),"")</f>
        <v>1900 OXFORD EXCHANGE BLVD</v>
      </c>
      <c r="L956" t="str">
        <f>IFERROR(VLOOKUP(VALUE(J956),'Site Info'!$A:$G,4,FALSE),"")</f>
        <v>OXFORD</v>
      </c>
      <c r="M956" t="str">
        <f>IFERROR(VLOOKUP(VALUE(J956),'Site Info'!$A:$G,5,FALSE),"")</f>
        <v>AL</v>
      </c>
      <c r="N956" t="str">
        <f>IFERROR(VLOOKUP(VALUE(J956),'Site Info'!$A:$G,6,FALSE),"")</f>
        <v>36203-3487</v>
      </c>
      <c r="O956">
        <f>IFERROR(VLOOKUP(VALUE(J956),'Site Info'!$A:$G,7,FALSE),"")</f>
        <v>2563420125</v>
      </c>
    </row>
    <row r="957" spans="1:15" x14ac:dyDescent="0.45">
      <c r="A957" t="s">
        <v>16489</v>
      </c>
      <c r="B957" t="s">
        <v>16490</v>
      </c>
      <c r="C957" t="s">
        <v>16491</v>
      </c>
      <c r="D957" t="s">
        <v>11649</v>
      </c>
      <c r="E957" s="1">
        <v>46151.645648148151</v>
      </c>
      <c r="F957">
        <v>1628</v>
      </c>
      <c r="G957" t="s">
        <v>16492</v>
      </c>
      <c r="H957" t="s">
        <v>13988</v>
      </c>
      <c r="I957" t="s">
        <v>11651</v>
      </c>
      <c r="J957" t="str">
        <f>RIGHT(D957,4)</f>
        <v>4836</v>
      </c>
      <c r="K957" t="str">
        <f>IFERROR(VLOOKUP(VALUE(J957),'Site Info'!$A:$G,3,FALSE),"")</f>
        <v>1900 OXFORD EXCHANGE BLVD</v>
      </c>
      <c r="L957" t="str">
        <f>IFERROR(VLOOKUP(VALUE(J957),'Site Info'!$A:$G,4,FALSE),"")</f>
        <v>OXFORD</v>
      </c>
      <c r="M957" t="str">
        <f>IFERROR(VLOOKUP(VALUE(J957),'Site Info'!$A:$G,5,FALSE),"")</f>
        <v>AL</v>
      </c>
      <c r="N957" t="str">
        <f>IFERROR(VLOOKUP(VALUE(J957),'Site Info'!$A:$G,6,FALSE),"")</f>
        <v>36203-3487</v>
      </c>
      <c r="O957">
        <f>IFERROR(VLOOKUP(VALUE(J957),'Site Info'!$A:$G,7,FALSE),"")</f>
        <v>2563420125</v>
      </c>
    </row>
    <row r="958" spans="1:15" x14ac:dyDescent="0.45">
      <c r="A958" t="s">
        <v>16493</v>
      </c>
      <c r="B958" t="s">
        <v>16494</v>
      </c>
      <c r="C958" t="s">
        <v>16495</v>
      </c>
      <c r="D958" t="s">
        <v>11649</v>
      </c>
      <c r="E958" s="1">
        <v>46153.357175925928</v>
      </c>
      <c r="F958">
        <v>1628</v>
      </c>
      <c r="G958" t="s">
        <v>16496</v>
      </c>
      <c r="H958" t="s">
        <v>13988</v>
      </c>
      <c r="I958" t="s">
        <v>11651</v>
      </c>
      <c r="J958" t="str">
        <f>RIGHT(D958,4)</f>
        <v>4836</v>
      </c>
      <c r="K958" t="str">
        <f>IFERROR(VLOOKUP(VALUE(J958),'Site Info'!$A:$G,3,FALSE),"")</f>
        <v>1900 OXFORD EXCHANGE BLVD</v>
      </c>
      <c r="L958" t="str">
        <f>IFERROR(VLOOKUP(VALUE(J958),'Site Info'!$A:$G,4,FALSE),"")</f>
        <v>OXFORD</v>
      </c>
      <c r="M958" t="str">
        <f>IFERROR(VLOOKUP(VALUE(J958),'Site Info'!$A:$G,5,FALSE),"")</f>
        <v>AL</v>
      </c>
      <c r="N958" t="str">
        <f>IFERROR(VLOOKUP(VALUE(J958),'Site Info'!$A:$G,6,FALSE),"")</f>
        <v>36203-3487</v>
      </c>
      <c r="O958">
        <f>IFERROR(VLOOKUP(VALUE(J958),'Site Info'!$A:$G,7,FALSE),"")</f>
        <v>2563420125</v>
      </c>
    </row>
    <row r="959" spans="1:15" x14ac:dyDescent="0.45">
      <c r="A959" t="s">
        <v>5376</v>
      </c>
      <c r="B959" t="s">
        <v>5377</v>
      </c>
      <c r="C959" t="s">
        <v>5378</v>
      </c>
      <c r="D959" t="s">
        <v>1747</v>
      </c>
      <c r="E959" s="1">
        <v>46150.315069444441</v>
      </c>
      <c r="F959">
        <v>1547</v>
      </c>
      <c r="G959" t="s">
        <v>5379</v>
      </c>
      <c r="H959" t="s">
        <v>15</v>
      </c>
      <c r="J959" t="str">
        <f>RIGHT(D959,4)</f>
        <v>8173</v>
      </c>
      <c r="K959" t="str">
        <f>IFERROR(VLOOKUP(VALUE(J959),'Site Info'!$A:$G,3,FALSE),"")</f>
        <v>1900 S UNIVERSITY DR</v>
      </c>
      <c r="L959" t="str">
        <f>IFERROR(VLOOKUP(VALUE(J959),'Site Info'!$A:$G,4,FALSE),"")</f>
        <v>MIRAMAR</v>
      </c>
      <c r="M959" t="str">
        <f>IFERROR(VLOOKUP(VALUE(J959),'Site Info'!$A:$G,5,FALSE),"")</f>
        <v>FL</v>
      </c>
      <c r="N959" t="str">
        <f>IFERROR(VLOOKUP(VALUE(J959),'Site Info'!$A:$G,6,FALSE),"")</f>
        <v>33025-2230</v>
      </c>
      <c r="O959">
        <f>IFERROR(VLOOKUP(VALUE(J959),'Site Info'!$A:$G,7,FALSE),"")</f>
        <v>9544338867</v>
      </c>
    </row>
    <row r="960" spans="1:15" x14ac:dyDescent="0.45">
      <c r="A960" t="s">
        <v>5612</v>
      </c>
      <c r="B960" t="s">
        <v>5613</v>
      </c>
      <c r="C960" t="s">
        <v>5614</v>
      </c>
      <c r="D960" t="s">
        <v>1747</v>
      </c>
      <c r="E960" s="1">
        <v>46151.737754629627</v>
      </c>
      <c r="F960">
        <v>1547</v>
      </c>
      <c r="G960" t="s">
        <v>5615</v>
      </c>
      <c r="H960" t="s">
        <v>15</v>
      </c>
      <c r="I960" t="s">
        <v>1749</v>
      </c>
      <c r="J960" t="str">
        <f>RIGHT(D960,4)</f>
        <v>8173</v>
      </c>
      <c r="K960" t="str">
        <f>IFERROR(VLOOKUP(VALUE(J960),'Site Info'!$A:$G,3,FALSE),"")</f>
        <v>1900 S UNIVERSITY DR</v>
      </c>
      <c r="L960" t="str">
        <f>IFERROR(VLOOKUP(VALUE(J960),'Site Info'!$A:$G,4,FALSE),"")</f>
        <v>MIRAMAR</v>
      </c>
      <c r="M960" t="str">
        <f>IFERROR(VLOOKUP(VALUE(J960),'Site Info'!$A:$G,5,FALSE),"")</f>
        <v>FL</v>
      </c>
      <c r="N960" t="str">
        <f>IFERROR(VLOOKUP(VALUE(J960),'Site Info'!$A:$G,6,FALSE),"")</f>
        <v>33025-2230</v>
      </c>
      <c r="O960">
        <f>IFERROR(VLOOKUP(VALUE(J960),'Site Info'!$A:$G,7,FALSE),"")</f>
        <v>9544338867</v>
      </c>
    </row>
    <row r="961" spans="1:15" x14ac:dyDescent="0.45">
      <c r="A961" t="s">
        <v>5026</v>
      </c>
      <c r="B961" t="s">
        <v>5027</v>
      </c>
      <c r="C961" t="s">
        <v>5028</v>
      </c>
      <c r="D961" t="s">
        <v>1747</v>
      </c>
      <c r="E961" s="1">
        <v>46152.46199074074</v>
      </c>
      <c r="F961">
        <v>1547</v>
      </c>
      <c r="G961" t="s">
        <v>5029</v>
      </c>
      <c r="H961" t="s">
        <v>15</v>
      </c>
      <c r="I961" t="s">
        <v>1749</v>
      </c>
      <c r="J961" t="str">
        <f>RIGHT(D961,4)</f>
        <v>8173</v>
      </c>
      <c r="K961" t="str">
        <f>IFERROR(VLOOKUP(VALUE(J961),'Site Info'!$A:$G,3,FALSE),"")</f>
        <v>1900 S UNIVERSITY DR</v>
      </c>
      <c r="L961" t="str">
        <f>IFERROR(VLOOKUP(VALUE(J961),'Site Info'!$A:$G,4,FALSE),"")</f>
        <v>MIRAMAR</v>
      </c>
      <c r="M961" t="str">
        <f>IFERROR(VLOOKUP(VALUE(J961),'Site Info'!$A:$G,5,FALSE),"")</f>
        <v>FL</v>
      </c>
      <c r="N961" t="str">
        <f>IFERROR(VLOOKUP(VALUE(J961),'Site Info'!$A:$G,6,FALSE),"")</f>
        <v>33025-2230</v>
      </c>
      <c r="O961">
        <f>IFERROR(VLOOKUP(VALUE(J961),'Site Info'!$A:$G,7,FALSE),"")</f>
        <v>9544338867</v>
      </c>
    </row>
    <row r="962" spans="1:15" x14ac:dyDescent="0.45">
      <c r="A962" t="s">
        <v>5002</v>
      </c>
      <c r="B962" t="s">
        <v>5003</v>
      </c>
      <c r="C962" t="s">
        <v>5004</v>
      </c>
      <c r="D962" t="s">
        <v>1747</v>
      </c>
      <c r="E962" s="1">
        <v>46152.586273148147</v>
      </c>
      <c r="F962">
        <v>1547</v>
      </c>
      <c r="G962" t="s">
        <v>5005</v>
      </c>
      <c r="H962" t="s">
        <v>15</v>
      </c>
      <c r="I962" t="s">
        <v>1749</v>
      </c>
      <c r="J962" t="str">
        <f>RIGHT(D962,4)</f>
        <v>8173</v>
      </c>
      <c r="K962" t="str">
        <f>IFERROR(VLOOKUP(VALUE(J962),'Site Info'!$A:$G,3,FALSE),"")</f>
        <v>1900 S UNIVERSITY DR</v>
      </c>
      <c r="L962" t="str">
        <f>IFERROR(VLOOKUP(VALUE(J962),'Site Info'!$A:$G,4,FALSE),"")</f>
        <v>MIRAMAR</v>
      </c>
      <c r="M962" t="str">
        <f>IFERROR(VLOOKUP(VALUE(J962),'Site Info'!$A:$G,5,FALSE),"")</f>
        <v>FL</v>
      </c>
      <c r="N962" t="str">
        <f>IFERROR(VLOOKUP(VALUE(J962),'Site Info'!$A:$G,6,FALSE),"")</f>
        <v>33025-2230</v>
      </c>
      <c r="O962">
        <f>IFERROR(VLOOKUP(VALUE(J962),'Site Info'!$A:$G,7,FALSE),"")</f>
        <v>9544338867</v>
      </c>
    </row>
    <row r="963" spans="1:15" x14ac:dyDescent="0.45">
      <c r="A963" t="s">
        <v>5300</v>
      </c>
      <c r="B963" t="s">
        <v>5301</v>
      </c>
      <c r="C963" t="s">
        <v>5302</v>
      </c>
      <c r="D963" t="s">
        <v>1747</v>
      </c>
      <c r="E963" s="1">
        <v>46152.769884259258</v>
      </c>
      <c r="F963">
        <v>1547</v>
      </c>
      <c r="G963" t="s">
        <v>5303</v>
      </c>
      <c r="H963" t="s">
        <v>15</v>
      </c>
      <c r="I963" t="s">
        <v>1749</v>
      </c>
      <c r="J963" t="str">
        <f>RIGHT(D963,4)</f>
        <v>8173</v>
      </c>
      <c r="K963" t="str">
        <f>IFERROR(VLOOKUP(VALUE(J963),'Site Info'!$A:$G,3,FALSE),"")</f>
        <v>1900 S UNIVERSITY DR</v>
      </c>
      <c r="L963" t="str">
        <f>IFERROR(VLOOKUP(VALUE(J963),'Site Info'!$A:$G,4,FALSE),"")</f>
        <v>MIRAMAR</v>
      </c>
      <c r="M963" t="str">
        <f>IFERROR(VLOOKUP(VALUE(J963),'Site Info'!$A:$G,5,FALSE),"")</f>
        <v>FL</v>
      </c>
      <c r="N963" t="str">
        <f>IFERROR(VLOOKUP(VALUE(J963),'Site Info'!$A:$G,6,FALSE),"")</f>
        <v>33025-2230</v>
      </c>
      <c r="O963">
        <f>IFERROR(VLOOKUP(VALUE(J963),'Site Info'!$A:$G,7,FALSE),"")</f>
        <v>9544338867</v>
      </c>
    </row>
    <row r="964" spans="1:15" x14ac:dyDescent="0.45">
      <c r="A964" t="s">
        <v>5174</v>
      </c>
      <c r="B964" t="s">
        <v>5175</v>
      </c>
      <c r="C964" t="s">
        <v>5176</v>
      </c>
      <c r="D964" t="s">
        <v>1747</v>
      </c>
      <c r="E964" s="1">
        <v>46153.311631944445</v>
      </c>
      <c r="F964">
        <v>1547</v>
      </c>
      <c r="G964" t="s">
        <v>5177</v>
      </c>
      <c r="H964" t="s">
        <v>15</v>
      </c>
      <c r="I964" t="s">
        <v>1749</v>
      </c>
      <c r="J964" t="str">
        <f>RIGHT(D964,4)</f>
        <v>8173</v>
      </c>
      <c r="K964" t="str">
        <f>IFERROR(VLOOKUP(VALUE(J964),'Site Info'!$A:$G,3,FALSE),"")</f>
        <v>1900 S UNIVERSITY DR</v>
      </c>
      <c r="L964" t="str">
        <f>IFERROR(VLOOKUP(VALUE(J964),'Site Info'!$A:$G,4,FALSE),"")</f>
        <v>MIRAMAR</v>
      </c>
      <c r="M964" t="str">
        <f>IFERROR(VLOOKUP(VALUE(J964),'Site Info'!$A:$G,5,FALSE),"")</f>
        <v>FL</v>
      </c>
      <c r="N964" t="str">
        <f>IFERROR(VLOOKUP(VALUE(J964),'Site Info'!$A:$G,6,FALSE),"")</f>
        <v>33025-2230</v>
      </c>
      <c r="O964">
        <f>IFERROR(VLOOKUP(VALUE(J964),'Site Info'!$A:$G,7,FALSE),"")</f>
        <v>9544338867</v>
      </c>
    </row>
    <row r="965" spans="1:15" x14ac:dyDescent="0.45">
      <c r="A965" t="s">
        <v>5532</v>
      </c>
      <c r="B965" t="s">
        <v>5533</v>
      </c>
      <c r="C965" t="s">
        <v>5534</v>
      </c>
      <c r="D965" t="s">
        <v>1747</v>
      </c>
      <c r="E965" s="1">
        <v>46153.332708333335</v>
      </c>
      <c r="F965">
        <v>1547</v>
      </c>
      <c r="G965" t="s">
        <v>5535</v>
      </c>
      <c r="H965" t="s">
        <v>15</v>
      </c>
      <c r="I965" t="s">
        <v>1749</v>
      </c>
      <c r="J965" t="str">
        <f>RIGHT(D965,4)</f>
        <v>8173</v>
      </c>
      <c r="K965" t="str">
        <f>IFERROR(VLOOKUP(VALUE(J965),'Site Info'!$A:$G,3,FALSE),"")</f>
        <v>1900 S UNIVERSITY DR</v>
      </c>
      <c r="L965" t="str">
        <f>IFERROR(VLOOKUP(VALUE(J965),'Site Info'!$A:$G,4,FALSE),"")</f>
        <v>MIRAMAR</v>
      </c>
      <c r="M965" t="str">
        <f>IFERROR(VLOOKUP(VALUE(J965),'Site Info'!$A:$G,5,FALSE),"")</f>
        <v>FL</v>
      </c>
      <c r="N965" t="str">
        <f>IFERROR(VLOOKUP(VALUE(J965),'Site Info'!$A:$G,6,FALSE),"")</f>
        <v>33025-2230</v>
      </c>
      <c r="O965">
        <f>IFERROR(VLOOKUP(VALUE(J965),'Site Info'!$A:$G,7,FALSE),"")</f>
        <v>9544338867</v>
      </c>
    </row>
    <row r="966" spans="1:15" x14ac:dyDescent="0.45">
      <c r="A966" t="s">
        <v>1744</v>
      </c>
      <c r="B966" t="s">
        <v>1745</v>
      </c>
      <c r="C966" t="s">
        <v>1746</v>
      </c>
      <c r="D966" t="s">
        <v>1747</v>
      </c>
      <c r="E966" s="1">
        <v>46153.301990740743</v>
      </c>
      <c r="F966">
        <v>1481</v>
      </c>
      <c r="G966" t="s">
        <v>1748</v>
      </c>
      <c r="H966" t="s">
        <v>15</v>
      </c>
      <c r="I966" t="s">
        <v>1749</v>
      </c>
      <c r="J966" t="str">
        <f>RIGHT(D966,4)</f>
        <v>8173</v>
      </c>
      <c r="K966" t="str">
        <f>IFERROR(VLOOKUP(VALUE(J966),'Site Info'!$A:$G,3,FALSE),"")</f>
        <v>1900 S UNIVERSITY DR</v>
      </c>
      <c r="L966" t="str">
        <f>IFERROR(VLOOKUP(VALUE(J966),'Site Info'!$A:$G,4,FALSE),"")</f>
        <v>MIRAMAR</v>
      </c>
      <c r="M966" t="str">
        <f>IFERROR(VLOOKUP(VALUE(J966),'Site Info'!$A:$G,5,FALSE),"")</f>
        <v>FL</v>
      </c>
      <c r="N966" t="str">
        <f>IFERROR(VLOOKUP(VALUE(J966),'Site Info'!$A:$G,6,FALSE),"")</f>
        <v>33025-2230</v>
      </c>
      <c r="O966">
        <f>IFERROR(VLOOKUP(VALUE(J966),'Site Info'!$A:$G,7,FALSE),"")</f>
        <v>9544338867</v>
      </c>
    </row>
    <row r="967" spans="1:15" x14ac:dyDescent="0.45">
      <c r="A967" t="s">
        <v>14479</v>
      </c>
      <c r="B967" t="s">
        <v>14480</v>
      </c>
      <c r="C967" t="s">
        <v>14481</v>
      </c>
      <c r="D967" t="s">
        <v>1861</v>
      </c>
      <c r="E967" s="1">
        <v>46153.285034722219</v>
      </c>
      <c r="F967">
        <v>1547</v>
      </c>
      <c r="G967" t="s">
        <v>14482</v>
      </c>
      <c r="H967" t="s">
        <v>15</v>
      </c>
      <c r="I967" t="s">
        <v>1863</v>
      </c>
      <c r="J967" t="str">
        <f>RIGHT(D967,4)</f>
        <v>8117</v>
      </c>
      <c r="K967" t="str">
        <f>IFERROR(VLOOKUP(VALUE(J967),'Site Info'!$A:$G,3,FALSE),"")</f>
        <v>1900 W MEMORIAL RD</v>
      </c>
      <c r="L967" t="str">
        <f>IFERROR(VLOOKUP(VALUE(J967),'Site Info'!$A:$G,4,FALSE),"")</f>
        <v>OKLAHOMA CITY</v>
      </c>
      <c r="M967" t="str">
        <f>IFERROR(VLOOKUP(VALUE(J967),'Site Info'!$A:$G,5,FALSE),"")</f>
        <v>OK</v>
      </c>
      <c r="N967" t="str">
        <f>IFERROR(VLOOKUP(VALUE(J967),'Site Info'!$A:$G,6,FALSE),"")</f>
        <v>73134-6504</v>
      </c>
      <c r="O967">
        <f>IFERROR(VLOOKUP(VALUE(J967),'Site Info'!$A:$G,7,FALSE),"")</f>
        <v>4057487109</v>
      </c>
    </row>
    <row r="968" spans="1:15" x14ac:dyDescent="0.45">
      <c r="A968" t="s">
        <v>10865</v>
      </c>
      <c r="B968" t="s">
        <v>10866</v>
      </c>
      <c r="C968" t="s">
        <v>10867</v>
      </c>
      <c r="D968" t="s">
        <v>1861</v>
      </c>
      <c r="E968" s="1">
        <v>46153.32707175926</v>
      </c>
      <c r="F968">
        <v>1547</v>
      </c>
      <c r="G968" t="s">
        <v>10868</v>
      </c>
      <c r="H968" t="s">
        <v>15</v>
      </c>
      <c r="I968" t="s">
        <v>1863</v>
      </c>
      <c r="J968" t="str">
        <f>RIGHT(D968,4)</f>
        <v>8117</v>
      </c>
      <c r="K968" t="str">
        <f>IFERROR(VLOOKUP(VALUE(J968),'Site Info'!$A:$G,3,FALSE),"")</f>
        <v>1900 W MEMORIAL RD</v>
      </c>
      <c r="L968" t="str">
        <f>IFERROR(VLOOKUP(VALUE(J968),'Site Info'!$A:$G,4,FALSE),"")</f>
        <v>OKLAHOMA CITY</v>
      </c>
      <c r="M968" t="str">
        <f>IFERROR(VLOOKUP(VALUE(J968),'Site Info'!$A:$G,5,FALSE),"")</f>
        <v>OK</v>
      </c>
      <c r="N968" t="str">
        <f>IFERROR(VLOOKUP(VALUE(J968),'Site Info'!$A:$G,6,FALSE),"")</f>
        <v>73134-6504</v>
      </c>
      <c r="O968">
        <f>IFERROR(VLOOKUP(VALUE(J968),'Site Info'!$A:$G,7,FALSE),"")</f>
        <v>4057487109</v>
      </c>
    </row>
    <row r="969" spans="1:15" x14ac:dyDescent="0.45">
      <c r="A969" t="s">
        <v>1996</v>
      </c>
      <c r="B969" t="s">
        <v>1997</v>
      </c>
      <c r="C969" t="s">
        <v>1998</v>
      </c>
      <c r="D969" t="s">
        <v>1861</v>
      </c>
      <c r="E969" s="1">
        <v>46151.38175925926</v>
      </c>
      <c r="F969">
        <v>1481</v>
      </c>
      <c r="G969" t="s">
        <v>1999</v>
      </c>
      <c r="H969" t="s">
        <v>15</v>
      </c>
      <c r="I969" t="s">
        <v>1863</v>
      </c>
      <c r="J969" t="str">
        <f>RIGHT(D969,4)</f>
        <v>8117</v>
      </c>
      <c r="K969" t="str">
        <f>IFERROR(VLOOKUP(VALUE(J969),'Site Info'!$A:$G,3,FALSE),"")</f>
        <v>1900 W MEMORIAL RD</v>
      </c>
      <c r="L969" t="str">
        <f>IFERROR(VLOOKUP(VALUE(J969),'Site Info'!$A:$G,4,FALSE),"")</f>
        <v>OKLAHOMA CITY</v>
      </c>
      <c r="M969" t="str">
        <f>IFERROR(VLOOKUP(VALUE(J969),'Site Info'!$A:$G,5,FALSE),"")</f>
        <v>OK</v>
      </c>
      <c r="N969" t="str">
        <f>IFERROR(VLOOKUP(VALUE(J969),'Site Info'!$A:$G,6,FALSE),"")</f>
        <v>73134-6504</v>
      </c>
      <c r="O969">
        <f>IFERROR(VLOOKUP(VALUE(J969),'Site Info'!$A:$G,7,FALSE),"")</f>
        <v>4057487109</v>
      </c>
    </row>
    <row r="970" spans="1:15" x14ac:dyDescent="0.45">
      <c r="A970" t="s">
        <v>1858</v>
      </c>
      <c r="B970" t="s">
        <v>1859</v>
      </c>
      <c r="C970" t="s">
        <v>1860</v>
      </c>
      <c r="D970" t="s">
        <v>1861</v>
      </c>
      <c r="E970" s="1">
        <v>46153.329571759263</v>
      </c>
      <c r="F970">
        <v>1481</v>
      </c>
      <c r="G970" t="s">
        <v>1862</v>
      </c>
      <c r="H970" t="s">
        <v>15</v>
      </c>
      <c r="I970" t="s">
        <v>1863</v>
      </c>
      <c r="J970" t="str">
        <f>RIGHT(D970,4)</f>
        <v>8117</v>
      </c>
      <c r="K970" t="str">
        <f>IFERROR(VLOOKUP(VALUE(J970),'Site Info'!$A:$G,3,FALSE),"")</f>
        <v>1900 W MEMORIAL RD</v>
      </c>
      <c r="L970" t="str">
        <f>IFERROR(VLOOKUP(VALUE(J970),'Site Info'!$A:$G,4,FALSE),"")</f>
        <v>OKLAHOMA CITY</v>
      </c>
      <c r="M970" t="str">
        <f>IFERROR(VLOOKUP(VALUE(J970),'Site Info'!$A:$G,5,FALSE),"")</f>
        <v>OK</v>
      </c>
      <c r="N970" t="str">
        <f>IFERROR(VLOOKUP(VALUE(J970),'Site Info'!$A:$G,6,FALSE),"")</f>
        <v>73134-6504</v>
      </c>
      <c r="O970">
        <f>IFERROR(VLOOKUP(VALUE(J970),'Site Info'!$A:$G,7,FALSE),"")</f>
        <v>4057487109</v>
      </c>
    </row>
    <row r="971" spans="1:15" x14ac:dyDescent="0.45">
      <c r="A971" t="s">
        <v>16427</v>
      </c>
      <c r="B971" t="s">
        <v>17087</v>
      </c>
      <c r="C971" t="s">
        <v>17088</v>
      </c>
      <c r="D971" t="s">
        <v>1861</v>
      </c>
      <c r="E971" s="1">
        <v>46151.420810185184</v>
      </c>
      <c r="F971">
        <v>1863</v>
      </c>
      <c r="G971" t="s">
        <v>17089</v>
      </c>
      <c r="H971" t="s">
        <v>136</v>
      </c>
      <c r="I971" t="s">
        <v>1863</v>
      </c>
      <c r="J971" t="str">
        <f>RIGHT(D971,4)</f>
        <v>8117</v>
      </c>
      <c r="K971" t="str">
        <f>IFERROR(VLOOKUP(VALUE(J971),'Site Info'!$A:$G,3,FALSE),"")</f>
        <v>1900 W MEMORIAL RD</v>
      </c>
      <c r="L971" t="str">
        <f>IFERROR(VLOOKUP(VALUE(J971),'Site Info'!$A:$G,4,FALSE),"")</f>
        <v>OKLAHOMA CITY</v>
      </c>
      <c r="M971" t="str">
        <f>IFERROR(VLOOKUP(VALUE(J971),'Site Info'!$A:$G,5,FALSE),"")</f>
        <v>OK</v>
      </c>
      <c r="N971" t="str">
        <f>IFERROR(VLOOKUP(VALUE(J971),'Site Info'!$A:$G,6,FALSE),"")</f>
        <v>73134-6504</v>
      </c>
      <c r="O971">
        <f>IFERROR(VLOOKUP(VALUE(J971),'Site Info'!$A:$G,7,FALSE),"")</f>
        <v>4057487109</v>
      </c>
    </row>
    <row r="972" spans="1:15" x14ac:dyDescent="0.45">
      <c r="A972" t="s">
        <v>14632</v>
      </c>
      <c r="B972" t="s">
        <v>17090</v>
      </c>
      <c r="C972" t="s">
        <v>17091</v>
      </c>
      <c r="D972" t="s">
        <v>1861</v>
      </c>
      <c r="E972" s="1">
        <v>46151.662222222221</v>
      </c>
      <c r="F972">
        <v>1863</v>
      </c>
      <c r="G972" t="s">
        <v>17092</v>
      </c>
      <c r="H972" t="s">
        <v>136</v>
      </c>
      <c r="I972" t="s">
        <v>1863</v>
      </c>
      <c r="J972" t="str">
        <f>RIGHT(D972,4)</f>
        <v>8117</v>
      </c>
      <c r="K972" t="str">
        <f>IFERROR(VLOOKUP(VALUE(J972),'Site Info'!$A:$G,3,FALSE),"")</f>
        <v>1900 W MEMORIAL RD</v>
      </c>
      <c r="L972" t="str">
        <f>IFERROR(VLOOKUP(VALUE(J972),'Site Info'!$A:$G,4,FALSE),"")</f>
        <v>OKLAHOMA CITY</v>
      </c>
      <c r="M972" t="str">
        <f>IFERROR(VLOOKUP(VALUE(J972),'Site Info'!$A:$G,5,FALSE),"")</f>
        <v>OK</v>
      </c>
      <c r="N972" t="str">
        <f>IFERROR(VLOOKUP(VALUE(J972),'Site Info'!$A:$G,6,FALSE),"")</f>
        <v>73134-6504</v>
      </c>
      <c r="O972">
        <f>IFERROR(VLOOKUP(VALUE(J972),'Site Info'!$A:$G,7,FALSE),"")</f>
        <v>4057487109</v>
      </c>
    </row>
    <row r="973" spans="1:15" x14ac:dyDescent="0.45">
      <c r="A973" t="s">
        <v>10911</v>
      </c>
      <c r="B973" t="s">
        <v>10912</v>
      </c>
      <c r="C973" t="s">
        <v>10913</v>
      </c>
      <c r="D973" t="s">
        <v>214</v>
      </c>
      <c r="E973" s="1">
        <v>46144.693020833336</v>
      </c>
      <c r="F973">
        <v>1547</v>
      </c>
      <c r="G973" t="s">
        <v>10914</v>
      </c>
      <c r="H973" t="s">
        <v>15</v>
      </c>
      <c r="I973" t="s">
        <v>215</v>
      </c>
      <c r="J973" t="str">
        <f>RIGHT(D973,4)</f>
        <v>6686</v>
      </c>
      <c r="K973" t="str">
        <f>IFERROR(VLOOKUP(VALUE(J973),'Site Info'!$A:$G,3,FALSE),"")</f>
        <v>1905 SOUTH 300 WEST</v>
      </c>
      <c r="L973" t="str">
        <f>IFERROR(VLOOKUP(VALUE(J973),'Site Info'!$A:$G,4,FALSE),"")</f>
        <v>SALT LAKE CITY</v>
      </c>
      <c r="M973" t="str">
        <f>IFERROR(VLOOKUP(VALUE(J973),'Site Info'!$A:$G,5,FALSE),"")</f>
        <v>UT</v>
      </c>
      <c r="N973" t="str">
        <f>IFERROR(VLOOKUP(VALUE(J973),'Site Info'!$A:$G,6,FALSE),"")</f>
        <v>84115-1806</v>
      </c>
      <c r="O973">
        <f>IFERROR(VLOOKUP(VALUE(J973),'Site Info'!$A:$G,7,FALSE),"")</f>
        <v>8014782400</v>
      </c>
    </row>
    <row r="974" spans="1:15" x14ac:dyDescent="0.45">
      <c r="A974" t="s">
        <v>14596</v>
      </c>
      <c r="B974" t="s">
        <v>14597</v>
      </c>
      <c r="C974" t="s">
        <v>14598</v>
      </c>
      <c r="D974" t="s">
        <v>214</v>
      </c>
      <c r="E974" s="1">
        <v>46151.507326388892</v>
      </c>
      <c r="F974">
        <v>1547</v>
      </c>
      <c r="G974" t="s">
        <v>14599</v>
      </c>
      <c r="H974" t="s">
        <v>15</v>
      </c>
      <c r="I974" t="s">
        <v>215</v>
      </c>
      <c r="J974" t="str">
        <f>RIGHT(D974,4)</f>
        <v>6686</v>
      </c>
      <c r="K974" t="str">
        <f>IFERROR(VLOOKUP(VALUE(J974),'Site Info'!$A:$G,3,FALSE),"")</f>
        <v>1905 SOUTH 300 WEST</v>
      </c>
      <c r="L974" t="str">
        <f>IFERROR(VLOOKUP(VALUE(J974),'Site Info'!$A:$G,4,FALSE),"")</f>
        <v>SALT LAKE CITY</v>
      </c>
      <c r="M974" t="str">
        <f>IFERROR(VLOOKUP(VALUE(J974),'Site Info'!$A:$G,5,FALSE),"")</f>
        <v>UT</v>
      </c>
      <c r="N974" t="str">
        <f>IFERROR(VLOOKUP(VALUE(J974),'Site Info'!$A:$G,6,FALSE),"")</f>
        <v>84115-1806</v>
      </c>
      <c r="O974">
        <f>IFERROR(VLOOKUP(VALUE(J974),'Site Info'!$A:$G,7,FALSE),"")</f>
        <v>8014782400</v>
      </c>
    </row>
    <row r="975" spans="1:15" x14ac:dyDescent="0.45">
      <c r="A975" t="s">
        <v>10923</v>
      </c>
      <c r="B975" t="s">
        <v>10924</v>
      </c>
      <c r="C975" t="s">
        <v>10925</v>
      </c>
      <c r="D975" t="s">
        <v>214</v>
      </c>
      <c r="E975" s="1">
        <v>46152.610868055555</v>
      </c>
      <c r="F975">
        <v>1547</v>
      </c>
      <c r="G975" t="s">
        <v>10926</v>
      </c>
      <c r="H975" t="s">
        <v>15</v>
      </c>
      <c r="I975" t="s">
        <v>215</v>
      </c>
      <c r="J975" t="str">
        <f>RIGHT(D975,4)</f>
        <v>6686</v>
      </c>
      <c r="K975" t="str">
        <f>IFERROR(VLOOKUP(VALUE(J975),'Site Info'!$A:$G,3,FALSE),"")</f>
        <v>1905 SOUTH 300 WEST</v>
      </c>
      <c r="L975" t="str">
        <f>IFERROR(VLOOKUP(VALUE(J975),'Site Info'!$A:$G,4,FALSE),"")</f>
        <v>SALT LAKE CITY</v>
      </c>
      <c r="M975" t="str">
        <f>IFERROR(VLOOKUP(VALUE(J975),'Site Info'!$A:$G,5,FALSE),"")</f>
        <v>UT</v>
      </c>
      <c r="N975" t="str">
        <f>IFERROR(VLOOKUP(VALUE(J975),'Site Info'!$A:$G,6,FALSE),"")</f>
        <v>84115-1806</v>
      </c>
      <c r="O975">
        <f>IFERROR(VLOOKUP(VALUE(J975),'Site Info'!$A:$G,7,FALSE),"")</f>
        <v>8014782400</v>
      </c>
    </row>
    <row r="976" spans="1:15" x14ac:dyDescent="0.45">
      <c r="A976" t="s">
        <v>9653</v>
      </c>
      <c r="B976" t="s">
        <v>9654</v>
      </c>
      <c r="C976" t="s">
        <v>9655</v>
      </c>
      <c r="D976" t="s">
        <v>214</v>
      </c>
      <c r="E976" s="1">
        <v>46153.249791666669</v>
      </c>
      <c r="F976">
        <v>1547</v>
      </c>
      <c r="G976" t="s">
        <v>9656</v>
      </c>
      <c r="H976" t="s">
        <v>15</v>
      </c>
      <c r="I976" t="s">
        <v>215</v>
      </c>
      <c r="J976" t="str">
        <f>RIGHT(D976,4)</f>
        <v>6686</v>
      </c>
      <c r="K976" t="str">
        <f>IFERROR(VLOOKUP(VALUE(J976),'Site Info'!$A:$G,3,FALSE),"")</f>
        <v>1905 SOUTH 300 WEST</v>
      </c>
      <c r="L976" t="str">
        <f>IFERROR(VLOOKUP(VALUE(J976),'Site Info'!$A:$G,4,FALSE),"")</f>
        <v>SALT LAKE CITY</v>
      </c>
      <c r="M976" t="str">
        <f>IFERROR(VLOOKUP(VALUE(J976),'Site Info'!$A:$G,5,FALSE),"")</f>
        <v>UT</v>
      </c>
      <c r="N976" t="str">
        <f>IFERROR(VLOOKUP(VALUE(J976),'Site Info'!$A:$G,6,FALSE),"")</f>
        <v>84115-1806</v>
      </c>
      <c r="O976">
        <f>IFERROR(VLOOKUP(VALUE(J976),'Site Info'!$A:$G,7,FALSE),"")</f>
        <v>8014782400</v>
      </c>
    </row>
    <row r="977" spans="1:15" x14ac:dyDescent="0.45">
      <c r="A977" t="s">
        <v>3597</v>
      </c>
      <c r="B977" t="s">
        <v>3598</v>
      </c>
      <c r="C977" t="s">
        <v>3599</v>
      </c>
      <c r="D977" t="s">
        <v>214</v>
      </c>
      <c r="E977" s="1">
        <v>46153.341550925928</v>
      </c>
      <c r="F977">
        <v>1481</v>
      </c>
      <c r="G977" t="s">
        <v>3600</v>
      </c>
      <c r="H977" t="s">
        <v>15</v>
      </c>
      <c r="I977" t="s">
        <v>215</v>
      </c>
      <c r="J977" t="str">
        <f>RIGHT(D977,4)</f>
        <v>6686</v>
      </c>
      <c r="K977" t="str">
        <f>IFERROR(VLOOKUP(VALUE(J977),'Site Info'!$A:$G,3,FALSE),"")</f>
        <v>1905 SOUTH 300 WEST</v>
      </c>
      <c r="L977" t="str">
        <f>IFERROR(VLOOKUP(VALUE(J977),'Site Info'!$A:$G,4,FALSE),"")</f>
        <v>SALT LAKE CITY</v>
      </c>
      <c r="M977" t="str">
        <f>IFERROR(VLOOKUP(VALUE(J977),'Site Info'!$A:$G,5,FALSE),"")</f>
        <v>UT</v>
      </c>
      <c r="N977" t="str">
        <f>IFERROR(VLOOKUP(VALUE(J977),'Site Info'!$A:$G,6,FALSE),"")</f>
        <v>84115-1806</v>
      </c>
      <c r="O977">
        <f>IFERROR(VLOOKUP(VALUE(J977),'Site Info'!$A:$G,7,FALSE),"")</f>
        <v>8014782400</v>
      </c>
    </row>
    <row r="978" spans="1:15" x14ac:dyDescent="0.45">
      <c r="A978" t="s">
        <v>10392</v>
      </c>
      <c r="B978" t="s">
        <v>10393</v>
      </c>
      <c r="C978" t="s">
        <v>10394</v>
      </c>
      <c r="D978" t="s">
        <v>1183</v>
      </c>
      <c r="E978" s="1">
        <v>46152.410069444442</v>
      </c>
      <c r="F978">
        <v>1547</v>
      </c>
      <c r="G978" t="s">
        <v>10395</v>
      </c>
      <c r="H978" t="s">
        <v>15</v>
      </c>
      <c r="I978" t="s">
        <v>1185</v>
      </c>
      <c r="J978" t="str">
        <f>RIGHT(D978,4)</f>
        <v>4713</v>
      </c>
      <c r="K978" t="str">
        <f>IFERROR(VLOOKUP(VALUE(J978),'Site Info'!$A:$G,3,FALSE),"")</f>
        <v>19091 INTERSTATE 45 S</v>
      </c>
      <c r="L978" t="str">
        <f>IFERROR(VLOOKUP(VALUE(J978),'Site Info'!$A:$G,4,FALSE),"")</f>
        <v>SHENANDOAH</v>
      </c>
      <c r="M978" t="str">
        <f>IFERROR(VLOOKUP(VALUE(J978),'Site Info'!$A:$G,5,FALSE),"")</f>
        <v>TX</v>
      </c>
      <c r="N978" t="str">
        <f>IFERROR(VLOOKUP(VALUE(J978),'Site Info'!$A:$G,6,FALSE),"")</f>
        <v>77385-8748</v>
      </c>
      <c r="O978">
        <f>IFERROR(VLOOKUP(VALUE(J978),'Site Info'!$A:$G,7,FALSE),"")</f>
        <v>9362711732</v>
      </c>
    </row>
    <row r="979" spans="1:15" x14ac:dyDescent="0.45">
      <c r="A979" t="s">
        <v>10781</v>
      </c>
      <c r="B979" t="s">
        <v>10782</v>
      </c>
      <c r="C979" t="s">
        <v>10783</v>
      </c>
      <c r="D979" t="s">
        <v>1183</v>
      </c>
      <c r="E979" s="1">
        <v>46152.586030092592</v>
      </c>
      <c r="F979">
        <v>1547</v>
      </c>
      <c r="G979" t="s">
        <v>10784</v>
      </c>
      <c r="H979" t="s">
        <v>15</v>
      </c>
      <c r="I979" t="s">
        <v>1185</v>
      </c>
      <c r="J979" t="str">
        <f>RIGHT(D979,4)</f>
        <v>4713</v>
      </c>
      <c r="K979" t="str">
        <f>IFERROR(VLOOKUP(VALUE(J979),'Site Info'!$A:$G,3,FALSE),"")</f>
        <v>19091 INTERSTATE 45 S</v>
      </c>
      <c r="L979" t="str">
        <f>IFERROR(VLOOKUP(VALUE(J979),'Site Info'!$A:$G,4,FALSE),"")</f>
        <v>SHENANDOAH</v>
      </c>
      <c r="M979" t="str">
        <f>IFERROR(VLOOKUP(VALUE(J979),'Site Info'!$A:$G,5,FALSE),"")</f>
        <v>TX</v>
      </c>
      <c r="N979" t="str">
        <f>IFERROR(VLOOKUP(VALUE(J979),'Site Info'!$A:$G,6,FALSE),"")</f>
        <v>77385-8748</v>
      </c>
      <c r="O979">
        <f>IFERROR(VLOOKUP(VALUE(J979),'Site Info'!$A:$G,7,FALSE),"")</f>
        <v>9362711732</v>
      </c>
    </row>
    <row r="980" spans="1:15" x14ac:dyDescent="0.45">
      <c r="A980" t="s">
        <v>9641</v>
      </c>
      <c r="B980" t="s">
        <v>9642</v>
      </c>
      <c r="C980" t="s">
        <v>9643</v>
      </c>
      <c r="D980" t="s">
        <v>1183</v>
      </c>
      <c r="E980" s="1">
        <v>46152.664826388886</v>
      </c>
      <c r="F980">
        <v>1547</v>
      </c>
      <c r="G980" t="s">
        <v>9644</v>
      </c>
      <c r="H980" t="s">
        <v>15</v>
      </c>
      <c r="I980" t="s">
        <v>1185</v>
      </c>
      <c r="J980" t="str">
        <f>RIGHT(D980,4)</f>
        <v>4713</v>
      </c>
      <c r="K980" t="str">
        <f>IFERROR(VLOOKUP(VALUE(J980),'Site Info'!$A:$G,3,FALSE),"")</f>
        <v>19091 INTERSTATE 45 S</v>
      </c>
      <c r="L980" t="str">
        <f>IFERROR(VLOOKUP(VALUE(J980),'Site Info'!$A:$G,4,FALSE),"")</f>
        <v>SHENANDOAH</v>
      </c>
      <c r="M980" t="str">
        <f>IFERROR(VLOOKUP(VALUE(J980),'Site Info'!$A:$G,5,FALSE),"")</f>
        <v>TX</v>
      </c>
      <c r="N980" t="str">
        <f>IFERROR(VLOOKUP(VALUE(J980),'Site Info'!$A:$G,6,FALSE),"")</f>
        <v>77385-8748</v>
      </c>
      <c r="O980">
        <f>IFERROR(VLOOKUP(VALUE(J980),'Site Info'!$A:$G,7,FALSE),"")</f>
        <v>9362711732</v>
      </c>
    </row>
    <row r="981" spans="1:15" x14ac:dyDescent="0.45">
      <c r="A981" t="s">
        <v>10767</v>
      </c>
      <c r="B981" t="s">
        <v>10768</v>
      </c>
      <c r="C981" t="s">
        <v>10769</v>
      </c>
      <c r="D981" t="s">
        <v>1183</v>
      </c>
      <c r="E981" s="1">
        <v>46152.708923611113</v>
      </c>
      <c r="F981">
        <v>1547</v>
      </c>
      <c r="G981" t="s">
        <v>10770</v>
      </c>
      <c r="H981" t="s">
        <v>15</v>
      </c>
      <c r="I981" t="s">
        <v>1185</v>
      </c>
      <c r="J981" t="str">
        <f>RIGHT(D981,4)</f>
        <v>4713</v>
      </c>
      <c r="K981" t="str">
        <f>IFERROR(VLOOKUP(VALUE(J981),'Site Info'!$A:$G,3,FALSE),"")</f>
        <v>19091 INTERSTATE 45 S</v>
      </c>
      <c r="L981" t="str">
        <f>IFERROR(VLOOKUP(VALUE(J981),'Site Info'!$A:$G,4,FALSE),"")</f>
        <v>SHENANDOAH</v>
      </c>
      <c r="M981" t="str">
        <f>IFERROR(VLOOKUP(VALUE(J981),'Site Info'!$A:$G,5,FALSE),"")</f>
        <v>TX</v>
      </c>
      <c r="N981" t="str">
        <f>IFERROR(VLOOKUP(VALUE(J981),'Site Info'!$A:$G,6,FALSE),"")</f>
        <v>77385-8748</v>
      </c>
      <c r="O981">
        <f>IFERROR(VLOOKUP(VALUE(J981),'Site Info'!$A:$G,7,FALSE),"")</f>
        <v>9362711732</v>
      </c>
    </row>
    <row r="982" spans="1:15" x14ac:dyDescent="0.45">
      <c r="A982" t="s">
        <v>10817</v>
      </c>
      <c r="B982" t="s">
        <v>10818</v>
      </c>
      <c r="C982" t="s">
        <v>10819</v>
      </c>
      <c r="D982" t="s">
        <v>1183</v>
      </c>
      <c r="E982" s="1">
        <v>46152.715312499997</v>
      </c>
      <c r="F982">
        <v>1547</v>
      </c>
      <c r="G982" t="s">
        <v>10820</v>
      </c>
      <c r="H982" t="s">
        <v>15</v>
      </c>
      <c r="I982" t="s">
        <v>1185</v>
      </c>
      <c r="J982" t="str">
        <f>RIGHT(D982,4)</f>
        <v>4713</v>
      </c>
      <c r="K982" t="str">
        <f>IFERROR(VLOOKUP(VALUE(J982),'Site Info'!$A:$G,3,FALSE),"")</f>
        <v>19091 INTERSTATE 45 S</v>
      </c>
      <c r="L982" t="str">
        <f>IFERROR(VLOOKUP(VALUE(J982),'Site Info'!$A:$G,4,FALSE),"")</f>
        <v>SHENANDOAH</v>
      </c>
      <c r="M982" t="str">
        <f>IFERROR(VLOOKUP(VALUE(J982),'Site Info'!$A:$G,5,FALSE),"")</f>
        <v>TX</v>
      </c>
      <c r="N982" t="str">
        <f>IFERROR(VLOOKUP(VALUE(J982),'Site Info'!$A:$G,6,FALSE),"")</f>
        <v>77385-8748</v>
      </c>
      <c r="O982">
        <f>IFERROR(VLOOKUP(VALUE(J982),'Site Info'!$A:$G,7,FALSE),"")</f>
        <v>9362711732</v>
      </c>
    </row>
    <row r="983" spans="1:15" x14ac:dyDescent="0.45">
      <c r="A983" t="s">
        <v>10805</v>
      </c>
      <c r="B983" t="s">
        <v>10806</v>
      </c>
      <c r="C983" t="s">
        <v>10807</v>
      </c>
      <c r="D983" t="s">
        <v>1183</v>
      </c>
      <c r="E983" s="1">
        <v>46152.798842592594</v>
      </c>
      <c r="F983">
        <v>1547</v>
      </c>
      <c r="G983" t="s">
        <v>10808</v>
      </c>
      <c r="H983" t="s">
        <v>15</v>
      </c>
      <c r="I983" t="s">
        <v>1185</v>
      </c>
      <c r="J983" t="str">
        <f>RIGHT(D983,4)</f>
        <v>4713</v>
      </c>
      <c r="K983" t="str">
        <f>IFERROR(VLOOKUP(VALUE(J983),'Site Info'!$A:$G,3,FALSE),"")</f>
        <v>19091 INTERSTATE 45 S</v>
      </c>
      <c r="L983" t="str">
        <f>IFERROR(VLOOKUP(VALUE(J983),'Site Info'!$A:$G,4,FALSE),"")</f>
        <v>SHENANDOAH</v>
      </c>
      <c r="M983" t="str">
        <f>IFERROR(VLOOKUP(VALUE(J983),'Site Info'!$A:$G,5,FALSE),"")</f>
        <v>TX</v>
      </c>
      <c r="N983" t="str">
        <f>IFERROR(VLOOKUP(VALUE(J983),'Site Info'!$A:$G,6,FALSE),"")</f>
        <v>77385-8748</v>
      </c>
      <c r="O983">
        <f>IFERROR(VLOOKUP(VALUE(J983),'Site Info'!$A:$G,7,FALSE),"")</f>
        <v>9362711732</v>
      </c>
    </row>
    <row r="984" spans="1:15" x14ac:dyDescent="0.45">
      <c r="A984" t="s">
        <v>1180</v>
      </c>
      <c r="B984" t="s">
        <v>1181</v>
      </c>
      <c r="C984" t="s">
        <v>1182</v>
      </c>
      <c r="D984" t="s">
        <v>1183</v>
      </c>
      <c r="E984" s="1">
        <v>46152.590011574073</v>
      </c>
      <c r="F984">
        <v>1481</v>
      </c>
      <c r="G984" t="s">
        <v>1184</v>
      </c>
      <c r="H984" t="s">
        <v>15</v>
      </c>
      <c r="I984" t="s">
        <v>1185</v>
      </c>
      <c r="J984" t="str">
        <f>RIGHT(D984,4)</f>
        <v>4713</v>
      </c>
      <c r="K984" t="str">
        <f>IFERROR(VLOOKUP(VALUE(J984),'Site Info'!$A:$G,3,FALSE),"")</f>
        <v>19091 INTERSTATE 45 S</v>
      </c>
      <c r="L984" t="str">
        <f>IFERROR(VLOOKUP(VALUE(J984),'Site Info'!$A:$G,4,FALSE),"")</f>
        <v>SHENANDOAH</v>
      </c>
      <c r="M984" t="str">
        <f>IFERROR(VLOOKUP(VALUE(J984),'Site Info'!$A:$G,5,FALSE),"")</f>
        <v>TX</v>
      </c>
      <c r="N984" t="str">
        <f>IFERROR(VLOOKUP(VALUE(J984),'Site Info'!$A:$G,6,FALSE),"")</f>
        <v>77385-8748</v>
      </c>
      <c r="O984">
        <f>IFERROR(VLOOKUP(VALUE(J984),'Site Info'!$A:$G,7,FALSE),"")</f>
        <v>9362711732</v>
      </c>
    </row>
    <row r="985" spans="1:15" x14ac:dyDescent="0.45">
      <c r="A985" t="s">
        <v>5210</v>
      </c>
      <c r="B985" t="s">
        <v>5211</v>
      </c>
      <c r="C985" t="s">
        <v>5212</v>
      </c>
      <c r="D985" t="s">
        <v>170</v>
      </c>
      <c r="E985" s="1">
        <v>46111.340011574073</v>
      </c>
      <c r="F985">
        <v>1547</v>
      </c>
      <c r="G985" t="s">
        <v>5213</v>
      </c>
      <c r="H985" t="s">
        <v>15</v>
      </c>
      <c r="I985" t="s">
        <v>172</v>
      </c>
      <c r="J985" t="str">
        <f>RIGHT(D985,4)</f>
        <v>6261</v>
      </c>
      <c r="K985" t="str">
        <f>IFERROR(VLOOKUP(VALUE(J985),'Site Info'!$A:$G,3,FALSE),"")</f>
        <v>1910 E SERENE AVE</v>
      </c>
      <c r="L985" t="str">
        <f>IFERROR(VLOOKUP(VALUE(J985),'Site Info'!$A:$G,4,FALSE),"")</f>
        <v>LAS VEGAS</v>
      </c>
      <c r="M985" t="str">
        <f>IFERROR(VLOOKUP(VALUE(J985),'Site Info'!$A:$G,5,FALSE),"")</f>
        <v>NV</v>
      </c>
      <c r="N985" t="str">
        <f>IFERROR(VLOOKUP(VALUE(J985),'Site Info'!$A:$G,6,FALSE),"")</f>
        <v>89123-3227</v>
      </c>
      <c r="O985">
        <f>IFERROR(VLOOKUP(VALUE(J985),'Site Info'!$A:$G,7,FALSE),"")</f>
        <v>7026143372</v>
      </c>
    </row>
    <row r="986" spans="1:15" x14ac:dyDescent="0.45">
      <c r="A986" t="s">
        <v>4444</v>
      </c>
      <c r="B986" t="s">
        <v>4445</v>
      </c>
      <c r="C986" t="s">
        <v>4446</v>
      </c>
      <c r="D986" t="s">
        <v>170</v>
      </c>
      <c r="E986" s="1">
        <v>46151.790682870371</v>
      </c>
      <c r="F986">
        <v>1547</v>
      </c>
      <c r="G986" t="s">
        <v>4447</v>
      </c>
      <c r="H986" t="s">
        <v>15</v>
      </c>
      <c r="I986" t="s">
        <v>172</v>
      </c>
      <c r="J986" t="str">
        <f>RIGHT(D986,4)</f>
        <v>6261</v>
      </c>
      <c r="K986" t="str">
        <f>IFERROR(VLOOKUP(VALUE(J986),'Site Info'!$A:$G,3,FALSE),"")</f>
        <v>1910 E SERENE AVE</v>
      </c>
      <c r="L986" t="str">
        <f>IFERROR(VLOOKUP(VALUE(J986),'Site Info'!$A:$G,4,FALSE),"")</f>
        <v>LAS VEGAS</v>
      </c>
      <c r="M986" t="str">
        <f>IFERROR(VLOOKUP(VALUE(J986),'Site Info'!$A:$G,5,FALSE),"")</f>
        <v>NV</v>
      </c>
      <c r="N986" t="str">
        <f>IFERROR(VLOOKUP(VALUE(J986),'Site Info'!$A:$G,6,FALSE),"")</f>
        <v>89123-3227</v>
      </c>
      <c r="O986">
        <f>IFERROR(VLOOKUP(VALUE(J986),'Site Info'!$A:$G,7,FALSE),"")</f>
        <v>7026143372</v>
      </c>
    </row>
    <row r="987" spans="1:15" x14ac:dyDescent="0.45">
      <c r="A987" t="s">
        <v>4606</v>
      </c>
      <c r="B987" t="s">
        <v>4607</v>
      </c>
      <c r="C987" t="s">
        <v>4608</v>
      </c>
      <c r="D987" t="s">
        <v>170</v>
      </c>
      <c r="E987" s="1">
        <v>46151.950590277775</v>
      </c>
      <c r="F987">
        <v>1547</v>
      </c>
      <c r="G987" t="s">
        <v>4609</v>
      </c>
      <c r="H987" t="s">
        <v>15</v>
      </c>
      <c r="I987" t="s">
        <v>172</v>
      </c>
      <c r="J987" t="str">
        <f>RIGHT(D987,4)</f>
        <v>6261</v>
      </c>
      <c r="K987" t="str">
        <f>IFERROR(VLOOKUP(VALUE(J987),'Site Info'!$A:$G,3,FALSE),"")</f>
        <v>1910 E SERENE AVE</v>
      </c>
      <c r="L987" t="str">
        <f>IFERROR(VLOOKUP(VALUE(J987),'Site Info'!$A:$G,4,FALSE),"")</f>
        <v>LAS VEGAS</v>
      </c>
      <c r="M987" t="str">
        <f>IFERROR(VLOOKUP(VALUE(J987),'Site Info'!$A:$G,5,FALSE),"")</f>
        <v>NV</v>
      </c>
      <c r="N987" t="str">
        <f>IFERROR(VLOOKUP(VALUE(J987),'Site Info'!$A:$G,6,FALSE),"")</f>
        <v>89123-3227</v>
      </c>
      <c r="O987">
        <f>IFERROR(VLOOKUP(VALUE(J987),'Site Info'!$A:$G,7,FALSE),"")</f>
        <v>7026143372</v>
      </c>
    </row>
    <row r="988" spans="1:15" x14ac:dyDescent="0.45">
      <c r="A988" t="s">
        <v>4684</v>
      </c>
      <c r="B988" t="s">
        <v>4685</v>
      </c>
      <c r="C988" t="s">
        <v>4686</v>
      </c>
      <c r="D988" t="s">
        <v>170</v>
      </c>
      <c r="E988" s="1">
        <v>46152.848587962966</v>
      </c>
      <c r="F988">
        <v>1547</v>
      </c>
      <c r="G988" t="s">
        <v>4687</v>
      </c>
      <c r="H988" t="s">
        <v>15</v>
      </c>
      <c r="I988" t="s">
        <v>172</v>
      </c>
      <c r="J988" t="str">
        <f>RIGHT(D988,4)</f>
        <v>6261</v>
      </c>
      <c r="K988" t="str">
        <f>IFERROR(VLOOKUP(VALUE(J988),'Site Info'!$A:$G,3,FALSE),"")</f>
        <v>1910 E SERENE AVE</v>
      </c>
      <c r="L988" t="str">
        <f>IFERROR(VLOOKUP(VALUE(J988),'Site Info'!$A:$G,4,FALSE),"")</f>
        <v>LAS VEGAS</v>
      </c>
      <c r="M988" t="str">
        <f>IFERROR(VLOOKUP(VALUE(J988),'Site Info'!$A:$G,5,FALSE),"")</f>
        <v>NV</v>
      </c>
      <c r="N988" t="str">
        <f>IFERROR(VLOOKUP(VALUE(J988),'Site Info'!$A:$G,6,FALSE),"")</f>
        <v>89123-3227</v>
      </c>
      <c r="O988">
        <f>IFERROR(VLOOKUP(VALUE(J988),'Site Info'!$A:$G,7,FALSE),"")</f>
        <v>7026143372</v>
      </c>
    </row>
    <row r="989" spans="1:15" x14ac:dyDescent="0.45">
      <c r="A989" t="s">
        <v>96</v>
      </c>
      <c r="B989" t="s">
        <v>168</v>
      </c>
      <c r="C989" t="s">
        <v>169</v>
      </c>
      <c r="D989" t="s">
        <v>170</v>
      </c>
      <c r="E989" s="1">
        <v>46149.904282407406</v>
      </c>
      <c r="F989">
        <v>1481</v>
      </c>
      <c r="G989" t="s">
        <v>171</v>
      </c>
      <c r="H989" t="s">
        <v>15</v>
      </c>
      <c r="I989" t="s">
        <v>172</v>
      </c>
      <c r="J989" t="str">
        <f>RIGHT(D989,4)</f>
        <v>6261</v>
      </c>
      <c r="K989" t="str">
        <f>IFERROR(VLOOKUP(VALUE(J989),'Site Info'!$A:$G,3,FALSE),"")</f>
        <v>1910 E SERENE AVE</v>
      </c>
      <c r="L989" t="str">
        <f>IFERROR(VLOOKUP(VALUE(J989),'Site Info'!$A:$G,4,FALSE),"")</f>
        <v>LAS VEGAS</v>
      </c>
      <c r="M989" t="str">
        <f>IFERROR(VLOOKUP(VALUE(J989),'Site Info'!$A:$G,5,FALSE),"")</f>
        <v>NV</v>
      </c>
      <c r="N989" t="str">
        <f>IFERROR(VLOOKUP(VALUE(J989),'Site Info'!$A:$G,6,FALSE),"")</f>
        <v>89123-3227</v>
      </c>
      <c r="O989">
        <f>IFERROR(VLOOKUP(VALUE(J989),'Site Info'!$A:$G,7,FALSE),"")</f>
        <v>7026143372</v>
      </c>
    </row>
    <row r="990" spans="1:15" x14ac:dyDescent="0.45">
      <c r="A990" t="s">
        <v>788</v>
      </c>
      <c r="B990" t="s">
        <v>789</v>
      </c>
      <c r="C990" t="s">
        <v>790</v>
      </c>
      <c r="D990" t="s">
        <v>170</v>
      </c>
      <c r="E990" s="1">
        <v>46152.481886574074</v>
      </c>
      <c r="F990">
        <v>1481</v>
      </c>
      <c r="G990" t="s">
        <v>791</v>
      </c>
      <c r="H990" t="s">
        <v>15</v>
      </c>
      <c r="I990" t="s">
        <v>172</v>
      </c>
      <c r="J990" t="str">
        <f>RIGHT(D990,4)</f>
        <v>6261</v>
      </c>
      <c r="K990" t="str">
        <f>IFERROR(VLOOKUP(VALUE(J990),'Site Info'!$A:$G,3,FALSE),"")</f>
        <v>1910 E SERENE AVE</v>
      </c>
      <c r="L990" t="str">
        <f>IFERROR(VLOOKUP(VALUE(J990),'Site Info'!$A:$G,4,FALSE),"")</f>
        <v>LAS VEGAS</v>
      </c>
      <c r="M990" t="str">
        <f>IFERROR(VLOOKUP(VALUE(J990),'Site Info'!$A:$G,5,FALSE),"")</f>
        <v>NV</v>
      </c>
      <c r="N990" t="str">
        <f>IFERROR(VLOOKUP(VALUE(J990),'Site Info'!$A:$G,6,FALSE),"")</f>
        <v>89123-3227</v>
      </c>
      <c r="O990">
        <f>IFERROR(VLOOKUP(VALUE(J990),'Site Info'!$A:$G,7,FALSE),"")</f>
        <v>7026143372</v>
      </c>
    </row>
    <row r="991" spans="1:15" x14ac:dyDescent="0.45">
      <c r="A991" t="s">
        <v>2561</v>
      </c>
      <c r="B991" t="s">
        <v>2562</v>
      </c>
      <c r="C991" t="s">
        <v>2563</v>
      </c>
      <c r="D991" t="s">
        <v>170</v>
      </c>
      <c r="E991" s="1">
        <v>46152.941712962966</v>
      </c>
      <c r="F991">
        <v>1481</v>
      </c>
      <c r="G991" t="s">
        <v>2564</v>
      </c>
      <c r="H991" t="s">
        <v>15</v>
      </c>
      <c r="I991" t="s">
        <v>172</v>
      </c>
      <c r="J991" t="str">
        <f>RIGHT(D991,4)</f>
        <v>6261</v>
      </c>
      <c r="K991" t="str">
        <f>IFERROR(VLOOKUP(VALUE(J991),'Site Info'!$A:$G,3,FALSE),"")</f>
        <v>1910 E SERENE AVE</v>
      </c>
      <c r="L991" t="str">
        <f>IFERROR(VLOOKUP(VALUE(J991),'Site Info'!$A:$G,4,FALSE),"")</f>
        <v>LAS VEGAS</v>
      </c>
      <c r="M991" t="str">
        <f>IFERROR(VLOOKUP(VALUE(J991),'Site Info'!$A:$G,5,FALSE),"")</f>
        <v>NV</v>
      </c>
      <c r="N991" t="str">
        <f>IFERROR(VLOOKUP(VALUE(J991),'Site Info'!$A:$G,6,FALSE),"")</f>
        <v>89123-3227</v>
      </c>
      <c r="O991">
        <f>IFERROR(VLOOKUP(VALUE(J991),'Site Info'!$A:$G,7,FALSE),"")</f>
        <v>7026143372</v>
      </c>
    </row>
    <row r="992" spans="1:15" x14ac:dyDescent="0.45">
      <c r="A992" t="s">
        <v>16671</v>
      </c>
      <c r="B992" t="s">
        <v>16672</v>
      </c>
      <c r="C992" t="s">
        <v>16673</v>
      </c>
      <c r="D992" t="s">
        <v>170</v>
      </c>
      <c r="E992" s="1">
        <v>46151.533449074072</v>
      </c>
      <c r="F992">
        <v>1547</v>
      </c>
      <c r="G992" t="s">
        <v>16674</v>
      </c>
      <c r="H992" t="s">
        <v>15</v>
      </c>
      <c r="I992" t="s">
        <v>172</v>
      </c>
      <c r="J992" t="str">
        <f>RIGHT(D992,4)</f>
        <v>6261</v>
      </c>
      <c r="K992" t="str">
        <f>IFERROR(VLOOKUP(VALUE(J992),'Site Info'!$A:$G,3,FALSE),"")</f>
        <v>1910 E SERENE AVE</v>
      </c>
      <c r="L992" t="str">
        <f>IFERROR(VLOOKUP(VALUE(J992),'Site Info'!$A:$G,4,FALSE),"")</f>
        <v>LAS VEGAS</v>
      </c>
      <c r="M992" t="str">
        <f>IFERROR(VLOOKUP(VALUE(J992),'Site Info'!$A:$G,5,FALSE),"")</f>
        <v>NV</v>
      </c>
      <c r="N992" t="str">
        <f>IFERROR(VLOOKUP(VALUE(J992),'Site Info'!$A:$G,6,FALSE),"")</f>
        <v>89123-3227</v>
      </c>
      <c r="O992">
        <f>IFERROR(VLOOKUP(VALUE(J992),'Site Info'!$A:$G,7,FALSE),"")</f>
        <v>7026143372</v>
      </c>
    </row>
    <row r="993" spans="1:15" x14ac:dyDescent="0.45">
      <c r="A993" t="s">
        <v>16675</v>
      </c>
      <c r="B993" t="s">
        <v>16676</v>
      </c>
      <c r="C993" t="s">
        <v>16677</v>
      </c>
      <c r="D993" t="s">
        <v>170</v>
      </c>
      <c r="E993" s="1">
        <v>46152.994456018518</v>
      </c>
      <c r="F993">
        <v>1481</v>
      </c>
      <c r="G993" t="s">
        <v>16678</v>
      </c>
      <c r="H993" t="s">
        <v>15</v>
      </c>
      <c r="I993" t="s">
        <v>172</v>
      </c>
      <c r="J993" t="str">
        <f>RIGHT(D993,4)</f>
        <v>6261</v>
      </c>
      <c r="K993" t="str">
        <f>IFERROR(VLOOKUP(VALUE(J993),'Site Info'!$A:$G,3,FALSE),"")</f>
        <v>1910 E SERENE AVE</v>
      </c>
      <c r="L993" t="str">
        <f>IFERROR(VLOOKUP(VALUE(J993),'Site Info'!$A:$G,4,FALSE),"")</f>
        <v>LAS VEGAS</v>
      </c>
      <c r="M993" t="str">
        <f>IFERROR(VLOOKUP(VALUE(J993),'Site Info'!$A:$G,5,FALSE),"")</f>
        <v>NV</v>
      </c>
      <c r="N993" t="str">
        <f>IFERROR(VLOOKUP(VALUE(J993),'Site Info'!$A:$G,6,FALSE),"")</f>
        <v>89123-3227</v>
      </c>
      <c r="O993">
        <f>IFERROR(VLOOKUP(VALUE(J993),'Site Info'!$A:$G,7,FALSE),"")</f>
        <v>7026143372</v>
      </c>
    </row>
    <row r="994" spans="1:15" x14ac:dyDescent="0.45">
      <c r="A994" t="s">
        <v>396</v>
      </c>
      <c r="B994" t="s">
        <v>397</v>
      </c>
      <c r="C994" t="s">
        <v>398</v>
      </c>
      <c r="D994" t="s">
        <v>355</v>
      </c>
      <c r="E994" s="1">
        <v>46148.878032407411</v>
      </c>
      <c r="F994">
        <v>1481</v>
      </c>
      <c r="G994" t="s">
        <v>399</v>
      </c>
      <c r="H994" t="s">
        <v>15</v>
      </c>
      <c r="I994" t="s">
        <v>357</v>
      </c>
      <c r="J994" t="str">
        <f>RIGHT(D994,4)</f>
        <v>6424</v>
      </c>
      <c r="K994" t="str">
        <f>IFERROR(VLOOKUP(VALUE(J994),'Site Info'!$A:$G,3,FALSE),"")</f>
        <v>1917 E MARKLAND AVE</v>
      </c>
      <c r="L994" t="str">
        <f>IFERROR(VLOOKUP(VALUE(J994),'Site Info'!$A:$G,4,FALSE),"")</f>
        <v>KOKOMO</v>
      </c>
      <c r="M994" t="str">
        <f>IFERROR(VLOOKUP(VALUE(J994),'Site Info'!$A:$G,5,FALSE),"")</f>
        <v>IN</v>
      </c>
      <c r="N994" t="str">
        <f>IFERROR(VLOOKUP(VALUE(J994),'Site Info'!$A:$G,6,FALSE),"")</f>
        <v>46901-6237</v>
      </c>
      <c r="O994">
        <f>IFERROR(VLOOKUP(VALUE(J994),'Site Info'!$A:$G,7,FALSE),"")</f>
        <v>7658687025</v>
      </c>
    </row>
    <row r="995" spans="1:15" x14ac:dyDescent="0.45">
      <c r="A995" t="s">
        <v>648</v>
      </c>
      <c r="B995" t="s">
        <v>649</v>
      </c>
      <c r="C995" t="s">
        <v>650</v>
      </c>
      <c r="D995" t="s">
        <v>355</v>
      </c>
      <c r="E995" s="1">
        <v>46152.457499999997</v>
      </c>
      <c r="F995">
        <v>1481</v>
      </c>
      <c r="G995" t="s">
        <v>651</v>
      </c>
      <c r="H995" t="s">
        <v>15</v>
      </c>
      <c r="I995" t="s">
        <v>357</v>
      </c>
      <c r="J995" t="str">
        <f>RIGHT(D995,4)</f>
        <v>6424</v>
      </c>
      <c r="K995" t="str">
        <f>IFERROR(VLOOKUP(VALUE(J995),'Site Info'!$A:$G,3,FALSE),"")</f>
        <v>1917 E MARKLAND AVE</v>
      </c>
      <c r="L995" t="str">
        <f>IFERROR(VLOOKUP(VALUE(J995),'Site Info'!$A:$G,4,FALSE),"")</f>
        <v>KOKOMO</v>
      </c>
      <c r="M995" t="str">
        <f>IFERROR(VLOOKUP(VALUE(J995),'Site Info'!$A:$G,5,FALSE),"")</f>
        <v>IN</v>
      </c>
      <c r="N995" t="str">
        <f>IFERROR(VLOOKUP(VALUE(J995),'Site Info'!$A:$G,6,FALSE),"")</f>
        <v>46901-6237</v>
      </c>
      <c r="O995">
        <f>IFERROR(VLOOKUP(VALUE(J995),'Site Info'!$A:$G,7,FALSE),"")</f>
        <v>7658687025</v>
      </c>
    </row>
    <row r="996" spans="1:15" x14ac:dyDescent="0.45">
      <c r="A996" t="s">
        <v>14543</v>
      </c>
      <c r="B996" t="s">
        <v>14544</v>
      </c>
      <c r="C996" t="s">
        <v>14545</v>
      </c>
      <c r="D996" t="s">
        <v>355</v>
      </c>
      <c r="E996" s="1">
        <v>46153.196516203701</v>
      </c>
      <c r="F996">
        <v>1481</v>
      </c>
      <c r="G996" t="s">
        <v>14546</v>
      </c>
      <c r="H996" t="s">
        <v>15</v>
      </c>
      <c r="I996" t="s">
        <v>357</v>
      </c>
      <c r="J996" t="str">
        <f>RIGHT(D996,4)</f>
        <v>6424</v>
      </c>
      <c r="K996" t="str">
        <f>IFERROR(VLOOKUP(VALUE(J996),'Site Info'!$A:$G,3,FALSE),"")</f>
        <v>1917 E MARKLAND AVE</v>
      </c>
      <c r="L996" t="str">
        <f>IFERROR(VLOOKUP(VALUE(J996),'Site Info'!$A:$G,4,FALSE),"")</f>
        <v>KOKOMO</v>
      </c>
      <c r="M996" t="str">
        <f>IFERROR(VLOOKUP(VALUE(J996),'Site Info'!$A:$G,5,FALSE),"")</f>
        <v>IN</v>
      </c>
      <c r="N996" t="str">
        <f>IFERROR(VLOOKUP(VALUE(J996),'Site Info'!$A:$G,6,FALSE),"")</f>
        <v>46901-6237</v>
      </c>
      <c r="O996">
        <f>IFERROR(VLOOKUP(VALUE(J996),'Site Info'!$A:$G,7,FALSE),"")</f>
        <v>7658687025</v>
      </c>
    </row>
    <row r="997" spans="1:15" x14ac:dyDescent="0.45">
      <c r="A997" t="s">
        <v>352</v>
      </c>
      <c r="B997" t="s">
        <v>353</v>
      </c>
      <c r="C997" t="s">
        <v>354</v>
      </c>
      <c r="D997" t="s">
        <v>355</v>
      </c>
      <c r="E997" s="1">
        <v>46153.288148148145</v>
      </c>
      <c r="F997">
        <v>1481</v>
      </c>
      <c r="G997" t="s">
        <v>356</v>
      </c>
      <c r="H997" t="s">
        <v>15</v>
      </c>
      <c r="I997" t="s">
        <v>357</v>
      </c>
      <c r="J997" t="str">
        <f>RIGHT(D997,4)</f>
        <v>6424</v>
      </c>
      <c r="K997" t="str">
        <f>IFERROR(VLOOKUP(VALUE(J997),'Site Info'!$A:$G,3,FALSE),"")</f>
        <v>1917 E MARKLAND AVE</v>
      </c>
      <c r="L997" t="str">
        <f>IFERROR(VLOOKUP(VALUE(J997),'Site Info'!$A:$G,4,FALSE),"")</f>
        <v>KOKOMO</v>
      </c>
      <c r="M997" t="str">
        <f>IFERROR(VLOOKUP(VALUE(J997),'Site Info'!$A:$G,5,FALSE),"")</f>
        <v>IN</v>
      </c>
      <c r="N997" t="str">
        <f>IFERROR(VLOOKUP(VALUE(J997),'Site Info'!$A:$G,6,FALSE),"")</f>
        <v>46901-6237</v>
      </c>
      <c r="O997">
        <f>IFERROR(VLOOKUP(VALUE(J997),'Site Info'!$A:$G,7,FALSE),"")</f>
        <v>7658687025</v>
      </c>
    </row>
    <row r="998" spans="1:15" x14ac:dyDescent="0.45">
      <c r="A998" t="s">
        <v>12770</v>
      </c>
      <c r="B998" t="s">
        <v>12771</v>
      </c>
      <c r="C998" t="s">
        <v>12772</v>
      </c>
      <c r="D998" t="s">
        <v>3564</v>
      </c>
      <c r="E998" s="1">
        <v>46151.394791666666</v>
      </c>
      <c r="F998">
        <v>1547</v>
      </c>
      <c r="G998" t="s">
        <v>12773</v>
      </c>
      <c r="H998" t="s">
        <v>15</v>
      </c>
      <c r="I998" t="s">
        <v>3566</v>
      </c>
      <c r="J998" t="str">
        <f>RIGHT(D998,4)</f>
        <v>6409</v>
      </c>
      <c r="K998" t="str">
        <f>IFERROR(VLOOKUP(VALUE(J998),'Site Info'!$A:$G,3,FALSE),"")</f>
        <v>1940 MOUNTAIN INDUSTRIAL BLVD</v>
      </c>
      <c r="L998" t="str">
        <f>IFERROR(VLOOKUP(VALUE(J998),'Site Info'!$A:$G,4,FALSE),"")</f>
        <v>TUCKER</v>
      </c>
      <c r="M998" t="str">
        <f>IFERROR(VLOOKUP(VALUE(J998),'Site Info'!$A:$G,5,FALSE),"")</f>
        <v>GA</v>
      </c>
      <c r="N998" t="str">
        <f>IFERROR(VLOOKUP(VALUE(J998),'Site Info'!$A:$G,6,FALSE),"")</f>
        <v>30084-6619</v>
      </c>
      <c r="O998">
        <f>IFERROR(VLOOKUP(VALUE(J998),'Site Info'!$A:$G,7,FALSE),"")</f>
        <v>7709088408</v>
      </c>
    </row>
    <row r="999" spans="1:15" x14ac:dyDescent="0.45">
      <c r="A999" t="s">
        <v>13191</v>
      </c>
      <c r="B999" t="s">
        <v>13192</v>
      </c>
      <c r="C999" t="s">
        <v>13193</v>
      </c>
      <c r="D999" t="s">
        <v>3564</v>
      </c>
      <c r="E999" s="1">
        <v>46151.66375</v>
      </c>
      <c r="F999">
        <v>1547</v>
      </c>
      <c r="G999" t="s">
        <v>13194</v>
      </c>
      <c r="H999" t="s">
        <v>15</v>
      </c>
      <c r="I999" t="s">
        <v>3566</v>
      </c>
      <c r="J999" t="str">
        <f>RIGHT(D999,4)</f>
        <v>6409</v>
      </c>
      <c r="K999" t="str">
        <f>IFERROR(VLOOKUP(VALUE(J999),'Site Info'!$A:$G,3,FALSE),"")</f>
        <v>1940 MOUNTAIN INDUSTRIAL BLVD</v>
      </c>
      <c r="L999" t="str">
        <f>IFERROR(VLOOKUP(VALUE(J999),'Site Info'!$A:$G,4,FALSE),"")</f>
        <v>TUCKER</v>
      </c>
      <c r="M999" t="str">
        <f>IFERROR(VLOOKUP(VALUE(J999),'Site Info'!$A:$G,5,FALSE),"")</f>
        <v>GA</v>
      </c>
      <c r="N999" t="str">
        <f>IFERROR(VLOOKUP(VALUE(J999),'Site Info'!$A:$G,6,FALSE),"")</f>
        <v>30084-6619</v>
      </c>
      <c r="O999">
        <f>IFERROR(VLOOKUP(VALUE(J999),'Site Info'!$A:$G,7,FALSE),"")</f>
        <v>7709088408</v>
      </c>
    </row>
    <row r="1000" spans="1:15" x14ac:dyDescent="0.45">
      <c r="A1000" t="s">
        <v>12754</v>
      </c>
      <c r="B1000" t="s">
        <v>12755</v>
      </c>
      <c r="C1000" t="s">
        <v>12756</v>
      </c>
      <c r="D1000" t="s">
        <v>3564</v>
      </c>
      <c r="E1000" s="1">
        <v>46152.748680555553</v>
      </c>
      <c r="F1000">
        <v>1547</v>
      </c>
      <c r="G1000" t="s">
        <v>12757</v>
      </c>
      <c r="H1000" t="s">
        <v>15</v>
      </c>
      <c r="I1000" t="s">
        <v>3566</v>
      </c>
      <c r="J1000" t="str">
        <f>RIGHT(D1000,4)</f>
        <v>6409</v>
      </c>
      <c r="K1000" t="str">
        <f>IFERROR(VLOOKUP(VALUE(J1000),'Site Info'!$A:$G,3,FALSE),"")</f>
        <v>1940 MOUNTAIN INDUSTRIAL BLVD</v>
      </c>
      <c r="L1000" t="str">
        <f>IFERROR(VLOOKUP(VALUE(J1000),'Site Info'!$A:$G,4,FALSE),"")</f>
        <v>TUCKER</v>
      </c>
      <c r="M1000" t="str">
        <f>IFERROR(VLOOKUP(VALUE(J1000),'Site Info'!$A:$G,5,FALSE),"")</f>
        <v>GA</v>
      </c>
      <c r="N1000" t="str">
        <f>IFERROR(VLOOKUP(VALUE(J1000),'Site Info'!$A:$G,6,FALSE),"")</f>
        <v>30084-6619</v>
      </c>
      <c r="O1000">
        <f>IFERROR(VLOOKUP(VALUE(J1000),'Site Info'!$A:$G,7,FALSE),"")</f>
        <v>7709088408</v>
      </c>
    </row>
    <row r="1001" spans="1:15" x14ac:dyDescent="0.45">
      <c r="A1001" t="s">
        <v>13010</v>
      </c>
      <c r="B1001" t="s">
        <v>13011</v>
      </c>
      <c r="C1001" t="s">
        <v>13012</v>
      </c>
      <c r="D1001" t="s">
        <v>3564</v>
      </c>
      <c r="E1001" s="1">
        <v>46152.847997685189</v>
      </c>
      <c r="F1001">
        <v>1547</v>
      </c>
      <c r="G1001" t="s">
        <v>13013</v>
      </c>
      <c r="H1001" t="s">
        <v>15</v>
      </c>
      <c r="I1001" t="s">
        <v>3566</v>
      </c>
      <c r="J1001" t="str">
        <f>RIGHT(D1001,4)</f>
        <v>6409</v>
      </c>
      <c r="K1001" t="str">
        <f>IFERROR(VLOOKUP(VALUE(J1001),'Site Info'!$A:$G,3,FALSE),"")</f>
        <v>1940 MOUNTAIN INDUSTRIAL BLVD</v>
      </c>
      <c r="L1001" t="str">
        <f>IFERROR(VLOOKUP(VALUE(J1001),'Site Info'!$A:$G,4,FALSE),"")</f>
        <v>TUCKER</v>
      </c>
      <c r="M1001" t="str">
        <f>IFERROR(VLOOKUP(VALUE(J1001),'Site Info'!$A:$G,5,FALSE),"")</f>
        <v>GA</v>
      </c>
      <c r="N1001" t="str">
        <f>IFERROR(VLOOKUP(VALUE(J1001),'Site Info'!$A:$G,6,FALSE),"")</f>
        <v>30084-6619</v>
      </c>
      <c r="O1001">
        <f>IFERROR(VLOOKUP(VALUE(J1001),'Site Info'!$A:$G,7,FALSE),"")</f>
        <v>7709088408</v>
      </c>
    </row>
    <row r="1002" spans="1:15" x14ac:dyDescent="0.45">
      <c r="A1002" t="s">
        <v>13183</v>
      </c>
      <c r="B1002" t="s">
        <v>13184</v>
      </c>
      <c r="C1002" t="s">
        <v>13185</v>
      </c>
      <c r="D1002" t="s">
        <v>3564</v>
      </c>
      <c r="E1002" s="1">
        <v>46153.227777777778</v>
      </c>
      <c r="F1002">
        <v>1547</v>
      </c>
      <c r="G1002" t="s">
        <v>13186</v>
      </c>
      <c r="H1002" t="s">
        <v>15</v>
      </c>
      <c r="I1002" t="s">
        <v>3566</v>
      </c>
      <c r="J1002" t="str">
        <f>RIGHT(D1002,4)</f>
        <v>6409</v>
      </c>
      <c r="K1002" t="str">
        <f>IFERROR(VLOOKUP(VALUE(J1002),'Site Info'!$A:$G,3,FALSE),"")</f>
        <v>1940 MOUNTAIN INDUSTRIAL BLVD</v>
      </c>
      <c r="L1002" t="str">
        <f>IFERROR(VLOOKUP(VALUE(J1002),'Site Info'!$A:$G,4,FALSE),"")</f>
        <v>TUCKER</v>
      </c>
      <c r="M1002" t="str">
        <f>IFERROR(VLOOKUP(VALUE(J1002),'Site Info'!$A:$G,5,FALSE),"")</f>
        <v>GA</v>
      </c>
      <c r="N1002" t="str">
        <f>IFERROR(VLOOKUP(VALUE(J1002),'Site Info'!$A:$G,6,FALSE),"")</f>
        <v>30084-6619</v>
      </c>
      <c r="O1002">
        <f>IFERROR(VLOOKUP(VALUE(J1002),'Site Info'!$A:$G,7,FALSE),"")</f>
        <v>7709088408</v>
      </c>
    </row>
    <row r="1003" spans="1:15" x14ac:dyDescent="0.45">
      <c r="A1003" t="s">
        <v>3561</v>
      </c>
      <c r="B1003" t="s">
        <v>3562</v>
      </c>
      <c r="C1003" t="s">
        <v>3563</v>
      </c>
      <c r="D1003" t="s">
        <v>3564</v>
      </c>
      <c r="E1003" s="1">
        <v>46153.365011574075</v>
      </c>
      <c r="F1003">
        <v>1481</v>
      </c>
      <c r="G1003" t="s">
        <v>3565</v>
      </c>
      <c r="H1003" t="s">
        <v>15</v>
      </c>
      <c r="I1003" t="s">
        <v>3566</v>
      </c>
      <c r="J1003" t="str">
        <f>RIGHT(D1003,4)</f>
        <v>6409</v>
      </c>
      <c r="K1003" t="str">
        <f>IFERROR(VLOOKUP(VALUE(J1003),'Site Info'!$A:$G,3,FALSE),"")</f>
        <v>1940 MOUNTAIN INDUSTRIAL BLVD</v>
      </c>
      <c r="L1003" t="str">
        <f>IFERROR(VLOOKUP(VALUE(J1003),'Site Info'!$A:$G,4,FALSE),"")</f>
        <v>TUCKER</v>
      </c>
      <c r="M1003" t="str">
        <f>IFERROR(VLOOKUP(VALUE(J1003),'Site Info'!$A:$G,5,FALSE),"")</f>
        <v>GA</v>
      </c>
      <c r="N1003" t="str">
        <f>IFERROR(VLOOKUP(VALUE(J1003),'Site Info'!$A:$G,6,FALSE),"")</f>
        <v>30084-6619</v>
      </c>
      <c r="O1003">
        <f>IFERROR(VLOOKUP(VALUE(J1003),'Site Info'!$A:$G,7,FALSE),"")</f>
        <v>7709088408</v>
      </c>
    </row>
    <row r="1004" spans="1:15" x14ac:dyDescent="0.45">
      <c r="A1004" t="s">
        <v>7061</v>
      </c>
      <c r="B1004" t="s">
        <v>7062</v>
      </c>
      <c r="C1004" t="s">
        <v>7063</v>
      </c>
      <c r="D1004" t="s">
        <v>1651</v>
      </c>
      <c r="E1004" s="1">
        <v>46152.424375000002</v>
      </c>
      <c r="F1004">
        <v>1547</v>
      </c>
      <c r="G1004" t="s">
        <v>7064</v>
      </c>
      <c r="H1004" t="s">
        <v>15</v>
      </c>
      <c r="I1004" t="s">
        <v>1653</v>
      </c>
      <c r="J1004" t="str">
        <f>RIGHT(D1004,4)</f>
        <v>6353</v>
      </c>
      <c r="K1004" t="str">
        <f>IFERROR(VLOOKUP(VALUE(J1004),'Site Info'!$A:$G,3,FALSE),"")</f>
        <v>1946 10TH AVE N</v>
      </c>
      <c r="L1004" t="str">
        <f>IFERROR(VLOOKUP(VALUE(J1004),'Site Info'!$A:$G,4,FALSE),"")</f>
        <v>MYRTLE BEACH</v>
      </c>
      <c r="M1004" t="str">
        <f>IFERROR(VLOOKUP(VALUE(J1004),'Site Info'!$A:$G,5,FALSE),"")</f>
        <v>SC</v>
      </c>
      <c r="N1004" t="str">
        <f>IFERROR(VLOOKUP(VALUE(J1004),'Site Info'!$A:$G,6,FALSE),"")</f>
        <v>29577-5624</v>
      </c>
      <c r="O1004">
        <f>IFERROR(VLOOKUP(VALUE(J1004),'Site Info'!$A:$G,7,FALSE),"")</f>
        <v>8434483887</v>
      </c>
    </row>
    <row r="1005" spans="1:15" x14ac:dyDescent="0.45">
      <c r="A1005" t="s">
        <v>7206</v>
      </c>
      <c r="B1005" t="s">
        <v>7207</v>
      </c>
      <c r="C1005" t="s">
        <v>7208</v>
      </c>
      <c r="D1005" t="s">
        <v>1651</v>
      </c>
      <c r="E1005" s="1">
        <v>46153.256064814814</v>
      </c>
      <c r="F1005">
        <v>1547</v>
      </c>
      <c r="G1005" t="s">
        <v>7209</v>
      </c>
      <c r="H1005" t="s">
        <v>15</v>
      </c>
      <c r="I1005" t="s">
        <v>1653</v>
      </c>
      <c r="J1005" t="str">
        <f>RIGHT(D1005,4)</f>
        <v>6353</v>
      </c>
      <c r="K1005" t="str">
        <f>IFERROR(VLOOKUP(VALUE(J1005),'Site Info'!$A:$G,3,FALSE),"")</f>
        <v>1946 10TH AVE N</v>
      </c>
      <c r="L1005" t="str">
        <f>IFERROR(VLOOKUP(VALUE(J1005),'Site Info'!$A:$G,4,FALSE),"")</f>
        <v>MYRTLE BEACH</v>
      </c>
      <c r="M1005" t="str">
        <f>IFERROR(VLOOKUP(VALUE(J1005),'Site Info'!$A:$G,5,FALSE),"")</f>
        <v>SC</v>
      </c>
      <c r="N1005" t="str">
        <f>IFERROR(VLOOKUP(VALUE(J1005),'Site Info'!$A:$G,6,FALSE),"")</f>
        <v>29577-5624</v>
      </c>
      <c r="O1005">
        <f>IFERROR(VLOOKUP(VALUE(J1005),'Site Info'!$A:$G,7,FALSE),"")</f>
        <v>8434483887</v>
      </c>
    </row>
    <row r="1006" spans="1:15" x14ac:dyDescent="0.45">
      <c r="A1006" t="s">
        <v>7073</v>
      </c>
      <c r="B1006" t="s">
        <v>7074</v>
      </c>
      <c r="C1006" t="s">
        <v>7075</v>
      </c>
      <c r="D1006" t="s">
        <v>1651</v>
      </c>
      <c r="E1006" s="1">
        <v>46153.344386574077</v>
      </c>
      <c r="F1006">
        <v>1547</v>
      </c>
      <c r="G1006" t="s">
        <v>7076</v>
      </c>
      <c r="H1006" t="s">
        <v>15</v>
      </c>
      <c r="I1006" t="s">
        <v>1653</v>
      </c>
      <c r="J1006" t="str">
        <f>RIGHT(D1006,4)</f>
        <v>6353</v>
      </c>
      <c r="K1006" t="str">
        <f>IFERROR(VLOOKUP(VALUE(J1006),'Site Info'!$A:$G,3,FALSE),"")</f>
        <v>1946 10TH AVE N</v>
      </c>
      <c r="L1006" t="str">
        <f>IFERROR(VLOOKUP(VALUE(J1006),'Site Info'!$A:$G,4,FALSE),"")</f>
        <v>MYRTLE BEACH</v>
      </c>
      <c r="M1006" t="str">
        <f>IFERROR(VLOOKUP(VALUE(J1006),'Site Info'!$A:$G,5,FALSE),"")</f>
        <v>SC</v>
      </c>
      <c r="N1006" t="str">
        <f>IFERROR(VLOOKUP(VALUE(J1006),'Site Info'!$A:$G,6,FALSE),"")</f>
        <v>29577-5624</v>
      </c>
      <c r="O1006">
        <f>IFERROR(VLOOKUP(VALUE(J1006),'Site Info'!$A:$G,7,FALSE),"")</f>
        <v>8434483887</v>
      </c>
    </row>
    <row r="1007" spans="1:15" x14ac:dyDescent="0.45">
      <c r="A1007" t="s">
        <v>7154</v>
      </c>
      <c r="B1007" t="s">
        <v>7155</v>
      </c>
      <c r="C1007" t="s">
        <v>7156</v>
      </c>
      <c r="D1007" t="s">
        <v>1651</v>
      </c>
      <c r="E1007" s="1">
        <v>46153.352627314816</v>
      </c>
      <c r="F1007">
        <v>1547</v>
      </c>
      <c r="G1007" t="s">
        <v>7157</v>
      </c>
      <c r="H1007" t="s">
        <v>15</v>
      </c>
      <c r="I1007" t="s">
        <v>1653</v>
      </c>
      <c r="J1007" t="str">
        <f>RIGHT(D1007,4)</f>
        <v>6353</v>
      </c>
      <c r="K1007" t="str">
        <f>IFERROR(VLOOKUP(VALUE(J1007),'Site Info'!$A:$G,3,FALSE),"")</f>
        <v>1946 10TH AVE N</v>
      </c>
      <c r="L1007" t="str">
        <f>IFERROR(VLOOKUP(VALUE(J1007),'Site Info'!$A:$G,4,FALSE),"")</f>
        <v>MYRTLE BEACH</v>
      </c>
      <c r="M1007" t="str">
        <f>IFERROR(VLOOKUP(VALUE(J1007),'Site Info'!$A:$G,5,FALSE),"")</f>
        <v>SC</v>
      </c>
      <c r="N1007" t="str">
        <f>IFERROR(VLOOKUP(VALUE(J1007),'Site Info'!$A:$G,6,FALSE),"")</f>
        <v>29577-5624</v>
      </c>
      <c r="O1007">
        <f>IFERROR(VLOOKUP(VALUE(J1007),'Site Info'!$A:$G,7,FALSE),"")</f>
        <v>8434483887</v>
      </c>
    </row>
    <row r="1008" spans="1:15" x14ac:dyDescent="0.45">
      <c r="A1008" t="s">
        <v>2267</v>
      </c>
      <c r="B1008" t="s">
        <v>2268</v>
      </c>
      <c r="C1008" t="s">
        <v>2269</v>
      </c>
      <c r="D1008" t="s">
        <v>1651</v>
      </c>
      <c r="E1008" s="1">
        <v>46153.197638888887</v>
      </c>
      <c r="F1008">
        <v>1481</v>
      </c>
      <c r="G1008" t="s">
        <v>2270</v>
      </c>
      <c r="H1008" t="s">
        <v>15</v>
      </c>
      <c r="I1008" t="s">
        <v>1653</v>
      </c>
      <c r="J1008" t="str">
        <f>RIGHT(D1008,4)</f>
        <v>6353</v>
      </c>
      <c r="K1008" t="str">
        <f>IFERROR(VLOOKUP(VALUE(J1008),'Site Info'!$A:$G,3,FALSE),"")</f>
        <v>1946 10TH AVE N</v>
      </c>
      <c r="L1008" t="str">
        <f>IFERROR(VLOOKUP(VALUE(J1008),'Site Info'!$A:$G,4,FALSE),"")</f>
        <v>MYRTLE BEACH</v>
      </c>
      <c r="M1008" t="str">
        <f>IFERROR(VLOOKUP(VALUE(J1008),'Site Info'!$A:$G,5,FALSE),"")</f>
        <v>SC</v>
      </c>
      <c r="N1008" t="str">
        <f>IFERROR(VLOOKUP(VALUE(J1008),'Site Info'!$A:$G,6,FALSE),"")</f>
        <v>29577-5624</v>
      </c>
      <c r="O1008">
        <f>IFERROR(VLOOKUP(VALUE(J1008),'Site Info'!$A:$G,7,FALSE),"")</f>
        <v>8434483887</v>
      </c>
    </row>
    <row r="1009" spans="1:15" x14ac:dyDescent="0.45">
      <c r="A1009" t="s">
        <v>1648</v>
      </c>
      <c r="B1009" t="s">
        <v>1649</v>
      </c>
      <c r="C1009" t="s">
        <v>1650</v>
      </c>
      <c r="D1009" t="s">
        <v>1651</v>
      </c>
      <c r="E1009" s="1">
        <v>46153.329814814817</v>
      </c>
      <c r="F1009">
        <v>1481</v>
      </c>
      <c r="G1009" t="s">
        <v>1652</v>
      </c>
      <c r="H1009" t="s">
        <v>15</v>
      </c>
      <c r="I1009" t="s">
        <v>1653</v>
      </c>
      <c r="J1009" t="str">
        <f>RIGHT(D1009,4)</f>
        <v>6353</v>
      </c>
      <c r="K1009" t="str">
        <f>IFERROR(VLOOKUP(VALUE(J1009),'Site Info'!$A:$G,3,FALSE),"")</f>
        <v>1946 10TH AVE N</v>
      </c>
      <c r="L1009" t="str">
        <f>IFERROR(VLOOKUP(VALUE(J1009),'Site Info'!$A:$G,4,FALSE),"")</f>
        <v>MYRTLE BEACH</v>
      </c>
      <c r="M1009" t="str">
        <f>IFERROR(VLOOKUP(VALUE(J1009),'Site Info'!$A:$G,5,FALSE),"")</f>
        <v>SC</v>
      </c>
      <c r="N1009" t="str">
        <f>IFERROR(VLOOKUP(VALUE(J1009),'Site Info'!$A:$G,6,FALSE),"")</f>
        <v>29577-5624</v>
      </c>
      <c r="O1009">
        <f>IFERROR(VLOOKUP(VALUE(J1009),'Site Info'!$A:$G,7,FALSE),"")</f>
        <v>8434483887</v>
      </c>
    </row>
    <row r="1010" spans="1:15" x14ac:dyDescent="0.45">
      <c r="A1010" t="s">
        <v>2609</v>
      </c>
      <c r="B1010" t="s">
        <v>2610</v>
      </c>
      <c r="C1010" t="s">
        <v>2611</v>
      </c>
      <c r="D1010" t="s">
        <v>1651</v>
      </c>
      <c r="E1010" s="1">
        <v>46153.368923611109</v>
      </c>
      <c r="F1010">
        <v>1481</v>
      </c>
      <c r="G1010" t="s">
        <v>2612</v>
      </c>
      <c r="H1010" t="s">
        <v>15</v>
      </c>
      <c r="I1010" t="s">
        <v>1653</v>
      </c>
      <c r="J1010" t="str">
        <f>RIGHT(D1010,4)</f>
        <v>6353</v>
      </c>
      <c r="K1010" t="str">
        <f>IFERROR(VLOOKUP(VALUE(J1010),'Site Info'!$A:$G,3,FALSE),"")</f>
        <v>1946 10TH AVE N</v>
      </c>
      <c r="L1010" t="str">
        <f>IFERROR(VLOOKUP(VALUE(J1010),'Site Info'!$A:$G,4,FALSE),"")</f>
        <v>MYRTLE BEACH</v>
      </c>
      <c r="M1010" t="str">
        <f>IFERROR(VLOOKUP(VALUE(J1010),'Site Info'!$A:$G,5,FALSE),"")</f>
        <v>SC</v>
      </c>
      <c r="N1010" t="str">
        <f>IFERROR(VLOOKUP(VALUE(J1010),'Site Info'!$A:$G,6,FALSE),"")</f>
        <v>29577-5624</v>
      </c>
      <c r="O1010">
        <f>IFERROR(VLOOKUP(VALUE(J1010),'Site Info'!$A:$G,7,FALSE),"")</f>
        <v>8434483887</v>
      </c>
    </row>
    <row r="1011" spans="1:15" x14ac:dyDescent="0.45">
      <c r="A1011" t="s">
        <v>12970</v>
      </c>
      <c r="B1011" t="s">
        <v>12971</v>
      </c>
      <c r="C1011" t="s">
        <v>12972</v>
      </c>
      <c r="D1011" t="s">
        <v>1927</v>
      </c>
      <c r="E1011" s="1">
        <v>46108.920995370368</v>
      </c>
      <c r="F1011">
        <v>1547</v>
      </c>
      <c r="G1011" t="s">
        <v>12973</v>
      </c>
      <c r="H1011" t="s">
        <v>15</v>
      </c>
      <c r="I1011" t="s">
        <v>1929</v>
      </c>
      <c r="J1011" t="str">
        <f>RIGHT(D1011,4)</f>
        <v>6430</v>
      </c>
      <c r="K1011" t="str">
        <f>IFERROR(VLOOKUP(VALUE(J1011),'Site Info'!$A:$G,3,FALSE),"")</f>
        <v>1948 DELL RANGE BLVD</v>
      </c>
      <c r="L1011" t="str">
        <f>IFERROR(VLOOKUP(VALUE(J1011),'Site Info'!$A:$G,4,FALSE),"")</f>
        <v>CHEYENNE</v>
      </c>
      <c r="M1011" t="str">
        <f>IFERROR(VLOOKUP(VALUE(J1011),'Site Info'!$A:$G,5,FALSE),"")</f>
        <v>WY</v>
      </c>
      <c r="N1011" t="str">
        <f>IFERROR(VLOOKUP(VALUE(J1011),'Site Info'!$A:$G,6,FALSE),"")</f>
        <v>82009-4917</v>
      </c>
      <c r="O1011">
        <f>IFERROR(VLOOKUP(VALUE(J1011),'Site Info'!$A:$G,7,FALSE),"")</f>
        <v>3076373771</v>
      </c>
    </row>
    <row r="1012" spans="1:15" x14ac:dyDescent="0.45">
      <c r="A1012" t="s">
        <v>12894</v>
      </c>
      <c r="B1012" t="s">
        <v>12895</v>
      </c>
      <c r="C1012" t="s">
        <v>12896</v>
      </c>
      <c r="D1012" t="s">
        <v>1927</v>
      </c>
      <c r="E1012" s="1">
        <v>46151.215173611112</v>
      </c>
      <c r="F1012">
        <v>1547</v>
      </c>
      <c r="G1012" t="s">
        <v>12897</v>
      </c>
      <c r="H1012" t="s">
        <v>15</v>
      </c>
      <c r="I1012" t="s">
        <v>1929</v>
      </c>
      <c r="J1012" t="str">
        <f>RIGHT(D1012,4)</f>
        <v>6430</v>
      </c>
      <c r="K1012" t="str">
        <f>IFERROR(VLOOKUP(VALUE(J1012),'Site Info'!$A:$G,3,FALSE),"")</f>
        <v>1948 DELL RANGE BLVD</v>
      </c>
      <c r="L1012" t="str">
        <f>IFERROR(VLOOKUP(VALUE(J1012),'Site Info'!$A:$G,4,FALSE),"")</f>
        <v>CHEYENNE</v>
      </c>
      <c r="M1012" t="str">
        <f>IFERROR(VLOOKUP(VALUE(J1012),'Site Info'!$A:$G,5,FALSE),"")</f>
        <v>WY</v>
      </c>
      <c r="N1012" t="str">
        <f>IFERROR(VLOOKUP(VALUE(J1012),'Site Info'!$A:$G,6,FALSE),"")</f>
        <v>82009-4917</v>
      </c>
      <c r="O1012">
        <f>IFERROR(VLOOKUP(VALUE(J1012),'Site Info'!$A:$G,7,FALSE),"")</f>
        <v>3076373771</v>
      </c>
    </row>
    <row r="1013" spans="1:15" x14ac:dyDescent="0.45">
      <c r="A1013" t="s">
        <v>10883</v>
      </c>
      <c r="B1013" t="s">
        <v>10884</v>
      </c>
      <c r="C1013" t="s">
        <v>10885</v>
      </c>
      <c r="D1013" t="s">
        <v>1927</v>
      </c>
      <c r="E1013" s="1">
        <v>46153.21234953704</v>
      </c>
      <c r="F1013">
        <v>1547</v>
      </c>
      <c r="G1013" t="s">
        <v>10886</v>
      </c>
      <c r="H1013" t="s">
        <v>15</v>
      </c>
      <c r="I1013" t="s">
        <v>1929</v>
      </c>
      <c r="J1013" t="str">
        <f>RIGHT(D1013,4)</f>
        <v>6430</v>
      </c>
      <c r="K1013" t="str">
        <f>IFERROR(VLOOKUP(VALUE(J1013),'Site Info'!$A:$G,3,FALSE),"")</f>
        <v>1948 DELL RANGE BLVD</v>
      </c>
      <c r="L1013" t="str">
        <f>IFERROR(VLOOKUP(VALUE(J1013),'Site Info'!$A:$G,4,FALSE),"")</f>
        <v>CHEYENNE</v>
      </c>
      <c r="M1013" t="str">
        <f>IFERROR(VLOOKUP(VALUE(J1013),'Site Info'!$A:$G,5,FALSE),"")</f>
        <v>WY</v>
      </c>
      <c r="N1013" t="str">
        <f>IFERROR(VLOOKUP(VALUE(J1013),'Site Info'!$A:$G,6,FALSE),"")</f>
        <v>82009-4917</v>
      </c>
      <c r="O1013">
        <f>IFERROR(VLOOKUP(VALUE(J1013),'Site Info'!$A:$G,7,FALSE),"")</f>
        <v>3076373771</v>
      </c>
    </row>
    <row r="1014" spans="1:15" x14ac:dyDescent="0.45">
      <c r="A1014" t="s">
        <v>12914</v>
      </c>
      <c r="B1014" t="s">
        <v>12915</v>
      </c>
      <c r="C1014" t="s">
        <v>12916</v>
      </c>
      <c r="D1014" t="s">
        <v>1927</v>
      </c>
      <c r="E1014" s="1">
        <v>46153.297384259262</v>
      </c>
      <c r="F1014">
        <v>1547</v>
      </c>
      <c r="G1014" t="s">
        <v>12917</v>
      </c>
      <c r="H1014" t="s">
        <v>15</v>
      </c>
      <c r="I1014" t="s">
        <v>1929</v>
      </c>
      <c r="J1014" t="str">
        <f>RIGHT(D1014,4)</f>
        <v>6430</v>
      </c>
      <c r="K1014" t="str">
        <f>IFERROR(VLOOKUP(VALUE(J1014),'Site Info'!$A:$G,3,FALSE),"")</f>
        <v>1948 DELL RANGE BLVD</v>
      </c>
      <c r="L1014" t="str">
        <f>IFERROR(VLOOKUP(VALUE(J1014),'Site Info'!$A:$G,4,FALSE),"")</f>
        <v>CHEYENNE</v>
      </c>
      <c r="M1014" t="str">
        <f>IFERROR(VLOOKUP(VALUE(J1014),'Site Info'!$A:$G,5,FALSE),"")</f>
        <v>WY</v>
      </c>
      <c r="N1014" t="str">
        <f>IFERROR(VLOOKUP(VALUE(J1014),'Site Info'!$A:$G,6,FALSE),"")</f>
        <v>82009-4917</v>
      </c>
      <c r="O1014">
        <f>IFERROR(VLOOKUP(VALUE(J1014),'Site Info'!$A:$G,7,FALSE),"")</f>
        <v>3076373771</v>
      </c>
    </row>
    <row r="1015" spans="1:15" x14ac:dyDescent="0.45">
      <c r="A1015" t="s">
        <v>13443</v>
      </c>
      <c r="B1015" t="s">
        <v>13444</v>
      </c>
      <c r="C1015" t="s">
        <v>13445</v>
      </c>
      <c r="D1015" t="s">
        <v>1927</v>
      </c>
      <c r="E1015" s="1">
        <v>46153.35260416667</v>
      </c>
      <c r="F1015">
        <v>1547</v>
      </c>
      <c r="G1015" t="s">
        <v>13446</v>
      </c>
      <c r="H1015" t="s">
        <v>15</v>
      </c>
      <c r="I1015" t="s">
        <v>1929</v>
      </c>
      <c r="J1015" t="str">
        <f>RIGHT(D1015,4)</f>
        <v>6430</v>
      </c>
      <c r="K1015" t="str">
        <f>IFERROR(VLOOKUP(VALUE(J1015),'Site Info'!$A:$G,3,FALSE),"")</f>
        <v>1948 DELL RANGE BLVD</v>
      </c>
      <c r="L1015" t="str">
        <f>IFERROR(VLOOKUP(VALUE(J1015),'Site Info'!$A:$G,4,FALSE),"")</f>
        <v>CHEYENNE</v>
      </c>
      <c r="M1015" t="str">
        <f>IFERROR(VLOOKUP(VALUE(J1015),'Site Info'!$A:$G,5,FALSE),"")</f>
        <v>WY</v>
      </c>
      <c r="N1015" t="str">
        <f>IFERROR(VLOOKUP(VALUE(J1015),'Site Info'!$A:$G,6,FALSE),"")</f>
        <v>82009-4917</v>
      </c>
      <c r="O1015">
        <f>IFERROR(VLOOKUP(VALUE(J1015),'Site Info'!$A:$G,7,FALSE),"")</f>
        <v>3076373771</v>
      </c>
    </row>
    <row r="1016" spans="1:15" x14ac:dyDescent="0.45">
      <c r="A1016" t="s">
        <v>12994</v>
      </c>
      <c r="B1016" t="s">
        <v>12995</v>
      </c>
      <c r="C1016" t="s">
        <v>12996</v>
      </c>
      <c r="D1016" t="s">
        <v>1927</v>
      </c>
      <c r="E1016" s="1">
        <v>46153.36377314815</v>
      </c>
      <c r="F1016">
        <v>1547</v>
      </c>
      <c r="G1016" t="s">
        <v>12997</v>
      </c>
      <c r="H1016" t="s">
        <v>15</v>
      </c>
      <c r="I1016" t="s">
        <v>1929</v>
      </c>
      <c r="J1016" t="str">
        <f>RIGHT(D1016,4)</f>
        <v>6430</v>
      </c>
      <c r="K1016" t="str">
        <f>IFERROR(VLOOKUP(VALUE(J1016),'Site Info'!$A:$G,3,FALSE),"")</f>
        <v>1948 DELL RANGE BLVD</v>
      </c>
      <c r="L1016" t="str">
        <f>IFERROR(VLOOKUP(VALUE(J1016),'Site Info'!$A:$G,4,FALSE),"")</f>
        <v>CHEYENNE</v>
      </c>
      <c r="M1016" t="str">
        <f>IFERROR(VLOOKUP(VALUE(J1016),'Site Info'!$A:$G,5,FALSE),"")</f>
        <v>WY</v>
      </c>
      <c r="N1016" t="str">
        <f>IFERROR(VLOOKUP(VALUE(J1016),'Site Info'!$A:$G,6,FALSE),"")</f>
        <v>82009-4917</v>
      </c>
      <c r="O1016">
        <f>IFERROR(VLOOKUP(VALUE(J1016),'Site Info'!$A:$G,7,FALSE),"")</f>
        <v>3076373771</v>
      </c>
    </row>
    <row r="1017" spans="1:15" x14ac:dyDescent="0.45">
      <c r="A1017" t="s">
        <v>1924</v>
      </c>
      <c r="B1017" t="s">
        <v>1925</v>
      </c>
      <c r="C1017" t="s">
        <v>1926</v>
      </c>
      <c r="D1017" t="s">
        <v>1927</v>
      </c>
      <c r="E1017" s="1">
        <v>46152.916458333333</v>
      </c>
      <c r="F1017">
        <v>1481</v>
      </c>
      <c r="G1017" t="s">
        <v>1928</v>
      </c>
      <c r="H1017" t="s">
        <v>15</v>
      </c>
      <c r="I1017" t="s">
        <v>1929</v>
      </c>
      <c r="J1017" t="str">
        <f>RIGHT(D1017,4)</f>
        <v>6430</v>
      </c>
      <c r="K1017" t="str">
        <f>IFERROR(VLOOKUP(VALUE(J1017),'Site Info'!$A:$G,3,FALSE),"")</f>
        <v>1948 DELL RANGE BLVD</v>
      </c>
      <c r="L1017" t="str">
        <f>IFERROR(VLOOKUP(VALUE(J1017),'Site Info'!$A:$G,4,FALSE),"")</f>
        <v>CHEYENNE</v>
      </c>
      <c r="M1017" t="str">
        <f>IFERROR(VLOOKUP(VALUE(J1017),'Site Info'!$A:$G,5,FALSE),"")</f>
        <v>WY</v>
      </c>
      <c r="N1017" t="str">
        <f>IFERROR(VLOOKUP(VALUE(J1017),'Site Info'!$A:$G,6,FALSE),"")</f>
        <v>82009-4917</v>
      </c>
      <c r="O1017">
        <f>IFERROR(VLOOKUP(VALUE(J1017),'Site Info'!$A:$G,7,FALSE),"")</f>
        <v>3076373771</v>
      </c>
    </row>
    <row r="1018" spans="1:15" x14ac:dyDescent="0.45">
      <c r="A1018" t="s">
        <v>16427</v>
      </c>
      <c r="B1018" t="s">
        <v>16853</v>
      </c>
      <c r="C1018" t="s">
        <v>16854</v>
      </c>
      <c r="D1018" t="s">
        <v>1927</v>
      </c>
      <c r="E1018" s="1">
        <v>46152.715879629628</v>
      </c>
      <c r="F1018">
        <v>1547</v>
      </c>
      <c r="G1018" t="s">
        <v>16855</v>
      </c>
      <c r="H1018" t="s">
        <v>15</v>
      </c>
      <c r="I1018" t="s">
        <v>1929</v>
      </c>
      <c r="J1018" t="str">
        <f>RIGHT(D1018,4)</f>
        <v>6430</v>
      </c>
      <c r="K1018" t="str">
        <f>IFERROR(VLOOKUP(VALUE(J1018),'Site Info'!$A:$G,3,FALSE),"")</f>
        <v>1948 DELL RANGE BLVD</v>
      </c>
      <c r="L1018" t="str">
        <f>IFERROR(VLOOKUP(VALUE(J1018),'Site Info'!$A:$G,4,FALSE),"")</f>
        <v>CHEYENNE</v>
      </c>
      <c r="M1018" t="str">
        <f>IFERROR(VLOOKUP(VALUE(J1018),'Site Info'!$A:$G,5,FALSE),"")</f>
        <v>WY</v>
      </c>
      <c r="N1018" t="str">
        <f>IFERROR(VLOOKUP(VALUE(J1018),'Site Info'!$A:$G,6,FALSE),"")</f>
        <v>82009-4917</v>
      </c>
      <c r="O1018">
        <f>IFERROR(VLOOKUP(VALUE(J1018),'Site Info'!$A:$G,7,FALSE),"")</f>
        <v>3076373771</v>
      </c>
    </row>
    <row r="1019" spans="1:15" x14ac:dyDescent="0.45">
      <c r="A1019" t="s">
        <v>13611</v>
      </c>
      <c r="B1019" t="s">
        <v>13612</v>
      </c>
      <c r="C1019" t="s">
        <v>13613</v>
      </c>
      <c r="D1019" t="s">
        <v>2786</v>
      </c>
      <c r="E1019" s="1">
        <v>46150.711006944446</v>
      </c>
      <c r="F1019">
        <v>1547</v>
      </c>
      <c r="G1019" t="s">
        <v>13614</v>
      </c>
      <c r="H1019" t="s">
        <v>15</v>
      </c>
      <c r="I1019" t="s">
        <v>2788</v>
      </c>
      <c r="J1019" t="str">
        <f>RIGHT(D1019,4)</f>
        <v>6252</v>
      </c>
      <c r="K1019" t="str">
        <f>IFERROR(VLOOKUP(VALUE(J1019),'Site Info'!$A:$G,3,FALSE),"")</f>
        <v>196 THF BLVD</v>
      </c>
      <c r="L1019" t="str">
        <f>IFERROR(VLOOKUP(VALUE(J1019),'Site Info'!$A:$G,4,FALSE),"")</f>
        <v>CHESTERFIELD</v>
      </c>
      <c r="M1019" t="str">
        <f>IFERROR(VLOOKUP(VALUE(J1019),'Site Info'!$A:$G,5,FALSE),"")</f>
        <v>MO</v>
      </c>
      <c r="N1019" t="str">
        <f>IFERROR(VLOOKUP(VALUE(J1019),'Site Info'!$A:$G,6,FALSE),"")</f>
        <v>63005-1141</v>
      </c>
      <c r="O1019">
        <f>IFERROR(VLOOKUP(VALUE(J1019),'Site Info'!$A:$G,7,FALSE),"")</f>
        <v>6367280359</v>
      </c>
    </row>
    <row r="1020" spans="1:15" x14ac:dyDescent="0.45">
      <c r="A1020" t="s">
        <v>12112</v>
      </c>
      <c r="B1020" t="s">
        <v>12113</v>
      </c>
      <c r="C1020" t="s">
        <v>12114</v>
      </c>
      <c r="D1020" t="s">
        <v>2786</v>
      </c>
      <c r="E1020" s="1">
        <v>46151.110543981478</v>
      </c>
      <c r="F1020">
        <v>1547</v>
      </c>
      <c r="G1020" t="s">
        <v>12115</v>
      </c>
      <c r="H1020" t="s">
        <v>15</v>
      </c>
      <c r="I1020" t="s">
        <v>2788</v>
      </c>
      <c r="J1020" t="str">
        <f>RIGHT(D1020,4)</f>
        <v>6252</v>
      </c>
      <c r="K1020" t="str">
        <f>IFERROR(VLOOKUP(VALUE(J1020),'Site Info'!$A:$G,3,FALSE),"")</f>
        <v>196 THF BLVD</v>
      </c>
      <c r="L1020" t="str">
        <f>IFERROR(VLOOKUP(VALUE(J1020),'Site Info'!$A:$G,4,FALSE),"")</f>
        <v>CHESTERFIELD</v>
      </c>
      <c r="M1020" t="str">
        <f>IFERROR(VLOOKUP(VALUE(J1020),'Site Info'!$A:$G,5,FALSE),"")</f>
        <v>MO</v>
      </c>
      <c r="N1020" t="str">
        <f>IFERROR(VLOOKUP(VALUE(J1020),'Site Info'!$A:$G,6,FALSE),"")</f>
        <v>63005-1141</v>
      </c>
      <c r="O1020">
        <f>IFERROR(VLOOKUP(VALUE(J1020),'Site Info'!$A:$G,7,FALSE),"")</f>
        <v>6367280359</v>
      </c>
    </row>
    <row r="1021" spans="1:15" x14ac:dyDescent="0.45">
      <c r="A1021" t="s">
        <v>14047</v>
      </c>
      <c r="B1021" t="s">
        <v>14048</v>
      </c>
      <c r="C1021" t="s">
        <v>14049</v>
      </c>
      <c r="D1021" t="s">
        <v>2786</v>
      </c>
      <c r="E1021" s="1">
        <v>46151.791192129633</v>
      </c>
      <c r="F1021">
        <v>1547</v>
      </c>
      <c r="G1021" t="s">
        <v>14050</v>
      </c>
      <c r="H1021" t="s">
        <v>15</v>
      </c>
      <c r="I1021" t="s">
        <v>2788</v>
      </c>
      <c r="J1021" t="str">
        <f>RIGHT(D1021,4)</f>
        <v>6252</v>
      </c>
      <c r="K1021" t="str">
        <f>IFERROR(VLOOKUP(VALUE(J1021),'Site Info'!$A:$G,3,FALSE),"")</f>
        <v>196 THF BLVD</v>
      </c>
      <c r="L1021" t="str">
        <f>IFERROR(VLOOKUP(VALUE(J1021),'Site Info'!$A:$G,4,FALSE),"")</f>
        <v>CHESTERFIELD</v>
      </c>
      <c r="M1021" t="str">
        <f>IFERROR(VLOOKUP(VALUE(J1021),'Site Info'!$A:$G,5,FALSE),"")</f>
        <v>MO</v>
      </c>
      <c r="N1021" t="str">
        <f>IFERROR(VLOOKUP(VALUE(J1021),'Site Info'!$A:$G,6,FALSE),"")</f>
        <v>63005-1141</v>
      </c>
      <c r="O1021">
        <f>IFERROR(VLOOKUP(VALUE(J1021),'Site Info'!$A:$G,7,FALSE),"")</f>
        <v>6367280359</v>
      </c>
    </row>
    <row r="1022" spans="1:15" x14ac:dyDescent="0.45">
      <c r="A1022" t="s">
        <v>11750</v>
      </c>
      <c r="B1022" t="s">
        <v>11751</v>
      </c>
      <c r="C1022" t="s">
        <v>11752</v>
      </c>
      <c r="D1022" t="s">
        <v>2786</v>
      </c>
      <c r="E1022" s="1">
        <v>46152.683599537035</v>
      </c>
      <c r="F1022">
        <v>1547</v>
      </c>
      <c r="G1022" t="s">
        <v>11753</v>
      </c>
      <c r="H1022" t="s">
        <v>15</v>
      </c>
      <c r="I1022" t="s">
        <v>2788</v>
      </c>
      <c r="J1022" t="str">
        <f>RIGHT(D1022,4)</f>
        <v>6252</v>
      </c>
      <c r="K1022" t="str">
        <f>IFERROR(VLOOKUP(VALUE(J1022),'Site Info'!$A:$G,3,FALSE),"")</f>
        <v>196 THF BLVD</v>
      </c>
      <c r="L1022" t="str">
        <f>IFERROR(VLOOKUP(VALUE(J1022),'Site Info'!$A:$G,4,FALSE),"")</f>
        <v>CHESTERFIELD</v>
      </c>
      <c r="M1022" t="str">
        <f>IFERROR(VLOOKUP(VALUE(J1022),'Site Info'!$A:$G,5,FALSE),"")</f>
        <v>MO</v>
      </c>
      <c r="N1022" t="str">
        <f>IFERROR(VLOOKUP(VALUE(J1022),'Site Info'!$A:$G,6,FALSE),"")</f>
        <v>63005-1141</v>
      </c>
      <c r="O1022">
        <f>IFERROR(VLOOKUP(VALUE(J1022),'Site Info'!$A:$G,7,FALSE),"")</f>
        <v>6367280359</v>
      </c>
    </row>
    <row r="1023" spans="1:15" x14ac:dyDescent="0.45">
      <c r="A1023" t="s">
        <v>9555</v>
      </c>
      <c r="B1023" t="s">
        <v>9556</v>
      </c>
      <c r="C1023" t="s">
        <v>9557</v>
      </c>
      <c r="D1023" t="s">
        <v>2786</v>
      </c>
      <c r="E1023" s="1">
        <v>46153.346539351849</v>
      </c>
      <c r="F1023">
        <v>1547</v>
      </c>
      <c r="G1023" t="s">
        <v>9558</v>
      </c>
      <c r="H1023" t="s">
        <v>15</v>
      </c>
      <c r="I1023" t="s">
        <v>2788</v>
      </c>
      <c r="J1023" t="str">
        <f>RIGHT(D1023,4)</f>
        <v>6252</v>
      </c>
      <c r="K1023" t="str">
        <f>IFERROR(VLOOKUP(VALUE(J1023),'Site Info'!$A:$G,3,FALSE),"")</f>
        <v>196 THF BLVD</v>
      </c>
      <c r="L1023" t="str">
        <f>IFERROR(VLOOKUP(VALUE(J1023),'Site Info'!$A:$G,4,FALSE),"")</f>
        <v>CHESTERFIELD</v>
      </c>
      <c r="M1023" t="str">
        <f>IFERROR(VLOOKUP(VALUE(J1023),'Site Info'!$A:$G,5,FALSE),"")</f>
        <v>MO</v>
      </c>
      <c r="N1023" t="str">
        <f>IFERROR(VLOOKUP(VALUE(J1023),'Site Info'!$A:$G,6,FALSE),"")</f>
        <v>63005-1141</v>
      </c>
      <c r="O1023">
        <f>IFERROR(VLOOKUP(VALUE(J1023),'Site Info'!$A:$G,7,FALSE),"")</f>
        <v>6367280359</v>
      </c>
    </row>
    <row r="1024" spans="1:15" x14ac:dyDescent="0.45">
      <c r="A1024" t="s">
        <v>13912</v>
      </c>
      <c r="B1024" t="s">
        <v>13913</v>
      </c>
      <c r="C1024" t="s">
        <v>13914</v>
      </c>
      <c r="D1024" t="s">
        <v>2786</v>
      </c>
      <c r="E1024" s="1">
        <v>46153.348576388889</v>
      </c>
      <c r="F1024">
        <v>1547</v>
      </c>
      <c r="G1024" t="s">
        <v>13915</v>
      </c>
      <c r="H1024" t="s">
        <v>15</v>
      </c>
      <c r="I1024" t="s">
        <v>2788</v>
      </c>
      <c r="J1024" t="str">
        <f>RIGHT(D1024,4)</f>
        <v>6252</v>
      </c>
      <c r="K1024" t="str">
        <f>IFERROR(VLOOKUP(VALUE(J1024),'Site Info'!$A:$G,3,FALSE),"")</f>
        <v>196 THF BLVD</v>
      </c>
      <c r="L1024" t="str">
        <f>IFERROR(VLOOKUP(VALUE(J1024),'Site Info'!$A:$G,4,FALSE),"")</f>
        <v>CHESTERFIELD</v>
      </c>
      <c r="M1024" t="str">
        <f>IFERROR(VLOOKUP(VALUE(J1024),'Site Info'!$A:$G,5,FALSE),"")</f>
        <v>MO</v>
      </c>
      <c r="N1024" t="str">
        <f>IFERROR(VLOOKUP(VALUE(J1024),'Site Info'!$A:$G,6,FALSE),"")</f>
        <v>63005-1141</v>
      </c>
      <c r="O1024">
        <f>IFERROR(VLOOKUP(VALUE(J1024),'Site Info'!$A:$G,7,FALSE),"")</f>
        <v>6367280359</v>
      </c>
    </row>
    <row r="1025" spans="1:15" x14ac:dyDescent="0.45">
      <c r="A1025" t="s">
        <v>2783</v>
      </c>
      <c r="B1025" t="s">
        <v>2784</v>
      </c>
      <c r="C1025" t="s">
        <v>2785</v>
      </c>
      <c r="D1025" t="s">
        <v>2786</v>
      </c>
      <c r="E1025" s="1">
        <v>46110.321435185186</v>
      </c>
      <c r="F1025">
        <v>1481</v>
      </c>
      <c r="G1025" t="s">
        <v>2787</v>
      </c>
      <c r="H1025" t="s">
        <v>15</v>
      </c>
      <c r="I1025" t="s">
        <v>2788</v>
      </c>
      <c r="J1025" t="str">
        <f>RIGHT(D1025,4)</f>
        <v>6252</v>
      </c>
      <c r="K1025" t="str">
        <f>IFERROR(VLOOKUP(VALUE(J1025),'Site Info'!$A:$G,3,FALSE),"")</f>
        <v>196 THF BLVD</v>
      </c>
      <c r="L1025" t="str">
        <f>IFERROR(VLOOKUP(VALUE(J1025),'Site Info'!$A:$G,4,FALSE),"")</f>
        <v>CHESTERFIELD</v>
      </c>
      <c r="M1025" t="str">
        <f>IFERROR(VLOOKUP(VALUE(J1025),'Site Info'!$A:$G,5,FALSE),"")</f>
        <v>MO</v>
      </c>
      <c r="N1025" t="str">
        <f>IFERROR(VLOOKUP(VALUE(J1025),'Site Info'!$A:$G,6,FALSE),"")</f>
        <v>63005-1141</v>
      </c>
      <c r="O1025">
        <f>IFERROR(VLOOKUP(VALUE(J1025),'Site Info'!$A:$G,7,FALSE),"")</f>
        <v>6367280359</v>
      </c>
    </row>
    <row r="1026" spans="1:15" x14ac:dyDescent="0.45">
      <c r="A1026" t="s">
        <v>10002</v>
      </c>
      <c r="B1026" t="s">
        <v>10003</v>
      </c>
      <c r="C1026" t="s">
        <v>10004</v>
      </c>
      <c r="D1026" t="s">
        <v>2968</v>
      </c>
      <c r="E1026" s="1">
        <v>46090.62232638889</v>
      </c>
      <c r="F1026">
        <v>1547</v>
      </c>
      <c r="G1026" t="s">
        <v>10005</v>
      </c>
      <c r="H1026" t="s">
        <v>15</v>
      </c>
      <c r="I1026" t="s">
        <v>2970</v>
      </c>
      <c r="J1026" t="str">
        <f>RIGHT(D1026,4)</f>
        <v>8202</v>
      </c>
      <c r="K1026" t="str">
        <f>IFERROR(VLOOKUP(VALUE(J1026),'Site Info'!$A:$G,3,FALSE),"")</f>
        <v>1975 E MONTGOMERY XRD</v>
      </c>
      <c r="L1026" t="str">
        <f>IFERROR(VLOOKUP(VALUE(J1026),'Site Info'!$A:$G,4,FALSE),"")</f>
        <v>SAVANNAH</v>
      </c>
      <c r="M1026" t="str">
        <f>IFERROR(VLOOKUP(VALUE(J1026),'Site Info'!$A:$G,5,FALSE),"")</f>
        <v>GA</v>
      </c>
      <c r="N1026" t="str">
        <f>IFERROR(VLOOKUP(VALUE(J1026),'Site Info'!$A:$G,6,FALSE),"")</f>
        <v>31406-5036</v>
      </c>
      <c r="O1026">
        <f>IFERROR(VLOOKUP(VALUE(J1026),'Site Info'!$A:$G,7,FALSE),"")</f>
        <v>9123523330</v>
      </c>
    </row>
    <row r="1027" spans="1:15" x14ac:dyDescent="0.45">
      <c r="A1027" t="s">
        <v>11876</v>
      </c>
      <c r="B1027" t="s">
        <v>11877</v>
      </c>
      <c r="C1027" t="s">
        <v>11878</v>
      </c>
      <c r="D1027" t="s">
        <v>2968</v>
      </c>
      <c r="E1027" s="1">
        <v>46149.145243055558</v>
      </c>
      <c r="F1027">
        <v>1547</v>
      </c>
      <c r="G1027" t="s">
        <v>11879</v>
      </c>
      <c r="H1027" t="s">
        <v>15</v>
      </c>
      <c r="I1027" t="s">
        <v>2970</v>
      </c>
      <c r="J1027" t="str">
        <f>RIGHT(D1027,4)</f>
        <v>8202</v>
      </c>
      <c r="K1027" t="str">
        <f>IFERROR(VLOOKUP(VALUE(J1027),'Site Info'!$A:$G,3,FALSE),"")</f>
        <v>1975 E MONTGOMERY XRD</v>
      </c>
      <c r="L1027" t="str">
        <f>IFERROR(VLOOKUP(VALUE(J1027),'Site Info'!$A:$G,4,FALSE),"")</f>
        <v>SAVANNAH</v>
      </c>
      <c r="M1027" t="str">
        <f>IFERROR(VLOOKUP(VALUE(J1027),'Site Info'!$A:$G,5,FALSE),"")</f>
        <v>GA</v>
      </c>
      <c r="N1027" t="str">
        <f>IFERROR(VLOOKUP(VALUE(J1027),'Site Info'!$A:$G,6,FALSE),"")</f>
        <v>31406-5036</v>
      </c>
      <c r="O1027">
        <f>IFERROR(VLOOKUP(VALUE(J1027),'Site Info'!$A:$G,7,FALSE),"")</f>
        <v>9123523330</v>
      </c>
    </row>
    <row r="1028" spans="1:15" x14ac:dyDescent="0.45">
      <c r="A1028" t="s">
        <v>10202</v>
      </c>
      <c r="B1028" t="s">
        <v>10203</v>
      </c>
      <c r="C1028" t="s">
        <v>10204</v>
      </c>
      <c r="D1028" t="s">
        <v>2968</v>
      </c>
      <c r="E1028" s="1">
        <v>46151.530335648145</v>
      </c>
      <c r="F1028">
        <v>1547</v>
      </c>
      <c r="G1028" t="s">
        <v>10205</v>
      </c>
      <c r="H1028" t="s">
        <v>15</v>
      </c>
      <c r="I1028" t="s">
        <v>2970</v>
      </c>
      <c r="J1028" t="str">
        <f>RIGHT(D1028,4)</f>
        <v>8202</v>
      </c>
      <c r="K1028" t="str">
        <f>IFERROR(VLOOKUP(VALUE(J1028),'Site Info'!$A:$G,3,FALSE),"")</f>
        <v>1975 E MONTGOMERY XRD</v>
      </c>
      <c r="L1028" t="str">
        <f>IFERROR(VLOOKUP(VALUE(J1028),'Site Info'!$A:$G,4,FALSE),"")</f>
        <v>SAVANNAH</v>
      </c>
      <c r="M1028" t="str">
        <f>IFERROR(VLOOKUP(VALUE(J1028),'Site Info'!$A:$G,5,FALSE),"")</f>
        <v>GA</v>
      </c>
      <c r="N1028" t="str">
        <f>IFERROR(VLOOKUP(VALUE(J1028),'Site Info'!$A:$G,6,FALSE),"")</f>
        <v>31406-5036</v>
      </c>
      <c r="O1028">
        <f>IFERROR(VLOOKUP(VALUE(J1028),'Site Info'!$A:$G,7,FALSE),"")</f>
        <v>9123523330</v>
      </c>
    </row>
    <row r="1029" spans="1:15" x14ac:dyDescent="0.45">
      <c r="A1029" t="s">
        <v>6589</v>
      </c>
      <c r="B1029" t="s">
        <v>6590</v>
      </c>
      <c r="C1029" t="s">
        <v>6591</v>
      </c>
      <c r="D1029" t="s">
        <v>2968</v>
      </c>
      <c r="E1029" s="1">
        <v>46153.248136574075</v>
      </c>
      <c r="F1029">
        <v>1547</v>
      </c>
      <c r="G1029" t="s">
        <v>6592</v>
      </c>
      <c r="H1029" t="s">
        <v>15</v>
      </c>
      <c r="I1029" t="s">
        <v>2970</v>
      </c>
      <c r="J1029" t="str">
        <f>RIGHT(D1029,4)</f>
        <v>8202</v>
      </c>
      <c r="K1029" t="str">
        <f>IFERROR(VLOOKUP(VALUE(J1029),'Site Info'!$A:$G,3,FALSE),"")</f>
        <v>1975 E MONTGOMERY XRD</v>
      </c>
      <c r="L1029" t="str">
        <f>IFERROR(VLOOKUP(VALUE(J1029),'Site Info'!$A:$G,4,FALSE),"")</f>
        <v>SAVANNAH</v>
      </c>
      <c r="M1029" t="str">
        <f>IFERROR(VLOOKUP(VALUE(J1029),'Site Info'!$A:$G,5,FALSE),"")</f>
        <v>GA</v>
      </c>
      <c r="N1029" t="str">
        <f>IFERROR(VLOOKUP(VALUE(J1029),'Site Info'!$A:$G,6,FALSE),"")</f>
        <v>31406-5036</v>
      </c>
      <c r="O1029">
        <f>IFERROR(VLOOKUP(VALUE(J1029),'Site Info'!$A:$G,7,FALSE),"")</f>
        <v>9123523330</v>
      </c>
    </row>
    <row r="1030" spans="1:15" x14ac:dyDescent="0.45">
      <c r="A1030" t="s">
        <v>10238</v>
      </c>
      <c r="B1030" t="s">
        <v>10239</v>
      </c>
      <c r="C1030" t="s">
        <v>10240</v>
      </c>
      <c r="D1030" t="s">
        <v>2968</v>
      </c>
      <c r="E1030" s="1">
        <v>46153.279062499998</v>
      </c>
      <c r="F1030">
        <v>1547</v>
      </c>
      <c r="G1030" t="s">
        <v>10241</v>
      </c>
      <c r="H1030" t="s">
        <v>15</v>
      </c>
      <c r="I1030" t="s">
        <v>2970</v>
      </c>
      <c r="J1030" t="str">
        <f>RIGHT(D1030,4)</f>
        <v>8202</v>
      </c>
      <c r="K1030" t="str">
        <f>IFERROR(VLOOKUP(VALUE(J1030),'Site Info'!$A:$G,3,FALSE),"")</f>
        <v>1975 E MONTGOMERY XRD</v>
      </c>
      <c r="L1030" t="str">
        <f>IFERROR(VLOOKUP(VALUE(J1030),'Site Info'!$A:$G,4,FALSE),"")</f>
        <v>SAVANNAH</v>
      </c>
      <c r="M1030" t="str">
        <f>IFERROR(VLOOKUP(VALUE(J1030),'Site Info'!$A:$G,5,FALSE),"")</f>
        <v>GA</v>
      </c>
      <c r="N1030" t="str">
        <f>IFERROR(VLOOKUP(VALUE(J1030),'Site Info'!$A:$G,6,FALSE),"")</f>
        <v>31406-5036</v>
      </c>
      <c r="O1030">
        <f>IFERROR(VLOOKUP(VALUE(J1030),'Site Info'!$A:$G,7,FALSE),"")</f>
        <v>9123523330</v>
      </c>
    </row>
    <row r="1031" spans="1:15" x14ac:dyDescent="0.45">
      <c r="A1031" t="s">
        <v>10270</v>
      </c>
      <c r="B1031" t="s">
        <v>10271</v>
      </c>
      <c r="C1031" t="s">
        <v>10272</v>
      </c>
      <c r="D1031" t="s">
        <v>2968</v>
      </c>
      <c r="E1031" s="1">
        <v>46153.34065972222</v>
      </c>
      <c r="F1031">
        <v>1547</v>
      </c>
      <c r="G1031" t="s">
        <v>10273</v>
      </c>
      <c r="H1031" t="s">
        <v>15</v>
      </c>
      <c r="I1031" t="s">
        <v>2970</v>
      </c>
      <c r="J1031" t="str">
        <f>RIGHT(D1031,4)</f>
        <v>8202</v>
      </c>
      <c r="K1031" t="str">
        <f>IFERROR(VLOOKUP(VALUE(J1031),'Site Info'!$A:$G,3,FALSE),"")</f>
        <v>1975 E MONTGOMERY XRD</v>
      </c>
      <c r="L1031" t="str">
        <f>IFERROR(VLOOKUP(VALUE(J1031),'Site Info'!$A:$G,4,FALSE),"")</f>
        <v>SAVANNAH</v>
      </c>
      <c r="M1031" t="str">
        <f>IFERROR(VLOOKUP(VALUE(J1031),'Site Info'!$A:$G,5,FALSE),"")</f>
        <v>GA</v>
      </c>
      <c r="N1031" t="str">
        <f>IFERROR(VLOOKUP(VALUE(J1031),'Site Info'!$A:$G,6,FALSE),"")</f>
        <v>31406-5036</v>
      </c>
      <c r="O1031">
        <f>IFERROR(VLOOKUP(VALUE(J1031),'Site Info'!$A:$G,7,FALSE),"")</f>
        <v>9123523330</v>
      </c>
    </row>
    <row r="1032" spans="1:15" x14ac:dyDescent="0.45">
      <c r="A1032" t="s">
        <v>2965</v>
      </c>
      <c r="B1032" t="s">
        <v>2966</v>
      </c>
      <c r="C1032" t="s">
        <v>2967</v>
      </c>
      <c r="D1032" t="s">
        <v>2968</v>
      </c>
      <c r="E1032" s="1">
        <v>46153.154548611114</v>
      </c>
      <c r="F1032">
        <v>1481</v>
      </c>
      <c r="G1032" t="s">
        <v>2969</v>
      </c>
      <c r="H1032" t="s">
        <v>15</v>
      </c>
      <c r="I1032" t="s">
        <v>2970</v>
      </c>
      <c r="J1032" t="str">
        <f>RIGHT(D1032,4)</f>
        <v>8202</v>
      </c>
      <c r="K1032" t="str">
        <f>IFERROR(VLOOKUP(VALUE(J1032),'Site Info'!$A:$G,3,FALSE),"")</f>
        <v>1975 E MONTGOMERY XRD</v>
      </c>
      <c r="L1032" t="str">
        <f>IFERROR(VLOOKUP(VALUE(J1032),'Site Info'!$A:$G,4,FALSE),"")</f>
        <v>SAVANNAH</v>
      </c>
      <c r="M1032" t="str">
        <f>IFERROR(VLOOKUP(VALUE(J1032),'Site Info'!$A:$G,5,FALSE),"")</f>
        <v>GA</v>
      </c>
      <c r="N1032" t="str">
        <f>IFERROR(VLOOKUP(VALUE(J1032),'Site Info'!$A:$G,6,FALSE),"")</f>
        <v>31406-5036</v>
      </c>
      <c r="O1032">
        <f>IFERROR(VLOOKUP(VALUE(J1032),'Site Info'!$A:$G,7,FALSE),"")</f>
        <v>9123523330</v>
      </c>
    </row>
    <row r="1033" spans="1:15" x14ac:dyDescent="0.45">
      <c r="A1033" t="s">
        <v>17164</v>
      </c>
      <c r="B1033" t="s">
        <v>17165</v>
      </c>
      <c r="C1033" t="s">
        <v>17166</v>
      </c>
      <c r="D1033" t="s">
        <v>2968</v>
      </c>
      <c r="E1033" s="1">
        <v>46153.190069444441</v>
      </c>
      <c r="F1033">
        <v>1481</v>
      </c>
      <c r="G1033" t="s">
        <v>17167</v>
      </c>
      <c r="H1033" t="s">
        <v>15</v>
      </c>
      <c r="I1033" t="s">
        <v>2970</v>
      </c>
      <c r="J1033" t="str">
        <f>RIGHT(D1033,4)</f>
        <v>8202</v>
      </c>
      <c r="K1033" t="str">
        <f>IFERROR(VLOOKUP(VALUE(J1033),'Site Info'!$A:$G,3,FALSE),"")</f>
        <v>1975 E MONTGOMERY XRD</v>
      </c>
      <c r="L1033" t="str">
        <f>IFERROR(VLOOKUP(VALUE(J1033),'Site Info'!$A:$G,4,FALSE),"")</f>
        <v>SAVANNAH</v>
      </c>
      <c r="M1033" t="str">
        <f>IFERROR(VLOOKUP(VALUE(J1033),'Site Info'!$A:$G,5,FALSE),"")</f>
        <v>GA</v>
      </c>
      <c r="N1033" t="str">
        <f>IFERROR(VLOOKUP(VALUE(J1033),'Site Info'!$A:$G,6,FALSE),"")</f>
        <v>31406-5036</v>
      </c>
      <c r="O1033">
        <f>IFERROR(VLOOKUP(VALUE(J1033),'Site Info'!$A:$G,7,FALSE),"")</f>
        <v>9123523330</v>
      </c>
    </row>
    <row r="1034" spans="1:15" x14ac:dyDescent="0.45">
      <c r="A1034" t="s">
        <v>10262</v>
      </c>
      <c r="B1034" t="s">
        <v>10263</v>
      </c>
      <c r="C1034" t="s">
        <v>10264</v>
      </c>
      <c r="D1034" t="s">
        <v>1793</v>
      </c>
      <c r="E1034" s="1">
        <v>46148.060173611113</v>
      </c>
      <c r="F1034">
        <v>1547</v>
      </c>
      <c r="G1034" t="s">
        <v>10265</v>
      </c>
      <c r="H1034" t="s">
        <v>15</v>
      </c>
      <c r="I1034" t="s">
        <v>1795</v>
      </c>
      <c r="J1034" t="str">
        <f>RIGHT(D1034,4)</f>
        <v>8189</v>
      </c>
      <c r="K1034" t="str">
        <f>IFERROR(VLOOKUP(VALUE(J1034),'Site Info'!$A:$G,3,FALSE),"")</f>
        <v>200 EMILY DR</v>
      </c>
      <c r="L1034" t="str">
        <f>IFERROR(VLOOKUP(VALUE(J1034),'Site Info'!$A:$G,4,FALSE),"")</f>
        <v>CLARKSBURG</v>
      </c>
      <c r="M1034" t="str">
        <f>IFERROR(VLOOKUP(VALUE(J1034),'Site Info'!$A:$G,5,FALSE),"")</f>
        <v>WV</v>
      </c>
      <c r="N1034" t="str">
        <f>IFERROR(VLOOKUP(VALUE(J1034),'Site Info'!$A:$G,6,FALSE),"")</f>
        <v>26301-5500</v>
      </c>
      <c r="O1034">
        <f>IFERROR(VLOOKUP(VALUE(J1034),'Site Info'!$A:$G,7,FALSE),"")</f>
        <v>3046236410</v>
      </c>
    </row>
    <row r="1035" spans="1:15" x14ac:dyDescent="0.45">
      <c r="A1035" t="s">
        <v>12472</v>
      </c>
      <c r="B1035" t="s">
        <v>12473</v>
      </c>
      <c r="C1035" t="s">
        <v>12474</v>
      </c>
      <c r="D1035" t="s">
        <v>1793</v>
      </c>
      <c r="E1035" s="1">
        <v>46149.382199074076</v>
      </c>
      <c r="F1035">
        <v>1547</v>
      </c>
      <c r="G1035" t="s">
        <v>12475</v>
      </c>
      <c r="H1035" t="s">
        <v>15</v>
      </c>
      <c r="I1035" t="s">
        <v>1795</v>
      </c>
      <c r="J1035" t="str">
        <f>RIGHT(D1035,4)</f>
        <v>8189</v>
      </c>
      <c r="K1035" t="str">
        <f>IFERROR(VLOOKUP(VALUE(J1035),'Site Info'!$A:$G,3,FALSE),"")</f>
        <v>200 EMILY DR</v>
      </c>
      <c r="L1035" t="str">
        <f>IFERROR(VLOOKUP(VALUE(J1035),'Site Info'!$A:$G,4,FALSE),"")</f>
        <v>CLARKSBURG</v>
      </c>
      <c r="M1035" t="str">
        <f>IFERROR(VLOOKUP(VALUE(J1035),'Site Info'!$A:$G,5,FALSE),"")</f>
        <v>WV</v>
      </c>
      <c r="N1035" t="str">
        <f>IFERROR(VLOOKUP(VALUE(J1035),'Site Info'!$A:$G,6,FALSE),"")</f>
        <v>26301-5500</v>
      </c>
      <c r="O1035">
        <f>IFERROR(VLOOKUP(VALUE(J1035),'Site Info'!$A:$G,7,FALSE),"")</f>
        <v>3046236410</v>
      </c>
    </row>
    <row r="1036" spans="1:15" x14ac:dyDescent="0.45">
      <c r="A1036" t="s">
        <v>10110</v>
      </c>
      <c r="B1036" t="s">
        <v>10111</v>
      </c>
      <c r="C1036" t="s">
        <v>10112</v>
      </c>
      <c r="D1036" t="s">
        <v>1793</v>
      </c>
      <c r="E1036" s="1">
        <v>46153.373900462961</v>
      </c>
      <c r="F1036">
        <v>1547</v>
      </c>
      <c r="G1036" t="s">
        <v>10113</v>
      </c>
      <c r="H1036" t="s">
        <v>15</v>
      </c>
      <c r="I1036" t="s">
        <v>1795</v>
      </c>
      <c r="J1036" t="str">
        <f>RIGHT(D1036,4)</f>
        <v>8189</v>
      </c>
      <c r="K1036" t="str">
        <f>IFERROR(VLOOKUP(VALUE(J1036),'Site Info'!$A:$G,3,FALSE),"")</f>
        <v>200 EMILY DR</v>
      </c>
      <c r="L1036" t="str">
        <f>IFERROR(VLOOKUP(VALUE(J1036),'Site Info'!$A:$G,4,FALSE),"")</f>
        <v>CLARKSBURG</v>
      </c>
      <c r="M1036" t="str">
        <f>IFERROR(VLOOKUP(VALUE(J1036),'Site Info'!$A:$G,5,FALSE),"")</f>
        <v>WV</v>
      </c>
      <c r="N1036" t="str">
        <f>IFERROR(VLOOKUP(VALUE(J1036),'Site Info'!$A:$G,6,FALSE),"")</f>
        <v>26301-5500</v>
      </c>
      <c r="O1036">
        <f>IFERROR(VLOOKUP(VALUE(J1036),'Site Info'!$A:$G,7,FALSE),"")</f>
        <v>3046236410</v>
      </c>
    </row>
    <row r="1037" spans="1:15" x14ac:dyDescent="0.45">
      <c r="A1037" t="s">
        <v>2653</v>
      </c>
      <c r="B1037" t="s">
        <v>2654</v>
      </c>
      <c r="C1037" t="s">
        <v>2655</v>
      </c>
      <c r="D1037" t="s">
        <v>1793</v>
      </c>
      <c r="E1037" s="1">
        <v>46150.37027777778</v>
      </c>
      <c r="F1037">
        <v>1481</v>
      </c>
      <c r="G1037" t="s">
        <v>2656</v>
      </c>
      <c r="H1037" t="s">
        <v>15</v>
      </c>
      <c r="I1037" t="s">
        <v>1795</v>
      </c>
      <c r="J1037" t="str">
        <f>RIGHT(D1037,4)</f>
        <v>8189</v>
      </c>
      <c r="K1037" t="str">
        <f>IFERROR(VLOOKUP(VALUE(J1037),'Site Info'!$A:$G,3,FALSE),"")</f>
        <v>200 EMILY DR</v>
      </c>
      <c r="L1037" t="str">
        <f>IFERROR(VLOOKUP(VALUE(J1037),'Site Info'!$A:$G,4,FALSE),"")</f>
        <v>CLARKSBURG</v>
      </c>
      <c r="M1037" t="str">
        <f>IFERROR(VLOOKUP(VALUE(J1037),'Site Info'!$A:$G,5,FALSE),"")</f>
        <v>WV</v>
      </c>
      <c r="N1037" t="str">
        <f>IFERROR(VLOOKUP(VALUE(J1037),'Site Info'!$A:$G,6,FALSE),"")</f>
        <v>26301-5500</v>
      </c>
      <c r="O1037">
        <f>IFERROR(VLOOKUP(VALUE(J1037),'Site Info'!$A:$G,7,FALSE),"")</f>
        <v>3046236410</v>
      </c>
    </row>
    <row r="1038" spans="1:15" x14ac:dyDescent="0.45">
      <c r="A1038" t="s">
        <v>1790</v>
      </c>
      <c r="B1038" t="s">
        <v>1791</v>
      </c>
      <c r="C1038" t="s">
        <v>1792</v>
      </c>
      <c r="D1038" t="s">
        <v>1793</v>
      </c>
      <c r="E1038" s="1">
        <v>46153.122106481482</v>
      </c>
      <c r="F1038">
        <v>1481</v>
      </c>
      <c r="G1038" t="s">
        <v>1794</v>
      </c>
      <c r="H1038" t="s">
        <v>15</v>
      </c>
      <c r="I1038" t="s">
        <v>1795</v>
      </c>
      <c r="J1038" t="str">
        <f>RIGHT(D1038,4)</f>
        <v>8189</v>
      </c>
      <c r="K1038" t="str">
        <f>IFERROR(VLOOKUP(VALUE(J1038),'Site Info'!$A:$G,3,FALSE),"")</f>
        <v>200 EMILY DR</v>
      </c>
      <c r="L1038" t="str">
        <f>IFERROR(VLOOKUP(VALUE(J1038),'Site Info'!$A:$G,4,FALSE),"")</f>
        <v>CLARKSBURG</v>
      </c>
      <c r="M1038" t="str">
        <f>IFERROR(VLOOKUP(VALUE(J1038),'Site Info'!$A:$G,5,FALSE),"")</f>
        <v>WV</v>
      </c>
      <c r="N1038" t="str">
        <f>IFERROR(VLOOKUP(VALUE(J1038),'Site Info'!$A:$G,6,FALSE),"")</f>
        <v>26301-5500</v>
      </c>
      <c r="O1038">
        <f>IFERROR(VLOOKUP(VALUE(J1038),'Site Info'!$A:$G,7,FALSE),"")</f>
        <v>3046236410</v>
      </c>
    </row>
    <row r="1039" spans="1:15" x14ac:dyDescent="0.45">
      <c r="A1039" t="s">
        <v>7288</v>
      </c>
      <c r="B1039" t="s">
        <v>7289</v>
      </c>
      <c r="C1039" t="s">
        <v>7290</v>
      </c>
      <c r="D1039" t="s">
        <v>2334</v>
      </c>
      <c r="E1039" s="1">
        <v>46151.710856481484</v>
      </c>
      <c r="F1039">
        <v>1547</v>
      </c>
      <c r="G1039" t="s">
        <v>7291</v>
      </c>
      <c r="H1039" t="s">
        <v>15</v>
      </c>
      <c r="I1039" t="s">
        <v>2336</v>
      </c>
      <c r="J1039" t="str">
        <f>RIGHT(D1039,4)</f>
        <v>4859</v>
      </c>
      <c r="K1039" t="str">
        <f>IFERROR(VLOOKUP(VALUE(J1039),'Site Info'!$A:$G,3,FALSE),"")</f>
        <v>200 MORAINE POINTE PLZ</v>
      </c>
      <c r="L1039" t="str">
        <f>IFERROR(VLOOKUP(VALUE(J1039),'Site Info'!$A:$G,4,FALSE),"")</f>
        <v>BUTLER</v>
      </c>
      <c r="M1039" t="str">
        <f>IFERROR(VLOOKUP(VALUE(J1039),'Site Info'!$A:$G,5,FALSE),"")</f>
        <v>PA</v>
      </c>
      <c r="N1039" t="str">
        <f>IFERROR(VLOOKUP(VALUE(J1039),'Site Info'!$A:$G,6,FALSE),"")</f>
        <v>16001-2412</v>
      </c>
      <c r="O1039">
        <f>IFERROR(VLOOKUP(VALUE(J1039),'Site Info'!$A:$G,7,FALSE),"")</f>
        <v>7242823525</v>
      </c>
    </row>
    <row r="1040" spans="1:15" x14ac:dyDescent="0.45">
      <c r="A1040" t="s">
        <v>7547</v>
      </c>
      <c r="B1040" t="s">
        <v>7548</v>
      </c>
      <c r="C1040" t="s">
        <v>7549</v>
      </c>
      <c r="D1040" t="s">
        <v>2334</v>
      </c>
      <c r="E1040" s="1">
        <v>46152.139270833337</v>
      </c>
      <c r="F1040">
        <v>1547</v>
      </c>
      <c r="G1040" t="s">
        <v>7550</v>
      </c>
      <c r="H1040" t="s">
        <v>15</v>
      </c>
      <c r="I1040" t="s">
        <v>2336</v>
      </c>
      <c r="J1040" t="str">
        <f>RIGHT(D1040,4)</f>
        <v>4859</v>
      </c>
      <c r="K1040" t="str">
        <f>IFERROR(VLOOKUP(VALUE(J1040),'Site Info'!$A:$G,3,FALSE),"")</f>
        <v>200 MORAINE POINTE PLZ</v>
      </c>
      <c r="L1040" t="str">
        <f>IFERROR(VLOOKUP(VALUE(J1040),'Site Info'!$A:$G,4,FALSE),"")</f>
        <v>BUTLER</v>
      </c>
      <c r="M1040" t="str">
        <f>IFERROR(VLOOKUP(VALUE(J1040),'Site Info'!$A:$G,5,FALSE),"")</f>
        <v>PA</v>
      </c>
      <c r="N1040" t="str">
        <f>IFERROR(VLOOKUP(VALUE(J1040),'Site Info'!$A:$G,6,FALSE),"")</f>
        <v>16001-2412</v>
      </c>
      <c r="O1040">
        <f>IFERROR(VLOOKUP(VALUE(J1040),'Site Info'!$A:$G,7,FALSE),"")</f>
        <v>7242823525</v>
      </c>
    </row>
    <row r="1041" spans="1:15" x14ac:dyDescent="0.45">
      <c r="A1041" t="s">
        <v>7292</v>
      </c>
      <c r="B1041" t="s">
        <v>7293</v>
      </c>
      <c r="C1041" t="s">
        <v>7294</v>
      </c>
      <c r="D1041" t="s">
        <v>2334</v>
      </c>
      <c r="E1041" s="1">
        <v>46152.532256944447</v>
      </c>
      <c r="F1041">
        <v>1547</v>
      </c>
      <c r="G1041" t="s">
        <v>7295</v>
      </c>
      <c r="H1041" t="s">
        <v>15</v>
      </c>
      <c r="I1041" t="s">
        <v>2336</v>
      </c>
      <c r="J1041" t="str">
        <f>RIGHT(D1041,4)</f>
        <v>4859</v>
      </c>
      <c r="K1041" t="str">
        <f>IFERROR(VLOOKUP(VALUE(J1041),'Site Info'!$A:$G,3,FALSE),"")</f>
        <v>200 MORAINE POINTE PLZ</v>
      </c>
      <c r="L1041" t="str">
        <f>IFERROR(VLOOKUP(VALUE(J1041),'Site Info'!$A:$G,4,FALSE),"")</f>
        <v>BUTLER</v>
      </c>
      <c r="M1041" t="str">
        <f>IFERROR(VLOOKUP(VALUE(J1041),'Site Info'!$A:$G,5,FALSE),"")</f>
        <v>PA</v>
      </c>
      <c r="N1041" t="str">
        <f>IFERROR(VLOOKUP(VALUE(J1041),'Site Info'!$A:$G,6,FALSE),"")</f>
        <v>16001-2412</v>
      </c>
      <c r="O1041">
        <f>IFERROR(VLOOKUP(VALUE(J1041),'Site Info'!$A:$G,7,FALSE),"")</f>
        <v>7242823525</v>
      </c>
    </row>
    <row r="1042" spans="1:15" x14ac:dyDescent="0.45">
      <c r="A1042" t="s">
        <v>7701</v>
      </c>
      <c r="B1042" t="s">
        <v>7702</v>
      </c>
      <c r="C1042" t="s">
        <v>7703</v>
      </c>
      <c r="D1042" t="s">
        <v>2334</v>
      </c>
      <c r="E1042" s="1">
        <v>46153.179849537039</v>
      </c>
      <c r="F1042">
        <v>1547</v>
      </c>
      <c r="G1042" t="s">
        <v>7704</v>
      </c>
      <c r="H1042" t="s">
        <v>15</v>
      </c>
      <c r="I1042" t="s">
        <v>2336</v>
      </c>
      <c r="J1042" t="str">
        <f>RIGHT(D1042,4)</f>
        <v>4859</v>
      </c>
      <c r="K1042" t="str">
        <f>IFERROR(VLOOKUP(VALUE(J1042),'Site Info'!$A:$G,3,FALSE),"")</f>
        <v>200 MORAINE POINTE PLZ</v>
      </c>
      <c r="L1042" t="str">
        <f>IFERROR(VLOOKUP(VALUE(J1042),'Site Info'!$A:$G,4,FALSE),"")</f>
        <v>BUTLER</v>
      </c>
      <c r="M1042" t="str">
        <f>IFERROR(VLOOKUP(VALUE(J1042),'Site Info'!$A:$G,5,FALSE),"")</f>
        <v>PA</v>
      </c>
      <c r="N1042" t="str">
        <f>IFERROR(VLOOKUP(VALUE(J1042),'Site Info'!$A:$G,6,FALSE),"")</f>
        <v>16001-2412</v>
      </c>
      <c r="O1042">
        <f>IFERROR(VLOOKUP(VALUE(J1042),'Site Info'!$A:$G,7,FALSE),"")</f>
        <v>7242823525</v>
      </c>
    </row>
    <row r="1043" spans="1:15" x14ac:dyDescent="0.45">
      <c r="A1043" t="s">
        <v>11920</v>
      </c>
      <c r="B1043" t="s">
        <v>11921</v>
      </c>
      <c r="C1043" t="s">
        <v>11922</v>
      </c>
      <c r="D1043" t="s">
        <v>2334</v>
      </c>
      <c r="E1043" s="1">
        <v>46153.209340277775</v>
      </c>
      <c r="F1043">
        <v>1547</v>
      </c>
      <c r="G1043" t="s">
        <v>11923</v>
      </c>
      <c r="H1043" t="s">
        <v>15</v>
      </c>
      <c r="I1043" t="s">
        <v>2336</v>
      </c>
      <c r="J1043" t="str">
        <f>RIGHT(D1043,4)</f>
        <v>4859</v>
      </c>
      <c r="K1043" t="str">
        <f>IFERROR(VLOOKUP(VALUE(J1043),'Site Info'!$A:$G,3,FALSE),"")</f>
        <v>200 MORAINE POINTE PLZ</v>
      </c>
      <c r="L1043" t="str">
        <f>IFERROR(VLOOKUP(VALUE(J1043),'Site Info'!$A:$G,4,FALSE),"")</f>
        <v>BUTLER</v>
      </c>
      <c r="M1043" t="str">
        <f>IFERROR(VLOOKUP(VALUE(J1043),'Site Info'!$A:$G,5,FALSE),"")</f>
        <v>PA</v>
      </c>
      <c r="N1043" t="str">
        <f>IFERROR(VLOOKUP(VALUE(J1043),'Site Info'!$A:$G,6,FALSE),"")</f>
        <v>16001-2412</v>
      </c>
      <c r="O1043">
        <f>IFERROR(VLOOKUP(VALUE(J1043),'Site Info'!$A:$G,7,FALSE),"")</f>
        <v>7242823525</v>
      </c>
    </row>
    <row r="1044" spans="1:15" x14ac:dyDescent="0.45">
      <c r="A1044" t="s">
        <v>9117</v>
      </c>
      <c r="B1044" t="s">
        <v>9118</v>
      </c>
      <c r="C1044" t="s">
        <v>9119</v>
      </c>
      <c r="D1044" t="s">
        <v>2334</v>
      </c>
      <c r="E1044" s="1">
        <v>46153.381273148145</v>
      </c>
      <c r="F1044">
        <v>1547</v>
      </c>
      <c r="G1044" t="s">
        <v>9120</v>
      </c>
      <c r="H1044" t="s">
        <v>15</v>
      </c>
      <c r="I1044" t="s">
        <v>2336</v>
      </c>
      <c r="J1044" t="str">
        <f>RIGHT(D1044,4)</f>
        <v>4859</v>
      </c>
      <c r="K1044" t="str">
        <f>IFERROR(VLOOKUP(VALUE(J1044),'Site Info'!$A:$G,3,FALSE),"")</f>
        <v>200 MORAINE POINTE PLZ</v>
      </c>
      <c r="L1044" t="str">
        <f>IFERROR(VLOOKUP(VALUE(J1044),'Site Info'!$A:$G,4,FALSE),"")</f>
        <v>BUTLER</v>
      </c>
      <c r="M1044" t="str">
        <f>IFERROR(VLOOKUP(VALUE(J1044),'Site Info'!$A:$G,5,FALSE),"")</f>
        <v>PA</v>
      </c>
      <c r="N1044" t="str">
        <f>IFERROR(VLOOKUP(VALUE(J1044),'Site Info'!$A:$G,6,FALSE),"")</f>
        <v>16001-2412</v>
      </c>
      <c r="O1044">
        <f>IFERROR(VLOOKUP(VALUE(J1044),'Site Info'!$A:$G,7,FALSE),"")</f>
        <v>7242823525</v>
      </c>
    </row>
    <row r="1045" spans="1:15" x14ac:dyDescent="0.45">
      <c r="A1045" t="s">
        <v>2331</v>
      </c>
      <c r="B1045" t="s">
        <v>2332</v>
      </c>
      <c r="C1045" t="s">
        <v>2333</v>
      </c>
      <c r="D1045" t="s">
        <v>2334</v>
      </c>
      <c r="E1045" s="1">
        <v>46152.803761574076</v>
      </c>
      <c r="F1045">
        <v>1481</v>
      </c>
      <c r="G1045" t="s">
        <v>2335</v>
      </c>
      <c r="H1045" t="s">
        <v>15</v>
      </c>
      <c r="I1045" t="s">
        <v>2336</v>
      </c>
      <c r="J1045" t="str">
        <f>RIGHT(D1045,4)</f>
        <v>4859</v>
      </c>
      <c r="K1045" t="str">
        <f>IFERROR(VLOOKUP(VALUE(J1045),'Site Info'!$A:$G,3,FALSE),"")</f>
        <v>200 MORAINE POINTE PLZ</v>
      </c>
      <c r="L1045" t="str">
        <f>IFERROR(VLOOKUP(VALUE(J1045),'Site Info'!$A:$G,4,FALSE),"")</f>
        <v>BUTLER</v>
      </c>
      <c r="M1045" t="str">
        <f>IFERROR(VLOOKUP(VALUE(J1045),'Site Info'!$A:$G,5,FALSE),"")</f>
        <v>PA</v>
      </c>
      <c r="N1045" t="str">
        <f>IFERROR(VLOOKUP(VALUE(J1045),'Site Info'!$A:$G,6,FALSE),"")</f>
        <v>16001-2412</v>
      </c>
      <c r="O1045">
        <f>IFERROR(VLOOKUP(VALUE(J1045),'Site Info'!$A:$G,7,FALSE),"")</f>
        <v>7242823525</v>
      </c>
    </row>
    <row r="1046" spans="1:15" x14ac:dyDescent="0.45">
      <c r="A1046" t="s">
        <v>8745</v>
      </c>
      <c r="B1046" t="s">
        <v>8746</v>
      </c>
      <c r="C1046" t="s">
        <v>8747</v>
      </c>
      <c r="D1046" t="s">
        <v>2770</v>
      </c>
      <c r="E1046" s="1">
        <v>46152.728275462963</v>
      </c>
      <c r="F1046">
        <v>1547</v>
      </c>
      <c r="G1046" t="s">
        <v>8748</v>
      </c>
      <c r="H1046" t="s">
        <v>15</v>
      </c>
      <c r="I1046" t="s">
        <v>2772</v>
      </c>
      <c r="J1046" t="str">
        <f>RIGHT(D1046,4)</f>
        <v>6571</v>
      </c>
      <c r="K1046" t="str">
        <f>IFERROR(VLOOKUP(VALUE(J1046),'Site Info'!$A:$G,3,FALSE),"")</f>
        <v>200 N BELTLINE DR</v>
      </c>
      <c r="L1046" t="str">
        <f>IFERROR(VLOOKUP(VALUE(J1046),'Site Info'!$A:$G,4,FALSE),"")</f>
        <v>FLORENCE</v>
      </c>
      <c r="M1046" t="str">
        <f>IFERROR(VLOOKUP(VALUE(J1046),'Site Info'!$A:$G,5,FALSE),"")</f>
        <v>SC</v>
      </c>
      <c r="N1046" t="str">
        <f>IFERROR(VLOOKUP(VALUE(J1046),'Site Info'!$A:$G,6,FALSE),"")</f>
        <v>29501-7403</v>
      </c>
      <c r="O1046">
        <f>IFERROR(VLOOKUP(VALUE(J1046),'Site Info'!$A:$G,7,FALSE),"")</f>
        <v>8436622769</v>
      </c>
    </row>
    <row r="1047" spans="1:15" x14ac:dyDescent="0.45">
      <c r="A1047" t="s">
        <v>8985</v>
      </c>
      <c r="B1047" t="s">
        <v>8986</v>
      </c>
      <c r="C1047" t="s">
        <v>8987</v>
      </c>
      <c r="D1047" t="s">
        <v>2770</v>
      </c>
      <c r="E1047" s="1">
        <v>46153.288738425923</v>
      </c>
      <c r="F1047">
        <v>1547</v>
      </c>
      <c r="G1047" t="s">
        <v>8988</v>
      </c>
      <c r="H1047" t="s">
        <v>15</v>
      </c>
      <c r="I1047" t="s">
        <v>2772</v>
      </c>
      <c r="J1047" t="str">
        <f>RIGHT(D1047,4)</f>
        <v>6571</v>
      </c>
      <c r="K1047" t="str">
        <f>IFERROR(VLOOKUP(VALUE(J1047),'Site Info'!$A:$G,3,FALSE),"")</f>
        <v>200 N BELTLINE DR</v>
      </c>
      <c r="L1047" t="str">
        <f>IFERROR(VLOOKUP(VALUE(J1047),'Site Info'!$A:$G,4,FALSE),"")</f>
        <v>FLORENCE</v>
      </c>
      <c r="M1047" t="str">
        <f>IFERROR(VLOOKUP(VALUE(J1047),'Site Info'!$A:$G,5,FALSE),"")</f>
        <v>SC</v>
      </c>
      <c r="N1047" t="str">
        <f>IFERROR(VLOOKUP(VALUE(J1047),'Site Info'!$A:$G,6,FALSE),"")</f>
        <v>29501-7403</v>
      </c>
      <c r="O1047">
        <f>IFERROR(VLOOKUP(VALUE(J1047),'Site Info'!$A:$G,7,FALSE),"")</f>
        <v>8436622769</v>
      </c>
    </row>
    <row r="1048" spans="1:15" x14ac:dyDescent="0.45">
      <c r="A1048" t="s">
        <v>7210</v>
      </c>
      <c r="B1048" t="s">
        <v>7211</v>
      </c>
      <c r="C1048" t="s">
        <v>7212</v>
      </c>
      <c r="D1048" t="s">
        <v>2770</v>
      </c>
      <c r="E1048" s="1">
        <v>46153.328819444447</v>
      </c>
      <c r="F1048">
        <v>1547</v>
      </c>
      <c r="G1048" t="s">
        <v>7213</v>
      </c>
      <c r="H1048" t="s">
        <v>15</v>
      </c>
      <c r="I1048" t="s">
        <v>2772</v>
      </c>
      <c r="J1048" t="str">
        <f>RIGHT(D1048,4)</f>
        <v>6571</v>
      </c>
      <c r="K1048" t="str">
        <f>IFERROR(VLOOKUP(VALUE(J1048),'Site Info'!$A:$G,3,FALSE),"")</f>
        <v>200 N BELTLINE DR</v>
      </c>
      <c r="L1048" t="str">
        <f>IFERROR(VLOOKUP(VALUE(J1048),'Site Info'!$A:$G,4,FALSE),"")</f>
        <v>FLORENCE</v>
      </c>
      <c r="M1048" t="str">
        <f>IFERROR(VLOOKUP(VALUE(J1048),'Site Info'!$A:$G,5,FALSE),"")</f>
        <v>SC</v>
      </c>
      <c r="N1048" t="str">
        <f>IFERROR(VLOOKUP(VALUE(J1048),'Site Info'!$A:$G,6,FALSE),"")</f>
        <v>29501-7403</v>
      </c>
      <c r="O1048">
        <f>IFERROR(VLOOKUP(VALUE(J1048),'Site Info'!$A:$G,7,FALSE),"")</f>
        <v>8436622769</v>
      </c>
    </row>
    <row r="1049" spans="1:15" x14ac:dyDescent="0.45">
      <c r="A1049" t="s">
        <v>6793</v>
      </c>
      <c r="B1049" t="s">
        <v>6794</v>
      </c>
      <c r="C1049" t="s">
        <v>6795</v>
      </c>
      <c r="D1049" t="s">
        <v>2770</v>
      </c>
      <c r="E1049" s="1">
        <v>46153.373865740738</v>
      </c>
      <c r="F1049">
        <v>1547</v>
      </c>
      <c r="G1049" t="s">
        <v>6796</v>
      </c>
      <c r="H1049" t="s">
        <v>15</v>
      </c>
      <c r="I1049" t="s">
        <v>2772</v>
      </c>
      <c r="J1049" t="str">
        <f>RIGHT(D1049,4)</f>
        <v>6571</v>
      </c>
      <c r="K1049" t="str">
        <f>IFERROR(VLOOKUP(VALUE(J1049),'Site Info'!$A:$G,3,FALSE),"")</f>
        <v>200 N BELTLINE DR</v>
      </c>
      <c r="L1049" t="str">
        <f>IFERROR(VLOOKUP(VALUE(J1049),'Site Info'!$A:$G,4,FALSE),"")</f>
        <v>FLORENCE</v>
      </c>
      <c r="M1049" t="str">
        <f>IFERROR(VLOOKUP(VALUE(J1049),'Site Info'!$A:$G,5,FALSE),"")</f>
        <v>SC</v>
      </c>
      <c r="N1049" t="str">
        <f>IFERROR(VLOOKUP(VALUE(J1049),'Site Info'!$A:$G,6,FALSE),"")</f>
        <v>29501-7403</v>
      </c>
      <c r="O1049">
        <f>IFERROR(VLOOKUP(VALUE(J1049),'Site Info'!$A:$G,7,FALSE),"")</f>
        <v>8436622769</v>
      </c>
    </row>
    <row r="1050" spans="1:15" x14ac:dyDescent="0.45">
      <c r="A1050" t="s">
        <v>2767</v>
      </c>
      <c r="B1050" t="s">
        <v>2768</v>
      </c>
      <c r="C1050" t="s">
        <v>2769</v>
      </c>
      <c r="D1050" t="s">
        <v>2770</v>
      </c>
      <c r="E1050" s="1">
        <v>46150.461446759262</v>
      </c>
      <c r="F1050">
        <v>1481</v>
      </c>
      <c r="G1050" t="s">
        <v>2771</v>
      </c>
      <c r="H1050" t="s">
        <v>15</v>
      </c>
      <c r="I1050" t="s">
        <v>2772</v>
      </c>
      <c r="J1050" t="str">
        <f>RIGHT(D1050,4)</f>
        <v>6571</v>
      </c>
      <c r="K1050" t="str">
        <f>IFERROR(VLOOKUP(VALUE(J1050),'Site Info'!$A:$G,3,FALSE),"")</f>
        <v>200 N BELTLINE DR</v>
      </c>
      <c r="L1050" t="str">
        <f>IFERROR(VLOOKUP(VALUE(J1050),'Site Info'!$A:$G,4,FALSE),"")</f>
        <v>FLORENCE</v>
      </c>
      <c r="M1050" t="str">
        <f>IFERROR(VLOOKUP(VALUE(J1050),'Site Info'!$A:$G,5,FALSE),"")</f>
        <v>SC</v>
      </c>
      <c r="N1050" t="str">
        <f>IFERROR(VLOOKUP(VALUE(J1050),'Site Info'!$A:$G,6,FALSE),"")</f>
        <v>29501-7403</v>
      </c>
      <c r="O1050">
        <f>IFERROR(VLOOKUP(VALUE(J1050),'Site Info'!$A:$G,7,FALSE),"")</f>
        <v>8436622769</v>
      </c>
    </row>
    <row r="1051" spans="1:15" x14ac:dyDescent="0.45">
      <c r="A1051" t="s">
        <v>3519</v>
      </c>
      <c r="B1051" t="s">
        <v>3520</v>
      </c>
      <c r="C1051" t="s">
        <v>3521</v>
      </c>
      <c r="D1051" t="s">
        <v>2770</v>
      </c>
      <c r="E1051" s="1">
        <v>46153.175798611112</v>
      </c>
      <c r="F1051">
        <v>1481</v>
      </c>
      <c r="G1051" t="s">
        <v>3522</v>
      </c>
      <c r="H1051" t="s">
        <v>15</v>
      </c>
      <c r="I1051" t="s">
        <v>2772</v>
      </c>
      <c r="J1051" t="str">
        <f>RIGHT(D1051,4)</f>
        <v>6571</v>
      </c>
      <c r="K1051" t="str">
        <f>IFERROR(VLOOKUP(VALUE(J1051),'Site Info'!$A:$G,3,FALSE),"")</f>
        <v>200 N BELTLINE DR</v>
      </c>
      <c r="L1051" t="str">
        <f>IFERROR(VLOOKUP(VALUE(J1051),'Site Info'!$A:$G,4,FALSE),"")</f>
        <v>FLORENCE</v>
      </c>
      <c r="M1051" t="str">
        <f>IFERROR(VLOOKUP(VALUE(J1051),'Site Info'!$A:$G,5,FALSE),"")</f>
        <v>SC</v>
      </c>
      <c r="N1051" t="str">
        <f>IFERROR(VLOOKUP(VALUE(J1051),'Site Info'!$A:$G,6,FALSE),"")</f>
        <v>29501-7403</v>
      </c>
      <c r="O1051">
        <f>IFERROR(VLOOKUP(VALUE(J1051),'Site Info'!$A:$G,7,FALSE),"")</f>
        <v>8436622769</v>
      </c>
    </row>
    <row r="1052" spans="1:15" x14ac:dyDescent="0.45">
      <c r="A1052" t="s">
        <v>16621</v>
      </c>
      <c r="B1052" t="s">
        <v>16946</v>
      </c>
      <c r="C1052" t="s">
        <v>16947</v>
      </c>
      <c r="D1052" t="s">
        <v>2770</v>
      </c>
      <c r="E1052" s="1">
        <v>46153.379537037035</v>
      </c>
      <c r="F1052">
        <v>1628</v>
      </c>
      <c r="G1052" t="s">
        <v>16948</v>
      </c>
      <c r="H1052" t="s">
        <v>13988</v>
      </c>
      <c r="I1052" t="s">
        <v>2772</v>
      </c>
      <c r="J1052" t="str">
        <f>RIGHT(D1052,4)</f>
        <v>6571</v>
      </c>
      <c r="K1052" t="str">
        <f>IFERROR(VLOOKUP(VALUE(J1052),'Site Info'!$A:$G,3,FALSE),"")</f>
        <v>200 N BELTLINE DR</v>
      </c>
      <c r="L1052" t="str">
        <f>IFERROR(VLOOKUP(VALUE(J1052),'Site Info'!$A:$G,4,FALSE),"")</f>
        <v>FLORENCE</v>
      </c>
      <c r="M1052" t="str">
        <f>IFERROR(VLOOKUP(VALUE(J1052),'Site Info'!$A:$G,5,FALSE),"")</f>
        <v>SC</v>
      </c>
      <c r="N1052" t="str">
        <f>IFERROR(VLOOKUP(VALUE(J1052),'Site Info'!$A:$G,6,FALSE),"")</f>
        <v>29501-7403</v>
      </c>
      <c r="O1052">
        <f>IFERROR(VLOOKUP(VALUE(J1052),'Site Info'!$A:$G,7,FALSE),"")</f>
        <v>8436622769</v>
      </c>
    </row>
    <row r="1053" spans="1:15" x14ac:dyDescent="0.45">
      <c r="A1053" t="s">
        <v>6939</v>
      </c>
      <c r="B1053" t="s">
        <v>6940</v>
      </c>
      <c r="C1053" t="s">
        <v>6941</v>
      </c>
      <c r="D1053" t="s">
        <v>6936</v>
      </c>
      <c r="E1053" s="1">
        <v>46098.789479166669</v>
      </c>
      <c r="F1053">
        <v>1547</v>
      </c>
      <c r="G1053" t="s">
        <v>6942</v>
      </c>
      <c r="H1053" t="s">
        <v>15</v>
      </c>
      <c r="I1053" t="s">
        <v>6938</v>
      </c>
      <c r="J1053" t="str">
        <f>RIGHT(D1053,4)</f>
        <v>8142</v>
      </c>
      <c r="K1053" t="str">
        <f>IFERROR(VLOOKUP(VALUE(J1053),'Site Info'!$A:$G,3,FALSE),"")</f>
        <v>200 PEACHWOOD CENTRE DR</v>
      </c>
      <c r="L1053" t="str">
        <f>IFERROR(VLOOKUP(VALUE(J1053),'Site Info'!$A:$G,4,FALSE),"")</f>
        <v>SPARTANBURG</v>
      </c>
      <c r="M1053" t="str">
        <f>IFERROR(VLOOKUP(VALUE(J1053),'Site Info'!$A:$G,5,FALSE),"")</f>
        <v>SC</v>
      </c>
      <c r="N1053" t="str">
        <f>IFERROR(VLOOKUP(VALUE(J1053),'Site Info'!$A:$G,6,FALSE),"")</f>
        <v>29301-2586</v>
      </c>
      <c r="O1053">
        <f>IFERROR(VLOOKUP(VALUE(J1053),'Site Info'!$A:$G,7,FALSE),"")</f>
        <v>8645743480</v>
      </c>
    </row>
    <row r="1054" spans="1:15" x14ac:dyDescent="0.45">
      <c r="A1054" t="s">
        <v>7162</v>
      </c>
      <c r="B1054" t="s">
        <v>7163</v>
      </c>
      <c r="C1054" t="s">
        <v>7164</v>
      </c>
      <c r="D1054" t="s">
        <v>6936</v>
      </c>
      <c r="E1054" s="1">
        <v>46150.676423611112</v>
      </c>
      <c r="F1054">
        <v>1547</v>
      </c>
      <c r="G1054" t="s">
        <v>7165</v>
      </c>
      <c r="H1054" t="s">
        <v>15</v>
      </c>
      <c r="I1054" t="s">
        <v>6938</v>
      </c>
      <c r="J1054" t="str">
        <f>RIGHT(D1054,4)</f>
        <v>8142</v>
      </c>
      <c r="K1054" t="str">
        <f>IFERROR(VLOOKUP(VALUE(J1054),'Site Info'!$A:$G,3,FALSE),"")</f>
        <v>200 PEACHWOOD CENTRE DR</v>
      </c>
      <c r="L1054" t="str">
        <f>IFERROR(VLOOKUP(VALUE(J1054),'Site Info'!$A:$G,4,FALSE),"")</f>
        <v>SPARTANBURG</v>
      </c>
      <c r="M1054" t="str">
        <f>IFERROR(VLOOKUP(VALUE(J1054),'Site Info'!$A:$G,5,FALSE),"")</f>
        <v>SC</v>
      </c>
      <c r="N1054" t="str">
        <f>IFERROR(VLOOKUP(VALUE(J1054),'Site Info'!$A:$G,6,FALSE),"")</f>
        <v>29301-2586</v>
      </c>
      <c r="O1054">
        <f>IFERROR(VLOOKUP(VALUE(J1054),'Site Info'!$A:$G,7,FALSE),"")</f>
        <v>8645743480</v>
      </c>
    </row>
    <row r="1055" spans="1:15" x14ac:dyDescent="0.45">
      <c r="A1055" t="s">
        <v>8655</v>
      </c>
      <c r="B1055" t="s">
        <v>8656</v>
      </c>
      <c r="C1055" t="s">
        <v>8657</v>
      </c>
      <c r="D1055" t="s">
        <v>6936</v>
      </c>
      <c r="E1055" s="1">
        <v>46151.572974537034</v>
      </c>
      <c r="F1055">
        <v>1547</v>
      </c>
      <c r="G1055" t="s">
        <v>8658</v>
      </c>
      <c r="H1055" t="s">
        <v>15</v>
      </c>
      <c r="I1055" t="s">
        <v>6938</v>
      </c>
      <c r="J1055" t="str">
        <f>RIGHT(D1055,4)</f>
        <v>8142</v>
      </c>
      <c r="K1055" t="str">
        <f>IFERROR(VLOOKUP(VALUE(J1055),'Site Info'!$A:$G,3,FALSE),"")</f>
        <v>200 PEACHWOOD CENTRE DR</v>
      </c>
      <c r="L1055" t="str">
        <f>IFERROR(VLOOKUP(VALUE(J1055),'Site Info'!$A:$G,4,FALSE),"")</f>
        <v>SPARTANBURG</v>
      </c>
      <c r="M1055" t="str">
        <f>IFERROR(VLOOKUP(VALUE(J1055),'Site Info'!$A:$G,5,FALSE),"")</f>
        <v>SC</v>
      </c>
      <c r="N1055" t="str">
        <f>IFERROR(VLOOKUP(VALUE(J1055),'Site Info'!$A:$G,6,FALSE),"")</f>
        <v>29301-2586</v>
      </c>
      <c r="O1055">
        <f>IFERROR(VLOOKUP(VALUE(J1055),'Site Info'!$A:$G,7,FALSE),"")</f>
        <v>8645743480</v>
      </c>
    </row>
    <row r="1056" spans="1:15" x14ac:dyDescent="0.45">
      <c r="A1056" t="s">
        <v>8853</v>
      </c>
      <c r="B1056" t="s">
        <v>8854</v>
      </c>
      <c r="C1056" t="s">
        <v>8855</v>
      </c>
      <c r="D1056" t="s">
        <v>6936</v>
      </c>
      <c r="E1056" s="1">
        <v>46151.713680555556</v>
      </c>
      <c r="F1056">
        <v>1547</v>
      </c>
      <c r="G1056" t="s">
        <v>8856</v>
      </c>
      <c r="H1056" t="s">
        <v>15</v>
      </c>
      <c r="I1056" t="s">
        <v>6938</v>
      </c>
      <c r="J1056" t="str">
        <f>RIGHT(D1056,4)</f>
        <v>8142</v>
      </c>
      <c r="K1056" t="str">
        <f>IFERROR(VLOOKUP(VALUE(J1056),'Site Info'!$A:$G,3,FALSE),"")</f>
        <v>200 PEACHWOOD CENTRE DR</v>
      </c>
      <c r="L1056" t="str">
        <f>IFERROR(VLOOKUP(VALUE(J1056),'Site Info'!$A:$G,4,FALSE),"")</f>
        <v>SPARTANBURG</v>
      </c>
      <c r="M1056" t="str">
        <f>IFERROR(VLOOKUP(VALUE(J1056),'Site Info'!$A:$G,5,FALSE),"")</f>
        <v>SC</v>
      </c>
      <c r="N1056" t="str">
        <f>IFERROR(VLOOKUP(VALUE(J1056),'Site Info'!$A:$G,6,FALSE),"")</f>
        <v>29301-2586</v>
      </c>
      <c r="O1056">
        <f>IFERROR(VLOOKUP(VALUE(J1056),'Site Info'!$A:$G,7,FALSE),"")</f>
        <v>8645743480</v>
      </c>
    </row>
    <row r="1057" spans="1:15" x14ac:dyDescent="0.45">
      <c r="A1057" t="s">
        <v>7125</v>
      </c>
      <c r="B1057" t="s">
        <v>7126</v>
      </c>
      <c r="C1057" t="s">
        <v>7127</v>
      </c>
      <c r="D1057" t="s">
        <v>6936</v>
      </c>
      <c r="E1057" s="1">
        <v>46153.261956018519</v>
      </c>
      <c r="F1057">
        <v>1547</v>
      </c>
      <c r="G1057" t="s">
        <v>7128</v>
      </c>
      <c r="H1057" t="s">
        <v>15</v>
      </c>
      <c r="I1057" t="s">
        <v>6938</v>
      </c>
      <c r="J1057" t="str">
        <f>RIGHT(D1057,4)</f>
        <v>8142</v>
      </c>
      <c r="K1057" t="str">
        <f>IFERROR(VLOOKUP(VALUE(J1057),'Site Info'!$A:$G,3,FALSE),"")</f>
        <v>200 PEACHWOOD CENTRE DR</v>
      </c>
      <c r="L1057" t="str">
        <f>IFERROR(VLOOKUP(VALUE(J1057),'Site Info'!$A:$G,4,FALSE),"")</f>
        <v>SPARTANBURG</v>
      </c>
      <c r="M1057" t="str">
        <f>IFERROR(VLOOKUP(VALUE(J1057),'Site Info'!$A:$G,5,FALSE),"")</f>
        <v>SC</v>
      </c>
      <c r="N1057" t="str">
        <f>IFERROR(VLOOKUP(VALUE(J1057),'Site Info'!$A:$G,6,FALSE),"")</f>
        <v>29301-2586</v>
      </c>
      <c r="O1057">
        <f>IFERROR(VLOOKUP(VALUE(J1057),'Site Info'!$A:$G,7,FALSE),"")</f>
        <v>8645743480</v>
      </c>
    </row>
    <row r="1058" spans="1:15" x14ac:dyDescent="0.45">
      <c r="A1058" t="s">
        <v>8215</v>
      </c>
      <c r="B1058" t="s">
        <v>8216</v>
      </c>
      <c r="C1058" t="s">
        <v>8217</v>
      </c>
      <c r="D1058" t="s">
        <v>6936</v>
      </c>
      <c r="E1058" s="1">
        <v>46153.365810185183</v>
      </c>
      <c r="F1058">
        <v>1547</v>
      </c>
      <c r="G1058" t="s">
        <v>8218</v>
      </c>
      <c r="H1058" t="s">
        <v>15</v>
      </c>
      <c r="I1058" t="s">
        <v>6938</v>
      </c>
      <c r="J1058" t="str">
        <f>RIGHT(D1058,4)</f>
        <v>8142</v>
      </c>
      <c r="K1058" t="str">
        <f>IFERROR(VLOOKUP(VALUE(J1058),'Site Info'!$A:$G,3,FALSE),"")</f>
        <v>200 PEACHWOOD CENTRE DR</v>
      </c>
      <c r="L1058" t="str">
        <f>IFERROR(VLOOKUP(VALUE(J1058),'Site Info'!$A:$G,4,FALSE),"")</f>
        <v>SPARTANBURG</v>
      </c>
      <c r="M1058" t="str">
        <f>IFERROR(VLOOKUP(VALUE(J1058),'Site Info'!$A:$G,5,FALSE),"")</f>
        <v>SC</v>
      </c>
      <c r="N1058" t="str">
        <f>IFERROR(VLOOKUP(VALUE(J1058),'Site Info'!$A:$G,6,FALSE),"")</f>
        <v>29301-2586</v>
      </c>
      <c r="O1058">
        <f>IFERROR(VLOOKUP(VALUE(J1058),'Site Info'!$A:$G,7,FALSE),"")</f>
        <v>8645743480</v>
      </c>
    </row>
    <row r="1059" spans="1:15" x14ac:dyDescent="0.45">
      <c r="A1059" t="s">
        <v>6933</v>
      </c>
      <c r="B1059" t="s">
        <v>6934</v>
      </c>
      <c r="C1059" t="s">
        <v>6935</v>
      </c>
      <c r="D1059" t="s">
        <v>6936</v>
      </c>
      <c r="E1059" s="1">
        <v>46153.369375000002</v>
      </c>
      <c r="F1059">
        <v>1547</v>
      </c>
      <c r="G1059" t="s">
        <v>6937</v>
      </c>
      <c r="H1059" t="s">
        <v>15</v>
      </c>
      <c r="I1059" t="s">
        <v>6938</v>
      </c>
      <c r="J1059" t="str">
        <f>RIGHT(D1059,4)</f>
        <v>8142</v>
      </c>
      <c r="K1059" t="str">
        <f>IFERROR(VLOOKUP(VALUE(J1059),'Site Info'!$A:$G,3,FALSE),"")</f>
        <v>200 PEACHWOOD CENTRE DR</v>
      </c>
      <c r="L1059" t="str">
        <f>IFERROR(VLOOKUP(VALUE(J1059),'Site Info'!$A:$G,4,FALSE),"")</f>
        <v>SPARTANBURG</v>
      </c>
      <c r="M1059" t="str">
        <f>IFERROR(VLOOKUP(VALUE(J1059),'Site Info'!$A:$G,5,FALSE),"")</f>
        <v>SC</v>
      </c>
      <c r="N1059" t="str">
        <f>IFERROR(VLOOKUP(VALUE(J1059),'Site Info'!$A:$G,6,FALSE),"")</f>
        <v>29301-2586</v>
      </c>
      <c r="O1059">
        <f>IFERROR(VLOOKUP(VALUE(J1059),'Site Info'!$A:$G,7,FALSE),"")</f>
        <v>8645743480</v>
      </c>
    </row>
    <row r="1060" spans="1:15" x14ac:dyDescent="0.45">
      <c r="A1060" t="s">
        <v>11029</v>
      </c>
      <c r="B1060" t="s">
        <v>11030</v>
      </c>
      <c r="C1060" t="s">
        <v>11031</v>
      </c>
      <c r="D1060" t="s">
        <v>433</v>
      </c>
      <c r="E1060" s="1">
        <v>46149.948275462964</v>
      </c>
      <c r="F1060">
        <v>1547</v>
      </c>
      <c r="G1060" t="s">
        <v>11032</v>
      </c>
      <c r="H1060" t="s">
        <v>15</v>
      </c>
      <c r="I1060" t="s">
        <v>435</v>
      </c>
      <c r="J1060" t="str">
        <f>RIGHT(D1060,4)</f>
        <v>4787</v>
      </c>
      <c r="K1060" t="str">
        <f>IFERROR(VLOOKUP(VALUE(J1060),'Site Info'!$A:$G,3,FALSE),"")</f>
        <v>200 WEST AMERICAN BLVD</v>
      </c>
      <c r="L1060" t="str">
        <f>IFERROR(VLOOKUP(VALUE(J1060),'Site Info'!$A:$G,4,FALSE),"")</f>
        <v>BLOOMINGTON</v>
      </c>
      <c r="M1060" t="str">
        <f>IFERROR(VLOOKUP(VALUE(J1060),'Site Info'!$A:$G,5,FALSE),"")</f>
        <v>MN</v>
      </c>
      <c r="N1060" t="str">
        <f>IFERROR(VLOOKUP(VALUE(J1060),'Site Info'!$A:$G,6,FALSE),"")</f>
        <v>55420-1120</v>
      </c>
      <c r="O1060">
        <f>IFERROR(VLOOKUP(VALUE(J1060),'Site Info'!$A:$G,7,FALSE),"")</f>
        <v>9528881050</v>
      </c>
    </row>
    <row r="1061" spans="1:15" x14ac:dyDescent="0.45">
      <c r="A1061" t="s">
        <v>13111</v>
      </c>
      <c r="B1061" t="s">
        <v>13112</v>
      </c>
      <c r="C1061" t="s">
        <v>13113</v>
      </c>
      <c r="D1061" t="s">
        <v>433</v>
      </c>
      <c r="E1061" s="1">
        <v>46151.507199074076</v>
      </c>
      <c r="F1061">
        <v>1547</v>
      </c>
      <c r="G1061" t="s">
        <v>13114</v>
      </c>
      <c r="H1061" t="s">
        <v>15</v>
      </c>
      <c r="I1061" t="s">
        <v>435</v>
      </c>
      <c r="J1061" t="str">
        <f>RIGHT(D1061,4)</f>
        <v>4787</v>
      </c>
      <c r="K1061" t="str">
        <f>IFERROR(VLOOKUP(VALUE(J1061),'Site Info'!$A:$G,3,FALSE),"")</f>
        <v>200 WEST AMERICAN BLVD</v>
      </c>
      <c r="L1061" t="str">
        <f>IFERROR(VLOOKUP(VALUE(J1061),'Site Info'!$A:$G,4,FALSE),"")</f>
        <v>BLOOMINGTON</v>
      </c>
      <c r="M1061" t="str">
        <f>IFERROR(VLOOKUP(VALUE(J1061),'Site Info'!$A:$G,5,FALSE),"")</f>
        <v>MN</v>
      </c>
      <c r="N1061" t="str">
        <f>IFERROR(VLOOKUP(VALUE(J1061),'Site Info'!$A:$G,6,FALSE),"")</f>
        <v>55420-1120</v>
      </c>
      <c r="O1061">
        <f>IFERROR(VLOOKUP(VALUE(J1061),'Site Info'!$A:$G,7,FALSE),"")</f>
        <v>9528881050</v>
      </c>
    </row>
    <row r="1062" spans="1:15" x14ac:dyDescent="0.45">
      <c r="A1062" t="s">
        <v>5776</v>
      </c>
      <c r="B1062" t="s">
        <v>5777</v>
      </c>
      <c r="C1062" t="s">
        <v>5778</v>
      </c>
      <c r="D1062" t="s">
        <v>433</v>
      </c>
      <c r="E1062" s="1">
        <v>46151.597291666665</v>
      </c>
      <c r="F1062">
        <v>1547</v>
      </c>
      <c r="G1062" t="s">
        <v>5779</v>
      </c>
      <c r="H1062" t="s">
        <v>15</v>
      </c>
      <c r="I1062" t="s">
        <v>435</v>
      </c>
      <c r="J1062" t="str">
        <f>RIGHT(D1062,4)</f>
        <v>4787</v>
      </c>
      <c r="K1062" t="str">
        <f>IFERROR(VLOOKUP(VALUE(J1062),'Site Info'!$A:$G,3,FALSE),"")</f>
        <v>200 WEST AMERICAN BLVD</v>
      </c>
      <c r="L1062" t="str">
        <f>IFERROR(VLOOKUP(VALUE(J1062),'Site Info'!$A:$G,4,FALSE),"")</f>
        <v>BLOOMINGTON</v>
      </c>
      <c r="M1062" t="str">
        <f>IFERROR(VLOOKUP(VALUE(J1062),'Site Info'!$A:$G,5,FALSE),"")</f>
        <v>MN</v>
      </c>
      <c r="N1062" t="str">
        <f>IFERROR(VLOOKUP(VALUE(J1062),'Site Info'!$A:$G,6,FALSE),"")</f>
        <v>55420-1120</v>
      </c>
      <c r="O1062">
        <f>IFERROR(VLOOKUP(VALUE(J1062),'Site Info'!$A:$G,7,FALSE),"")</f>
        <v>9528881050</v>
      </c>
    </row>
    <row r="1063" spans="1:15" x14ac:dyDescent="0.45">
      <c r="A1063" t="s">
        <v>9633</v>
      </c>
      <c r="B1063" t="s">
        <v>9634</v>
      </c>
      <c r="C1063" t="s">
        <v>9635</v>
      </c>
      <c r="D1063" t="s">
        <v>433</v>
      </c>
      <c r="E1063" s="1">
        <v>46152.54923611111</v>
      </c>
      <c r="F1063">
        <v>1547</v>
      </c>
      <c r="G1063" t="s">
        <v>9636</v>
      </c>
      <c r="H1063" t="s">
        <v>15</v>
      </c>
      <c r="I1063" t="s">
        <v>435</v>
      </c>
      <c r="J1063" t="str">
        <f>RIGHT(D1063,4)</f>
        <v>4787</v>
      </c>
      <c r="K1063" t="str">
        <f>IFERROR(VLOOKUP(VALUE(J1063),'Site Info'!$A:$G,3,FALSE),"")</f>
        <v>200 WEST AMERICAN BLVD</v>
      </c>
      <c r="L1063" t="str">
        <f>IFERROR(VLOOKUP(VALUE(J1063),'Site Info'!$A:$G,4,FALSE),"")</f>
        <v>BLOOMINGTON</v>
      </c>
      <c r="M1063" t="str">
        <f>IFERROR(VLOOKUP(VALUE(J1063),'Site Info'!$A:$G,5,FALSE),"")</f>
        <v>MN</v>
      </c>
      <c r="N1063" t="str">
        <f>IFERROR(VLOOKUP(VALUE(J1063),'Site Info'!$A:$G,6,FALSE),"")</f>
        <v>55420-1120</v>
      </c>
      <c r="O1063">
        <f>IFERROR(VLOOKUP(VALUE(J1063),'Site Info'!$A:$G,7,FALSE),"")</f>
        <v>9528881050</v>
      </c>
    </row>
    <row r="1064" spans="1:15" x14ac:dyDescent="0.45">
      <c r="A1064" t="s">
        <v>11968</v>
      </c>
      <c r="B1064" t="s">
        <v>11969</v>
      </c>
      <c r="C1064" t="s">
        <v>11970</v>
      </c>
      <c r="D1064" t="s">
        <v>433</v>
      </c>
      <c r="E1064" s="1">
        <v>46152.792812500003</v>
      </c>
      <c r="F1064">
        <v>1547</v>
      </c>
      <c r="G1064" t="s">
        <v>11971</v>
      </c>
      <c r="H1064" t="s">
        <v>15</v>
      </c>
      <c r="I1064" t="s">
        <v>435</v>
      </c>
      <c r="J1064" t="str">
        <f>RIGHT(D1064,4)</f>
        <v>4787</v>
      </c>
      <c r="K1064" t="str">
        <f>IFERROR(VLOOKUP(VALUE(J1064),'Site Info'!$A:$G,3,FALSE),"")</f>
        <v>200 WEST AMERICAN BLVD</v>
      </c>
      <c r="L1064" t="str">
        <f>IFERROR(VLOOKUP(VALUE(J1064),'Site Info'!$A:$G,4,FALSE),"")</f>
        <v>BLOOMINGTON</v>
      </c>
      <c r="M1064" t="str">
        <f>IFERROR(VLOOKUP(VALUE(J1064),'Site Info'!$A:$G,5,FALSE),"")</f>
        <v>MN</v>
      </c>
      <c r="N1064" t="str">
        <f>IFERROR(VLOOKUP(VALUE(J1064),'Site Info'!$A:$G,6,FALSE),"")</f>
        <v>55420-1120</v>
      </c>
      <c r="O1064">
        <f>IFERROR(VLOOKUP(VALUE(J1064),'Site Info'!$A:$G,7,FALSE),"")</f>
        <v>9528881050</v>
      </c>
    </row>
    <row r="1065" spans="1:15" x14ac:dyDescent="0.45">
      <c r="A1065" t="s">
        <v>9569</v>
      </c>
      <c r="B1065" t="s">
        <v>9570</v>
      </c>
      <c r="C1065" t="s">
        <v>9571</v>
      </c>
      <c r="D1065" t="s">
        <v>433</v>
      </c>
      <c r="E1065" s="1">
        <v>46153.331990740742</v>
      </c>
      <c r="F1065">
        <v>1547</v>
      </c>
      <c r="G1065" t="s">
        <v>9572</v>
      </c>
      <c r="H1065" t="s">
        <v>15</v>
      </c>
      <c r="I1065" t="s">
        <v>435</v>
      </c>
      <c r="J1065" t="str">
        <f>RIGHT(D1065,4)</f>
        <v>4787</v>
      </c>
      <c r="K1065" t="str">
        <f>IFERROR(VLOOKUP(VALUE(J1065),'Site Info'!$A:$G,3,FALSE),"")</f>
        <v>200 WEST AMERICAN BLVD</v>
      </c>
      <c r="L1065" t="str">
        <f>IFERROR(VLOOKUP(VALUE(J1065),'Site Info'!$A:$G,4,FALSE),"")</f>
        <v>BLOOMINGTON</v>
      </c>
      <c r="M1065" t="str">
        <f>IFERROR(VLOOKUP(VALUE(J1065),'Site Info'!$A:$G,5,FALSE),"")</f>
        <v>MN</v>
      </c>
      <c r="N1065" t="str">
        <f>IFERROR(VLOOKUP(VALUE(J1065),'Site Info'!$A:$G,6,FALSE),"")</f>
        <v>55420-1120</v>
      </c>
      <c r="O1065">
        <f>IFERROR(VLOOKUP(VALUE(J1065),'Site Info'!$A:$G,7,FALSE),"")</f>
        <v>9528881050</v>
      </c>
    </row>
    <row r="1066" spans="1:15" x14ac:dyDescent="0.45">
      <c r="A1066" t="s">
        <v>430</v>
      </c>
      <c r="B1066" t="s">
        <v>431</v>
      </c>
      <c r="C1066" t="s">
        <v>432</v>
      </c>
      <c r="D1066" t="s">
        <v>433</v>
      </c>
      <c r="E1066" s="1">
        <v>46153.357800925929</v>
      </c>
      <c r="F1066">
        <v>1481</v>
      </c>
      <c r="G1066" t="s">
        <v>434</v>
      </c>
      <c r="H1066" t="s">
        <v>15</v>
      </c>
      <c r="I1066" t="s">
        <v>435</v>
      </c>
      <c r="J1066" t="str">
        <f>RIGHT(D1066,4)</f>
        <v>4787</v>
      </c>
      <c r="K1066" t="str">
        <f>IFERROR(VLOOKUP(VALUE(J1066),'Site Info'!$A:$G,3,FALSE),"")</f>
        <v>200 WEST AMERICAN BLVD</v>
      </c>
      <c r="L1066" t="str">
        <f>IFERROR(VLOOKUP(VALUE(J1066),'Site Info'!$A:$G,4,FALSE),"")</f>
        <v>BLOOMINGTON</v>
      </c>
      <c r="M1066" t="str">
        <f>IFERROR(VLOOKUP(VALUE(J1066),'Site Info'!$A:$G,5,FALSE),"")</f>
        <v>MN</v>
      </c>
      <c r="N1066" t="str">
        <f>IFERROR(VLOOKUP(VALUE(J1066),'Site Info'!$A:$G,6,FALSE),"")</f>
        <v>55420-1120</v>
      </c>
      <c r="O1066">
        <f>IFERROR(VLOOKUP(VALUE(J1066),'Site Info'!$A:$G,7,FALSE),"")</f>
        <v>9528881050</v>
      </c>
    </row>
    <row r="1067" spans="1:15" x14ac:dyDescent="0.45">
      <c r="A1067" t="s">
        <v>8989</v>
      </c>
      <c r="B1067" t="s">
        <v>8990</v>
      </c>
      <c r="C1067" t="s">
        <v>8991</v>
      </c>
      <c r="D1067" t="s">
        <v>7598</v>
      </c>
      <c r="E1067" s="1">
        <v>46151.121967592589</v>
      </c>
      <c r="F1067">
        <v>1547</v>
      </c>
      <c r="G1067" t="s">
        <v>8992</v>
      </c>
      <c r="H1067" t="s">
        <v>15</v>
      </c>
      <c r="I1067" t="s">
        <v>7600</v>
      </c>
      <c r="J1067" t="str">
        <f>RIGHT(D1067,4)</f>
        <v>6670</v>
      </c>
      <c r="K1067" t="str">
        <f>IFERROR(VLOOKUP(VALUE(J1067),'Site Info'!$A:$G,3,FALSE),"")</f>
        <v>2000 CLEMENTS BRG RD STE 116</v>
      </c>
      <c r="L1067" t="str">
        <f>IFERROR(VLOOKUP(VALUE(J1067),'Site Info'!$A:$G,4,FALSE),"")</f>
        <v>DEPTFORD</v>
      </c>
      <c r="M1067" t="str">
        <f>IFERROR(VLOOKUP(VALUE(J1067),'Site Info'!$A:$G,5,FALSE),"")</f>
        <v>NJ</v>
      </c>
      <c r="N1067" t="str">
        <f>IFERROR(VLOOKUP(VALUE(J1067),'Site Info'!$A:$G,6,FALSE),"")</f>
        <v>08096-2016</v>
      </c>
      <c r="O1067">
        <f>IFERROR(VLOOKUP(VALUE(J1067),'Site Info'!$A:$G,7,FALSE),"")</f>
        <v>8568530219</v>
      </c>
    </row>
    <row r="1068" spans="1:15" x14ac:dyDescent="0.45">
      <c r="A1068" t="s">
        <v>7753</v>
      </c>
      <c r="B1068" t="s">
        <v>7754</v>
      </c>
      <c r="C1068" t="s">
        <v>7755</v>
      </c>
      <c r="D1068" t="s">
        <v>7598</v>
      </c>
      <c r="E1068" s="1">
        <v>46152.62636574074</v>
      </c>
      <c r="F1068">
        <v>1547</v>
      </c>
      <c r="G1068" t="s">
        <v>7756</v>
      </c>
      <c r="H1068" t="s">
        <v>15</v>
      </c>
      <c r="I1068" t="s">
        <v>7600</v>
      </c>
      <c r="J1068" t="str">
        <f>RIGHT(D1068,4)</f>
        <v>6670</v>
      </c>
      <c r="K1068" t="str">
        <f>IFERROR(VLOOKUP(VALUE(J1068),'Site Info'!$A:$G,3,FALSE),"")</f>
        <v>2000 CLEMENTS BRG RD STE 116</v>
      </c>
      <c r="L1068" t="str">
        <f>IFERROR(VLOOKUP(VALUE(J1068),'Site Info'!$A:$G,4,FALSE),"")</f>
        <v>DEPTFORD</v>
      </c>
      <c r="M1068" t="str">
        <f>IFERROR(VLOOKUP(VALUE(J1068),'Site Info'!$A:$G,5,FALSE),"")</f>
        <v>NJ</v>
      </c>
      <c r="N1068" t="str">
        <f>IFERROR(VLOOKUP(VALUE(J1068),'Site Info'!$A:$G,6,FALSE),"")</f>
        <v>08096-2016</v>
      </c>
      <c r="O1068">
        <f>IFERROR(VLOOKUP(VALUE(J1068),'Site Info'!$A:$G,7,FALSE),"")</f>
        <v>8568530219</v>
      </c>
    </row>
    <row r="1069" spans="1:15" x14ac:dyDescent="0.45">
      <c r="A1069" t="s">
        <v>7595</v>
      </c>
      <c r="B1069" t="s">
        <v>7596</v>
      </c>
      <c r="C1069" t="s">
        <v>7597</v>
      </c>
      <c r="D1069" t="s">
        <v>7598</v>
      </c>
      <c r="E1069" s="1">
        <v>46152.648148148146</v>
      </c>
      <c r="F1069">
        <v>1547</v>
      </c>
      <c r="G1069" t="s">
        <v>7599</v>
      </c>
      <c r="H1069" t="s">
        <v>15</v>
      </c>
      <c r="I1069" t="s">
        <v>7600</v>
      </c>
      <c r="J1069" t="str">
        <f>RIGHT(D1069,4)</f>
        <v>6670</v>
      </c>
      <c r="K1069" t="str">
        <f>IFERROR(VLOOKUP(VALUE(J1069),'Site Info'!$A:$G,3,FALSE),"")</f>
        <v>2000 CLEMENTS BRG RD STE 116</v>
      </c>
      <c r="L1069" t="str">
        <f>IFERROR(VLOOKUP(VALUE(J1069),'Site Info'!$A:$G,4,FALSE),"")</f>
        <v>DEPTFORD</v>
      </c>
      <c r="M1069" t="str">
        <f>IFERROR(VLOOKUP(VALUE(J1069),'Site Info'!$A:$G,5,FALSE),"")</f>
        <v>NJ</v>
      </c>
      <c r="N1069" t="str">
        <f>IFERROR(VLOOKUP(VALUE(J1069),'Site Info'!$A:$G,6,FALSE),"")</f>
        <v>08096-2016</v>
      </c>
      <c r="O1069">
        <f>IFERROR(VLOOKUP(VALUE(J1069),'Site Info'!$A:$G,7,FALSE),"")</f>
        <v>8568530219</v>
      </c>
    </row>
    <row r="1070" spans="1:15" x14ac:dyDescent="0.45">
      <c r="A1070" t="s">
        <v>7657</v>
      </c>
      <c r="B1070" t="s">
        <v>7658</v>
      </c>
      <c r="C1070" t="s">
        <v>7659</v>
      </c>
      <c r="D1070" t="s">
        <v>7598</v>
      </c>
      <c r="E1070" s="1">
        <v>46153.244780092595</v>
      </c>
      <c r="F1070">
        <v>1547</v>
      </c>
      <c r="G1070" t="s">
        <v>7660</v>
      </c>
      <c r="H1070" t="s">
        <v>15</v>
      </c>
      <c r="I1070" t="s">
        <v>7600</v>
      </c>
      <c r="J1070" t="str">
        <f>RIGHT(D1070,4)</f>
        <v>6670</v>
      </c>
      <c r="K1070" t="str">
        <f>IFERROR(VLOOKUP(VALUE(J1070),'Site Info'!$A:$G,3,FALSE),"")</f>
        <v>2000 CLEMENTS BRG RD STE 116</v>
      </c>
      <c r="L1070" t="str">
        <f>IFERROR(VLOOKUP(VALUE(J1070),'Site Info'!$A:$G,4,FALSE),"")</f>
        <v>DEPTFORD</v>
      </c>
      <c r="M1070" t="str">
        <f>IFERROR(VLOOKUP(VALUE(J1070),'Site Info'!$A:$G,5,FALSE),"")</f>
        <v>NJ</v>
      </c>
      <c r="N1070" t="str">
        <f>IFERROR(VLOOKUP(VALUE(J1070),'Site Info'!$A:$G,6,FALSE),"")</f>
        <v>08096-2016</v>
      </c>
      <c r="O1070">
        <f>IFERROR(VLOOKUP(VALUE(J1070),'Site Info'!$A:$G,7,FALSE),"")</f>
        <v>8568530219</v>
      </c>
    </row>
    <row r="1071" spans="1:15" x14ac:dyDescent="0.45">
      <c r="A1071" t="s">
        <v>6380</v>
      </c>
      <c r="B1071" t="s">
        <v>6381</v>
      </c>
      <c r="C1071" t="s">
        <v>6382</v>
      </c>
      <c r="D1071" t="s">
        <v>3666</v>
      </c>
      <c r="E1071" s="1">
        <v>46145.439780092594</v>
      </c>
      <c r="F1071">
        <v>1547</v>
      </c>
      <c r="G1071" t="s">
        <v>6383</v>
      </c>
      <c r="H1071" t="s">
        <v>15</v>
      </c>
      <c r="I1071" t="s">
        <v>3668</v>
      </c>
      <c r="J1071" t="str">
        <f>RIGHT(D1071,4)</f>
        <v>4952</v>
      </c>
      <c r="K1071" t="str">
        <f>IFERROR(VLOOKUP(VALUE(J1071),'Site Info'!$A:$G,3,FALSE),"")</f>
        <v>2000 VILLAGE CENTER DR</v>
      </c>
      <c r="L1071" t="str">
        <f>IFERROR(VLOOKUP(VALUE(J1071),'Site Info'!$A:$G,4,FALSE),"")</f>
        <v>TARENTUM</v>
      </c>
      <c r="M1071" t="str">
        <f>IFERROR(VLOOKUP(VALUE(J1071),'Site Info'!$A:$G,5,FALSE),"")</f>
        <v>PA</v>
      </c>
      <c r="N1071" t="str">
        <f>IFERROR(VLOOKUP(VALUE(J1071),'Site Info'!$A:$G,6,FALSE),"")</f>
        <v>15084-3844</v>
      </c>
      <c r="O1071">
        <f>IFERROR(VLOOKUP(VALUE(J1071),'Site Info'!$A:$G,7,FALSE),"")</f>
        <v>7242741734</v>
      </c>
    </row>
    <row r="1072" spans="1:15" x14ac:dyDescent="0.45">
      <c r="A1072" t="s">
        <v>11142</v>
      </c>
      <c r="B1072" t="s">
        <v>11143</v>
      </c>
      <c r="C1072" t="s">
        <v>11144</v>
      </c>
      <c r="D1072" t="s">
        <v>3666</v>
      </c>
      <c r="E1072" s="1">
        <v>46151.475763888891</v>
      </c>
      <c r="F1072">
        <v>1547</v>
      </c>
      <c r="G1072" t="s">
        <v>11145</v>
      </c>
      <c r="H1072" t="s">
        <v>15</v>
      </c>
      <c r="I1072" t="s">
        <v>3668</v>
      </c>
      <c r="J1072" t="str">
        <f>RIGHT(D1072,4)</f>
        <v>4952</v>
      </c>
      <c r="K1072" t="str">
        <f>IFERROR(VLOOKUP(VALUE(J1072),'Site Info'!$A:$G,3,FALSE),"")</f>
        <v>2000 VILLAGE CENTER DR</v>
      </c>
      <c r="L1072" t="str">
        <f>IFERROR(VLOOKUP(VALUE(J1072),'Site Info'!$A:$G,4,FALSE),"")</f>
        <v>TARENTUM</v>
      </c>
      <c r="M1072" t="str">
        <f>IFERROR(VLOOKUP(VALUE(J1072),'Site Info'!$A:$G,5,FALSE),"")</f>
        <v>PA</v>
      </c>
      <c r="N1072" t="str">
        <f>IFERROR(VLOOKUP(VALUE(J1072),'Site Info'!$A:$G,6,FALSE),"")</f>
        <v>15084-3844</v>
      </c>
      <c r="O1072">
        <f>IFERROR(VLOOKUP(VALUE(J1072),'Site Info'!$A:$G,7,FALSE),"")</f>
        <v>7242741734</v>
      </c>
    </row>
    <row r="1073" spans="1:15" x14ac:dyDescent="0.45">
      <c r="A1073" t="s">
        <v>10416</v>
      </c>
      <c r="B1073" t="s">
        <v>10417</v>
      </c>
      <c r="C1073" t="s">
        <v>10418</v>
      </c>
      <c r="D1073" t="s">
        <v>3666</v>
      </c>
      <c r="E1073" s="1">
        <v>46153.362766203703</v>
      </c>
      <c r="F1073">
        <v>1547</v>
      </c>
      <c r="G1073" t="s">
        <v>10419</v>
      </c>
      <c r="H1073" t="s">
        <v>15</v>
      </c>
      <c r="I1073" t="s">
        <v>3668</v>
      </c>
      <c r="J1073" t="str">
        <f>RIGHT(D1073,4)</f>
        <v>4952</v>
      </c>
      <c r="K1073" t="str">
        <f>IFERROR(VLOOKUP(VALUE(J1073),'Site Info'!$A:$G,3,FALSE),"")</f>
        <v>2000 VILLAGE CENTER DR</v>
      </c>
      <c r="L1073" t="str">
        <f>IFERROR(VLOOKUP(VALUE(J1073),'Site Info'!$A:$G,4,FALSE),"")</f>
        <v>TARENTUM</v>
      </c>
      <c r="M1073" t="str">
        <f>IFERROR(VLOOKUP(VALUE(J1073),'Site Info'!$A:$G,5,FALSE),"")</f>
        <v>PA</v>
      </c>
      <c r="N1073" t="str">
        <f>IFERROR(VLOOKUP(VALUE(J1073),'Site Info'!$A:$G,6,FALSE),"")</f>
        <v>15084-3844</v>
      </c>
      <c r="O1073">
        <f>IFERROR(VLOOKUP(VALUE(J1073),'Site Info'!$A:$G,7,FALSE),"")</f>
        <v>7242741734</v>
      </c>
    </row>
    <row r="1074" spans="1:15" x14ac:dyDescent="0.45">
      <c r="A1074" t="s">
        <v>6258</v>
      </c>
      <c r="B1074" t="s">
        <v>6259</v>
      </c>
      <c r="C1074" t="s">
        <v>6260</v>
      </c>
      <c r="D1074" t="s">
        <v>3666</v>
      </c>
      <c r="E1074" s="1">
        <v>46153.365520833337</v>
      </c>
      <c r="F1074">
        <v>1547</v>
      </c>
      <c r="G1074" t="s">
        <v>6261</v>
      </c>
      <c r="H1074" t="s">
        <v>15</v>
      </c>
      <c r="I1074" t="s">
        <v>3668</v>
      </c>
      <c r="J1074" t="str">
        <f>RIGHT(D1074,4)</f>
        <v>4952</v>
      </c>
      <c r="K1074" t="str">
        <f>IFERROR(VLOOKUP(VALUE(J1074),'Site Info'!$A:$G,3,FALSE),"")</f>
        <v>2000 VILLAGE CENTER DR</v>
      </c>
      <c r="L1074" t="str">
        <f>IFERROR(VLOOKUP(VALUE(J1074),'Site Info'!$A:$G,4,FALSE),"")</f>
        <v>TARENTUM</v>
      </c>
      <c r="M1074" t="str">
        <f>IFERROR(VLOOKUP(VALUE(J1074),'Site Info'!$A:$G,5,FALSE),"")</f>
        <v>PA</v>
      </c>
      <c r="N1074" t="str">
        <f>IFERROR(VLOOKUP(VALUE(J1074),'Site Info'!$A:$G,6,FALSE),"")</f>
        <v>15084-3844</v>
      </c>
      <c r="O1074">
        <f>IFERROR(VLOOKUP(VALUE(J1074),'Site Info'!$A:$G,7,FALSE),"")</f>
        <v>7242741734</v>
      </c>
    </row>
    <row r="1075" spans="1:15" x14ac:dyDescent="0.45">
      <c r="A1075" t="s">
        <v>6328</v>
      </c>
      <c r="B1075" t="s">
        <v>6329</v>
      </c>
      <c r="C1075" t="s">
        <v>6330</v>
      </c>
      <c r="D1075" t="s">
        <v>3666</v>
      </c>
      <c r="E1075" s="1">
        <v>46153.371412037035</v>
      </c>
      <c r="F1075">
        <v>1547</v>
      </c>
      <c r="G1075" t="s">
        <v>6331</v>
      </c>
      <c r="H1075" t="s">
        <v>15</v>
      </c>
      <c r="I1075" t="s">
        <v>3668</v>
      </c>
      <c r="J1075" t="str">
        <f>RIGHT(D1075,4)</f>
        <v>4952</v>
      </c>
      <c r="K1075" t="str">
        <f>IFERROR(VLOOKUP(VALUE(J1075),'Site Info'!$A:$G,3,FALSE),"")</f>
        <v>2000 VILLAGE CENTER DR</v>
      </c>
      <c r="L1075" t="str">
        <f>IFERROR(VLOOKUP(VALUE(J1075),'Site Info'!$A:$G,4,FALSE),"")</f>
        <v>TARENTUM</v>
      </c>
      <c r="M1075" t="str">
        <f>IFERROR(VLOOKUP(VALUE(J1075),'Site Info'!$A:$G,5,FALSE),"")</f>
        <v>PA</v>
      </c>
      <c r="N1075" t="str">
        <f>IFERROR(VLOOKUP(VALUE(J1075),'Site Info'!$A:$G,6,FALSE),"")</f>
        <v>15084-3844</v>
      </c>
      <c r="O1075">
        <f>IFERROR(VLOOKUP(VALUE(J1075),'Site Info'!$A:$G,7,FALSE),"")</f>
        <v>7242741734</v>
      </c>
    </row>
    <row r="1076" spans="1:15" x14ac:dyDescent="0.45">
      <c r="A1076" t="s">
        <v>6294</v>
      </c>
      <c r="B1076" t="s">
        <v>6295</v>
      </c>
      <c r="C1076" t="s">
        <v>6296</v>
      </c>
      <c r="D1076" t="s">
        <v>3666</v>
      </c>
      <c r="E1076" s="1">
        <v>46153.373668981483</v>
      </c>
      <c r="F1076">
        <v>1547</v>
      </c>
      <c r="G1076" t="s">
        <v>6297</v>
      </c>
      <c r="H1076" t="s">
        <v>15</v>
      </c>
      <c r="I1076" t="s">
        <v>3668</v>
      </c>
      <c r="J1076" t="str">
        <f>RIGHT(D1076,4)</f>
        <v>4952</v>
      </c>
      <c r="K1076" t="str">
        <f>IFERROR(VLOOKUP(VALUE(J1076),'Site Info'!$A:$G,3,FALSE),"")</f>
        <v>2000 VILLAGE CENTER DR</v>
      </c>
      <c r="L1076" t="str">
        <f>IFERROR(VLOOKUP(VALUE(J1076),'Site Info'!$A:$G,4,FALSE),"")</f>
        <v>TARENTUM</v>
      </c>
      <c r="M1076" t="str">
        <f>IFERROR(VLOOKUP(VALUE(J1076),'Site Info'!$A:$G,5,FALSE),"")</f>
        <v>PA</v>
      </c>
      <c r="N1076" t="str">
        <f>IFERROR(VLOOKUP(VALUE(J1076),'Site Info'!$A:$G,6,FALSE),"")</f>
        <v>15084-3844</v>
      </c>
      <c r="O1076">
        <f>IFERROR(VLOOKUP(VALUE(J1076),'Site Info'!$A:$G,7,FALSE),"")</f>
        <v>7242741734</v>
      </c>
    </row>
    <row r="1077" spans="1:15" x14ac:dyDescent="0.45">
      <c r="A1077" t="s">
        <v>3663</v>
      </c>
      <c r="B1077" t="s">
        <v>3664</v>
      </c>
      <c r="C1077" t="s">
        <v>3665</v>
      </c>
      <c r="D1077" t="s">
        <v>3666</v>
      </c>
      <c r="E1077" s="1">
        <v>46152.145520833335</v>
      </c>
      <c r="F1077">
        <v>1481</v>
      </c>
      <c r="G1077" t="s">
        <v>3667</v>
      </c>
      <c r="H1077" t="s">
        <v>15</v>
      </c>
      <c r="I1077" t="s">
        <v>3668</v>
      </c>
      <c r="J1077" t="str">
        <f>RIGHT(D1077,4)</f>
        <v>4952</v>
      </c>
      <c r="K1077" t="str">
        <f>IFERROR(VLOOKUP(VALUE(J1077),'Site Info'!$A:$G,3,FALSE),"")</f>
        <v>2000 VILLAGE CENTER DR</v>
      </c>
      <c r="L1077" t="str">
        <f>IFERROR(VLOOKUP(VALUE(J1077),'Site Info'!$A:$G,4,FALSE),"")</f>
        <v>TARENTUM</v>
      </c>
      <c r="M1077" t="str">
        <f>IFERROR(VLOOKUP(VALUE(J1077),'Site Info'!$A:$G,5,FALSE),"")</f>
        <v>PA</v>
      </c>
      <c r="N1077" t="str">
        <f>IFERROR(VLOOKUP(VALUE(J1077),'Site Info'!$A:$G,6,FALSE),"")</f>
        <v>15084-3844</v>
      </c>
      <c r="O1077">
        <f>IFERROR(VLOOKUP(VALUE(J1077),'Site Info'!$A:$G,7,FALSE),"")</f>
        <v>7242741734</v>
      </c>
    </row>
    <row r="1078" spans="1:15" x14ac:dyDescent="0.45">
      <c r="A1078" t="s">
        <v>16554</v>
      </c>
      <c r="B1078" t="s">
        <v>16555</v>
      </c>
      <c r="C1078" t="s">
        <v>16556</v>
      </c>
      <c r="D1078" t="s">
        <v>3666</v>
      </c>
      <c r="E1078" s="1">
        <v>46152.253101851849</v>
      </c>
      <c r="F1078">
        <v>1481</v>
      </c>
      <c r="G1078" t="s">
        <v>16557</v>
      </c>
      <c r="H1078" t="s">
        <v>15</v>
      </c>
      <c r="I1078" t="s">
        <v>3668</v>
      </c>
      <c r="J1078" t="str">
        <f>RIGHT(D1078,4)</f>
        <v>4952</v>
      </c>
      <c r="K1078" t="str">
        <f>IFERROR(VLOOKUP(VALUE(J1078),'Site Info'!$A:$G,3,FALSE),"")</f>
        <v>2000 VILLAGE CENTER DR</v>
      </c>
      <c r="L1078" t="str">
        <f>IFERROR(VLOOKUP(VALUE(J1078),'Site Info'!$A:$G,4,FALSE),"")</f>
        <v>TARENTUM</v>
      </c>
      <c r="M1078" t="str">
        <f>IFERROR(VLOOKUP(VALUE(J1078),'Site Info'!$A:$G,5,FALSE),"")</f>
        <v>PA</v>
      </c>
      <c r="N1078" t="str">
        <f>IFERROR(VLOOKUP(VALUE(J1078),'Site Info'!$A:$G,6,FALSE),"")</f>
        <v>15084-3844</v>
      </c>
      <c r="O1078">
        <f>IFERROR(VLOOKUP(VALUE(J1078),'Site Info'!$A:$G,7,FALSE),"")</f>
        <v>7242741734</v>
      </c>
    </row>
    <row r="1079" spans="1:15" x14ac:dyDescent="0.45">
      <c r="A1079" t="s">
        <v>12668</v>
      </c>
      <c r="B1079" t="s">
        <v>12669</v>
      </c>
      <c r="C1079" t="s">
        <v>12670</v>
      </c>
      <c r="D1079" t="s">
        <v>63</v>
      </c>
      <c r="E1079" s="1">
        <v>46151.452951388892</v>
      </c>
      <c r="F1079">
        <v>1547</v>
      </c>
      <c r="G1079" t="s">
        <v>12671</v>
      </c>
      <c r="H1079" t="s">
        <v>15</v>
      </c>
      <c r="I1079" t="s">
        <v>65</v>
      </c>
      <c r="J1079" t="str">
        <f>RIGHT(D1079,4)</f>
        <v>6421</v>
      </c>
      <c r="K1079" t="str">
        <f>IFERROR(VLOOKUP(VALUE(J1079),'Site Info'!$A:$G,3,FALSE),"")</f>
        <v>2000 WESTVIEW BLVD</v>
      </c>
      <c r="L1079" t="str">
        <f>IFERROR(VLOOKUP(VALUE(J1079),'Site Info'!$A:$G,4,FALSE),"")</f>
        <v>CONROE</v>
      </c>
      <c r="M1079" t="str">
        <f>IFERROR(VLOOKUP(VALUE(J1079),'Site Info'!$A:$G,5,FALSE),"")</f>
        <v>TX</v>
      </c>
      <c r="N1079" t="str">
        <f>IFERROR(VLOOKUP(VALUE(J1079),'Site Info'!$A:$G,6,FALSE),"")</f>
        <v>77304-3561</v>
      </c>
      <c r="O1079">
        <f>IFERROR(VLOOKUP(VALUE(J1079),'Site Info'!$A:$G,7,FALSE),"")</f>
        <v>9367565778</v>
      </c>
    </row>
    <row r="1080" spans="1:15" x14ac:dyDescent="0.45">
      <c r="A1080" t="s">
        <v>9741</v>
      </c>
      <c r="B1080" t="s">
        <v>9742</v>
      </c>
      <c r="C1080" t="s">
        <v>9743</v>
      </c>
      <c r="D1080" t="s">
        <v>63</v>
      </c>
      <c r="E1080" s="1">
        <v>46152.662916666668</v>
      </c>
      <c r="F1080">
        <v>1547</v>
      </c>
      <c r="G1080" t="s">
        <v>9744</v>
      </c>
      <c r="H1080" t="s">
        <v>15</v>
      </c>
      <c r="I1080" t="s">
        <v>65</v>
      </c>
      <c r="J1080" t="str">
        <f>RIGHT(D1080,4)</f>
        <v>6421</v>
      </c>
      <c r="K1080" t="str">
        <f>IFERROR(VLOOKUP(VALUE(J1080),'Site Info'!$A:$G,3,FALSE),"")</f>
        <v>2000 WESTVIEW BLVD</v>
      </c>
      <c r="L1080" t="str">
        <f>IFERROR(VLOOKUP(VALUE(J1080),'Site Info'!$A:$G,4,FALSE),"")</f>
        <v>CONROE</v>
      </c>
      <c r="M1080" t="str">
        <f>IFERROR(VLOOKUP(VALUE(J1080),'Site Info'!$A:$G,5,FALSE),"")</f>
        <v>TX</v>
      </c>
      <c r="N1080" t="str">
        <f>IFERROR(VLOOKUP(VALUE(J1080),'Site Info'!$A:$G,6,FALSE),"")</f>
        <v>77304-3561</v>
      </c>
      <c r="O1080">
        <f>IFERROR(VLOOKUP(VALUE(J1080),'Site Info'!$A:$G,7,FALSE),"")</f>
        <v>9367565778</v>
      </c>
    </row>
    <row r="1081" spans="1:15" x14ac:dyDescent="0.45">
      <c r="A1081" t="s">
        <v>10793</v>
      </c>
      <c r="B1081" t="s">
        <v>10794</v>
      </c>
      <c r="C1081" t="s">
        <v>10795</v>
      </c>
      <c r="D1081" t="s">
        <v>63</v>
      </c>
      <c r="E1081" s="1">
        <v>46153.353460648148</v>
      </c>
      <c r="F1081">
        <v>1547</v>
      </c>
      <c r="G1081" t="s">
        <v>10796</v>
      </c>
      <c r="H1081" t="s">
        <v>15</v>
      </c>
      <c r="I1081" t="s">
        <v>65</v>
      </c>
      <c r="J1081" t="str">
        <f>RIGHT(D1081,4)</f>
        <v>6421</v>
      </c>
      <c r="K1081" t="str">
        <f>IFERROR(VLOOKUP(VALUE(J1081),'Site Info'!$A:$G,3,FALSE),"")</f>
        <v>2000 WESTVIEW BLVD</v>
      </c>
      <c r="L1081" t="str">
        <f>IFERROR(VLOOKUP(VALUE(J1081),'Site Info'!$A:$G,4,FALSE),"")</f>
        <v>CONROE</v>
      </c>
      <c r="M1081" t="str">
        <f>IFERROR(VLOOKUP(VALUE(J1081),'Site Info'!$A:$G,5,FALSE),"")</f>
        <v>TX</v>
      </c>
      <c r="N1081" t="str">
        <f>IFERROR(VLOOKUP(VALUE(J1081),'Site Info'!$A:$G,6,FALSE),"")</f>
        <v>77304-3561</v>
      </c>
      <c r="O1081">
        <f>IFERROR(VLOOKUP(VALUE(J1081),'Site Info'!$A:$G,7,FALSE),"")</f>
        <v>9367565778</v>
      </c>
    </row>
    <row r="1082" spans="1:15" x14ac:dyDescent="0.45">
      <c r="A1082" t="s">
        <v>60</v>
      </c>
      <c r="B1082" t="s">
        <v>61</v>
      </c>
      <c r="C1082" t="s">
        <v>62</v>
      </c>
      <c r="D1082" t="s">
        <v>63</v>
      </c>
      <c r="E1082" s="1">
        <v>46153.362129629626</v>
      </c>
      <c r="F1082">
        <v>1547</v>
      </c>
      <c r="G1082" t="s">
        <v>64</v>
      </c>
      <c r="H1082" t="s">
        <v>15</v>
      </c>
      <c r="I1082" t="s">
        <v>65</v>
      </c>
      <c r="J1082" t="str">
        <f>RIGHT(D1082,4)</f>
        <v>6421</v>
      </c>
      <c r="K1082" t="str">
        <f>IFERROR(VLOOKUP(VALUE(J1082),'Site Info'!$A:$G,3,FALSE),"")</f>
        <v>2000 WESTVIEW BLVD</v>
      </c>
      <c r="L1082" t="str">
        <f>IFERROR(VLOOKUP(VALUE(J1082),'Site Info'!$A:$G,4,FALSE),"")</f>
        <v>CONROE</v>
      </c>
      <c r="M1082" t="str">
        <f>IFERROR(VLOOKUP(VALUE(J1082),'Site Info'!$A:$G,5,FALSE),"")</f>
        <v>TX</v>
      </c>
      <c r="N1082" t="str">
        <f>IFERROR(VLOOKUP(VALUE(J1082),'Site Info'!$A:$G,6,FALSE),"")</f>
        <v>77304-3561</v>
      </c>
      <c r="O1082">
        <f>IFERROR(VLOOKUP(VALUE(J1082),'Site Info'!$A:$G,7,FALSE),"")</f>
        <v>9367565778</v>
      </c>
    </row>
    <row r="1083" spans="1:15" x14ac:dyDescent="0.45">
      <c r="A1083" t="s">
        <v>280</v>
      </c>
      <c r="B1083" t="s">
        <v>281</v>
      </c>
      <c r="C1083" t="s">
        <v>282</v>
      </c>
      <c r="D1083" t="s">
        <v>63</v>
      </c>
      <c r="E1083" s="1">
        <v>46152.052777777775</v>
      </c>
      <c r="F1083">
        <v>1481</v>
      </c>
      <c r="G1083" t="s">
        <v>283</v>
      </c>
      <c r="H1083" t="s">
        <v>15</v>
      </c>
      <c r="I1083" t="s">
        <v>65</v>
      </c>
      <c r="J1083" t="str">
        <f>RIGHT(D1083,4)</f>
        <v>6421</v>
      </c>
      <c r="K1083" t="str">
        <f>IFERROR(VLOOKUP(VALUE(J1083),'Site Info'!$A:$G,3,FALSE),"")</f>
        <v>2000 WESTVIEW BLVD</v>
      </c>
      <c r="L1083" t="str">
        <f>IFERROR(VLOOKUP(VALUE(J1083),'Site Info'!$A:$G,4,FALSE),"")</f>
        <v>CONROE</v>
      </c>
      <c r="M1083" t="str">
        <f>IFERROR(VLOOKUP(VALUE(J1083),'Site Info'!$A:$G,5,FALSE),"")</f>
        <v>TX</v>
      </c>
      <c r="N1083" t="str">
        <f>IFERROR(VLOOKUP(VALUE(J1083),'Site Info'!$A:$G,6,FALSE),"")</f>
        <v>77304-3561</v>
      </c>
      <c r="O1083">
        <f>IFERROR(VLOOKUP(VALUE(J1083),'Site Info'!$A:$G,7,FALSE),"")</f>
        <v>9367565778</v>
      </c>
    </row>
    <row r="1084" spans="1:15" x14ac:dyDescent="0.45">
      <c r="A1084" t="s">
        <v>1054</v>
      </c>
      <c r="B1084" t="s">
        <v>1055</v>
      </c>
      <c r="C1084" t="s">
        <v>1056</v>
      </c>
      <c r="D1084" t="s">
        <v>63</v>
      </c>
      <c r="E1084" s="1">
        <v>46152.867986111109</v>
      </c>
      <c r="F1084">
        <v>1481</v>
      </c>
      <c r="G1084" t="s">
        <v>1057</v>
      </c>
      <c r="H1084" t="s">
        <v>15</v>
      </c>
      <c r="I1084" t="s">
        <v>65</v>
      </c>
      <c r="J1084" t="str">
        <f>RIGHT(D1084,4)</f>
        <v>6421</v>
      </c>
      <c r="K1084" t="str">
        <f>IFERROR(VLOOKUP(VALUE(J1084),'Site Info'!$A:$G,3,FALSE),"")</f>
        <v>2000 WESTVIEW BLVD</v>
      </c>
      <c r="L1084" t="str">
        <f>IFERROR(VLOOKUP(VALUE(J1084),'Site Info'!$A:$G,4,FALSE),"")</f>
        <v>CONROE</v>
      </c>
      <c r="M1084" t="str">
        <f>IFERROR(VLOOKUP(VALUE(J1084),'Site Info'!$A:$G,5,FALSE),"")</f>
        <v>TX</v>
      </c>
      <c r="N1084" t="str">
        <f>IFERROR(VLOOKUP(VALUE(J1084),'Site Info'!$A:$G,6,FALSE),"")</f>
        <v>77304-3561</v>
      </c>
      <c r="O1084">
        <f>IFERROR(VLOOKUP(VALUE(J1084),'Site Info'!$A:$G,7,FALSE),"")</f>
        <v>9367565778</v>
      </c>
    </row>
    <row r="1085" spans="1:15" x14ac:dyDescent="0.45">
      <c r="A1085" t="s">
        <v>706</v>
      </c>
      <c r="B1085" t="s">
        <v>707</v>
      </c>
      <c r="C1085" t="s">
        <v>708</v>
      </c>
      <c r="D1085" t="s">
        <v>63</v>
      </c>
      <c r="E1085" s="1">
        <v>46153.185868055552</v>
      </c>
      <c r="F1085">
        <v>1481</v>
      </c>
      <c r="G1085" t="s">
        <v>709</v>
      </c>
      <c r="H1085" t="s">
        <v>15</v>
      </c>
      <c r="I1085" t="s">
        <v>65</v>
      </c>
      <c r="J1085" t="str">
        <f>RIGHT(D1085,4)</f>
        <v>6421</v>
      </c>
      <c r="K1085" t="str">
        <f>IFERROR(VLOOKUP(VALUE(J1085),'Site Info'!$A:$G,3,FALSE),"")</f>
        <v>2000 WESTVIEW BLVD</v>
      </c>
      <c r="L1085" t="str">
        <f>IFERROR(VLOOKUP(VALUE(J1085),'Site Info'!$A:$G,4,FALSE),"")</f>
        <v>CONROE</v>
      </c>
      <c r="M1085" t="str">
        <f>IFERROR(VLOOKUP(VALUE(J1085),'Site Info'!$A:$G,5,FALSE),"")</f>
        <v>TX</v>
      </c>
      <c r="N1085" t="str">
        <f>IFERROR(VLOOKUP(VALUE(J1085),'Site Info'!$A:$G,6,FALSE),"")</f>
        <v>77304-3561</v>
      </c>
      <c r="O1085">
        <f>IFERROR(VLOOKUP(VALUE(J1085),'Site Info'!$A:$G,7,FALSE),"")</f>
        <v>9367565778</v>
      </c>
    </row>
    <row r="1086" spans="1:15" x14ac:dyDescent="0.45">
      <c r="A1086" t="s">
        <v>308</v>
      </c>
      <c r="B1086" t="s">
        <v>309</v>
      </c>
      <c r="C1086" t="s">
        <v>310</v>
      </c>
      <c r="D1086" t="s">
        <v>63</v>
      </c>
      <c r="E1086" s="1">
        <v>46153.356921296298</v>
      </c>
      <c r="F1086">
        <v>1481</v>
      </c>
      <c r="G1086" t="s">
        <v>311</v>
      </c>
      <c r="H1086" t="s">
        <v>15</v>
      </c>
      <c r="I1086" t="s">
        <v>65</v>
      </c>
      <c r="J1086" t="str">
        <f>RIGHT(D1086,4)</f>
        <v>6421</v>
      </c>
      <c r="K1086" t="str">
        <f>IFERROR(VLOOKUP(VALUE(J1086),'Site Info'!$A:$G,3,FALSE),"")</f>
        <v>2000 WESTVIEW BLVD</v>
      </c>
      <c r="L1086" t="str">
        <f>IFERROR(VLOOKUP(VALUE(J1086),'Site Info'!$A:$G,4,FALSE),"")</f>
        <v>CONROE</v>
      </c>
      <c r="M1086" t="str">
        <f>IFERROR(VLOOKUP(VALUE(J1086),'Site Info'!$A:$G,5,FALSE),"")</f>
        <v>TX</v>
      </c>
      <c r="N1086" t="str">
        <f>IFERROR(VLOOKUP(VALUE(J1086),'Site Info'!$A:$G,6,FALSE),"")</f>
        <v>77304-3561</v>
      </c>
      <c r="O1086">
        <f>IFERROR(VLOOKUP(VALUE(J1086),'Site Info'!$A:$G,7,FALSE),"")</f>
        <v>9367565778</v>
      </c>
    </row>
    <row r="1087" spans="1:15" x14ac:dyDescent="0.45">
      <c r="A1087" t="s">
        <v>9665</v>
      </c>
      <c r="B1087" t="s">
        <v>9666</v>
      </c>
      <c r="C1087" t="s">
        <v>9667</v>
      </c>
      <c r="D1087" t="s">
        <v>2558</v>
      </c>
      <c r="E1087" s="1">
        <v>46151.781863425924</v>
      </c>
      <c r="F1087">
        <v>1547</v>
      </c>
      <c r="G1087" t="s">
        <v>9668</v>
      </c>
      <c r="H1087" t="s">
        <v>15</v>
      </c>
      <c r="I1087" t="s">
        <v>2560</v>
      </c>
      <c r="J1087" t="str">
        <f>RIGHT(D1087,4)</f>
        <v>4837</v>
      </c>
      <c r="K1087" t="str">
        <f>IFERROR(VLOOKUP(VALUE(J1087),'Site Info'!$A:$G,3,FALSE),"")</f>
        <v>201 BASS PRO BLVD</v>
      </c>
      <c r="L1087" t="str">
        <f>IFERROR(VLOOKUP(VALUE(J1087),'Site Info'!$A:$G,4,FALSE),"")</f>
        <v>DENHAM SPRINGS</v>
      </c>
      <c r="M1087" t="str">
        <f>IFERROR(VLOOKUP(VALUE(J1087),'Site Info'!$A:$G,5,FALSE),"")</f>
        <v>LA</v>
      </c>
      <c r="N1087" t="str">
        <f>IFERROR(VLOOKUP(VALUE(J1087),'Site Info'!$A:$G,6,FALSE),"")</f>
        <v>70726-5570</v>
      </c>
      <c r="O1087">
        <f>IFERROR(VLOOKUP(VALUE(J1087),'Site Info'!$A:$G,7,FALSE),"")</f>
        <v>2256658988</v>
      </c>
    </row>
    <row r="1088" spans="1:15" x14ac:dyDescent="0.45">
      <c r="A1088" t="s">
        <v>13824</v>
      </c>
      <c r="B1088" t="s">
        <v>13825</v>
      </c>
      <c r="C1088" t="s">
        <v>13826</v>
      </c>
      <c r="D1088" t="s">
        <v>2558</v>
      </c>
      <c r="E1088" s="1">
        <v>46152.625659722224</v>
      </c>
      <c r="F1088">
        <v>1547</v>
      </c>
      <c r="G1088" t="s">
        <v>13827</v>
      </c>
      <c r="H1088" t="s">
        <v>15</v>
      </c>
      <c r="I1088" t="s">
        <v>2560</v>
      </c>
      <c r="J1088" t="str">
        <f>RIGHT(D1088,4)</f>
        <v>4837</v>
      </c>
      <c r="K1088" t="str">
        <f>IFERROR(VLOOKUP(VALUE(J1088),'Site Info'!$A:$G,3,FALSE),"")</f>
        <v>201 BASS PRO BLVD</v>
      </c>
      <c r="L1088" t="str">
        <f>IFERROR(VLOOKUP(VALUE(J1088),'Site Info'!$A:$G,4,FALSE),"")</f>
        <v>DENHAM SPRINGS</v>
      </c>
      <c r="M1088" t="str">
        <f>IFERROR(VLOOKUP(VALUE(J1088),'Site Info'!$A:$G,5,FALSE),"")</f>
        <v>LA</v>
      </c>
      <c r="N1088" t="str">
        <f>IFERROR(VLOOKUP(VALUE(J1088),'Site Info'!$A:$G,6,FALSE),"")</f>
        <v>70726-5570</v>
      </c>
      <c r="O1088">
        <f>IFERROR(VLOOKUP(VALUE(J1088),'Site Info'!$A:$G,7,FALSE),"")</f>
        <v>2256658988</v>
      </c>
    </row>
    <row r="1089" spans="1:15" x14ac:dyDescent="0.45">
      <c r="A1089" t="s">
        <v>11638</v>
      </c>
      <c r="B1089" t="s">
        <v>11639</v>
      </c>
      <c r="C1089" t="s">
        <v>11640</v>
      </c>
      <c r="D1089" t="s">
        <v>2558</v>
      </c>
      <c r="E1089" s="1">
        <v>46152.670694444445</v>
      </c>
      <c r="F1089">
        <v>1547</v>
      </c>
      <c r="G1089" t="s">
        <v>11641</v>
      </c>
      <c r="H1089" t="s">
        <v>15</v>
      </c>
      <c r="I1089" t="s">
        <v>2560</v>
      </c>
      <c r="J1089" t="str">
        <f>RIGHT(D1089,4)</f>
        <v>4837</v>
      </c>
      <c r="K1089" t="str">
        <f>IFERROR(VLOOKUP(VALUE(J1089),'Site Info'!$A:$G,3,FALSE),"")</f>
        <v>201 BASS PRO BLVD</v>
      </c>
      <c r="L1089" t="str">
        <f>IFERROR(VLOOKUP(VALUE(J1089),'Site Info'!$A:$G,4,FALSE),"")</f>
        <v>DENHAM SPRINGS</v>
      </c>
      <c r="M1089" t="str">
        <f>IFERROR(VLOOKUP(VALUE(J1089),'Site Info'!$A:$G,5,FALSE),"")</f>
        <v>LA</v>
      </c>
      <c r="N1089" t="str">
        <f>IFERROR(VLOOKUP(VALUE(J1089),'Site Info'!$A:$G,6,FALSE),"")</f>
        <v>70726-5570</v>
      </c>
      <c r="O1089">
        <f>IFERROR(VLOOKUP(VALUE(J1089),'Site Info'!$A:$G,7,FALSE),"")</f>
        <v>2256658988</v>
      </c>
    </row>
    <row r="1090" spans="1:15" x14ac:dyDescent="0.45">
      <c r="A1090" t="s">
        <v>12428</v>
      </c>
      <c r="B1090" t="s">
        <v>12429</v>
      </c>
      <c r="C1090" t="s">
        <v>12430</v>
      </c>
      <c r="D1090" t="s">
        <v>2558</v>
      </c>
      <c r="E1090" s="1">
        <v>46152.886643518519</v>
      </c>
      <c r="F1090">
        <v>1547</v>
      </c>
      <c r="G1090" t="s">
        <v>12431</v>
      </c>
      <c r="H1090" t="s">
        <v>15</v>
      </c>
      <c r="I1090" t="s">
        <v>2560</v>
      </c>
      <c r="J1090" t="str">
        <f>RIGHT(D1090,4)</f>
        <v>4837</v>
      </c>
      <c r="K1090" t="str">
        <f>IFERROR(VLOOKUP(VALUE(J1090),'Site Info'!$A:$G,3,FALSE),"")</f>
        <v>201 BASS PRO BLVD</v>
      </c>
      <c r="L1090" t="str">
        <f>IFERROR(VLOOKUP(VALUE(J1090),'Site Info'!$A:$G,4,FALSE),"")</f>
        <v>DENHAM SPRINGS</v>
      </c>
      <c r="M1090" t="str">
        <f>IFERROR(VLOOKUP(VALUE(J1090),'Site Info'!$A:$G,5,FALSE),"")</f>
        <v>LA</v>
      </c>
      <c r="N1090" t="str">
        <f>IFERROR(VLOOKUP(VALUE(J1090),'Site Info'!$A:$G,6,FALSE),"")</f>
        <v>70726-5570</v>
      </c>
      <c r="O1090">
        <f>IFERROR(VLOOKUP(VALUE(J1090),'Site Info'!$A:$G,7,FALSE),"")</f>
        <v>2256658988</v>
      </c>
    </row>
    <row r="1091" spans="1:15" x14ac:dyDescent="0.45">
      <c r="A1091" t="s">
        <v>12898</v>
      </c>
      <c r="B1091" t="s">
        <v>12899</v>
      </c>
      <c r="C1091" t="s">
        <v>12900</v>
      </c>
      <c r="D1091" t="s">
        <v>2558</v>
      </c>
      <c r="E1091" s="1">
        <v>46153.314953703702</v>
      </c>
      <c r="F1091">
        <v>1547</v>
      </c>
      <c r="G1091" t="s">
        <v>12901</v>
      </c>
      <c r="H1091" t="s">
        <v>15</v>
      </c>
      <c r="I1091" t="s">
        <v>2560</v>
      </c>
      <c r="J1091" t="str">
        <f>RIGHT(D1091,4)</f>
        <v>4837</v>
      </c>
      <c r="K1091" t="str">
        <f>IFERROR(VLOOKUP(VALUE(J1091),'Site Info'!$A:$G,3,FALSE),"")</f>
        <v>201 BASS PRO BLVD</v>
      </c>
      <c r="L1091" t="str">
        <f>IFERROR(VLOOKUP(VALUE(J1091),'Site Info'!$A:$G,4,FALSE),"")</f>
        <v>DENHAM SPRINGS</v>
      </c>
      <c r="M1091" t="str">
        <f>IFERROR(VLOOKUP(VALUE(J1091),'Site Info'!$A:$G,5,FALSE),"")</f>
        <v>LA</v>
      </c>
      <c r="N1091" t="str">
        <f>IFERROR(VLOOKUP(VALUE(J1091),'Site Info'!$A:$G,6,FALSE),"")</f>
        <v>70726-5570</v>
      </c>
      <c r="O1091">
        <f>IFERROR(VLOOKUP(VALUE(J1091),'Site Info'!$A:$G,7,FALSE),"")</f>
        <v>2256658988</v>
      </c>
    </row>
    <row r="1092" spans="1:15" x14ac:dyDescent="0.45">
      <c r="A1092" t="s">
        <v>11256</v>
      </c>
      <c r="B1092" t="s">
        <v>11257</v>
      </c>
      <c r="C1092" t="s">
        <v>11258</v>
      </c>
      <c r="D1092" t="s">
        <v>2558</v>
      </c>
      <c r="E1092" s="1">
        <v>46153.369571759256</v>
      </c>
      <c r="F1092">
        <v>1547</v>
      </c>
      <c r="G1092" t="s">
        <v>11259</v>
      </c>
      <c r="H1092" t="s">
        <v>15</v>
      </c>
      <c r="I1092" t="s">
        <v>2560</v>
      </c>
      <c r="J1092" t="str">
        <f>RIGHT(D1092,4)</f>
        <v>4837</v>
      </c>
      <c r="K1092" t="str">
        <f>IFERROR(VLOOKUP(VALUE(J1092),'Site Info'!$A:$G,3,FALSE),"")</f>
        <v>201 BASS PRO BLVD</v>
      </c>
      <c r="L1092" t="str">
        <f>IFERROR(VLOOKUP(VALUE(J1092),'Site Info'!$A:$G,4,FALSE),"")</f>
        <v>DENHAM SPRINGS</v>
      </c>
      <c r="M1092" t="str">
        <f>IFERROR(VLOOKUP(VALUE(J1092),'Site Info'!$A:$G,5,FALSE),"")</f>
        <v>LA</v>
      </c>
      <c r="N1092" t="str">
        <f>IFERROR(VLOOKUP(VALUE(J1092),'Site Info'!$A:$G,6,FALSE),"")</f>
        <v>70726-5570</v>
      </c>
      <c r="O1092">
        <f>IFERROR(VLOOKUP(VALUE(J1092),'Site Info'!$A:$G,7,FALSE),"")</f>
        <v>2256658988</v>
      </c>
    </row>
    <row r="1093" spans="1:15" x14ac:dyDescent="0.45">
      <c r="A1093" t="s">
        <v>12232</v>
      </c>
      <c r="B1093" t="s">
        <v>12233</v>
      </c>
      <c r="C1093" t="s">
        <v>12234</v>
      </c>
      <c r="D1093" t="s">
        <v>2558</v>
      </c>
      <c r="E1093" s="1">
        <v>46153.373379629629</v>
      </c>
      <c r="F1093">
        <v>1547</v>
      </c>
      <c r="G1093" t="s">
        <v>12235</v>
      </c>
      <c r="H1093" t="s">
        <v>15</v>
      </c>
      <c r="I1093" t="s">
        <v>2560</v>
      </c>
      <c r="J1093" t="str">
        <f>RIGHT(D1093,4)</f>
        <v>4837</v>
      </c>
      <c r="K1093" t="str">
        <f>IFERROR(VLOOKUP(VALUE(J1093),'Site Info'!$A:$G,3,FALSE),"")</f>
        <v>201 BASS PRO BLVD</v>
      </c>
      <c r="L1093" t="str">
        <f>IFERROR(VLOOKUP(VALUE(J1093),'Site Info'!$A:$G,4,FALSE),"")</f>
        <v>DENHAM SPRINGS</v>
      </c>
      <c r="M1093" t="str">
        <f>IFERROR(VLOOKUP(VALUE(J1093),'Site Info'!$A:$G,5,FALSE),"")</f>
        <v>LA</v>
      </c>
      <c r="N1093" t="str">
        <f>IFERROR(VLOOKUP(VALUE(J1093),'Site Info'!$A:$G,6,FALSE),"")</f>
        <v>70726-5570</v>
      </c>
      <c r="O1093">
        <f>IFERROR(VLOOKUP(VALUE(J1093),'Site Info'!$A:$G,7,FALSE),"")</f>
        <v>2256658988</v>
      </c>
    </row>
    <row r="1094" spans="1:15" x14ac:dyDescent="0.45">
      <c r="A1094" t="s">
        <v>2555</v>
      </c>
      <c r="B1094" t="s">
        <v>2556</v>
      </c>
      <c r="C1094" t="s">
        <v>2557</v>
      </c>
      <c r="D1094" t="s">
        <v>2558</v>
      </c>
      <c r="E1094" s="1">
        <v>46153.208981481483</v>
      </c>
      <c r="F1094">
        <v>1481</v>
      </c>
      <c r="G1094" t="s">
        <v>2559</v>
      </c>
      <c r="H1094" t="s">
        <v>15</v>
      </c>
      <c r="I1094" t="s">
        <v>2560</v>
      </c>
      <c r="J1094" t="str">
        <f>RIGHT(D1094,4)</f>
        <v>4837</v>
      </c>
      <c r="K1094" t="str">
        <f>IFERROR(VLOOKUP(VALUE(J1094),'Site Info'!$A:$G,3,FALSE),"")</f>
        <v>201 BASS PRO BLVD</v>
      </c>
      <c r="L1094" t="str">
        <f>IFERROR(VLOOKUP(VALUE(J1094),'Site Info'!$A:$G,4,FALSE),"")</f>
        <v>DENHAM SPRINGS</v>
      </c>
      <c r="M1094" t="str">
        <f>IFERROR(VLOOKUP(VALUE(J1094),'Site Info'!$A:$G,5,FALSE),"")</f>
        <v>LA</v>
      </c>
      <c r="N1094" t="str">
        <f>IFERROR(VLOOKUP(VALUE(J1094),'Site Info'!$A:$G,6,FALSE),"")</f>
        <v>70726-5570</v>
      </c>
      <c r="O1094">
        <f>IFERROR(VLOOKUP(VALUE(J1094),'Site Info'!$A:$G,7,FALSE),"")</f>
        <v>2256658988</v>
      </c>
    </row>
    <row r="1095" spans="1:15" x14ac:dyDescent="0.45">
      <c r="A1095" t="s">
        <v>10376</v>
      </c>
      <c r="B1095" t="s">
        <v>10377</v>
      </c>
      <c r="C1095" t="s">
        <v>10378</v>
      </c>
      <c r="D1095" t="s">
        <v>3626</v>
      </c>
      <c r="E1095" s="1">
        <v>46152.657361111109</v>
      </c>
      <c r="F1095">
        <v>1547</v>
      </c>
      <c r="G1095" t="s">
        <v>10379</v>
      </c>
      <c r="H1095" t="s">
        <v>15</v>
      </c>
      <c r="I1095" t="s">
        <v>3628</v>
      </c>
      <c r="J1095" t="str">
        <f>RIGHT(D1095,4)</f>
        <v>6781</v>
      </c>
      <c r="K1095" t="str">
        <f>IFERROR(VLOOKUP(VALUE(J1095),'Site Info'!$A:$G,3,FALSE),"")</f>
        <v>201 GOLDEN TRIANGLE BLVD</v>
      </c>
      <c r="L1095" t="str">
        <f>IFERROR(VLOOKUP(VALUE(J1095),'Site Info'!$A:$G,4,FALSE),"")</f>
        <v>KELLER</v>
      </c>
      <c r="M1095" t="str">
        <f>IFERROR(VLOOKUP(VALUE(J1095),'Site Info'!$A:$G,5,FALSE),"")</f>
        <v>TX</v>
      </c>
      <c r="N1095" t="str">
        <f>IFERROR(VLOOKUP(VALUE(J1095),'Site Info'!$A:$G,6,FALSE),"")</f>
        <v>76248-4484</v>
      </c>
      <c r="O1095">
        <f>IFERROR(VLOOKUP(VALUE(J1095),'Site Info'!$A:$G,7,FALSE),"")</f>
        <v>8178986174</v>
      </c>
    </row>
    <row r="1096" spans="1:15" x14ac:dyDescent="0.45">
      <c r="A1096" t="s">
        <v>10524</v>
      </c>
      <c r="B1096" t="s">
        <v>10525</v>
      </c>
      <c r="C1096" t="s">
        <v>10526</v>
      </c>
      <c r="D1096" t="s">
        <v>3626</v>
      </c>
      <c r="E1096" s="1">
        <v>46153.17460648148</v>
      </c>
      <c r="F1096">
        <v>1547</v>
      </c>
      <c r="G1096" t="s">
        <v>10527</v>
      </c>
      <c r="H1096" t="s">
        <v>15</v>
      </c>
      <c r="I1096" t="s">
        <v>3628</v>
      </c>
      <c r="J1096" t="str">
        <f>RIGHT(D1096,4)</f>
        <v>6781</v>
      </c>
      <c r="K1096" t="str">
        <f>IFERROR(VLOOKUP(VALUE(J1096),'Site Info'!$A:$G,3,FALSE),"")</f>
        <v>201 GOLDEN TRIANGLE BLVD</v>
      </c>
      <c r="L1096" t="str">
        <f>IFERROR(VLOOKUP(VALUE(J1096),'Site Info'!$A:$G,4,FALSE),"")</f>
        <v>KELLER</v>
      </c>
      <c r="M1096" t="str">
        <f>IFERROR(VLOOKUP(VALUE(J1096),'Site Info'!$A:$G,5,FALSE),"")</f>
        <v>TX</v>
      </c>
      <c r="N1096" t="str">
        <f>IFERROR(VLOOKUP(VALUE(J1096),'Site Info'!$A:$G,6,FALSE),"")</f>
        <v>76248-4484</v>
      </c>
      <c r="O1096">
        <f>IFERROR(VLOOKUP(VALUE(J1096),'Site Info'!$A:$G,7,FALSE),"")</f>
        <v>8178986174</v>
      </c>
    </row>
    <row r="1097" spans="1:15" x14ac:dyDescent="0.45">
      <c r="A1097" t="s">
        <v>10620</v>
      </c>
      <c r="B1097" t="s">
        <v>10621</v>
      </c>
      <c r="C1097" t="s">
        <v>10622</v>
      </c>
      <c r="D1097" t="s">
        <v>3626</v>
      </c>
      <c r="E1097" s="1">
        <v>46153.371886574074</v>
      </c>
      <c r="F1097">
        <v>1547</v>
      </c>
      <c r="G1097" t="s">
        <v>10623</v>
      </c>
      <c r="H1097" t="s">
        <v>15</v>
      </c>
      <c r="I1097" t="s">
        <v>3628</v>
      </c>
      <c r="J1097" t="str">
        <f>RIGHT(D1097,4)</f>
        <v>6781</v>
      </c>
      <c r="K1097" t="str">
        <f>IFERROR(VLOOKUP(VALUE(J1097),'Site Info'!$A:$G,3,FALSE),"")</f>
        <v>201 GOLDEN TRIANGLE BLVD</v>
      </c>
      <c r="L1097" t="str">
        <f>IFERROR(VLOOKUP(VALUE(J1097),'Site Info'!$A:$G,4,FALSE),"")</f>
        <v>KELLER</v>
      </c>
      <c r="M1097" t="str">
        <f>IFERROR(VLOOKUP(VALUE(J1097),'Site Info'!$A:$G,5,FALSE),"")</f>
        <v>TX</v>
      </c>
      <c r="N1097" t="str">
        <f>IFERROR(VLOOKUP(VALUE(J1097),'Site Info'!$A:$G,6,FALSE),"")</f>
        <v>76248-4484</v>
      </c>
      <c r="O1097">
        <f>IFERROR(VLOOKUP(VALUE(J1097),'Site Info'!$A:$G,7,FALSE),"")</f>
        <v>8178986174</v>
      </c>
    </row>
    <row r="1098" spans="1:15" x14ac:dyDescent="0.45">
      <c r="A1098" t="s">
        <v>3623</v>
      </c>
      <c r="B1098" t="s">
        <v>3624</v>
      </c>
      <c r="C1098" t="s">
        <v>3625</v>
      </c>
      <c r="D1098" t="s">
        <v>3626</v>
      </c>
      <c r="E1098" s="1">
        <v>46153.275277777779</v>
      </c>
      <c r="F1098">
        <v>1481</v>
      </c>
      <c r="G1098" t="s">
        <v>3627</v>
      </c>
      <c r="H1098" t="s">
        <v>15</v>
      </c>
      <c r="I1098" t="s">
        <v>3628</v>
      </c>
      <c r="J1098" t="str">
        <f>RIGHT(D1098,4)</f>
        <v>6781</v>
      </c>
      <c r="K1098" t="str">
        <f>IFERROR(VLOOKUP(VALUE(J1098),'Site Info'!$A:$G,3,FALSE),"")</f>
        <v>201 GOLDEN TRIANGLE BLVD</v>
      </c>
      <c r="L1098" t="str">
        <f>IFERROR(VLOOKUP(VALUE(J1098),'Site Info'!$A:$G,4,FALSE),"")</f>
        <v>KELLER</v>
      </c>
      <c r="M1098" t="str">
        <f>IFERROR(VLOOKUP(VALUE(J1098),'Site Info'!$A:$G,5,FALSE),"")</f>
        <v>TX</v>
      </c>
      <c r="N1098" t="str">
        <f>IFERROR(VLOOKUP(VALUE(J1098),'Site Info'!$A:$G,6,FALSE),"")</f>
        <v>76248-4484</v>
      </c>
      <c r="O1098">
        <f>IFERROR(VLOOKUP(VALUE(J1098),'Site Info'!$A:$G,7,FALSE),"")</f>
        <v>8178986174</v>
      </c>
    </row>
    <row r="1099" spans="1:15" x14ac:dyDescent="0.45">
      <c r="A1099" t="s">
        <v>16427</v>
      </c>
      <c r="B1099" t="s">
        <v>17063</v>
      </c>
      <c r="C1099" t="s">
        <v>17064</v>
      </c>
      <c r="D1099" t="s">
        <v>3626</v>
      </c>
      <c r="E1099" s="1">
        <v>46151.969027777777</v>
      </c>
      <c r="F1099">
        <v>1547</v>
      </c>
      <c r="G1099" t="s">
        <v>17065</v>
      </c>
      <c r="H1099" t="s">
        <v>15</v>
      </c>
      <c r="I1099" t="s">
        <v>3628</v>
      </c>
      <c r="J1099" t="str">
        <f>RIGHT(D1099,4)</f>
        <v>6781</v>
      </c>
      <c r="K1099" t="str">
        <f>IFERROR(VLOOKUP(VALUE(J1099),'Site Info'!$A:$G,3,FALSE),"")</f>
        <v>201 GOLDEN TRIANGLE BLVD</v>
      </c>
      <c r="L1099" t="str">
        <f>IFERROR(VLOOKUP(VALUE(J1099),'Site Info'!$A:$G,4,FALSE),"")</f>
        <v>KELLER</v>
      </c>
      <c r="M1099" t="str">
        <f>IFERROR(VLOOKUP(VALUE(J1099),'Site Info'!$A:$G,5,FALSE),"")</f>
        <v>TX</v>
      </c>
      <c r="N1099" t="str">
        <f>IFERROR(VLOOKUP(VALUE(J1099),'Site Info'!$A:$G,6,FALSE),"")</f>
        <v>76248-4484</v>
      </c>
      <c r="O1099">
        <f>IFERROR(VLOOKUP(VALUE(J1099),'Site Info'!$A:$G,7,FALSE),"")</f>
        <v>8178986174</v>
      </c>
    </row>
    <row r="1100" spans="1:15" x14ac:dyDescent="0.45">
      <c r="A1100" t="s">
        <v>17066</v>
      </c>
      <c r="B1100" t="s">
        <v>17067</v>
      </c>
      <c r="C1100" t="s">
        <v>17068</v>
      </c>
      <c r="D1100" t="s">
        <v>3626</v>
      </c>
      <c r="E1100" s="1">
        <v>46153.36341435185</v>
      </c>
      <c r="F1100">
        <v>1547</v>
      </c>
      <c r="G1100" t="s">
        <v>17069</v>
      </c>
      <c r="H1100" t="s">
        <v>15</v>
      </c>
      <c r="I1100" t="s">
        <v>3628</v>
      </c>
      <c r="J1100" t="str">
        <f>RIGHT(D1100,4)</f>
        <v>6781</v>
      </c>
      <c r="K1100" t="str">
        <f>IFERROR(VLOOKUP(VALUE(J1100),'Site Info'!$A:$G,3,FALSE),"")</f>
        <v>201 GOLDEN TRIANGLE BLVD</v>
      </c>
      <c r="L1100" t="str">
        <f>IFERROR(VLOOKUP(VALUE(J1100),'Site Info'!$A:$G,4,FALSE),"")</f>
        <v>KELLER</v>
      </c>
      <c r="M1100" t="str">
        <f>IFERROR(VLOOKUP(VALUE(J1100),'Site Info'!$A:$G,5,FALSE),"")</f>
        <v>TX</v>
      </c>
      <c r="N1100" t="str">
        <f>IFERROR(VLOOKUP(VALUE(J1100),'Site Info'!$A:$G,6,FALSE),"")</f>
        <v>76248-4484</v>
      </c>
      <c r="O1100">
        <f>IFERROR(VLOOKUP(VALUE(J1100),'Site Info'!$A:$G,7,FALSE),"")</f>
        <v>8178986174</v>
      </c>
    </row>
    <row r="1101" spans="1:15" x14ac:dyDescent="0.45">
      <c r="A1101" t="s">
        <v>13327</v>
      </c>
      <c r="B1101" t="s">
        <v>13328</v>
      </c>
      <c r="C1101" t="s">
        <v>13329</v>
      </c>
      <c r="D1101" t="s">
        <v>3206</v>
      </c>
      <c r="E1101" s="1">
        <v>46150.283032407409</v>
      </c>
      <c r="F1101">
        <v>1547</v>
      </c>
      <c r="G1101" t="s">
        <v>13330</v>
      </c>
      <c r="H1101" t="s">
        <v>15</v>
      </c>
      <c r="I1101" t="s">
        <v>3208</v>
      </c>
      <c r="J1101" t="str">
        <f>RIGHT(D1101,4)</f>
        <v>8247</v>
      </c>
      <c r="K1101" t="str">
        <f>IFERROR(VLOOKUP(VALUE(J1101),'Site Info'!$A:$G,3,FALSE),"")</f>
        <v>201 LAKESHORE PKWY</v>
      </c>
      <c r="L1101" t="str">
        <f>IFERROR(VLOOKUP(VALUE(J1101),'Site Info'!$A:$G,4,FALSE),"")</f>
        <v>HOMEWOOD</v>
      </c>
      <c r="M1101" t="str">
        <f>IFERROR(VLOOKUP(VALUE(J1101),'Site Info'!$A:$G,5,FALSE),"")</f>
        <v>AL</v>
      </c>
      <c r="N1101" t="str">
        <f>IFERROR(VLOOKUP(VALUE(J1101),'Site Info'!$A:$G,6,FALSE),"")</f>
        <v>35209-7105</v>
      </c>
      <c r="O1101">
        <f>IFERROR(VLOOKUP(VALUE(J1101),'Site Info'!$A:$G,7,FALSE),"")</f>
        <v>2059413326</v>
      </c>
    </row>
    <row r="1102" spans="1:15" x14ac:dyDescent="0.45">
      <c r="A1102" t="s">
        <v>6877</v>
      </c>
      <c r="B1102" t="s">
        <v>6878</v>
      </c>
      <c r="C1102" t="s">
        <v>6879</v>
      </c>
      <c r="D1102" t="s">
        <v>3206</v>
      </c>
      <c r="E1102" s="1">
        <v>46152.605555555558</v>
      </c>
      <c r="F1102">
        <v>1547</v>
      </c>
      <c r="G1102" t="s">
        <v>6880</v>
      </c>
      <c r="H1102" t="s">
        <v>15</v>
      </c>
      <c r="I1102" t="s">
        <v>3208</v>
      </c>
      <c r="J1102" t="str">
        <f>RIGHT(D1102,4)</f>
        <v>8247</v>
      </c>
      <c r="K1102" t="str">
        <f>IFERROR(VLOOKUP(VALUE(J1102),'Site Info'!$A:$G,3,FALSE),"")</f>
        <v>201 LAKESHORE PKWY</v>
      </c>
      <c r="L1102" t="str">
        <f>IFERROR(VLOOKUP(VALUE(J1102),'Site Info'!$A:$G,4,FALSE),"")</f>
        <v>HOMEWOOD</v>
      </c>
      <c r="M1102" t="str">
        <f>IFERROR(VLOOKUP(VALUE(J1102),'Site Info'!$A:$G,5,FALSE),"")</f>
        <v>AL</v>
      </c>
      <c r="N1102" t="str">
        <f>IFERROR(VLOOKUP(VALUE(J1102),'Site Info'!$A:$G,6,FALSE),"")</f>
        <v>35209-7105</v>
      </c>
      <c r="O1102">
        <f>IFERROR(VLOOKUP(VALUE(J1102),'Site Info'!$A:$G,7,FALSE),"")</f>
        <v>2059413326</v>
      </c>
    </row>
    <row r="1103" spans="1:15" x14ac:dyDescent="0.45">
      <c r="A1103" t="s">
        <v>13042</v>
      </c>
      <c r="B1103" t="s">
        <v>13043</v>
      </c>
      <c r="C1103" t="s">
        <v>13044</v>
      </c>
      <c r="D1103" t="s">
        <v>3206</v>
      </c>
      <c r="E1103" s="1">
        <v>46152.843761574077</v>
      </c>
      <c r="F1103">
        <v>1547</v>
      </c>
      <c r="G1103" t="s">
        <v>13045</v>
      </c>
      <c r="H1103" t="s">
        <v>15</v>
      </c>
      <c r="I1103" t="s">
        <v>3208</v>
      </c>
      <c r="J1103" t="str">
        <f>RIGHT(D1103,4)</f>
        <v>8247</v>
      </c>
      <c r="K1103" t="str">
        <f>IFERROR(VLOOKUP(VALUE(J1103),'Site Info'!$A:$G,3,FALSE),"")</f>
        <v>201 LAKESHORE PKWY</v>
      </c>
      <c r="L1103" t="str">
        <f>IFERROR(VLOOKUP(VALUE(J1103),'Site Info'!$A:$G,4,FALSE),"")</f>
        <v>HOMEWOOD</v>
      </c>
      <c r="M1103" t="str">
        <f>IFERROR(VLOOKUP(VALUE(J1103),'Site Info'!$A:$G,5,FALSE),"")</f>
        <v>AL</v>
      </c>
      <c r="N1103" t="str">
        <f>IFERROR(VLOOKUP(VALUE(J1103),'Site Info'!$A:$G,6,FALSE),"")</f>
        <v>35209-7105</v>
      </c>
      <c r="O1103">
        <f>IFERROR(VLOOKUP(VALUE(J1103),'Site Info'!$A:$G,7,FALSE),"")</f>
        <v>2059413326</v>
      </c>
    </row>
    <row r="1104" spans="1:15" x14ac:dyDescent="0.45">
      <c r="A1104" t="s">
        <v>11742</v>
      </c>
      <c r="B1104" t="s">
        <v>11743</v>
      </c>
      <c r="C1104" t="s">
        <v>11744</v>
      </c>
      <c r="D1104" t="s">
        <v>3206</v>
      </c>
      <c r="E1104" s="1">
        <v>46153.257905092592</v>
      </c>
      <c r="F1104">
        <v>1547</v>
      </c>
      <c r="G1104" t="s">
        <v>11745</v>
      </c>
      <c r="H1104" t="s">
        <v>15</v>
      </c>
      <c r="I1104" t="s">
        <v>3208</v>
      </c>
      <c r="J1104" t="str">
        <f>RIGHT(D1104,4)</f>
        <v>8247</v>
      </c>
      <c r="K1104" t="str">
        <f>IFERROR(VLOOKUP(VALUE(J1104),'Site Info'!$A:$G,3,FALSE),"")</f>
        <v>201 LAKESHORE PKWY</v>
      </c>
      <c r="L1104" t="str">
        <f>IFERROR(VLOOKUP(VALUE(J1104),'Site Info'!$A:$G,4,FALSE),"")</f>
        <v>HOMEWOOD</v>
      </c>
      <c r="M1104" t="str">
        <f>IFERROR(VLOOKUP(VALUE(J1104),'Site Info'!$A:$G,5,FALSE),"")</f>
        <v>AL</v>
      </c>
      <c r="N1104" t="str">
        <f>IFERROR(VLOOKUP(VALUE(J1104),'Site Info'!$A:$G,6,FALSE),"")</f>
        <v>35209-7105</v>
      </c>
      <c r="O1104">
        <f>IFERROR(VLOOKUP(VALUE(J1104),'Site Info'!$A:$G,7,FALSE),"")</f>
        <v>2059413326</v>
      </c>
    </row>
    <row r="1105" spans="1:15" x14ac:dyDescent="0.45">
      <c r="A1105" t="s">
        <v>11828</v>
      </c>
      <c r="B1105" t="s">
        <v>11829</v>
      </c>
      <c r="C1105" t="s">
        <v>11830</v>
      </c>
      <c r="D1105" t="s">
        <v>3206</v>
      </c>
      <c r="E1105" s="1">
        <v>46153.306504629632</v>
      </c>
      <c r="F1105">
        <v>1547</v>
      </c>
      <c r="G1105" t="s">
        <v>11831</v>
      </c>
      <c r="H1105" t="s">
        <v>15</v>
      </c>
      <c r="I1105" t="s">
        <v>3208</v>
      </c>
      <c r="J1105" t="str">
        <f>RIGHT(D1105,4)</f>
        <v>8247</v>
      </c>
      <c r="K1105" t="str">
        <f>IFERROR(VLOOKUP(VALUE(J1105),'Site Info'!$A:$G,3,FALSE),"")</f>
        <v>201 LAKESHORE PKWY</v>
      </c>
      <c r="L1105" t="str">
        <f>IFERROR(VLOOKUP(VALUE(J1105),'Site Info'!$A:$G,4,FALSE),"")</f>
        <v>HOMEWOOD</v>
      </c>
      <c r="M1105" t="str">
        <f>IFERROR(VLOOKUP(VALUE(J1105),'Site Info'!$A:$G,5,FALSE),"")</f>
        <v>AL</v>
      </c>
      <c r="N1105" t="str">
        <f>IFERROR(VLOOKUP(VALUE(J1105),'Site Info'!$A:$G,6,FALSE),"")</f>
        <v>35209-7105</v>
      </c>
      <c r="O1105">
        <f>IFERROR(VLOOKUP(VALUE(J1105),'Site Info'!$A:$G,7,FALSE),"")</f>
        <v>2059413326</v>
      </c>
    </row>
    <row r="1106" spans="1:15" x14ac:dyDescent="0.45">
      <c r="A1106" t="s">
        <v>13832</v>
      </c>
      <c r="B1106" t="s">
        <v>13833</v>
      </c>
      <c r="C1106" t="s">
        <v>13834</v>
      </c>
      <c r="D1106" t="s">
        <v>3206</v>
      </c>
      <c r="E1106" s="1">
        <v>46153.372997685183</v>
      </c>
      <c r="F1106">
        <v>1547</v>
      </c>
      <c r="G1106" t="s">
        <v>13835</v>
      </c>
      <c r="H1106" t="s">
        <v>15</v>
      </c>
      <c r="I1106" t="s">
        <v>3208</v>
      </c>
      <c r="J1106" t="str">
        <f>RIGHT(D1106,4)</f>
        <v>8247</v>
      </c>
      <c r="K1106" t="str">
        <f>IFERROR(VLOOKUP(VALUE(J1106),'Site Info'!$A:$G,3,FALSE),"")</f>
        <v>201 LAKESHORE PKWY</v>
      </c>
      <c r="L1106" t="str">
        <f>IFERROR(VLOOKUP(VALUE(J1106),'Site Info'!$A:$G,4,FALSE),"")</f>
        <v>HOMEWOOD</v>
      </c>
      <c r="M1106" t="str">
        <f>IFERROR(VLOOKUP(VALUE(J1106),'Site Info'!$A:$G,5,FALSE),"")</f>
        <v>AL</v>
      </c>
      <c r="N1106" t="str">
        <f>IFERROR(VLOOKUP(VALUE(J1106),'Site Info'!$A:$G,6,FALSE),"")</f>
        <v>35209-7105</v>
      </c>
      <c r="O1106">
        <f>IFERROR(VLOOKUP(VALUE(J1106),'Site Info'!$A:$G,7,FALSE),"")</f>
        <v>2059413326</v>
      </c>
    </row>
    <row r="1107" spans="1:15" x14ac:dyDescent="0.45">
      <c r="A1107" t="s">
        <v>3203</v>
      </c>
      <c r="B1107" t="s">
        <v>3204</v>
      </c>
      <c r="C1107" t="s">
        <v>3205</v>
      </c>
      <c r="D1107" t="s">
        <v>3206</v>
      </c>
      <c r="E1107" s="1">
        <v>46153.358923611115</v>
      </c>
      <c r="F1107">
        <v>1481</v>
      </c>
      <c r="G1107" t="s">
        <v>3207</v>
      </c>
      <c r="H1107" t="s">
        <v>15</v>
      </c>
      <c r="I1107" t="s">
        <v>3208</v>
      </c>
      <c r="J1107" t="str">
        <f>RIGHT(D1107,4)</f>
        <v>8247</v>
      </c>
      <c r="K1107" t="str">
        <f>IFERROR(VLOOKUP(VALUE(J1107),'Site Info'!$A:$G,3,FALSE),"")</f>
        <v>201 LAKESHORE PKWY</v>
      </c>
      <c r="L1107" t="str">
        <f>IFERROR(VLOOKUP(VALUE(J1107),'Site Info'!$A:$G,4,FALSE),"")</f>
        <v>HOMEWOOD</v>
      </c>
      <c r="M1107" t="str">
        <f>IFERROR(VLOOKUP(VALUE(J1107),'Site Info'!$A:$G,5,FALSE),"")</f>
        <v>AL</v>
      </c>
      <c r="N1107" t="str">
        <f>IFERROR(VLOOKUP(VALUE(J1107),'Site Info'!$A:$G,6,FALSE),"")</f>
        <v>35209-7105</v>
      </c>
      <c r="O1107">
        <f>IFERROR(VLOOKUP(VALUE(J1107),'Site Info'!$A:$G,7,FALSE),"")</f>
        <v>2059413326</v>
      </c>
    </row>
    <row r="1108" spans="1:15" x14ac:dyDescent="0.45">
      <c r="A1108" t="s">
        <v>4238</v>
      </c>
      <c r="B1108" t="s">
        <v>4239</v>
      </c>
      <c r="C1108" t="s">
        <v>4240</v>
      </c>
      <c r="D1108" t="s">
        <v>159</v>
      </c>
      <c r="E1108" s="1">
        <v>46152.624560185184</v>
      </c>
      <c r="F1108">
        <v>1548</v>
      </c>
      <c r="G1108" t="s">
        <v>4241</v>
      </c>
      <c r="H1108" t="s">
        <v>15</v>
      </c>
      <c r="I1108" t="s">
        <v>160</v>
      </c>
      <c r="J1108" t="str">
        <f>RIGHT(D1108,4)</f>
        <v>6403</v>
      </c>
      <c r="K1108" t="str">
        <f>IFERROR(VLOOKUP(VALUE(J1108),'Site Info'!$A:$G,3,FALSE),"")</f>
        <v>2021 W BRANDON BLVD</v>
      </c>
      <c r="L1108" t="str">
        <f>IFERROR(VLOOKUP(VALUE(J1108),'Site Info'!$A:$G,4,FALSE),"")</f>
        <v>BRANDON</v>
      </c>
      <c r="M1108" t="str">
        <f>IFERROR(VLOOKUP(VALUE(J1108),'Site Info'!$A:$G,5,FALSE),"")</f>
        <v>FL</v>
      </c>
      <c r="N1108" t="str">
        <f>IFERROR(VLOOKUP(VALUE(J1108),'Site Info'!$A:$G,6,FALSE),"")</f>
        <v>33511-4701</v>
      </c>
      <c r="O1108">
        <f>IFERROR(VLOOKUP(VALUE(J1108),'Site Info'!$A:$G,7,FALSE),"")</f>
        <v>8136858223</v>
      </c>
    </row>
    <row r="1109" spans="1:15" x14ac:dyDescent="0.45">
      <c r="A1109" t="s">
        <v>4316</v>
      </c>
      <c r="B1109" t="s">
        <v>4317</v>
      </c>
      <c r="C1109" t="s">
        <v>4318</v>
      </c>
      <c r="D1109" t="s">
        <v>159</v>
      </c>
      <c r="E1109" s="1">
        <v>46153.355173611111</v>
      </c>
      <c r="F1109">
        <v>1547</v>
      </c>
      <c r="G1109" t="s">
        <v>4319</v>
      </c>
      <c r="H1109" t="s">
        <v>15</v>
      </c>
      <c r="I1109" t="s">
        <v>160</v>
      </c>
      <c r="J1109" t="str">
        <f>RIGHT(D1109,4)</f>
        <v>6403</v>
      </c>
      <c r="K1109" t="str">
        <f>IFERROR(VLOOKUP(VALUE(J1109),'Site Info'!$A:$G,3,FALSE),"")</f>
        <v>2021 W BRANDON BLVD</v>
      </c>
      <c r="L1109" t="str">
        <f>IFERROR(VLOOKUP(VALUE(J1109),'Site Info'!$A:$G,4,FALSE),"")</f>
        <v>BRANDON</v>
      </c>
      <c r="M1109" t="str">
        <f>IFERROR(VLOOKUP(VALUE(J1109),'Site Info'!$A:$G,5,FALSE),"")</f>
        <v>FL</v>
      </c>
      <c r="N1109" t="str">
        <f>IFERROR(VLOOKUP(VALUE(J1109),'Site Info'!$A:$G,6,FALSE),"")</f>
        <v>33511-4701</v>
      </c>
      <c r="O1109">
        <f>IFERROR(VLOOKUP(VALUE(J1109),'Site Info'!$A:$G,7,FALSE),"")</f>
        <v>8136858223</v>
      </c>
    </row>
    <row r="1110" spans="1:15" x14ac:dyDescent="0.45">
      <c r="A1110" t="s">
        <v>12628</v>
      </c>
      <c r="B1110" t="s">
        <v>12629</v>
      </c>
      <c r="C1110" t="s">
        <v>12630</v>
      </c>
      <c r="D1110" t="s">
        <v>159</v>
      </c>
      <c r="E1110" s="1">
        <v>46153.370844907404</v>
      </c>
      <c r="F1110">
        <v>1547</v>
      </c>
      <c r="G1110" t="s">
        <v>12631</v>
      </c>
      <c r="H1110" t="s">
        <v>15</v>
      </c>
      <c r="I1110" t="s">
        <v>160</v>
      </c>
      <c r="J1110" t="str">
        <f>RIGHT(D1110,4)</f>
        <v>6403</v>
      </c>
      <c r="K1110" t="str">
        <f>IFERROR(VLOOKUP(VALUE(J1110),'Site Info'!$A:$G,3,FALSE),"")</f>
        <v>2021 W BRANDON BLVD</v>
      </c>
      <c r="L1110" t="str">
        <f>IFERROR(VLOOKUP(VALUE(J1110),'Site Info'!$A:$G,4,FALSE),"")</f>
        <v>BRANDON</v>
      </c>
      <c r="M1110" t="str">
        <f>IFERROR(VLOOKUP(VALUE(J1110),'Site Info'!$A:$G,5,FALSE),"")</f>
        <v>FL</v>
      </c>
      <c r="N1110" t="str">
        <f>IFERROR(VLOOKUP(VALUE(J1110),'Site Info'!$A:$G,6,FALSE),"")</f>
        <v>33511-4701</v>
      </c>
      <c r="O1110">
        <f>IFERROR(VLOOKUP(VALUE(J1110),'Site Info'!$A:$G,7,FALSE),"")</f>
        <v>8136858223</v>
      </c>
    </row>
    <row r="1111" spans="1:15" x14ac:dyDescent="0.45">
      <c r="A1111" t="s">
        <v>3091</v>
      </c>
      <c r="B1111" t="s">
        <v>3092</v>
      </c>
      <c r="C1111" t="s">
        <v>3093</v>
      </c>
      <c r="D1111" t="s">
        <v>159</v>
      </c>
      <c r="E1111" s="1">
        <v>46153.358472222222</v>
      </c>
      <c r="F1111">
        <v>1481</v>
      </c>
      <c r="G1111" t="s">
        <v>3094</v>
      </c>
      <c r="H1111" t="s">
        <v>15</v>
      </c>
      <c r="I1111" t="s">
        <v>160</v>
      </c>
      <c r="J1111" t="str">
        <f>RIGHT(D1111,4)</f>
        <v>6403</v>
      </c>
      <c r="K1111" t="str">
        <f>IFERROR(VLOOKUP(VALUE(J1111),'Site Info'!$A:$G,3,FALSE),"")</f>
        <v>2021 W BRANDON BLVD</v>
      </c>
      <c r="L1111" t="str">
        <f>IFERROR(VLOOKUP(VALUE(J1111),'Site Info'!$A:$G,4,FALSE),"")</f>
        <v>BRANDON</v>
      </c>
      <c r="M1111" t="str">
        <f>IFERROR(VLOOKUP(VALUE(J1111),'Site Info'!$A:$G,5,FALSE),"")</f>
        <v>FL</v>
      </c>
      <c r="N1111" t="str">
        <f>IFERROR(VLOOKUP(VALUE(J1111),'Site Info'!$A:$G,6,FALSE),"")</f>
        <v>33511-4701</v>
      </c>
      <c r="O1111">
        <f>IFERROR(VLOOKUP(VALUE(J1111),'Site Info'!$A:$G,7,FALSE),"")</f>
        <v>8136858223</v>
      </c>
    </row>
    <row r="1112" spans="1:15" x14ac:dyDescent="0.45">
      <c r="A1112" t="s">
        <v>10496</v>
      </c>
      <c r="B1112" t="s">
        <v>10497</v>
      </c>
      <c r="C1112" t="s">
        <v>10498</v>
      </c>
      <c r="D1112" t="s">
        <v>2081</v>
      </c>
      <c r="E1112" s="1">
        <v>46151.625127314815</v>
      </c>
      <c r="F1112">
        <v>1547</v>
      </c>
      <c r="G1112" t="s">
        <v>10499</v>
      </c>
      <c r="H1112" t="s">
        <v>15</v>
      </c>
      <c r="I1112" t="s">
        <v>2083</v>
      </c>
      <c r="J1112" t="str">
        <f>RIGHT(D1112,4)</f>
        <v>8284</v>
      </c>
      <c r="K1112" t="str">
        <f>IFERROR(VLOOKUP(VALUE(J1112),'Site Info'!$A:$G,3,FALSE),"")</f>
        <v>2025 S SOUTHWEST LOOP 323</v>
      </c>
      <c r="L1112" t="str">
        <f>IFERROR(VLOOKUP(VALUE(J1112),'Site Info'!$A:$G,4,FALSE),"")</f>
        <v>TYLER</v>
      </c>
      <c r="M1112" t="str">
        <f>IFERROR(VLOOKUP(VALUE(J1112),'Site Info'!$A:$G,5,FALSE),"")</f>
        <v>TX</v>
      </c>
      <c r="N1112" t="str">
        <f>IFERROR(VLOOKUP(VALUE(J1112),'Site Info'!$A:$G,6,FALSE),"")</f>
        <v>75701-0763</v>
      </c>
      <c r="O1112">
        <f>IFERROR(VLOOKUP(VALUE(J1112),'Site Info'!$A:$G,7,FALSE),"")</f>
        <v>9035972296</v>
      </c>
    </row>
    <row r="1113" spans="1:15" x14ac:dyDescent="0.45">
      <c r="A1113" t="s">
        <v>10488</v>
      </c>
      <c r="B1113" t="s">
        <v>10489</v>
      </c>
      <c r="C1113" t="s">
        <v>10490</v>
      </c>
      <c r="D1113" t="s">
        <v>2081</v>
      </c>
      <c r="E1113" s="1">
        <v>46152.590925925928</v>
      </c>
      <c r="F1113">
        <v>1547</v>
      </c>
      <c r="G1113" t="s">
        <v>10491</v>
      </c>
      <c r="H1113" t="s">
        <v>15</v>
      </c>
      <c r="I1113" t="s">
        <v>2083</v>
      </c>
      <c r="J1113" t="str">
        <f>RIGHT(D1113,4)</f>
        <v>8284</v>
      </c>
      <c r="K1113" t="str">
        <f>IFERROR(VLOOKUP(VALUE(J1113),'Site Info'!$A:$G,3,FALSE),"")</f>
        <v>2025 S SOUTHWEST LOOP 323</v>
      </c>
      <c r="L1113" t="str">
        <f>IFERROR(VLOOKUP(VALUE(J1113),'Site Info'!$A:$G,4,FALSE),"")</f>
        <v>TYLER</v>
      </c>
      <c r="M1113" t="str">
        <f>IFERROR(VLOOKUP(VALUE(J1113),'Site Info'!$A:$G,5,FALSE),"")</f>
        <v>TX</v>
      </c>
      <c r="N1113" t="str">
        <f>IFERROR(VLOOKUP(VALUE(J1113),'Site Info'!$A:$G,6,FALSE),"")</f>
        <v>75701-0763</v>
      </c>
      <c r="O1113">
        <f>IFERROR(VLOOKUP(VALUE(J1113),'Site Info'!$A:$G,7,FALSE),"")</f>
        <v>9035972296</v>
      </c>
    </row>
    <row r="1114" spans="1:15" x14ac:dyDescent="0.45">
      <c r="A1114" t="s">
        <v>9285</v>
      </c>
      <c r="B1114" t="s">
        <v>9286</v>
      </c>
      <c r="C1114" t="s">
        <v>9287</v>
      </c>
      <c r="D1114" t="s">
        <v>2081</v>
      </c>
      <c r="E1114" s="1">
        <v>46153.336493055554</v>
      </c>
      <c r="F1114">
        <v>1547</v>
      </c>
      <c r="G1114" t="s">
        <v>9288</v>
      </c>
      <c r="H1114" t="s">
        <v>15</v>
      </c>
      <c r="I1114" t="s">
        <v>2083</v>
      </c>
      <c r="J1114" t="str">
        <f>RIGHT(D1114,4)</f>
        <v>8284</v>
      </c>
      <c r="K1114" t="str">
        <f>IFERROR(VLOOKUP(VALUE(J1114),'Site Info'!$A:$G,3,FALSE),"")</f>
        <v>2025 S SOUTHWEST LOOP 323</v>
      </c>
      <c r="L1114" t="str">
        <f>IFERROR(VLOOKUP(VALUE(J1114),'Site Info'!$A:$G,4,FALSE),"")</f>
        <v>TYLER</v>
      </c>
      <c r="M1114" t="str">
        <f>IFERROR(VLOOKUP(VALUE(J1114),'Site Info'!$A:$G,5,FALSE),"")</f>
        <v>TX</v>
      </c>
      <c r="N1114" t="str">
        <f>IFERROR(VLOOKUP(VALUE(J1114),'Site Info'!$A:$G,6,FALSE),"")</f>
        <v>75701-0763</v>
      </c>
      <c r="O1114">
        <f>IFERROR(VLOOKUP(VALUE(J1114),'Site Info'!$A:$G,7,FALSE),"")</f>
        <v>9035972296</v>
      </c>
    </row>
    <row r="1115" spans="1:15" x14ac:dyDescent="0.45">
      <c r="A1115" t="s">
        <v>12528</v>
      </c>
      <c r="B1115" t="s">
        <v>12529</v>
      </c>
      <c r="C1115" t="s">
        <v>12530</v>
      </c>
      <c r="D1115" t="s">
        <v>2081</v>
      </c>
      <c r="E1115" s="1">
        <v>46153.352314814816</v>
      </c>
      <c r="F1115">
        <v>1547</v>
      </c>
      <c r="G1115" t="s">
        <v>12531</v>
      </c>
      <c r="H1115" t="s">
        <v>15</v>
      </c>
      <c r="I1115" t="s">
        <v>2083</v>
      </c>
      <c r="J1115" t="str">
        <f>RIGHT(D1115,4)</f>
        <v>8284</v>
      </c>
      <c r="K1115" t="str">
        <f>IFERROR(VLOOKUP(VALUE(J1115),'Site Info'!$A:$G,3,FALSE),"")</f>
        <v>2025 S SOUTHWEST LOOP 323</v>
      </c>
      <c r="L1115" t="str">
        <f>IFERROR(VLOOKUP(VALUE(J1115),'Site Info'!$A:$G,4,FALSE),"")</f>
        <v>TYLER</v>
      </c>
      <c r="M1115" t="str">
        <f>IFERROR(VLOOKUP(VALUE(J1115),'Site Info'!$A:$G,5,FALSE),"")</f>
        <v>TX</v>
      </c>
      <c r="N1115" t="str">
        <f>IFERROR(VLOOKUP(VALUE(J1115),'Site Info'!$A:$G,6,FALSE),"")</f>
        <v>75701-0763</v>
      </c>
      <c r="O1115">
        <f>IFERROR(VLOOKUP(VALUE(J1115),'Site Info'!$A:$G,7,FALSE),"")</f>
        <v>9035972296</v>
      </c>
    </row>
    <row r="1116" spans="1:15" x14ac:dyDescent="0.45">
      <c r="A1116" t="s">
        <v>2078</v>
      </c>
      <c r="B1116" t="s">
        <v>2079</v>
      </c>
      <c r="C1116" t="s">
        <v>2080</v>
      </c>
      <c r="D1116" t="s">
        <v>2081</v>
      </c>
      <c r="E1116" s="1">
        <v>46153.354259259257</v>
      </c>
      <c r="F1116">
        <v>1481</v>
      </c>
      <c r="G1116" t="s">
        <v>2082</v>
      </c>
      <c r="H1116" t="s">
        <v>15</v>
      </c>
      <c r="I1116" t="s">
        <v>2083</v>
      </c>
      <c r="J1116" t="str">
        <f>RIGHT(D1116,4)</f>
        <v>8284</v>
      </c>
      <c r="K1116" t="str">
        <f>IFERROR(VLOOKUP(VALUE(J1116),'Site Info'!$A:$G,3,FALSE),"")</f>
        <v>2025 S SOUTHWEST LOOP 323</v>
      </c>
      <c r="L1116" t="str">
        <f>IFERROR(VLOOKUP(VALUE(J1116),'Site Info'!$A:$G,4,FALSE),"")</f>
        <v>TYLER</v>
      </c>
      <c r="M1116" t="str">
        <f>IFERROR(VLOOKUP(VALUE(J1116),'Site Info'!$A:$G,5,FALSE),"")</f>
        <v>TX</v>
      </c>
      <c r="N1116" t="str">
        <f>IFERROR(VLOOKUP(VALUE(J1116),'Site Info'!$A:$G,6,FALSE),"")</f>
        <v>75701-0763</v>
      </c>
      <c r="O1116">
        <f>IFERROR(VLOOKUP(VALUE(J1116),'Site Info'!$A:$G,7,FALSE),"")</f>
        <v>9035972296</v>
      </c>
    </row>
    <row r="1117" spans="1:15" x14ac:dyDescent="0.45">
      <c r="A1117" t="s">
        <v>17290</v>
      </c>
      <c r="B1117" t="s">
        <v>17291</v>
      </c>
      <c r="C1117" t="s">
        <v>17292</v>
      </c>
      <c r="D1117" t="s">
        <v>2081</v>
      </c>
      <c r="E1117" s="1">
        <v>46076.376597222225</v>
      </c>
      <c r="F1117">
        <v>1863</v>
      </c>
      <c r="G1117" t="s">
        <v>17293</v>
      </c>
      <c r="H1117" t="s">
        <v>136</v>
      </c>
      <c r="I1117" t="s">
        <v>2083</v>
      </c>
      <c r="J1117" t="str">
        <f>RIGHT(D1117,4)</f>
        <v>8284</v>
      </c>
      <c r="K1117" t="str">
        <f>IFERROR(VLOOKUP(VALUE(J1117),'Site Info'!$A:$G,3,FALSE),"")</f>
        <v>2025 S SOUTHWEST LOOP 323</v>
      </c>
      <c r="L1117" t="str">
        <f>IFERROR(VLOOKUP(VALUE(J1117),'Site Info'!$A:$G,4,FALSE),"")</f>
        <v>TYLER</v>
      </c>
      <c r="M1117" t="str">
        <f>IFERROR(VLOOKUP(VALUE(J1117),'Site Info'!$A:$G,5,FALSE),"")</f>
        <v>TX</v>
      </c>
      <c r="N1117" t="str">
        <f>IFERROR(VLOOKUP(VALUE(J1117),'Site Info'!$A:$G,6,FALSE),"")</f>
        <v>75701-0763</v>
      </c>
      <c r="O1117">
        <f>IFERROR(VLOOKUP(VALUE(J1117),'Site Info'!$A:$G,7,FALSE),"")</f>
        <v>9035972296</v>
      </c>
    </row>
    <row r="1118" spans="1:15" x14ac:dyDescent="0.45">
      <c r="A1118" t="s">
        <v>16420</v>
      </c>
      <c r="B1118" t="s">
        <v>17294</v>
      </c>
      <c r="C1118" t="s">
        <v>17295</v>
      </c>
      <c r="D1118" t="s">
        <v>2081</v>
      </c>
      <c r="E1118" s="1">
        <v>46153.179988425924</v>
      </c>
      <c r="F1118">
        <v>1628</v>
      </c>
      <c r="G1118" t="s">
        <v>17296</v>
      </c>
      <c r="H1118" t="s">
        <v>13988</v>
      </c>
      <c r="I1118" t="s">
        <v>2083</v>
      </c>
      <c r="J1118" t="str">
        <f>RIGHT(D1118,4)</f>
        <v>8284</v>
      </c>
      <c r="K1118" t="str">
        <f>IFERROR(VLOOKUP(VALUE(J1118),'Site Info'!$A:$G,3,FALSE),"")</f>
        <v>2025 S SOUTHWEST LOOP 323</v>
      </c>
      <c r="L1118" t="str">
        <f>IFERROR(VLOOKUP(VALUE(J1118),'Site Info'!$A:$G,4,FALSE),"")</f>
        <v>TYLER</v>
      </c>
      <c r="M1118" t="str">
        <f>IFERROR(VLOOKUP(VALUE(J1118),'Site Info'!$A:$G,5,FALSE),"")</f>
        <v>TX</v>
      </c>
      <c r="N1118" t="str">
        <f>IFERROR(VLOOKUP(VALUE(J1118),'Site Info'!$A:$G,6,FALSE),"")</f>
        <v>75701-0763</v>
      </c>
      <c r="O1118">
        <f>IFERROR(VLOOKUP(VALUE(J1118),'Site Info'!$A:$G,7,FALSE),"")</f>
        <v>9035972296</v>
      </c>
    </row>
    <row r="1119" spans="1:15" x14ac:dyDescent="0.45">
      <c r="A1119" t="s">
        <v>17148</v>
      </c>
      <c r="B1119" t="s">
        <v>17297</v>
      </c>
      <c r="C1119" t="s">
        <v>17298</v>
      </c>
      <c r="D1119" t="s">
        <v>2081</v>
      </c>
      <c r="E1119" s="1">
        <v>46153.20952546296</v>
      </c>
      <c r="F1119">
        <v>1628</v>
      </c>
      <c r="G1119" t="s">
        <v>17299</v>
      </c>
      <c r="H1119" t="s">
        <v>13988</v>
      </c>
      <c r="I1119" t="s">
        <v>2083</v>
      </c>
      <c r="J1119" t="str">
        <f>RIGHT(D1119,4)</f>
        <v>8284</v>
      </c>
      <c r="K1119" t="str">
        <f>IFERROR(VLOOKUP(VALUE(J1119),'Site Info'!$A:$G,3,FALSE),"")</f>
        <v>2025 S SOUTHWEST LOOP 323</v>
      </c>
      <c r="L1119" t="str">
        <f>IFERROR(VLOOKUP(VALUE(J1119),'Site Info'!$A:$G,4,FALSE),"")</f>
        <v>TYLER</v>
      </c>
      <c r="M1119" t="str">
        <f>IFERROR(VLOOKUP(VALUE(J1119),'Site Info'!$A:$G,5,FALSE),"")</f>
        <v>TX</v>
      </c>
      <c r="N1119" t="str">
        <f>IFERROR(VLOOKUP(VALUE(J1119),'Site Info'!$A:$G,6,FALSE),"")</f>
        <v>75701-0763</v>
      </c>
      <c r="O1119">
        <f>IFERROR(VLOOKUP(VALUE(J1119),'Site Info'!$A:$G,7,FALSE),"")</f>
        <v>9035972296</v>
      </c>
    </row>
    <row r="1120" spans="1:15" x14ac:dyDescent="0.45">
      <c r="A1120" t="s">
        <v>17300</v>
      </c>
      <c r="B1120" t="s">
        <v>17301</v>
      </c>
      <c r="C1120" t="s">
        <v>17302</v>
      </c>
      <c r="D1120" t="s">
        <v>2081</v>
      </c>
      <c r="E1120" s="1">
        <v>46153.28943287037</v>
      </c>
      <c r="F1120">
        <v>1547</v>
      </c>
      <c r="G1120" t="s">
        <v>17303</v>
      </c>
      <c r="H1120" t="s">
        <v>15</v>
      </c>
      <c r="I1120" t="s">
        <v>2083</v>
      </c>
      <c r="J1120" t="str">
        <f>RIGHT(D1120,4)</f>
        <v>8284</v>
      </c>
      <c r="K1120" t="str">
        <f>IFERROR(VLOOKUP(VALUE(J1120),'Site Info'!$A:$G,3,FALSE),"")</f>
        <v>2025 S SOUTHWEST LOOP 323</v>
      </c>
      <c r="L1120" t="str">
        <f>IFERROR(VLOOKUP(VALUE(J1120),'Site Info'!$A:$G,4,FALSE),"")</f>
        <v>TYLER</v>
      </c>
      <c r="M1120" t="str">
        <f>IFERROR(VLOOKUP(VALUE(J1120),'Site Info'!$A:$G,5,FALSE),"")</f>
        <v>TX</v>
      </c>
      <c r="N1120" t="str">
        <f>IFERROR(VLOOKUP(VALUE(J1120),'Site Info'!$A:$G,6,FALSE),"")</f>
        <v>75701-0763</v>
      </c>
      <c r="O1120">
        <f>IFERROR(VLOOKUP(VALUE(J1120),'Site Info'!$A:$G,7,FALSE),"")</f>
        <v>9035972296</v>
      </c>
    </row>
    <row r="1121" spans="1:15" x14ac:dyDescent="0.45">
      <c r="A1121" t="s">
        <v>7274</v>
      </c>
      <c r="B1121" t="s">
        <v>7275</v>
      </c>
      <c r="C1121" t="s">
        <v>7276</v>
      </c>
      <c r="D1121" t="s">
        <v>218</v>
      </c>
      <c r="E1121" s="1">
        <v>46133.275127314817</v>
      </c>
      <c r="F1121">
        <v>1547</v>
      </c>
      <c r="G1121" t="s">
        <v>7277</v>
      </c>
      <c r="H1121" t="s">
        <v>15</v>
      </c>
      <c r="I1121" t="s">
        <v>219</v>
      </c>
      <c r="J1121" t="str">
        <f>RIGHT(D1121,4)</f>
        <v>8265</v>
      </c>
      <c r="K1121" t="str">
        <f>IFERROR(VLOOKUP(VALUE(J1121),'Site Info'!$A:$G,3,FALSE),"")</f>
        <v>2025 SAMS WAY</v>
      </c>
      <c r="L1121" t="str">
        <f>IFERROR(VLOOKUP(VALUE(J1121),'Site Info'!$A:$G,4,FALSE),"")</f>
        <v>LAKE CHARLES</v>
      </c>
      <c r="M1121" t="str">
        <f>IFERROR(VLOOKUP(VALUE(J1121),'Site Info'!$A:$G,5,FALSE),"")</f>
        <v>LA</v>
      </c>
      <c r="N1121" t="str">
        <f>IFERROR(VLOOKUP(VALUE(J1121),'Site Info'!$A:$G,6,FALSE),"")</f>
        <v>70601-8783</v>
      </c>
      <c r="O1121">
        <f>IFERROR(VLOOKUP(VALUE(J1121),'Site Info'!$A:$G,7,FALSE),"")</f>
        <v>3374772668</v>
      </c>
    </row>
    <row r="1122" spans="1:15" x14ac:dyDescent="0.45">
      <c r="A1122" t="s">
        <v>8049</v>
      </c>
      <c r="B1122" t="s">
        <v>8050</v>
      </c>
      <c r="C1122" t="s">
        <v>8051</v>
      </c>
      <c r="D1122" t="s">
        <v>218</v>
      </c>
      <c r="E1122" s="1">
        <v>46151.925520833334</v>
      </c>
      <c r="F1122">
        <v>1547</v>
      </c>
      <c r="G1122" t="s">
        <v>8052</v>
      </c>
      <c r="H1122" t="s">
        <v>15</v>
      </c>
      <c r="I1122" t="s">
        <v>219</v>
      </c>
      <c r="J1122" t="str">
        <f>RIGHT(D1122,4)</f>
        <v>8265</v>
      </c>
      <c r="K1122" t="str">
        <f>IFERROR(VLOOKUP(VALUE(J1122),'Site Info'!$A:$G,3,FALSE),"")</f>
        <v>2025 SAMS WAY</v>
      </c>
      <c r="L1122" t="str">
        <f>IFERROR(VLOOKUP(VALUE(J1122),'Site Info'!$A:$G,4,FALSE),"")</f>
        <v>LAKE CHARLES</v>
      </c>
      <c r="M1122" t="str">
        <f>IFERROR(VLOOKUP(VALUE(J1122),'Site Info'!$A:$G,5,FALSE),"")</f>
        <v>LA</v>
      </c>
      <c r="N1122" t="str">
        <f>IFERROR(VLOOKUP(VALUE(J1122),'Site Info'!$A:$G,6,FALSE),"")</f>
        <v>70601-8783</v>
      </c>
      <c r="O1122">
        <f>IFERROR(VLOOKUP(VALUE(J1122),'Site Info'!$A:$G,7,FALSE),"")</f>
        <v>3374772668</v>
      </c>
    </row>
    <row r="1123" spans="1:15" x14ac:dyDescent="0.45">
      <c r="A1123" t="s">
        <v>7308</v>
      </c>
      <c r="B1123" t="s">
        <v>7309</v>
      </c>
      <c r="C1123" t="s">
        <v>7310</v>
      </c>
      <c r="D1123" t="s">
        <v>218</v>
      </c>
      <c r="E1123" s="1">
        <v>46152.595266203702</v>
      </c>
      <c r="F1123">
        <v>1547</v>
      </c>
      <c r="G1123" t="s">
        <v>7311</v>
      </c>
      <c r="H1123" t="s">
        <v>15</v>
      </c>
      <c r="I1123" t="s">
        <v>219</v>
      </c>
      <c r="J1123" t="str">
        <f>RIGHT(D1123,4)</f>
        <v>8265</v>
      </c>
      <c r="K1123" t="str">
        <f>IFERROR(VLOOKUP(VALUE(J1123),'Site Info'!$A:$G,3,FALSE),"")</f>
        <v>2025 SAMS WAY</v>
      </c>
      <c r="L1123" t="str">
        <f>IFERROR(VLOOKUP(VALUE(J1123),'Site Info'!$A:$G,4,FALSE),"")</f>
        <v>LAKE CHARLES</v>
      </c>
      <c r="M1123" t="str">
        <f>IFERROR(VLOOKUP(VALUE(J1123),'Site Info'!$A:$G,5,FALSE),"")</f>
        <v>LA</v>
      </c>
      <c r="N1123" t="str">
        <f>IFERROR(VLOOKUP(VALUE(J1123),'Site Info'!$A:$G,6,FALSE),"")</f>
        <v>70601-8783</v>
      </c>
      <c r="O1123">
        <f>IFERROR(VLOOKUP(VALUE(J1123),'Site Info'!$A:$G,7,FALSE),"")</f>
        <v>3374772668</v>
      </c>
    </row>
    <row r="1124" spans="1:15" x14ac:dyDescent="0.45">
      <c r="A1124" t="s">
        <v>7583</v>
      </c>
      <c r="B1124" t="s">
        <v>7584</v>
      </c>
      <c r="C1124" t="s">
        <v>7585</v>
      </c>
      <c r="D1124" t="s">
        <v>218</v>
      </c>
      <c r="E1124" s="1">
        <v>46153.204710648148</v>
      </c>
      <c r="F1124">
        <v>1547</v>
      </c>
      <c r="G1124" t="s">
        <v>7586</v>
      </c>
      <c r="H1124" t="s">
        <v>15</v>
      </c>
      <c r="I1124" t="s">
        <v>219</v>
      </c>
      <c r="J1124" t="str">
        <f>RIGHT(D1124,4)</f>
        <v>8265</v>
      </c>
      <c r="K1124" t="str">
        <f>IFERROR(VLOOKUP(VALUE(J1124),'Site Info'!$A:$G,3,FALSE),"")</f>
        <v>2025 SAMS WAY</v>
      </c>
      <c r="L1124" t="str">
        <f>IFERROR(VLOOKUP(VALUE(J1124),'Site Info'!$A:$G,4,FALSE),"")</f>
        <v>LAKE CHARLES</v>
      </c>
      <c r="M1124" t="str">
        <f>IFERROR(VLOOKUP(VALUE(J1124),'Site Info'!$A:$G,5,FALSE),"")</f>
        <v>LA</v>
      </c>
      <c r="N1124" t="str">
        <f>IFERROR(VLOOKUP(VALUE(J1124),'Site Info'!$A:$G,6,FALSE),"")</f>
        <v>70601-8783</v>
      </c>
      <c r="O1124">
        <f>IFERROR(VLOOKUP(VALUE(J1124),'Site Info'!$A:$G,7,FALSE),"")</f>
        <v>3374772668</v>
      </c>
    </row>
    <row r="1125" spans="1:15" x14ac:dyDescent="0.45">
      <c r="A1125" t="s">
        <v>3927</v>
      </c>
      <c r="B1125" t="s">
        <v>3928</v>
      </c>
      <c r="C1125" t="s">
        <v>3929</v>
      </c>
      <c r="D1125" t="s">
        <v>218</v>
      </c>
      <c r="E1125" s="1">
        <v>46148.583321759259</v>
      </c>
      <c r="F1125">
        <v>1481</v>
      </c>
      <c r="G1125" t="s">
        <v>3930</v>
      </c>
      <c r="H1125" t="s">
        <v>15</v>
      </c>
      <c r="I1125" t="s">
        <v>219</v>
      </c>
      <c r="J1125" t="str">
        <f>RIGHT(D1125,4)</f>
        <v>8265</v>
      </c>
      <c r="K1125" t="str">
        <f>IFERROR(VLOOKUP(VALUE(J1125),'Site Info'!$A:$G,3,FALSE),"")</f>
        <v>2025 SAMS WAY</v>
      </c>
      <c r="L1125" t="str">
        <f>IFERROR(VLOOKUP(VALUE(J1125),'Site Info'!$A:$G,4,FALSE),"")</f>
        <v>LAKE CHARLES</v>
      </c>
      <c r="M1125" t="str">
        <f>IFERROR(VLOOKUP(VALUE(J1125),'Site Info'!$A:$G,5,FALSE),"")</f>
        <v>LA</v>
      </c>
      <c r="N1125" t="str">
        <f>IFERROR(VLOOKUP(VALUE(J1125),'Site Info'!$A:$G,6,FALSE),"")</f>
        <v>70601-8783</v>
      </c>
      <c r="O1125">
        <f>IFERROR(VLOOKUP(VALUE(J1125),'Site Info'!$A:$G,7,FALSE),"")</f>
        <v>3374772668</v>
      </c>
    </row>
    <row r="1126" spans="1:15" x14ac:dyDescent="0.45">
      <c r="A1126" t="s">
        <v>3893</v>
      </c>
      <c r="B1126" t="s">
        <v>3894</v>
      </c>
      <c r="C1126" t="s">
        <v>3895</v>
      </c>
      <c r="D1126" t="s">
        <v>218</v>
      </c>
      <c r="E1126" s="1">
        <v>46152.80672453704</v>
      </c>
      <c r="F1126">
        <v>1481</v>
      </c>
      <c r="G1126" t="s">
        <v>3896</v>
      </c>
      <c r="H1126" t="s">
        <v>15</v>
      </c>
      <c r="I1126" t="s">
        <v>219</v>
      </c>
      <c r="J1126" t="str">
        <f>RIGHT(D1126,4)</f>
        <v>8265</v>
      </c>
      <c r="K1126" t="str">
        <f>IFERROR(VLOOKUP(VALUE(J1126),'Site Info'!$A:$G,3,FALSE),"")</f>
        <v>2025 SAMS WAY</v>
      </c>
      <c r="L1126" t="str">
        <f>IFERROR(VLOOKUP(VALUE(J1126),'Site Info'!$A:$G,4,FALSE),"")</f>
        <v>LAKE CHARLES</v>
      </c>
      <c r="M1126" t="str">
        <f>IFERROR(VLOOKUP(VALUE(J1126),'Site Info'!$A:$G,5,FALSE),"")</f>
        <v>LA</v>
      </c>
      <c r="N1126" t="str">
        <f>IFERROR(VLOOKUP(VALUE(J1126),'Site Info'!$A:$G,6,FALSE),"")</f>
        <v>70601-8783</v>
      </c>
      <c r="O1126">
        <f>IFERROR(VLOOKUP(VALUE(J1126),'Site Info'!$A:$G,7,FALSE),"")</f>
        <v>3374772668</v>
      </c>
    </row>
    <row r="1127" spans="1:15" x14ac:dyDescent="0.45">
      <c r="A1127" t="s">
        <v>17242</v>
      </c>
      <c r="B1127" t="s">
        <v>17243</v>
      </c>
      <c r="C1127" t="s">
        <v>17244</v>
      </c>
      <c r="D1127" t="s">
        <v>218</v>
      </c>
      <c r="E1127" s="1">
        <v>46153.381354166668</v>
      </c>
      <c r="F1127">
        <v>1481</v>
      </c>
      <c r="G1127" t="s">
        <v>17245</v>
      </c>
      <c r="H1127" t="s">
        <v>15</v>
      </c>
      <c r="I1127" t="s">
        <v>219</v>
      </c>
      <c r="J1127" t="str">
        <f>RIGHT(D1127,4)</f>
        <v>8265</v>
      </c>
      <c r="K1127" t="str">
        <f>IFERROR(VLOOKUP(VALUE(J1127),'Site Info'!$A:$G,3,FALSE),"")</f>
        <v>2025 SAMS WAY</v>
      </c>
      <c r="L1127" t="str">
        <f>IFERROR(VLOOKUP(VALUE(J1127),'Site Info'!$A:$G,4,FALSE),"")</f>
        <v>LAKE CHARLES</v>
      </c>
      <c r="M1127" t="str">
        <f>IFERROR(VLOOKUP(VALUE(J1127),'Site Info'!$A:$G,5,FALSE),"")</f>
        <v>LA</v>
      </c>
      <c r="N1127" t="str">
        <f>IFERROR(VLOOKUP(VALUE(J1127),'Site Info'!$A:$G,6,FALSE),"")</f>
        <v>70601-8783</v>
      </c>
      <c r="O1127">
        <f>IFERROR(VLOOKUP(VALUE(J1127),'Site Info'!$A:$G,7,FALSE),"")</f>
        <v>3374772668</v>
      </c>
    </row>
    <row r="1128" spans="1:15" x14ac:dyDescent="0.45">
      <c r="A1128" t="s">
        <v>11792</v>
      </c>
      <c r="B1128" t="s">
        <v>11793</v>
      </c>
      <c r="C1128" t="s">
        <v>11794</v>
      </c>
      <c r="D1128" t="s">
        <v>266</v>
      </c>
      <c r="E1128" s="1">
        <v>46152.853275462963</v>
      </c>
      <c r="F1128">
        <v>1548</v>
      </c>
      <c r="G1128" t="s">
        <v>11795</v>
      </c>
      <c r="H1128" t="s">
        <v>15</v>
      </c>
      <c r="I1128" t="s">
        <v>267</v>
      </c>
      <c r="J1128" t="str">
        <f>RIGHT(D1128,4)</f>
        <v>4764</v>
      </c>
      <c r="K1128" t="str">
        <f>IFERROR(VLOOKUP(VALUE(J1128),'Site Info'!$A:$G,3,FALSE),"")</f>
        <v>20424 KATY FWY</v>
      </c>
      <c r="L1128" t="str">
        <f>IFERROR(VLOOKUP(VALUE(J1128),'Site Info'!$A:$G,4,FALSE),"")</f>
        <v>KATY</v>
      </c>
      <c r="M1128" t="str">
        <f>IFERROR(VLOOKUP(VALUE(J1128),'Site Info'!$A:$G,5,FALSE),"")</f>
        <v>TX</v>
      </c>
      <c r="N1128" t="str">
        <f>IFERROR(VLOOKUP(VALUE(J1128),'Site Info'!$A:$G,6,FALSE),"")</f>
        <v>77449-7636</v>
      </c>
      <c r="O1128">
        <f>IFERROR(VLOOKUP(VALUE(J1128),'Site Info'!$A:$G,7,FALSE),"")</f>
        <v>2815787846</v>
      </c>
    </row>
    <row r="1129" spans="1:15" x14ac:dyDescent="0.45">
      <c r="A1129" t="s">
        <v>14043</v>
      </c>
      <c r="B1129" t="s">
        <v>14044</v>
      </c>
      <c r="C1129" t="s">
        <v>14045</v>
      </c>
      <c r="D1129" t="s">
        <v>266</v>
      </c>
      <c r="E1129" s="1">
        <v>46152.556979166664</v>
      </c>
      <c r="F1129">
        <v>1547</v>
      </c>
      <c r="G1129" t="s">
        <v>14046</v>
      </c>
      <c r="H1129" t="s">
        <v>15</v>
      </c>
      <c r="I1129" t="s">
        <v>267</v>
      </c>
      <c r="J1129" t="str">
        <f>RIGHT(D1129,4)</f>
        <v>4764</v>
      </c>
      <c r="K1129" t="str">
        <f>IFERROR(VLOOKUP(VALUE(J1129),'Site Info'!$A:$G,3,FALSE),"")</f>
        <v>20424 KATY FWY</v>
      </c>
      <c r="L1129" t="str">
        <f>IFERROR(VLOOKUP(VALUE(J1129),'Site Info'!$A:$G,4,FALSE),"")</f>
        <v>KATY</v>
      </c>
      <c r="M1129" t="str">
        <f>IFERROR(VLOOKUP(VALUE(J1129),'Site Info'!$A:$G,5,FALSE),"")</f>
        <v>TX</v>
      </c>
      <c r="N1129" t="str">
        <f>IFERROR(VLOOKUP(VALUE(J1129),'Site Info'!$A:$G,6,FALSE),"")</f>
        <v>77449-7636</v>
      </c>
      <c r="O1129">
        <f>IFERROR(VLOOKUP(VALUE(J1129),'Site Info'!$A:$G,7,FALSE),"")</f>
        <v>2815787846</v>
      </c>
    </row>
    <row r="1130" spans="1:15" x14ac:dyDescent="0.45">
      <c r="A1130" t="s">
        <v>12688</v>
      </c>
      <c r="B1130" t="s">
        <v>12689</v>
      </c>
      <c r="C1130" t="s">
        <v>12690</v>
      </c>
      <c r="D1130" t="s">
        <v>266</v>
      </c>
      <c r="E1130" s="1">
        <v>46153.19940972222</v>
      </c>
      <c r="F1130">
        <v>1547</v>
      </c>
      <c r="G1130" t="s">
        <v>12691</v>
      </c>
      <c r="H1130" t="s">
        <v>15</v>
      </c>
      <c r="I1130" t="s">
        <v>267</v>
      </c>
      <c r="J1130" t="str">
        <f>RIGHT(D1130,4)</f>
        <v>4764</v>
      </c>
      <c r="K1130" t="str">
        <f>IFERROR(VLOOKUP(VALUE(J1130),'Site Info'!$A:$G,3,FALSE),"")</f>
        <v>20424 KATY FWY</v>
      </c>
      <c r="L1130" t="str">
        <f>IFERROR(VLOOKUP(VALUE(J1130),'Site Info'!$A:$G,4,FALSE),"")</f>
        <v>KATY</v>
      </c>
      <c r="M1130" t="str">
        <f>IFERROR(VLOOKUP(VALUE(J1130),'Site Info'!$A:$G,5,FALSE),"")</f>
        <v>TX</v>
      </c>
      <c r="N1130" t="str">
        <f>IFERROR(VLOOKUP(VALUE(J1130),'Site Info'!$A:$G,6,FALSE),"")</f>
        <v>77449-7636</v>
      </c>
      <c r="O1130">
        <f>IFERROR(VLOOKUP(VALUE(J1130),'Site Info'!$A:$G,7,FALSE),"")</f>
        <v>2815787846</v>
      </c>
    </row>
    <row r="1131" spans="1:15" x14ac:dyDescent="0.45">
      <c r="A1131" t="s">
        <v>11880</v>
      </c>
      <c r="B1131" t="s">
        <v>11881</v>
      </c>
      <c r="C1131" t="s">
        <v>11882</v>
      </c>
      <c r="D1131" t="s">
        <v>266</v>
      </c>
      <c r="E1131" s="1">
        <v>46153.271944444445</v>
      </c>
      <c r="F1131">
        <v>1547</v>
      </c>
      <c r="G1131" t="s">
        <v>11883</v>
      </c>
      <c r="H1131" t="s">
        <v>15</v>
      </c>
      <c r="I1131" t="s">
        <v>267</v>
      </c>
      <c r="J1131" t="str">
        <f>RIGHT(D1131,4)</f>
        <v>4764</v>
      </c>
      <c r="K1131" t="str">
        <f>IFERROR(VLOOKUP(VALUE(J1131),'Site Info'!$A:$G,3,FALSE),"")</f>
        <v>20424 KATY FWY</v>
      </c>
      <c r="L1131" t="str">
        <f>IFERROR(VLOOKUP(VALUE(J1131),'Site Info'!$A:$G,4,FALSE),"")</f>
        <v>KATY</v>
      </c>
      <c r="M1131" t="str">
        <f>IFERROR(VLOOKUP(VALUE(J1131),'Site Info'!$A:$G,5,FALSE),"")</f>
        <v>TX</v>
      </c>
      <c r="N1131" t="str">
        <f>IFERROR(VLOOKUP(VALUE(J1131),'Site Info'!$A:$G,6,FALSE),"")</f>
        <v>77449-7636</v>
      </c>
      <c r="O1131">
        <f>IFERROR(VLOOKUP(VALUE(J1131),'Site Info'!$A:$G,7,FALSE),"")</f>
        <v>2815787846</v>
      </c>
    </row>
    <row r="1132" spans="1:15" x14ac:dyDescent="0.45">
      <c r="A1132" t="s">
        <v>11264</v>
      </c>
      <c r="B1132" t="s">
        <v>11265</v>
      </c>
      <c r="C1132" t="s">
        <v>11266</v>
      </c>
      <c r="D1132" t="s">
        <v>266</v>
      </c>
      <c r="E1132" s="1">
        <v>46153.373217592591</v>
      </c>
      <c r="F1132">
        <v>1547</v>
      </c>
      <c r="G1132" t="s">
        <v>11267</v>
      </c>
      <c r="H1132" t="s">
        <v>15</v>
      </c>
      <c r="I1132" t="s">
        <v>267</v>
      </c>
      <c r="J1132" t="str">
        <f>RIGHT(D1132,4)</f>
        <v>4764</v>
      </c>
      <c r="K1132" t="str">
        <f>IFERROR(VLOOKUP(VALUE(J1132),'Site Info'!$A:$G,3,FALSE),"")</f>
        <v>20424 KATY FWY</v>
      </c>
      <c r="L1132" t="str">
        <f>IFERROR(VLOOKUP(VALUE(J1132),'Site Info'!$A:$G,4,FALSE),"")</f>
        <v>KATY</v>
      </c>
      <c r="M1132" t="str">
        <f>IFERROR(VLOOKUP(VALUE(J1132),'Site Info'!$A:$G,5,FALSE),"")</f>
        <v>TX</v>
      </c>
      <c r="N1132" t="str">
        <f>IFERROR(VLOOKUP(VALUE(J1132),'Site Info'!$A:$G,6,FALSE),"")</f>
        <v>77449-7636</v>
      </c>
      <c r="O1132">
        <f>IFERROR(VLOOKUP(VALUE(J1132),'Site Info'!$A:$G,7,FALSE),"")</f>
        <v>2815787846</v>
      </c>
    </row>
    <row r="1133" spans="1:15" x14ac:dyDescent="0.45">
      <c r="A1133" t="s">
        <v>864</v>
      </c>
      <c r="B1133" t="s">
        <v>865</v>
      </c>
      <c r="C1133" t="s">
        <v>866</v>
      </c>
      <c r="D1133" t="s">
        <v>266</v>
      </c>
      <c r="E1133" s="1">
        <v>46153.361203703702</v>
      </c>
      <c r="F1133">
        <v>1481</v>
      </c>
      <c r="G1133" t="s">
        <v>867</v>
      </c>
      <c r="H1133" t="s">
        <v>15</v>
      </c>
      <c r="I1133" t="s">
        <v>267</v>
      </c>
      <c r="J1133" t="str">
        <f>RIGHT(D1133,4)</f>
        <v>4764</v>
      </c>
      <c r="K1133" t="str">
        <f>IFERROR(VLOOKUP(VALUE(J1133),'Site Info'!$A:$G,3,FALSE),"")</f>
        <v>20424 KATY FWY</v>
      </c>
      <c r="L1133" t="str">
        <f>IFERROR(VLOOKUP(VALUE(J1133),'Site Info'!$A:$G,4,FALSE),"")</f>
        <v>KATY</v>
      </c>
      <c r="M1133" t="str">
        <f>IFERROR(VLOOKUP(VALUE(J1133),'Site Info'!$A:$G,5,FALSE),"")</f>
        <v>TX</v>
      </c>
      <c r="N1133" t="str">
        <f>IFERROR(VLOOKUP(VALUE(J1133),'Site Info'!$A:$G,6,FALSE),"")</f>
        <v>77449-7636</v>
      </c>
      <c r="O1133">
        <f>IFERROR(VLOOKUP(VALUE(J1133),'Site Info'!$A:$G,7,FALSE),"")</f>
        <v>2815787846</v>
      </c>
    </row>
    <row r="1134" spans="1:15" x14ac:dyDescent="0.45">
      <c r="A1134" t="s">
        <v>16416</v>
      </c>
      <c r="B1134" t="s">
        <v>16417</v>
      </c>
      <c r="C1134" t="s">
        <v>16418</v>
      </c>
      <c r="D1134" t="s">
        <v>266</v>
      </c>
      <c r="E1134" s="1">
        <v>46152.767777777779</v>
      </c>
      <c r="F1134">
        <v>1863</v>
      </c>
      <c r="G1134" t="s">
        <v>16419</v>
      </c>
      <c r="H1134" t="s">
        <v>136</v>
      </c>
      <c r="I1134" t="s">
        <v>267</v>
      </c>
      <c r="J1134" t="str">
        <f>RIGHT(D1134,4)</f>
        <v>4764</v>
      </c>
      <c r="K1134" t="str">
        <f>IFERROR(VLOOKUP(VALUE(J1134),'Site Info'!$A:$G,3,FALSE),"")</f>
        <v>20424 KATY FWY</v>
      </c>
      <c r="L1134" t="str">
        <f>IFERROR(VLOOKUP(VALUE(J1134),'Site Info'!$A:$G,4,FALSE),"")</f>
        <v>KATY</v>
      </c>
      <c r="M1134" t="str">
        <f>IFERROR(VLOOKUP(VALUE(J1134),'Site Info'!$A:$G,5,FALSE),"")</f>
        <v>TX</v>
      </c>
      <c r="N1134" t="str">
        <f>IFERROR(VLOOKUP(VALUE(J1134),'Site Info'!$A:$G,6,FALSE),"")</f>
        <v>77449-7636</v>
      </c>
      <c r="O1134">
        <f>IFERROR(VLOOKUP(VALUE(J1134),'Site Info'!$A:$G,7,FALSE),"")</f>
        <v>2815787846</v>
      </c>
    </row>
    <row r="1135" spans="1:15" x14ac:dyDescent="0.45">
      <c r="A1135" t="s">
        <v>11694</v>
      </c>
      <c r="B1135" t="s">
        <v>11695</v>
      </c>
      <c r="C1135" t="s">
        <v>11696</v>
      </c>
      <c r="D1135" t="s">
        <v>415</v>
      </c>
      <c r="E1135" s="1">
        <v>46152.661469907405</v>
      </c>
      <c r="F1135">
        <v>1547</v>
      </c>
      <c r="G1135" t="s">
        <v>11697</v>
      </c>
      <c r="H1135" t="s">
        <v>15</v>
      </c>
      <c r="I1135" t="s">
        <v>417</v>
      </c>
      <c r="J1135" t="str">
        <f>RIGHT(D1135,4)</f>
        <v>8183</v>
      </c>
      <c r="K1135" t="str">
        <f>IFERROR(VLOOKUP(VALUE(J1135),'Site Info'!$A:$G,3,FALSE),"")</f>
        <v>207 COUNTY ROAD 120</v>
      </c>
      <c r="L1135" t="str">
        <f>IFERROR(VLOOKUP(VALUE(J1135),'Site Info'!$A:$G,4,FALSE),"")</f>
        <v>SAINT CLOUD</v>
      </c>
      <c r="M1135" t="str">
        <f>IFERROR(VLOOKUP(VALUE(J1135),'Site Info'!$A:$G,5,FALSE),"")</f>
        <v>MN</v>
      </c>
      <c r="N1135" t="str">
        <f>IFERROR(VLOOKUP(VALUE(J1135),'Site Info'!$A:$G,6,FALSE),"")</f>
        <v>56303-4872</v>
      </c>
      <c r="O1135">
        <f>IFERROR(VLOOKUP(VALUE(J1135),'Site Info'!$A:$G,7,FALSE),"")</f>
        <v>3202538370</v>
      </c>
    </row>
    <row r="1136" spans="1:15" x14ac:dyDescent="0.45">
      <c r="A1136" t="s">
        <v>13235</v>
      </c>
      <c r="B1136" t="s">
        <v>13236</v>
      </c>
      <c r="C1136" t="s">
        <v>13237</v>
      </c>
      <c r="D1136" t="s">
        <v>415</v>
      </c>
      <c r="E1136" s="1">
        <v>46153.302673611113</v>
      </c>
      <c r="F1136">
        <v>1547</v>
      </c>
      <c r="G1136" t="s">
        <v>13238</v>
      </c>
      <c r="H1136" t="s">
        <v>15</v>
      </c>
      <c r="I1136" t="s">
        <v>417</v>
      </c>
      <c r="J1136" t="str">
        <f>RIGHT(D1136,4)</f>
        <v>8183</v>
      </c>
      <c r="K1136" t="str">
        <f>IFERROR(VLOOKUP(VALUE(J1136),'Site Info'!$A:$G,3,FALSE),"")</f>
        <v>207 COUNTY ROAD 120</v>
      </c>
      <c r="L1136" t="str">
        <f>IFERROR(VLOOKUP(VALUE(J1136),'Site Info'!$A:$G,4,FALSE),"")</f>
        <v>SAINT CLOUD</v>
      </c>
      <c r="M1136" t="str">
        <f>IFERROR(VLOOKUP(VALUE(J1136),'Site Info'!$A:$G,5,FALSE),"")</f>
        <v>MN</v>
      </c>
      <c r="N1136" t="str">
        <f>IFERROR(VLOOKUP(VALUE(J1136),'Site Info'!$A:$G,6,FALSE),"")</f>
        <v>56303-4872</v>
      </c>
      <c r="O1136">
        <f>IFERROR(VLOOKUP(VALUE(J1136),'Site Info'!$A:$G,7,FALSE),"")</f>
        <v>3202538370</v>
      </c>
    </row>
    <row r="1137" spans="1:15" x14ac:dyDescent="0.45">
      <c r="A1137" t="s">
        <v>12822</v>
      </c>
      <c r="B1137" t="s">
        <v>12823</v>
      </c>
      <c r="C1137" t="s">
        <v>12824</v>
      </c>
      <c r="D1137" t="s">
        <v>415</v>
      </c>
      <c r="E1137" s="1">
        <v>46153.357175925928</v>
      </c>
      <c r="F1137">
        <v>1547</v>
      </c>
      <c r="G1137" t="s">
        <v>12825</v>
      </c>
      <c r="H1137" t="s">
        <v>15</v>
      </c>
      <c r="I1137" t="s">
        <v>417</v>
      </c>
      <c r="J1137" t="str">
        <f>RIGHT(D1137,4)</f>
        <v>8183</v>
      </c>
      <c r="K1137" t="str">
        <f>IFERROR(VLOOKUP(VALUE(J1137),'Site Info'!$A:$G,3,FALSE),"")</f>
        <v>207 COUNTY ROAD 120</v>
      </c>
      <c r="L1137" t="str">
        <f>IFERROR(VLOOKUP(VALUE(J1137),'Site Info'!$A:$G,4,FALSE),"")</f>
        <v>SAINT CLOUD</v>
      </c>
      <c r="M1137" t="str">
        <f>IFERROR(VLOOKUP(VALUE(J1137),'Site Info'!$A:$G,5,FALSE),"")</f>
        <v>MN</v>
      </c>
      <c r="N1137" t="str">
        <f>IFERROR(VLOOKUP(VALUE(J1137),'Site Info'!$A:$G,6,FALSE),"")</f>
        <v>56303-4872</v>
      </c>
      <c r="O1137">
        <f>IFERROR(VLOOKUP(VALUE(J1137),'Site Info'!$A:$G,7,FALSE),"")</f>
        <v>3202538370</v>
      </c>
    </row>
    <row r="1138" spans="1:15" x14ac:dyDescent="0.45">
      <c r="A1138" t="s">
        <v>11672</v>
      </c>
      <c r="B1138" t="s">
        <v>11673</v>
      </c>
      <c r="C1138" t="s">
        <v>11674</v>
      </c>
      <c r="D1138" t="s">
        <v>415</v>
      </c>
      <c r="E1138" s="1">
        <v>46153.365335648145</v>
      </c>
      <c r="F1138">
        <v>1547</v>
      </c>
      <c r="G1138" t="s">
        <v>11675</v>
      </c>
      <c r="H1138" t="s">
        <v>15</v>
      </c>
      <c r="I1138" t="s">
        <v>417</v>
      </c>
      <c r="J1138" t="str">
        <f>RIGHT(D1138,4)</f>
        <v>8183</v>
      </c>
      <c r="K1138" t="str">
        <f>IFERROR(VLOOKUP(VALUE(J1138),'Site Info'!$A:$G,3,FALSE),"")</f>
        <v>207 COUNTY ROAD 120</v>
      </c>
      <c r="L1138" t="str">
        <f>IFERROR(VLOOKUP(VALUE(J1138),'Site Info'!$A:$G,4,FALSE),"")</f>
        <v>SAINT CLOUD</v>
      </c>
      <c r="M1138" t="str">
        <f>IFERROR(VLOOKUP(VALUE(J1138),'Site Info'!$A:$G,5,FALSE),"")</f>
        <v>MN</v>
      </c>
      <c r="N1138" t="str">
        <f>IFERROR(VLOOKUP(VALUE(J1138),'Site Info'!$A:$G,6,FALSE),"")</f>
        <v>56303-4872</v>
      </c>
      <c r="O1138">
        <f>IFERROR(VLOOKUP(VALUE(J1138),'Site Info'!$A:$G,7,FALSE),"")</f>
        <v>3202538370</v>
      </c>
    </row>
    <row r="1139" spans="1:15" x14ac:dyDescent="0.45">
      <c r="A1139" t="s">
        <v>2657</v>
      </c>
      <c r="B1139" t="s">
        <v>2658</v>
      </c>
      <c r="C1139" t="s">
        <v>2659</v>
      </c>
      <c r="D1139" t="s">
        <v>415</v>
      </c>
      <c r="E1139" s="1">
        <v>46151.77008101852</v>
      </c>
      <c r="F1139">
        <v>1481</v>
      </c>
      <c r="G1139" t="s">
        <v>2660</v>
      </c>
      <c r="H1139" t="s">
        <v>15</v>
      </c>
      <c r="I1139" t="s">
        <v>417</v>
      </c>
      <c r="J1139" t="str">
        <f>RIGHT(D1139,4)</f>
        <v>8183</v>
      </c>
      <c r="K1139" t="str">
        <f>IFERROR(VLOOKUP(VALUE(J1139),'Site Info'!$A:$G,3,FALSE),"")</f>
        <v>207 COUNTY ROAD 120</v>
      </c>
      <c r="L1139" t="str">
        <f>IFERROR(VLOOKUP(VALUE(J1139),'Site Info'!$A:$G,4,FALSE),"")</f>
        <v>SAINT CLOUD</v>
      </c>
      <c r="M1139" t="str">
        <f>IFERROR(VLOOKUP(VALUE(J1139),'Site Info'!$A:$G,5,FALSE),"")</f>
        <v>MN</v>
      </c>
      <c r="N1139" t="str">
        <f>IFERROR(VLOOKUP(VALUE(J1139),'Site Info'!$A:$G,6,FALSE),"")</f>
        <v>56303-4872</v>
      </c>
      <c r="O1139">
        <f>IFERROR(VLOOKUP(VALUE(J1139),'Site Info'!$A:$G,7,FALSE),"")</f>
        <v>3202538370</v>
      </c>
    </row>
    <row r="1140" spans="1:15" x14ac:dyDescent="0.45">
      <c r="A1140" t="s">
        <v>412</v>
      </c>
      <c r="B1140" t="s">
        <v>413</v>
      </c>
      <c r="C1140" t="s">
        <v>414</v>
      </c>
      <c r="D1140" t="s">
        <v>415</v>
      </c>
      <c r="E1140" s="1">
        <v>46153.366712962961</v>
      </c>
      <c r="F1140">
        <v>1481</v>
      </c>
      <c r="G1140" t="s">
        <v>416</v>
      </c>
      <c r="H1140" t="s">
        <v>15</v>
      </c>
      <c r="I1140" t="s">
        <v>417</v>
      </c>
      <c r="J1140" t="str">
        <f>RIGHT(D1140,4)</f>
        <v>8183</v>
      </c>
      <c r="K1140" t="str">
        <f>IFERROR(VLOOKUP(VALUE(J1140),'Site Info'!$A:$G,3,FALSE),"")</f>
        <v>207 COUNTY ROAD 120</v>
      </c>
      <c r="L1140" t="str">
        <f>IFERROR(VLOOKUP(VALUE(J1140),'Site Info'!$A:$G,4,FALSE),"")</f>
        <v>SAINT CLOUD</v>
      </c>
      <c r="M1140" t="str">
        <f>IFERROR(VLOOKUP(VALUE(J1140),'Site Info'!$A:$G,5,FALSE),"")</f>
        <v>MN</v>
      </c>
      <c r="N1140" t="str">
        <f>IFERROR(VLOOKUP(VALUE(J1140),'Site Info'!$A:$G,6,FALSE),"")</f>
        <v>56303-4872</v>
      </c>
      <c r="O1140">
        <f>IFERROR(VLOOKUP(VALUE(J1140),'Site Info'!$A:$G,7,FALSE),"")</f>
        <v>3202538370</v>
      </c>
    </row>
    <row r="1141" spans="1:15" x14ac:dyDescent="0.45">
      <c r="A1141" t="s">
        <v>14552</v>
      </c>
      <c r="B1141" t="s">
        <v>14553</v>
      </c>
      <c r="C1141" t="s">
        <v>14554</v>
      </c>
      <c r="D1141" t="s">
        <v>14348</v>
      </c>
      <c r="E1141" s="1">
        <v>46152.745891203704</v>
      </c>
      <c r="F1141">
        <v>1481</v>
      </c>
      <c r="G1141" t="s">
        <v>14555</v>
      </c>
      <c r="H1141" t="s">
        <v>15</v>
      </c>
      <c r="I1141" t="s">
        <v>14350</v>
      </c>
      <c r="J1141" t="str">
        <f>RIGHT(D1141,4)</f>
        <v>4956</v>
      </c>
      <c r="K1141" t="str">
        <f>IFERROR(VLOOKUP(VALUE(J1141),'Site Info'!$A:$G,3,FALSE),"")</f>
        <v>2080 E RIO SALADO PKWY</v>
      </c>
      <c r="L1141" t="str">
        <f>IFERROR(VLOOKUP(VALUE(J1141),'Site Info'!$A:$G,4,FALSE),"")</f>
        <v>TEMPE</v>
      </c>
      <c r="M1141" t="str">
        <f>IFERROR(VLOOKUP(VALUE(J1141),'Site Info'!$A:$G,5,FALSE),"")</f>
        <v>AZ</v>
      </c>
      <c r="N1141" t="str">
        <f>IFERROR(VLOOKUP(VALUE(J1141),'Site Info'!$A:$G,6,FALSE),"")</f>
        <v>85288-4840</v>
      </c>
      <c r="O1141">
        <f>IFERROR(VLOOKUP(VALUE(J1141),'Site Info'!$A:$G,7,FALSE),"")</f>
        <v>4806061805</v>
      </c>
    </row>
    <row r="1142" spans="1:15" x14ac:dyDescent="0.45">
      <c r="A1142" t="s">
        <v>14345</v>
      </c>
      <c r="B1142" t="s">
        <v>14346</v>
      </c>
      <c r="C1142" t="s">
        <v>14347</v>
      </c>
      <c r="D1142" t="s">
        <v>14348</v>
      </c>
      <c r="E1142" s="1">
        <v>46152.928761574076</v>
      </c>
      <c r="F1142">
        <v>1481</v>
      </c>
      <c r="G1142" t="s">
        <v>14349</v>
      </c>
      <c r="H1142" t="s">
        <v>15</v>
      </c>
      <c r="I1142" t="s">
        <v>14350</v>
      </c>
      <c r="J1142" t="str">
        <f>RIGHT(D1142,4)</f>
        <v>4956</v>
      </c>
      <c r="K1142" t="str">
        <f>IFERROR(VLOOKUP(VALUE(J1142),'Site Info'!$A:$G,3,FALSE),"")</f>
        <v>2080 E RIO SALADO PKWY</v>
      </c>
      <c r="L1142" t="str">
        <f>IFERROR(VLOOKUP(VALUE(J1142),'Site Info'!$A:$G,4,FALSE),"")</f>
        <v>TEMPE</v>
      </c>
      <c r="M1142" t="str">
        <f>IFERROR(VLOOKUP(VALUE(J1142),'Site Info'!$A:$G,5,FALSE),"")</f>
        <v>AZ</v>
      </c>
      <c r="N1142" t="str">
        <f>IFERROR(VLOOKUP(VALUE(J1142),'Site Info'!$A:$G,6,FALSE),"")</f>
        <v>85288-4840</v>
      </c>
      <c r="O1142">
        <f>IFERROR(VLOOKUP(VALUE(J1142),'Site Info'!$A:$G,7,FALSE),"")</f>
        <v>4806061805</v>
      </c>
    </row>
    <row r="1143" spans="1:15" x14ac:dyDescent="0.45">
      <c r="A1143" t="s">
        <v>14572</v>
      </c>
      <c r="B1143" t="s">
        <v>14573</v>
      </c>
      <c r="C1143" t="s">
        <v>14574</v>
      </c>
      <c r="D1143" t="s">
        <v>14348</v>
      </c>
      <c r="E1143" s="1">
        <v>46153.04483796296</v>
      </c>
      <c r="F1143">
        <v>1481</v>
      </c>
      <c r="G1143" t="s">
        <v>14575</v>
      </c>
      <c r="H1143" t="s">
        <v>15</v>
      </c>
      <c r="I1143" t="s">
        <v>14350</v>
      </c>
      <c r="J1143" t="str">
        <f>RIGHT(D1143,4)</f>
        <v>4956</v>
      </c>
      <c r="K1143" t="str">
        <f>IFERROR(VLOOKUP(VALUE(J1143),'Site Info'!$A:$G,3,FALSE),"")</f>
        <v>2080 E RIO SALADO PKWY</v>
      </c>
      <c r="L1143" t="str">
        <f>IFERROR(VLOOKUP(VALUE(J1143),'Site Info'!$A:$G,4,FALSE),"")</f>
        <v>TEMPE</v>
      </c>
      <c r="M1143" t="str">
        <f>IFERROR(VLOOKUP(VALUE(J1143),'Site Info'!$A:$G,5,FALSE),"")</f>
        <v>AZ</v>
      </c>
      <c r="N1143" t="str">
        <f>IFERROR(VLOOKUP(VALUE(J1143),'Site Info'!$A:$G,6,FALSE),"")</f>
        <v>85288-4840</v>
      </c>
      <c r="O1143">
        <f>IFERROR(VLOOKUP(VALUE(J1143),'Site Info'!$A:$G,7,FALSE),"")</f>
        <v>4806061805</v>
      </c>
    </row>
    <row r="1144" spans="1:15" x14ac:dyDescent="0.45">
      <c r="A1144" t="s">
        <v>14351</v>
      </c>
      <c r="B1144" t="s">
        <v>14352</v>
      </c>
      <c r="C1144" t="s">
        <v>14353</v>
      </c>
      <c r="D1144" t="s">
        <v>14348</v>
      </c>
      <c r="E1144" s="1">
        <v>46153.351076388892</v>
      </c>
      <c r="F1144">
        <v>1481</v>
      </c>
      <c r="G1144" t="s">
        <v>14354</v>
      </c>
      <c r="H1144" t="s">
        <v>15</v>
      </c>
      <c r="I1144" t="s">
        <v>14350</v>
      </c>
      <c r="J1144" t="str">
        <f>RIGHT(D1144,4)</f>
        <v>4956</v>
      </c>
      <c r="K1144" t="str">
        <f>IFERROR(VLOOKUP(VALUE(J1144),'Site Info'!$A:$G,3,FALSE),"")</f>
        <v>2080 E RIO SALADO PKWY</v>
      </c>
      <c r="L1144" t="str">
        <f>IFERROR(VLOOKUP(VALUE(J1144),'Site Info'!$A:$G,4,FALSE),"")</f>
        <v>TEMPE</v>
      </c>
      <c r="M1144" t="str">
        <f>IFERROR(VLOOKUP(VALUE(J1144),'Site Info'!$A:$G,5,FALSE),"")</f>
        <v>AZ</v>
      </c>
      <c r="N1144" t="str">
        <f>IFERROR(VLOOKUP(VALUE(J1144),'Site Info'!$A:$G,6,FALSE),"")</f>
        <v>85288-4840</v>
      </c>
      <c r="O1144">
        <f>IFERROR(VLOOKUP(VALUE(J1144),'Site Info'!$A:$G,7,FALSE),"")</f>
        <v>4806061805</v>
      </c>
    </row>
    <row r="1145" spans="1:15" x14ac:dyDescent="0.45">
      <c r="A1145" t="s">
        <v>8481</v>
      </c>
      <c r="B1145" t="s">
        <v>8482</v>
      </c>
      <c r="C1145" t="s">
        <v>8483</v>
      </c>
      <c r="D1145" t="s">
        <v>129</v>
      </c>
      <c r="E1145" s="1">
        <v>46141.729548611111</v>
      </c>
      <c r="F1145">
        <v>1547</v>
      </c>
      <c r="G1145" t="s">
        <v>8484</v>
      </c>
      <c r="H1145" t="s">
        <v>15</v>
      </c>
      <c r="I1145" t="s">
        <v>131</v>
      </c>
      <c r="J1145" t="str">
        <f>RIGHT(D1145,4)</f>
        <v>4722</v>
      </c>
      <c r="K1145" t="str">
        <f>IFERROR(VLOOKUP(VALUE(J1145),'Site Info'!$A:$G,3,FALSE),"")</f>
        <v>2080 NO. BLACKHORSE PIKE</v>
      </c>
      <c r="L1145" t="str">
        <f>IFERROR(VLOOKUP(VALUE(J1145),'Site Info'!$A:$G,4,FALSE),"")</f>
        <v>WILLIAMSTOWN</v>
      </c>
      <c r="M1145" t="str">
        <f>IFERROR(VLOOKUP(VALUE(J1145),'Site Info'!$A:$G,5,FALSE),"")</f>
        <v>NJ</v>
      </c>
      <c r="N1145" t="str">
        <f>IFERROR(VLOOKUP(VALUE(J1145),'Site Info'!$A:$G,6,FALSE),"")</f>
        <v>08094-9128</v>
      </c>
      <c r="O1145">
        <f>IFERROR(VLOOKUP(VALUE(J1145),'Site Info'!$A:$G,7,FALSE),"")</f>
        <v>8568757836</v>
      </c>
    </row>
    <row r="1146" spans="1:15" x14ac:dyDescent="0.45">
      <c r="A1146" t="s">
        <v>12664</v>
      </c>
      <c r="B1146" t="s">
        <v>12665</v>
      </c>
      <c r="C1146" t="s">
        <v>12666</v>
      </c>
      <c r="D1146" t="s">
        <v>129</v>
      </c>
      <c r="E1146" s="1">
        <v>46153.318171296298</v>
      </c>
      <c r="F1146">
        <v>1547</v>
      </c>
      <c r="G1146" t="s">
        <v>12667</v>
      </c>
      <c r="H1146" t="s">
        <v>15</v>
      </c>
      <c r="I1146" t="s">
        <v>131</v>
      </c>
      <c r="J1146" t="str">
        <f>RIGHT(D1146,4)</f>
        <v>4722</v>
      </c>
      <c r="K1146" t="str">
        <f>IFERROR(VLOOKUP(VALUE(J1146),'Site Info'!$A:$G,3,FALSE),"")</f>
        <v>2080 NO. BLACKHORSE PIKE</v>
      </c>
      <c r="L1146" t="str">
        <f>IFERROR(VLOOKUP(VALUE(J1146),'Site Info'!$A:$G,4,FALSE),"")</f>
        <v>WILLIAMSTOWN</v>
      </c>
      <c r="M1146" t="str">
        <f>IFERROR(VLOOKUP(VALUE(J1146),'Site Info'!$A:$G,5,FALSE),"")</f>
        <v>NJ</v>
      </c>
      <c r="N1146" t="str">
        <f>IFERROR(VLOOKUP(VALUE(J1146),'Site Info'!$A:$G,6,FALSE),"")</f>
        <v>08094-9128</v>
      </c>
      <c r="O1146">
        <f>IFERROR(VLOOKUP(VALUE(J1146),'Site Info'!$A:$G,7,FALSE),"")</f>
        <v>8568757836</v>
      </c>
    </row>
    <row r="1147" spans="1:15" x14ac:dyDescent="0.45">
      <c r="A1147" t="s">
        <v>8549</v>
      </c>
      <c r="B1147" t="s">
        <v>8550</v>
      </c>
      <c r="C1147" t="s">
        <v>8551</v>
      </c>
      <c r="D1147" t="s">
        <v>129</v>
      </c>
      <c r="E1147" s="1">
        <v>46153.336435185185</v>
      </c>
      <c r="F1147">
        <v>1547</v>
      </c>
      <c r="G1147" t="s">
        <v>8552</v>
      </c>
      <c r="H1147" t="s">
        <v>15</v>
      </c>
      <c r="I1147" t="s">
        <v>131</v>
      </c>
      <c r="J1147" t="str">
        <f>RIGHT(D1147,4)</f>
        <v>4722</v>
      </c>
      <c r="K1147" t="str">
        <f>IFERROR(VLOOKUP(VALUE(J1147),'Site Info'!$A:$G,3,FALSE),"")</f>
        <v>2080 NO. BLACKHORSE PIKE</v>
      </c>
      <c r="L1147" t="str">
        <f>IFERROR(VLOOKUP(VALUE(J1147),'Site Info'!$A:$G,4,FALSE),"")</f>
        <v>WILLIAMSTOWN</v>
      </c>
      <c r="M1147" t="str">
        <f>IFERROR(VLOOKUP(VALUE(J1147),'Site Info'!$A:$G,5,FALSE),"")</f>
        <v>NJ</v>
      </c>
      <c r="N1147" t="str">
        <f>IFERROR(VLOOKUP(VALUE(J1147),'Site Info'!$A:$G,6,FALSE),"")</f>
        <v>08094-9128</v>
      </c>
      <c r="O1147">
        <f>IFERROR(VLOOKUP(VALUE(J1147),'Site Info'!$A:$G,7,FALSE),"")</f>
        <v>8568757836</v>
      </c>
    </row>
    <row r="1148" spans="1:15" x14ac:dyDescent="0.45">
      <c r="A1148" t="s">
        <v>96</v>
      </c>
      <c r="B1148" t="s">
        <v>127</v>
      </c>
      <c r="C1148" t="s">
        <v>128</v>
      </c>
      <c r="D1148" t="s">
        <v>129</v>
      </c>
      <c r="E1148" s="1">
        <v>46153.345219907409</v>
      </c>
      <c r="F1148">
        <v>1547</v>
      </c>
      <c r="G1148" t="s">
        <v>130</v>
      </c>
      <c r="H1148" t="s">
        <v>15</v>
      </c>
      <c r="I1148" t="s">
        <v>131</v>
      </c>
      <c r="J1148" t="str">
        <f>RIGHT(D1148,4)</f>
        <v>4722</v>
      </c>
      <c r="K1148" t="str">
        <f>IFERROR(VLOOKUP(VALUE(J1148),'Site Info'!$A:$G,3,FALSE),"")</f>
        <v>2080 NO. BLACKHORSE PIKE</v>
      </c>
      <c r="L1148" t="str">
        <f>IFERROR(VLOOKUP(VALUE(J1148),'Site Info'!$A:$G,4,FALSE),"")</f>
        <v>WILLIAMSTOWN</v>
      </c>
      <c r="M1148" t="str">
        <f>IFERROR(VLOOKUP(VALUE(J1148),'Site Info'!$A:$G,5,FALSE),"")</f>
        <v>NJ</v>
      </c>
      <c r="N1148" t="str">
        <f>IFERROR(VLOOKUP(VALUE(J1148),'Site Info'!$A:$G,6,FALSE),"")</f>
        <v>08094-9128</v>
      </c>
      <c r="O1148">
        <f>IFERROR(VLOOKUP(VALUE(J1148),'Site Info'!$A:$G,7,FALSE),"")</f>
        <v>8568757836</v>
      </c>
    </row>
    <row r="1149" spans="1:15" x14ac:dyDescent="0.45">
      <c r="A1149" t="s">
        <v>8477</v>
      </c>
      <c r="B1149" t="s">
        <v>8478</v>
      </c>
      <c r="C1149" t="s">
        <v>8479</v>
      </c>
      <c r="D1149" t="s">
        <v>129</v>
      </c>
      <c r="E1149" s="1">
        <v>46153.363333333335</v>
      </c>
      <c r="F1149">
        <v>1547</v>
      </c>
      <c r="G1149" t="s">
        <v>8480</v>
      </c>
      <c r="H1149" t="s">
        <v>15</v>
      </c>
      <c r="I1149" t="s">
        <v>131</v>
      </c>
      <c r="J1149" t="str">
        <f>RIGHT(D1149,4)</f>
        <v>4722</v>
      </c>
      <c r="K1149" t="str">
        <f>IFERROR(VLOOKUP(VALUE(J1149),'Site Info'!$A:$G,3,FALSE),"")</f>
        <v>2080 NO. BLACKHORSE PIKE</v>
      </c>
      <c r="L1149" t="str">
        <f>IFERROR(VLOOKUP(VALUE(J1149),'Site Info'!$A:$G,4,FALSE),"")</f>
        <v>WILLIAMSTOWN</v>
      </c>
      <c r="M1149" t="str">
        <f>IFERROR(VLOOKUP(VALUE(J1149),'Site Info'!$A:$G,5,FALSE),"")</f>
        <v>NJ</v>
      </c>
      <c r="N1149" t="str">
        <f>IFERROR(VLOOKUP(VALUE(J1149),'Site Info'!$A:$G,6,FALSE),"")</f>
        <v>08094-9128</v>
      </c>
      <c r="O1149">
        <f>IFERROR(VLOOKUP(VALUE(J1149),'Site Info'!$A:$G,7,FALSE),"")</f>
        <v>8568757836</v>
      </c>
    </row>
    <row r="1150" spans="1:15" x14ac:dyDescent="0.45">
      <c r="A1150" t="s">
        <v>12500</v>
      </c>
      <c r="B1150" t="s">
        <v>12501</v>
      </c>
      <c r="C1150" t="s">
        <v>12502</v>
      </c>
      <c r="D1150" t="s">
        <v>97</v>
      </c>
      <c r="E1150" s="1">
        <v>46153.199108796296</v>
      </c>
      <c r="F1150">
        <v>1547</v>
      </c>
      <c r="G1150" t="s">
        <v>12503</v>
      </c>
      <c r="H1150" t="s">
        <v>15</v>
      </c>
      <c r="I1150" t="s">
        <v>98</v>
      </c>
      <c r="J1150" t="str">
        <f>RIGHT(D1150,4)</f>
        <v>6514</v>
      </c>
      <c r="K1150" t="str">
        <f>IFERROR(VLOOKUP(VALUE(J1150),'Site Info'!$A:$G,3,FALSE),"")</f>
        <v>210 E TOWER PARK DR</v>
      </c>
      <c r="L1150" t="str">
        <f>IFERROR(VLOOKUP(VALUE(J1150),'Site Info'!$A:$G,4,FALSE),"")</f>
        <v>WATERLOO</v>
      </c>
      <c r="M1150" t="str">
        <f>IFERROR(VLOOKUP(VALUE(J1150),'Site Info'!$A:$G,5,FALSE),"")</f>
        <v>IA</v>
      </c>
      <c r="N1150" t="str">
        <f>IFERROR(VLOOKUP(VALUE(J1150),'Site Info'!$A:$G,6,FALSE),"")</f>
        <v>50701-9320</v>
      </c>
      <c r="O1150">
        <f>IFERROR(VLOOKUP(VALUE(J1150),'Site Info'!$A:$G,7,FALSE),"")</f>
        <v>3192369933</v>
      </c>
    </row>
    <row r="1151" spans="1:15" x14ac:dyDescent="0.45">
      <c r="A1151" t="s">
        <v>12612</v>
      </c>
      <c r="B1151" t="s">
        <v>12613</v>
      </c>
      <c r="C1151" t="s">
        <v>12614</v>
      </c>
      <c r="D1151" t="s">
        <v>97</v>
      </c>
      <c r="E1151" s="1">
        <v>46153.291504629633</v>
      </c>
      <c r="F1151">
        <v>1547</v>
      </c>
      <c r="G1151" t="s">
        <v>12615</v>
      </c>
      <c r="H1151" t="s">
        <v>15</v>
      </c>
      <c r="I1151" t="s">
        <v>98</v>
      </c>
      <c r="J1151" t="str">
        <f>RIGHT(D1151,4)</f>
        <v>6514</v>
      </c>
      <c r="K1151" t="str">
        <f>IFERROR(VLOOKUP(VALUE(J1151),'Site Info'!$A:$G,3,FALSE),"")</f>
        <v>210 E TOWER PARK DR</v>
      </c>
      <c r="L1151" t="str">
        <f>IFERROR(VLOOKUP(VALUE(J1151),'Site Info'!$A:$G,4,FALSE),"")</f>
        <v>WATERLOO</v>
      </c>
      <c r="M1151" t="str">
        <f>IFERROR(VLOOKUP(VALUE(J1151),'Site Info'!$A:$G,5,FALSE),"")</f>
        <v>IA</v>
      </c>
      <c r="N1151" t="str">
        <f>IFERROR(VLOOKUP(VALUE(J1151),'Site Info'!$A:$G,6,FALSE),"")</f>
        <v>50701-9320</v>
      </c>
      <c r="O1151">
        <f>IFERROR(VLOOKUP(VALUE(J1151),'Site Info'!$A:$G,7,FALSE),"")</f>
        <v>3192369933</v>
      </c>
    </row>
    <row r="1152" spans="1:15" x14ac:dyDescent="0.45">
      <c r="A1152" t="s">
        <v>12104</v>
      </c>
      <c r="B1152" t="s">
        <v>12105</v>
      </c>
      <c r="C1152" t="s">
        <v>12106</v>
      </c>
      <c r="D1152" t="s">
        <v>97</v>
      </c>
      <c r="E1152" s="1">
        <v>46153.361597222225</v>
      </c>
      <c r="F1152">
        <v>1547</v>
      </c>
      <c r="G1152" t="s">
        <v>12107</v>
      </c>
      <c r="H1152" t="s">
        <v>15</v>
      </c>
      <c r="I1152" t="s">
        <v>98</v>
      </c>
      <c r="J1152" t="str">
        <f>RIGHT(D1152,4)</f>
        <v>6514</v>
      </c>
      <c r="K1152" t="str">
        <f>IFERROR(VLOOKUP(VALUE(J1152),'Site Info'!$A:$G,3,FALSE),"")</f>
        <v>210 E TOWER PARK DR</v>
      </c>
      <c r="L1152" t="str">
        <f>IFERROR(VLOOKUP(VALUE(J1152),'Site Info'!$A:$G,4,FALSE),"")</f>
        <v>WATERLOO</v>
      </c>
      <c r="M1152" t="str">
        <f>IFERROR(VLOOKUP(VALUE(J1152),'Site Info'!$A:$G,5,FALSE),"")</f>
        <v>IA</v>
      </c>
      <c r="N1152" t="str">
        <f>IFERROR(VLOOKUP(VALUE(J1152),'Site Info'!$A:$G,6,FALSE),"")</f>
        <v>50701-9320</v>
      </c>
      <c r="O1152">
        <f>IFERROR(VLOOKUP(VALUE(J1152),'Site Info'!$A:$G,7,FALSE),"")</f>
        <v>3192369933</v>
      </c>
    </row>
    <row r="1153" spans="1:15" x14ac:dyDescent="0.45">
      <c r="A1153" t="s">
        <v>12424</v>
      </c>
      <c r="B1153" t="s">
        <v>12425</v>
      </c>
      <c r="C1153" t="s">
        <v>12426</v>
      </c>
      <c r="D1153" t="s">
        <v>97</v>
      </c>
      <c r="E1153" s="1">
        <v>46153.374178240738</v>
      </c>
      <c r="F1153">
        <v>1547</v>
      </c>
      <c r="G1153" t="s">
        <v>12427</v>
      </c>
      <c r="H1153" t="s">
        <v>15</v>
      </c>
      <c r="I1153" t="s">
        <v>98</v>
      </c>
      <c r="J1153" t="str">
        <f>RIGHT(D1153,4)</f>
        <v>6514</v>
      </c>
      <c r="K1153" t="str">
        <f>IFERROR(VLOOKUP(VALUE(J1153),'Site Info'!$A:$G,3,FALSE),"")</f>
        <v>210 E TOWER PARK DR</v>
      </c>
      <c r="L1153" t="str">
        <f>IFERROR(VLOOKUP(VALUE(J1153),'Site Info'!$A:$G,4,FALSE),"")</f>
        <v>WATERLOO</v>
      </c>
      <c r="M1153" t="str">
        <f>IFERROR(VLOOKUP(VALUE(J1153),'Site Info'!$A:$G,5,FALSE),"")</f>
        <v>IA</v>
      </c>
      <c r="N1153" t="str">
        <f>IFERROR(VLOOKUP(VALUE(J1153),'Site Info'!$A:$G,6,FALSE),"")</f>
        <v>50701-9320</v>
      </c>
      <c r="O1153">
        <f>IFERROR(VLOOKUP(VALUE(J1153),'Site Info'!$A:$G,7,FALSE),"")</f>
        <v>3192369933</v>
      </c>
    </row>
    <row r="1154" spans="1:15" x14ac:dyDescent="0.45">
      <c r="A1154" t="s">
        <v>1854</v>
      </c>
      <c r="B1154" t="s">
        <v>1855</v>
      </c>
      <c r="C1154" t="s">
        <v>1856</v>
      </c>
      <c r="D1154" t="s">
        <v>97</v>
      </c>
      <c r="E1154" s="1">
        <v>46153.06108796296</v>
      </c>
      <c r="F1154">
        <v>1481</v>
      </c>
      <c r="G1154" t="s">
        <v>1857</v>
      </c>
      <c r="H1154" t="s">
        <v>15</v>
      </c>
      <c r="I1154" t="s">
        <v>98</v>
      </c>
      <c r="J1154" t="str">
        <f>RIGHT(D1154,4)</f>
        <v>6514</v>
      </c>
      <c r="K1154" t="str">
        <f>IFERROR(VLOOKUP(VALUE(J1154),'Site Info'!$A:$G,3,FALSE),"")</f>
        <v>210 E TOWER PARK DR</v>
      </c>
      <c r="L1154" t="str">
        <f>IFERROR(VLOOKUP(VALUE(J1154),'Site Info'!$A:$G,4,FALSE),"")</f>
        <v>WATERLOO</v>
      </c>
      <c r="M1154" t="str">
        <f>IFERROR(VLOOKUP(VALUE(J1154),'Site Info'!$A:$G,5,FALSE),"")</f>
        <v>IA</v>
      </c>
      <c r="N1154" t="str">
        <f>IFERROR(VLOOKUP(VALUE(J1154),'Site Info'!$A:$G,6,FALSE),"")</f>
        <v>50701-9320</v>
      </c>
      <c r="O1154">
        <f>IFERROR(VLOOKUP(VALUE(J1154),'Site Info'!$A:$G,7,FALSE),"")</f>
        <v>3192369933</v>
      </c>
    </row>
    <row r="1155" spans="1:15" x14ac:dyDescent="0.45">
      <c r="A1155" t="s">
        <v>3859</v>
      </c>
      <c r="B1155" t="s">
        <v>3860</v>
      </c>
      <c r="C1155" t="s">
        <v>3861</v>
      </c>
      <c r="D1155" t="s">
        <v>97</v>
      </c>
      <c r="E1155" s="1">
        <v>46153.368807870371</v>
      </c>
      <c r="F1155">
        <v>1481</v>
      </c>
      <c r="G1155" t="s">
        <v>3862</v>
      </c>
      <c r="H1155" t="s">
        <v>15</v>
      </c>
      <c r="I1155" t="s">
        <v>98</v>
      </c>
      <c r="J1155" t="str">
        <f>RIGHT(D1155,4)</f>
        <v>6514</v>
      </c>
      <c r="K1155" t="str">
        <f>IFERROR(VLOOKUP(VALUE(J1155),'Site Info'!$A:$G,3,FALSE),"")</f>
        <v>210 E TOWER PARK DR</v>
      </c>
      <c r="L1155" t="str">
        <f>IFERROR(VLOOKUP(VALUE(J1155),'Site Info'!$A:$G,4,FALSE),"")</f>
        <v>WATERLOO</v>
      </c>
      <c r="M1155" t="str">
        <f>IFERROR(VLOOKUP(VALUE(J1155),'Site Info'!$A:$G,5,FALSE),"")</f>
        <v>IA</v>
      </c>
      <c r="N1155" t="str">
        <f>IFERROR(VLOOKUP(VALUE(J1155),'Site Info'!$A:$G,6,FALSE),"")</f>
        <v>50701-9320</v>
      </c>
      <c r="O1155">
        <f>IFERROR(VLOOKUP(VALUE(J1155),'Site Info'!$A:$G,7,FALSE),"")</f>
        <v>3192369933</v>
      </c>
    </row>
    <row r="1156" spans="1:15" x14ac:dyDescent="0.45">
      <c r="A1156" t="s">
        <v>8861</v>
      </c>
      <c r="B1156" t="s">
        <v>8862</v>
      </c>
      <c r="C1156" t="s">
        <v>8863</v>
      </c>
      <c r="D1156" t="s">
        <v>3322</v>
      </c>
      <c r="E1156" s="1">
        <v>46097.354351851849</v>
      </c>
      <c r="F1156">
        <v>1547</v>
      </c>
      <c r="G1156" t="s">
        <v>8864</v>
      </c>
      <c r="H1156" t="s">
        <v>15</v>
      </c>
      <c r="I1156" t="s">
        <v>3324</v>
      </c>
      <c r="J1156" t="str">
        <f>RIGHT(D1156,4)</f>
        <v>6357</v>
      </c>
      <c r="K1156" t="str">
        <f>IFERROR(VLOOKUP(VALUE(J1156),'Site Info'!$A:$G,3,FALSE),"")</f>
        <v>2100 GENERALS HWY</v>
      </c>
      <c r="L1156" t="str">
        <f>IFERROR(VLOOKUP(VALUE(J1156),'Site Info'!$A:$G,4,FALSE),"")</f>
        <v>ANNAPOLIS</v>
      </c>
      <c r="M1156" t="str">
        <f>IFERROR(VLOOKUP(VALUE(J1156),'Site Info'!$A:$G,5,FALSE),"")</f>
        <v>MD</v>
      </c>
      <c r="N1156" t="str">
        <f>IFERROR(VLOOKUP(VALUE(J1156),'Site Info'!$A:$G,6,FALSE),"")</f>
        <v>21401-6723</v>
      </c>
      <c r="O1156">
        <f>IFERROR(VLOOKUP(VALUE(J1156),'Site Info'!$A:$G,7,FALSE),"")</f>
        <v>4105731112</v>
      </c>
    </row>
    <row r="1157" spans="1:15" x14ac:dyDescent="0.45">
      <c r="A1157" t="s">
        <v>11208</v>
      </c>
      <c r="B1157" t="s">
        <v>11209</v>
      </c>
      <c r="C1157" t="s">
        <v>11210</v>
      </c>
      <c r="D1157" t="s">
        <v>3322</v>
      </c>
      <c r="E1157" s="1">
        <v>46152.637662037036</v>
      </c>
      <c r="F1157">
        <v>1547</v>
      </c>
      <c r="G1157" t="s">
        <v>11211</v>
      </c>
      <c r="H1157" t="s">
        <v>15</v>
      </c>
      <c r="I1157" t="s">
        <v>3324</v>
      </c>
      <c r="J1157" t="str">
        <f>RIGHT(D1157,4)</f>
        <v>6357</v>
      </c>
      <c r="K1157" t="str">
        <f>IFERROR(VLOOKUP(VALUE(J1157),'Site Info'!$A:$G,3,FALSE),"")</f>
        <v>2100 GENERALS HWY</v>
      </c>
      <c r="L1157" t="str">
        <f>IFERROR(VLOOKUP(VALUE(J1157),'Site Info'!$A:$G,4,FALSE),"")</f>
        <v>ANNAPOLIS</v>
      </c>
      <c r="M1157" t="str">
        <f>IFERROR(VLOOKUP(VALUE(J1157),'Site Info'!$A:$G,5,FALSE),"")</f>
        <v>MD</v>
      </c>
      <c r="N1157" t="str">
        <f>IFERROR(VLOOKUP(VALUE(J1157),'Site Info'!$A:$G,6,FALSE),"")</f>
        <v>21401-6723</v>
      </c>
      <c r="O1157">
        <f>IFERROR(VLOOKUP(VALUE(J1157),'Site Info'!$A:$G,7,FALSE),"")</f>
        <v>4105731112</v>
      </c>
    </row>
    <row r="1158" spans="1:15" x14ac:dyDescent="0.45">
      <c r="A1158" t="s">
        <v>12532</v>
      </c>
      <c r="B1158" t="s">
        <v>12533</v>
      </c>
      <c r="C1158" t="s">
        <v>12534</v>
      </c>
      <c r="D1158" t="s">
        <v>3322</v>
      </c>
      <c r="E1158" s="1">
        <v>46152.638310185182</v>
      </c>
      <c r="F1158">
        <v>1547</v>
      </c>
      <c r="G1158" t="s">
        <v>12535</v>
      </c>
      <c r="H1158" t="s">
        <v>15</v>
      </c>
      <c r="I1158" t="s">
        <v>3324</v>
      </c>
      <c r="J1158" t="str">
        <f>RIGHT(D1158,4)</f>
        <v>6357</v>
      </c>
      <c r="K1158" t="str">
        <f>IFERROR(VLOOKUP(VALUE(J1158),'Site Info'!$A:$G,3,FALSE),"")</f>
        <v>2100 GENERALS HWY</v>
      </c>
      <c r="L1158" t="str">
        <f>IFERROR(VLOOKUP(VALUE(J1158),'Site Info'!$A:$G,4,FALSE),"")</f>
        <v>ANNAPOLIS</v>
      </c>
      <c r="M1158" t="str">
        <f>IFERROR(VLOOKUP(VALUE(J1158),'Site Info'!$A:$G,5,FALSE),"")</f>
        <v>MD</v>
      </c>
      <c r="N1158" t="str">
        <f>IFERROR(VLOOKUP(VALUE(J1158),'Site Info'!$A:$G,6,FALSE),"")</f>
        <v>21401-6723</v>
      </c>
      <c r="O1158">
        <f>IFERROR(VLOOKUP(VALUE(J1158),'Site Info'!$A:$G,7,FALSE),"")</f>
        <v>4105731112</v>
      </c>
    </row>
    <row r="1159" spans="1:15" x14ac:dyDescent="0.45">
      <c r="A1159" t="s">
        <v>11021</v>
      </c>
      <c r="B1159" t="s">
        <v>11022</v>
      </c>
      <c r="C1159" t="s">
        <v>11023</v>
      </c>
      <c r="D1159" t="s">
        <v>3322</v>
      </c>
      <c r="E1159" s="1">
        <v>46152.718854166669</v>
      </c>
      <c r="F1159">
        <v>1547</v>
      </c>
      <c r="G1159" t="s">
        <v>11024</v>
      </c>
      <c r="H1159" t="s">
        <v>15</v>
      </c>
      <c r="I1159" t="s">
        <v>3324</v>
      </c>
      <c r="J1159" t="str">
        <f>RIGHT(D1159,4)</f>
        <v>6357</v>
      </c>
      <c r="K1159" t="str">
        <f>IFERROR(VLOOKUP(VALUE(J1159),'Site Info'!$A:$G,3,FALSE),"")</f>
        <v>2100 GENERALS HWY</v>
      </c>
      <c r="L1159" t="str">
        <f>IFERROR(VLOOKUP(VALUE(J1159),'Site Info'!$A:$G,4,FALSE),"")</f>
        <v>ANNAPOLIS</v>
      </c>
      <c r="M1159" t="str">
        <f>IFERROR(VLOOKUP(VALUE(J1159),'Site Info'!$A:$G,5,FALSE),"")</f>
        <v>MD</v>
      </c>
      <c r="N1159" t="str">
        <f>IFERROR(VLOOKUP(VALUE(J1159),'Site Info'!$A:$G,6,FALSE),"")</f>
        <v>21401-6723</v>
      </c>
      <c r="O1159">
        <f>IFERROR(VLOOKUP(VALUE(J1159),'Site Info'!$A:$G,7,FALSE),"")</f>
        <v>4105731112</v>
      </c>
    </row>
    <row r="1160" spans="1:15" x14ac:dyDescent="0.45">
      <c r="A1160" t="s">
        <v>13030</v>
      </c>
      <c r="B1160" t="s">
        <v>13031</v>
      </c>
      <c r="C1160" t="s">
        <v>13032</v>
      </c>
      <c r="D1160" t="s">
        <v>3322</v>
      </c>
      <c r="E1160" s="1">
        <v>46153.318449074075</v>
      </c>
      <c r="F1160">
        <v>1547</v>
      </c>
      <c r="G1160" t="s">
        <v>13033</v>
      </c>
      <c r="H1160" t="s">
        <v>15</v>
      </c>
      <c r="I1160" t="s">
        <v>3324</v>
      </c>
      <c r="J1160" t="str">
        <f>RIGHT(D1160,4)</f>
        <v>6357</v>
      </c>
      <c r="K1160" t="str">
        <f>IFERROR(VLOOKUP(VALUE(J1160),'Site Info'!$A:$G,3,FALSE),"")</f>
        <v>2100 GENERALS HWY</v>
      </c>
      <c r="L1160" t="str">
        <f>IFERROR(VLOOKUP(VALUE(J1160),'Site Info'!$A:$G,4,FALSE),"")</f>
        <v>ANNAPOLIS</v>
      </c>
      <c r="M1160" t="str">
        <f>IFERROR(VLOOKUP(VALUE(J1160),'Site Info'!$A:$G,5,FALSE),"")</f>
        <v>MD</v>
      </c>
      <c r="N1160" t="str">
        <f>IFERROR(VLOOKUP(VALUE(J1160),'Site Info'!$A:$G,6,FALSE),"")</f>
        <v>21401-6723</v>
      </c>
      <c r="O1160">
        <f>IFERROR(VLOOKUP(VALUE(J1160),'Site Info'!$A:$G,7,FALSE),"")</f>
        <v>4105731112</v>
      </c>
    </row>
    <row r="1161" spans="1:15" x14ac:dyDescent="0.45">
      <c r="A1161" t="s">
        <v>13471</v>
      </c>
      <c r="B1161" t="s">
        <v>13472</v>
      </c>
      <c r="C1161" t="s">
        <v>13473</v>
      </c>
      <c r="D1161" t="s">
        <v>3322</v>
      </c>
      <c r="E1161" s="1">
        <v>46153.354131944441</v>
      </c>
      <c r="F1161">
        <v>1547</v>
      </c>
      <c r="G1161" t="s">
        <v>13474</v>
      </c>
      <c r="H1161" t="s">
        <v>15</v>
      </c>
      <c r="I1161" t="s">
        <v>3324</v>
      </c>
      <c r="J1161" t="str">
        <f>RIGHT(D1161,4)</f>
        <v>6357</v>
      </c>
      <c r="K1161" t="str">
        <f>IFERROR(VLOOKUP(VALUE(J1161),'Site Info'!$A:$G,3,FALSE),"")</f>
        <v>2100 GENERALS HWY</v>
      </c>
      <c r="L1161" t="str">
        <f>IFERROR(VLOOKUP(VALUE(J1161),'Site Info'!$A:$G,4,FALSE),"")</f>
        <v>ANNAPOLIS</v>
      </c>
      <c r="M1161" t="str">
        <f>IFERROR(VLOOKUP(VALUE(J1161),'Site Info'!$A:$G,5,FALSE),"")</f>
        <v>MD</v>
      </c>
      <c r="N1161" t="str">
        <f>IFERROR(VLOOKUP(VALUE(J1161),'Site Info'!$A:$G,6,FALSE),"")</f>
        <v>21401-6723</v>
      </c>
      <c r="O1161">
        <f>IFERROR(VLOOKUP(VALUE(J1161),'Site Info'!$A:$G,7,FALSE),"")</f>
        <v>4105731112</v>
      </c>
    </row>
    <row r="1162" spans="1:15" x14ac:dyDescent="0.45">
      <c r="A1162" t="s">
        <v>13395</v>
      </c>
      <c r="B1162" t="s">
        <v>13396</v>
      </c>
      <c r="C1162" t="s">
        <v>13397</v>
      </c>
      <c r="D1162" t="s">
        <v>3322</v>
      </c>
      <c r="E1162" s="1">
        <v>46153.364120370374</v>
      </c>
      <c r="F1162">
        <v>1547</v>
      </c>
      <c r="G1162" t="s">
        <v>13398</v>
      </c>
      <c r="H1162" t="s">
        <v>15</v>
      </c>
      <c r="I1162" t="s">
        <v>3324</v>
      </c>
      <c r="J1162" t="str">
        <f>RIGHT(D1162,4)</f>
        <v>6357</v>
      </c>
      <c r="K1162" t="str">
        <f>IFERROR(VLOOKUP(VALUE(J1162),'Site Info'!$A:$G,3,FALSE),"")</f>
        <v>2100 GENERALS HWY</v>
      </c>
      <c r="L1162" t="str">
        <f>IFERROR(VLOOKUP(VALUE(J1162),'Site Info'!$A:$G,4,FALSE),"")</f>
        <v>ANNAPOLIS</v>
      </c>
      <c r="M1162" t="str">
        <f>IFERROR(VLOOKUP(VALUE(J1162),'Site Info'!$A:$G,5,FALSE),"")</f>
        <v>MD</v>
      </c>
      <c r="N1162" t="str">
        <f>IFERROR(VLOOKUP(VALUE(J1162),'Site Info'!$A:$G,6,FALSE),"")</f>
        <v>21401-6723</v>
      </c>
      <c r="O1162">
        <f>IFERROR(VLOOKUP(VALUE(J1162),'Site Info'!$A:$G,7,FALSE),"")</f>
        <v>4105731112</v>
      </c>
    </row>
    <row r="1163" spans="1:15" x14ac:dyDescent="0.45">
      <c r="A1163" t="s">
        <v>3319</v>
      </c>
      <c r="B1163" t="s">
        <v>3320</v>
      </c>
      <c r="C1163" t="s">
        <v>3321</v>
      </c>
      <c r="D1163" t="s">
        <v>3322</v>
      </c>
      <c r="E1163" s="1">
        <v>46153.362534722219</v>
      </c>
      <c r="F1163">
        <v>1481</v>
      </c>
      <c r="G1163" t="s">
        <v>3323</v>
      </c>
      <c r="H1163" t="s">
        <v>15</v>
      </c>
      <c r="I1163" t="s">
        <v>3324</v>
      </c>
      <c r="J1163" t="str">
        <f>RIGHT(D1163,4)</f>
        <v>6357</v>
      </c>
      <c r="K1163" t="str">
        <f>IFERROR(VLOOKUP(VALUE(J1163),'Site Info'!$A:$G,3,FALSE),"")</f>
        <v>2100 GENERALS HWY</v>
      </c>
      <c r="L1163" t="str">
        <f>IFERROR(VLOOKUP(VALUE(J1163),'Site Info'!$A:$G,4,FALSE),"")</f>
        <v>ANNAPOLIS</v>
      </c>
      <c r="M1163" t="str">
        <f>IFERROR(VLOOKUP(VALUE(J1163),'Site Info'!$A:$G,5,FALSE),"")</f>
        <v>MD</v>
      </c>
      <c r="N1163" t="str">
        <f>IFERROR(VLOOKUP(VALUE(J1163),'Site Info'!$A:$G,6,FALSE),"")</f>
        <v>21401-6723</v>
      </c>
      <c r="O1163">
        <f>IFERROR(VLOOKUP(VALUE(J1163),'Site Info'!$A:$G,7,FALSE),"")</f>
        <v>4105731112</v>
      </c>
    </row>
    <row r="1164" spans="1:15" x14ac:dyDescent="0.45">
      <c r="A1164" t="s">
        <v>3457</v>
      </c>
      <c r="B1164" t="s">
        <v>3458</v>
      </c>
      <c r="C1164" t="s">
        <v>3459</v>
      </c>
      <c r="D1164" t="s">
        <v>3322</v>
      </c>
      <c r="E1164" s="1">
        <v>46153.365231481483</v>
      </c>
      <c r="F1164">
        <v>1481</v>
      </c>
      <c r="G1164" t="s">
        <v>3460</v>
      </c>
      <c r="H1164" t="s">
        <v>15</v>
      </c>
      <c r="I1164" t="s">
        <v>3324</v>
      </c>
      <c r="J1164" t="str">
        <f>RIGHT(D1164,4)</f>
        <v>6357</v>
      </c>
      <c r="K1164" t="str">
        <f>IFERROR(VLOOKUP(VALUE(J1164),'Site Info'!$A:$G,3,FALSE),"")</f>
        <v>2100 GENERALS HWY</v>
      </c>
      <c r="L1164" t="str">
        <f>IFERROR(VLOOKUP(VALUE(J1164),'Site Info'!$A:$G,4,FALSE),"")</f>
        <v>ANNAPOLIS</v>
      </c>
      <c r="M1164" t="str">
        <f>IFERROR(VLOOKUP(VALUE(J1164),'Site Info'!$A:$G,5,FALSE),"")</f>
        <v>MD</v>
      </c>
      <c r="N1164" t="str">
        <f>IFERROR(VLOOKUP(VALUE(J1164),'Site Info'!$A:$G,6,FALSE),"")</f>
        <v>21401-6723</v>
      </c>
      <c r="O1164">
        <f>IFERROR(VLOOKUP(VALUE(J1164),'Site Info'!$A:$G,7,FALSE),"")</f>
        <v>4105731112</v>
      </c>
    </row>
    <row r="1165" spans="1:15" x14ac:dyDescent="0.45">
      <c r="A1165" t="s">
        <v>16739</v>
      </c>
      <c r="B1165" t="s">
        <v>16771</v>
      </c>
      <c r="C1165" t="s">
        <v>16772</v>
      </c>
      <c r="D1165" t="s">
        <v>3322</v>
      </c>
      <c r="E1165" s="1">
        <v>46152.581597222219</v>
      </c>
      <c r="F1165">
        <v>1628</v>
      </c>
      <c r="G1165" t="s">
        <v>16773</v>
      </c>
      <c r="H1165" t="s">
        <v>13988</v>
      </c>
      <c r="I1165" t="s">
        <v>3324</v>
      </c>
      <c r="J1165" t="str">
        <f>RIGHT(D1165,4)</f>
        <v>6357</v>
      </c>
      <c r="K1165" t="str">
        <f>IFERROR(VLOOKUP(VALUE(J1165),'Site Info'!$A:$G,3,FALSE),"")</f>
        <v>2100 GENERALS HWY</v>
      </c>
      <c r="L1165" t="str">
        <f>IFERROR(VLOOKUP(VALUE(J1165),'Site Info'!$A:$G,4,FALSE),"")</f>
        <v>ANNAPOLIS</v>
      </c>
      <c r="M1165" t="str">
        <f>IFERROR(VLOOKUP(VALUE(J1165),'Site Info'!$A:$G,5,FALSE),"")</f>
        <v>MD</v>
      </c>
      <c r="N1165" t="str">
        <f>IFERROR(VLOOKUP(VALUE(J1165),'Site Info'!$A:$G,6,FALSE),"")</f>
        <v>21401-6723</v>
      </c>
      <c r="O1165">
        <f>IFERROR(VLOOKUP(VALUE(J1165),'Site Info'!$A:$G,7,FALSE),"")</f>
        <v>4105731112</v>
      </c>
    </row>
    <row r="1166" spans="1:15" x14ac:dyDescent="0.45">
      <c r="A1166" t="s">
        <v>16774</v>
      </c>
      <c r="B1166" t="s">
        <v>16775</v>
      </c>
      <c r="C1166" t="s">
        <v>16776</v>
      </c>
      <c r="D1166" t="s">
        <v>3322</v>
      </c>
      <c r="E1166" s="1">
        <v>46153.373067129629</v>
      </c>
      <c r="F1166">
        <v>1628</v>
      </c>
      <c r="G1166" t="s">
        <v>16777</v>
      </c>
      <c r="H1166" t="s">
        <v>13988</v>
      </c>
      <c r="I1166" t="s">
        <v>3324</v>
      </c>
      <c r="J1166" t="str">
        <f>RIGHT(D1166,4)</f>
        <v>6357</v>
      </c>
      <c r="K1166" t="str">
        <f>IFERROR(VLOOKUP(VALUE(J1166),'Site Info'!$A:$G,3,FALSE),"")</f>
        <v>2100 GENERALS HWY</v>
      </c>
      <c r="L1166" t="str">
        <f>IFERROR(VLOOKUP(VALUE(J1166),'Site Info'!$A:$G,4,FALSE),"")</f>
        <v>ANNAPOLIS</v>
      </c>
      <c r="M1166" t="str">
        <f>IFERROR(VLOOKUP(VALUE(J1166),'Site Info'!$A:$G,5,FALSE),"")</f>
        <v>MD</v>
      </c>
      <c r="N1166" t="str">
        <f>IFERROR(VLOOKUP(VALUE(J1166),'Site Info'!$A:$G,6,FALSE),"")</f>
        <v>21401-6723</v>
      </c>
      <c r="O1166">
        <f>IFERROR(VLOOKUP(VALUE(J1166),'Site Info'!$A:$G,7,FALSE),"")</f>
        <v>4105731112</v>
      </c>
    </row>
    <row r="1167" spans="1:15" x14ac:dyDescent="0.45">
      <c r="A1167" t="s">
        <v>7467</v>
      </c>
      <c r="B1167" t="s">
        <v>7468</v>
      </c>
      <c r="C1167" t="s">
        <v>7469</v>
      </c>
      <c r="D1167" t="s">
        <v>421</v>
      </c>
      <c r="E1167" s="1">
        <v>46112.174537037034</v>
      </c>
      <c r="F1167">
        <v>1547</v>
      </c>
      <c r="G1167" t="s">
        <v>7470</v>
      </c>
      <c r="H1167" t="s">
        <v>15</v>
      </c>
      <c r="I1167" t="s">
        <v>423</v>
      </c>
      <c r="J1167" t="str">
        <f>RIGHT(D1167,4)</f>
        <v>6474</v>
      </c>
      <c r="K1167" t="str">
        <f>IFERROR(VLOOKUP(VALUE(J1167),'Site Info'!$A:$G,3,FALSE),"")</f>
        <v>2100 MAPLEWOOD COMMONS DR</v>
      </c>
      <c r="L1167" t="str">
        <f>IFERROR(VLOOKUP(VALUE(J1167),'Site Info'!$A:$G,4,FALSE),"")</f>
        <v>MAPLEWOOD</v>
      </c>
      <c r="M1167" t="str">
        <f>IFERROR(VLOOKUP(VALUE(J1167),'Site Info'!$A:$G,5,FALSE),"")</f>
        <v>MO</v>
      </c>
      <c r="N1167" t="str">
        <f>IFERROR(VLOOKUP(VALUE(J1167),'Site Info'!$A:$G,6,FALSE),"")</f>
        <v>63143-1015</v>
      </c>
      <c r="O1167">
        <f>IFERROR(VLOOKUP(VALUE(J1167),'Site Info'!$A:$G,7,FALSE),"")</f>
        <v>3146447791</v>
      </c>
    </row>
    <row r="1168" spans="1:15" x14ac:dyDescent="0.45">
      <c r="A1168" t="s">
        <v>8161</v>
      </c>
      <c r="B1168" t="s">
        <v>8162</v>
      </c>
      <c r="C1168" t="s">
        <v>8163</v>
      </c>
      <c r="D1168" t="s">
        <v>421</v>
      </c>
      <c r="E1168" s="1">
        <v>46151.713877314818</v>
      </c>
      <c r="F1168">
        <v>1547</v>
      </c>
      <c r="G1168" t="s">
        <v>8164</v>
      </c>
      <c r="H1168" t="s">
        <v>15</v>
      </c>
      <c r="I1168" t="s">
        <v>423</v>
      </c>
      <c r="J1168" t="str">
        <f>RIGHT(D1168,4)</f>
        <v>6474</v>
      </c>
      <c r="K1168" t="str">
        <f>IFERROR(VLOOKUP(VALUE(J1168),'Site Info'!$A:$G,3,FALSE),"")</f>
        <v>2100 MAPLEWOOD COMMONS DR</v>
      </c>
      <c r="L1168" t="str">
        <f>IFERROR(VLOOKUP(VALUE(J1168),'Site Info'!$A:$G,4,FALSE),"")</f>
        <v>MAPLEWOOD</v>
      </c>
      <c r="M1168" t="str">
        <f>IFERROR(VLOOKUP(VALUE(J1168),'Site Info'!$A:$G,5,FALSE),"")</f>
        <v>MO</v>
      </c>
      <c r="N1168" t="str">
        <f>IFERROR(VLOOKUP(VALUE(J1168),'Site Info'!$A:$G,6,FALSE),"")</f>
        <v>63143-1015</v>
      </c>
      <c r="O1168">
        <f>IFERROR(VLOOKUP(VALUE(J1168),'Site Info'!$A:$G,7,FALSE),"")</f>
        <v>3146447791</v>
      </c>
    </row>
    <row r="1169" spans="1:15" x14ac:dyDescent="0.45">
      <c r="A1169" t="s">
        <v>14143</v>
      </c>
      <c r="B1169" t="s">
        <v>14144</v>
      </c>
      <c r="C1169" t="s">
        <v>14145</v>
      </c>
      <c r="D1169" t="s">
        <v>421</v>
      </c>
      <c r="E1169" s="1">
        <v>46152.448680555557</v>
      </c>
      <c r="F1169">
        <v>1547</v>
      </c>
      <c r="G1169" t="s">
        <v>14146</v>
      </c>
      <c r="H1169" t="s">
        <v>15</v>
      </c>
      <c r="I1169" t="s">
        <v>423</v>
      </c>
      <c r="J1169" t="str">
        <f>RIGHT(D1169,4)</f>
        <v>6474</v>
      </c>
      <c r="K1169" t="str">
        <f>IFERROR(VLOOKUP(VALUE(J1169),'Site Info'!$A:$G,3,FALSE),"")</f>
        <v>2100 MAPLEWOOD COMMONS DR</v>
      </c>
      <c r="L1169" t="str">
        <f>IFERROR(VLOOKUP(VALUE(J1169),'Site Info'!$A:$G,4,FALSE),"")</f>
        <v>MAPLEWOOD</v>
      </c>
      <c r="M1169" t="str">
        <f>IFERROR(VLOOKUP(VALUE(J1169),'Site Info'!$A:$G,5,FALSE),"")</f>
        <v>MO</v>
      </c>
      <c r="N1169" t="str">
        <f>IFERROR(VLOOKUP(VALUE(J1169),'Site Info'!$A:$G,6,FALSE),"")</f>
        <v>63143-1015</v>
      </c>
      <c r="O1169">
        <f>IFERROR(VLOOKUP(VALUE(J1169),'Site Info'!$A:$G,7,FALSE),"")</f>
        <v>3146447791</v>
      </c>
    </row>
    <row r="1170" spans="1:15" x14ac:dyDescent="0.45">
      <c r="A1170" t="s">
        <v>8149</v>
      </c>
      <c r="B1170" t="s">
        <v>8150</v>
      </c>
      <c r="C1170" t="s">
        <v>8151</v>
      </c>
      <c r="D1170" t="s">
        <v>421</v>
      </c>
      <c r="E1170" s="1">
        <v>46152.672326388885</v>
      </c>
      <c r="F1170">
        <v>1547</v>
      </c>
      <c r="G1170" t="s">
        <v>8152</v>
      </c>
      <c r="H1170" t="s">
        <v>15</v>
      </c>
      <c r="I1170" t="s">
        <v>423</v>
      </c>
      <c r="J1170" t="str">
        <f>RIGHT(D1170,4)</f>
        <v>6474</v>
      </c>
      <c r="K1170" t="str">
        <f>IFERROR(VLOOKUP(VALUE(J1170),'Site Info'!$A:$G,3,FALSE),"")</f>
        <v>2100 MAPLEWOOD COMMONS DR</v>
      </c>
      <c r="L1170" t="str">
        <f>IFERROR(VLOOKUP(VALUE(J1170),'Site Info'!$A:$G,4,FALSE),"")</f>
        <v>MAPLEWOOD</v>
      </c>
      <c r="M1170" t="str">
        <f>IFERROR(VLOOKUP(VALUE(J1170),'Site Info'!$A:$G,5,FALSE),"")</f>
        <v>MO</v>
      </c>
      <c r="N1170" t="str">
        <f>IFERROR(VLOOKUP(VALUE(J1170),'Site Info'!$A:$G,6,FALSE),"")</f>
        <v>63143-1015</v>
      </c>
      <c r="O1170">
        <f>IFERROR(VLOOKUP(VALUE(J1170),'Site Info'!$A:$G,7,FALSE),"")</f>
        <v>3146447791</v>
      </c>
    </row>
    <row r="1171" spans="1:15" x14ac:dyDescent="0.45">
      <c r="A1171" t="s">
        <v>8145</v>
      </c>
      <c r="B1171" t="s">
        <v>8146</v>
      </c>
      <c r="C1171" t="s">
        <v>8147</v>
      </c>
      <c r="D1171" t="s">
        <v>421</v>
      </c>
      <c r="E1171" s="1">
        <v>46153.345821759256</v>
      </c>
      <c r="F1171">
        <v>1547</v>
      </c>
      <c r="G1171" t="s">
        <v>8148</v>
      </c>
      <c r="H1171" t="s">
        <v>15</v>
      </c>
      <c r="I1171" t="s">
        <v>423</v>
      </c>
      <c r="J1171" t="str">
        <f>RIGHT(D1171,4)</f>
        <v>6474</v>
      </c>
      <c r="K1171" t="str">
        <f>IFERROR(VLOOKUP(VALUE(J1171),'Site Info'!$A:$G,3,FALSE),"")</f>
        <v>2100 MAPLEWOOD COMMONS DR</v>
      </c>
      <c r="L1171" t="str">
        <f>IFERROR(VLOOKUP(VALUE(J1171),'Site Info'!$A:$G,4,FALSE),"")</f>
        <v>MAPLEWOOD</v>
      </c>
      <c r="M1171" t="str">
        <f>IFERROR(VLOOKUP(VALUE(J1171),'Site Info'!$A:$G,5,FALSE),"")</f>
        <v>MO</v>
      </c>
      <c r="N1171" t="str">
        <f>IFERROR(VLOOKUP(VALUE(J1171),'Site Info'!$A:$G,6,FALSE),"")</f>
        <v>63143-1015</v>
      </c>
      <c r="O1171">
        <f>IFERROR(VLOOKUP(VALUE(J1171),'Site Info'!$A:$G,7,FALSE),"")</f>
        <v>3146447791</v>
      </c>
    </row>
    <row r="1172" spans="1:15" x14ac:dyDescent="0.45">
      <c r="A1172" t="s">
        <v>418</v>
      </c>
      <c r="B1172" t="s">
        <v>419</v>
      </c>
      <c r="C1172" t="s">
        <v>420</v>
      </c>
      <c r="D1172" t="s">
        <v>421</v>
      </c>
      <c r="E1172" s="1">
        <v>46152.688703703701</v>
      </c>
      <c r="F1172">
        <v>1481</v>
      </c>
      <c r="G1172" t="s">
        <v>422</v>
      </c>
      <c r="H1172" t="s">
        <v>15</v>
      </c>
      <c r="I1172" t="s">
        <v>423</v>
      </c>
      <c r="J1172" t="str">
        <f>RIGHT(D1172,4)</f>
        <v>6474</v>
      </c>
      <c r="K1172" t="str">
        <f>IFERROR(VLOOKUP(VALUE(J1172),'Site Info'!$A:$G,3,FALSE),"")</f>
        <v>2100 MAPLEWOOD COMMONS DR</v>
      </c>
      <c r="L1172" t="str">
        <f>IFERROR(VLOOKUP(VALUE(J1172),'Site Info'!$A:$G,4,FALSE),"")</f>
        <v>MAPLEWOOD</v>
      </c>
      <c r="M1172" t="str">
        <f>IFERROR(VLOOKUP(VALUE(J1172),'Site Info'!$A:$G,5,FALSE),"")</f>
        <v>MO</v>
      </c>
      <c r="N1172" t="str">
        <f>IFERROR(VLOOKUP(VALUE(J1172),'Site Info'!$A:$G,6,FALSE),"")</f>
        <v>63143-1015</v>
      </c>
      <c r="O1172">
        <f>IFERROR(VLOOKUP(VALUE(J1172),'Site Info'!$A:$G,7,FALSE),"")</f>
        <v>3146447791</v>
      </c>
    </row>
    <row r="1173" spans="1:15" x14ac:dyDescent="0.45">
      <c r="A1173" t="s">
        <v>1342</v>
      </c>
      <c r="B1173" t="s">
        <v>1343</v>
      </c>
      <c r="C1173" t="s">
        <v>1344</v>
      </c>
      <c r="D1173" t="s">
        <v>421</v>
      </c>
      <c r="E1173" s="1">
        <v>46153.250937500001</v>
      </c>
      <c r="F1173">
        <v>1481</v>
      </c>
      <c r="G1173" t="s">
        <v>1345</v>
      </c>
      <c r="H1173" t="s">
        <v>15</v>
      </c>
      <c r="I1173" t="s">
        <v>423</v>
      </c>
      <c r="J1173" t="str">
        <f>RIGHT(D1173,4)</f>
        <v>6474</v>
      </c>
      <c r="K1173" t="str">
        <f>IFERROR(VLOOKUP(VALUE(J1173),'Site Info'!$A:$G,3,FALSE),"")</f>
        <v>2100 MAPLEWOOD COMMONS DR</v>
      </c>
      <c r="L1173" t="str">
        <f>IFERROR(VLOOKUP(VALUE(J1173),'Site Info'!$A:$G,4,FALSE),"")</f>
        <v>MAPLEWOOD</v>
      </c>
      <c r="M1173" t="str">
        <f>IFERROR(VLOOKUP(VALUE(J1173),'Site Info'!$A:$G,5,FALSE),"")</f>
        <v>MO</v>
      </c>
      <c r="N1173" t="str">
        <f>IFERROR(VLOOKUP(VALUE(J1173),'Site Info'!$A:$G,6,FALSE),"")</f>
        <v>63143-1015</v>
      </c>
      <c r="O1173">
        <f>IFERROR(VLOOKUP(VALUE(J1173),'Site Info'!$A:$G,7,FALSE),"")</f>
        <v>3146447791</v>
      </c>
    </row>
    <row r="1174" spans="1:15" x14ac:dyDescent="0.45">
      <c r="A1174" t="s">
        <v>7571</v>
      </c>
      <c r="B1174" t="s">
        <v>7572</v>
      </c>
      <c r="C1174" t="s">
        <v>7573</v>
      </c>
      <c r="D1174" t="s">
        <v>315</v>
      </c>
      <c r="E1174" s="1">
        <v>46151.611898148149</v>
      </c>
      <c r="F1174">
        <v>1547</v>
      </c>
      <c r="G1174" t="s">
        <v>7574</v>
      </c>
      <c r="H1174" t="s">
        <v>15</v>
      </c>
      <c r="I1174" t="s">
        <v>317</v>
      </c>
      <c r="J1174" t="str">
        <f>RIGHT(D1174,4)</f>
        <v>6507</v>
      </c>
      <c r="K1174" t="str">
        <f>IFERROR(VLOOKUP(VALUE(J1174),'Site Info'!$A:$G,3,FALSE),"")</f>
        <v>2120 EMPORIUM DR</v>
      </c>
      <c r="L1174" t="str">
        <f>IFERROR(VLOOKUP(VALUE(J1174),'Site Info'!$A:$G,4,FALSE),"")</f>
        <v>JACKSON</v>
      </c>
      <c r="M1174" t="str">
        <f>IFERROR(VLOOKUP(VALUE(J1174),'Site Info'!$A:$G,5,FALSE),"")</f>
        <v>TN</v>
      </c>
      <c r="N1174" t="str">
        <f>IFERROR(VLOOKUP(VALUE(J1174),'Site Info'!$A:$G,6,FALSE),"")</f>
        <v>38305-6004</v>
      </c>
      <c r="O1174">
        <f>IFERROR(VLOOKUP(VALUE(J1174),'Site Info'!$A:$G,7,FALSE),"")</f>
        <v>7316686958</v>
      </c>
    </row>
    <row r="1175" spans="1:15" x14ac:dyDescent="0.45">
      <c r="A1175" t="s">
        <v>7296</v>
      </c>
      <c r="B1175" t="s">
        <v>7297</v>
      </c>
      <c r="C1175" t="s">
        <v>7298</v>
      </c>
      <c r="D1175" t="s">
        <v>315</v>
      </c>
      <c r="E1175" s="1">
        <v>46152.307662037034</v>
      </c>
      <c r="F1175">
        <v>1547</v>
      </c>
      <c r="G1175" t="s">
        <v>7299</v>
      </c>
      <c r="H1175" t="s">
        <v>15</v>
      </c>
      <c r="I1175" t="s">
        <v>317</v>
      </c>
      <c r="J1175" t="str">
        <f>RIGHT(D1175,4)</f>
        <v>6507</v>
      </c>
      <c r="K1175" t="str">
        <f>IFERROR(VLOOKUP(VALUE(J1175),'Site Info'!$A:$G,3,FALSE),"")</f>
        <v>2120 EMPORIUM DR</v>
      </c>
      <c r="L1175" t="str">
        <f>IFERROR(VLOOKUP(VALUE(J1175),'Site Info'!$A:$G,4,FALSE),"")</f>
        <v>JACKSON</v>
      </c>
      <c r="M1175" t="str">
        <f>IFERROR(VLOOKUP(VALUE(J1175),'Site Info'!$A:$G,5,FALSE),"")</f>
        <v>TN</v>
      </c>
      <c r="N1175" t="str">
        <f>IFERROR(VLOOKUP(VALUE(J1175),'Site Info'!$A:$G,6,FALSE),"")</f>
        <v>38305-6004</v>
      </c>
      <c r="O1175">
        <f>IFERROR(VLOOKUP(VALUE(J1175),'Site Info'!$A:$G,7,FALSE),"")</f>
        <v>7316686958</v>
      </c>
    </row>
    <row r="1176" spans="1:15" x14ac:dyDescent="0.45">
      <c r="A1176" t="s">
        <v>7551</v>
      </c>
      <c r="B1176" t="s">
        <v>7552</v>
      </c>
      <c r="C1176" t="s">
        <v>7553</v>
      </c>
      <c r="D1176" t="s">
        <v>315</v>
      </c>
      <c r="E1176" s="1">
        <v>46153.372442129628</v>
      </c>
      <c r="F1176">
        <v>1547</v>
      </c>
      <c r="G1176" t="s">
        <v>7554</v>
      </c>
      <c r="H1176" t="s">
        <v>15</v>
      </c>
      <c r="I1176" t="s">
        <v>317</v>
      </c>
      <c r="J1176" t="str">
        <f>RIGHT(D1176,4)</f>
        <v>6507</v>
      </c>
      <c r="K1176" t="str">
        <f>IFERROR(VLOOKUP(VALUE(J1176),'Site Info'!$A:$G,3,FALSE),"")</f>
        <v>2120 EMPORIUM DR</v>
      </c>
      <c r="L1176" t="str">
        <f>IFERROR(VLOOKUP(VALUE(J1176),'Site Info'!$A:$G,4,FALSE),"")</f>
        <v>JACKSON</v>
      </c>
      <c r="M1176" t="str">
        <f>IFERROR(VLOOKUP(VALUE(J1176),'Site Info'!$A:$G,5,FALSE),"")</f>
        <v>TN</v>
      </c>
      <c r="N1176" t="str">
        <f>IFERROR(VLOOKUP(VALUE(J1176),'Site Info'!$A:$G,6,FALSE),"")</f>
        <v>38305-6004</v>
      </c>
      <c r="O1176">
        <f>IFERROR(VLOOKUP(VALUE(J1176),'Site Info'!$A:$G,7,FALSE),"")</f>
        <v>7316686958</v>
      </c>
    </row>
    <row r="1177" spans="1:15" x14ac:dyDescent="0.45">
      <c r="A1177" t="s">
        <v>7334</v>
      </c>
      <c r="B1177" t="s">
        <v>7335</v>
      </c>
      <c r="C1177" t="s">
        <v>7336</v>
      </c>
      <c r="D1177" t="s">
        <v>315</v>
      </c>
      <c r="E1177" s="1">
        <v>46153.373020833336</v>
      </c>
      <c r="F1177">
        <v>1547</v>
      </c>
      <c r="G1177" t="s">
        <v>7337</v>
      </c>
      <c r="H1177" t="s">
        <v>15</v>
      </c>
      <c r="I1177" t="s">
        <v>317</v>
      </c>
      <c r="J1177" t="str">
        <f>RIGHT(D1177,4)</f>
        <v>6507</v>
      </c>
      <c r="K1177" t="str">
        <f>IFERROR(VLOOKUP(VALUE(J1177),'Site Info'!$A:$G,3,FALSE),"")</f>
        <v>2120 EMPORIUM DR</v>
      </c>
      <c r="L1177" t="str">
        <f>IFERROR(VLOOKUP(VALUE(J1177),'Site Info'!$A:$G,4,FALSE),"")</f>
        <v>JACKSON</v>
      </c>
      <c r="M1177" t="str">
        <f>IFERROR(VLOOKUP(VALUE(J1177),'Site Info'!$A:$G,5,FALSE),"")</f>
        <v>TN</v>
      </c>
      <c r="N1177" t="str">
        <f>IFERROR(VLOOKUP(VALUE(J1177),'Site Info'!$A:$G,6,FALSE),"")</f>
        <v>38305-6004</v>
      </c>
      <c r="O1177">
        <f>IFERROR(VLOOKUP(VALUE(J1177),'Site Info'!$A:$G,7,FALSE),"")</f>
        <v>7316686958</v>
      </c>
    </row>
    <row r="1178" spans="1:15" x14ac:dyDescent="0.45">
      <c r="A1178" t="s">
        <v>3117</v>
      </c>
      <c r="B1178" t="s">
        <v>3118</v>
      </c>
      <c r="C1178" t="s">
        <v>3119</v>
      </c>
      <c r="D1178" t="s">
        <v>315</v>
      </c>
      <c r="E1178" s="1">
        <v>46152.769363425927</v>
      </c>
      <c r="F1178">
        <v>1481</v>
      </c>
      <c r="G1178" t="s">
        <v>3120</v>
      </c>
      <c r="H1178" t="s">
        <v>15</v>
      </c>
      <c r="I1178" t="s">
        <v>317</v>
      </c>
      <c r="J1178" t="str">
        <f>RIGHT(D1178,4)</f>
        <v>6507</v>
      </c>
      <c r="K1178" t="str">
        <f>IFERROR(VLOOKUP(VALUE(J1178),'Site Info'!$A:$G,3,FALSE),"")</f>
        <v>2120 EMPORIUM DR</v>
      </c>
      <c r="L1178" t="str">
        <f>IFERROR(VLOOKUP(VALUE(J1178),'Site Info'!$A:$G,4,FALSE),"")</f>
        <v>JACKSON</v>
      </c>
      <c r="M1178" t="str">
        <f>IFERROR(VLOOKUP(VALUE(J1178),'Site Info'!$A:$G,5,FALSE),"")</f>
        <v>TN</v>
      </c>
      <c r="N1178" t="str">
        <f>IFERROR(VLOOKUP(VALUE(J1178),'Site Info'!$A:$G,6,FALSE),"")</f>
        <v>38305-6004</v>
      </c>
      <c r="O1178">
        <f>IFERROR(VLOOKUP(VALUE(J1178),'Site Info'!$A:$G,7,FALSE),"")</f>
        <v>7316686958</v>
      </c>
    </row>
    <row r="1179" spans="1:15" x14ac:dyDescent="0.45">
      <c r="A1179" t="s">
        <v>312</v>
      </c>
      <c r="B1179" t="s">
        <v>313</v>
      </c>
      <c r="C1179" t="s">
        <v>314</v>
      </c>
      <c r="D1179" t="s">
        <v>315</v>
      </c>
      <c r="E1179" s="1">
        <v>46153.337905092594</v>
      </c>
      <c r="F1179">
        <v>1481</v>
      </c>
      <c r="G1179" t="s">
        <v>316</v>
      </c>
      <c r="H1179" t="s">
        <v>15</v>
      </c>
      <c r="I1179" t="s">
        <v>317</v>
      </c>
      <c r="J1179" t="str">
        <f>RIGHT(D1179,4)</f>
        <v>6507</v>
      </c>
      <c r="K1179" t="str">
        <f>IFERROR(VLOOKUP(VALUE(J1179),'Site Info'!$A:$G,3,FALSE),"")</f>
        <v>2120 EMPORIUM DR</v>
      </c>
      <c r="L1179" t="str">
        <f>IFERROR(VLOOKUP(VALUE(J1179),'Site Info'!$A:$G,4,FALSE),"")</f>
        <v>JACKSON</v>
      </c>
      <c r="M1179" t="str">
        <f>IFERROR(VLOOKUP(VALUE(J1179),'Site Info'!$A:$G,5,FALSE),"")</f>
        <v>TN</v>
      </c>
      <c r="N1179" t="str">
        <f>IFERROR(VLOOKUP(VALUE(J1179),'Site Info'!$A:$G,6,FALSE),"")</f>
        <v>38305-6004</v>
      </c>
      <c r="O1179">
        <f>IFERROR(VLOOKUP(VALUE(J1179),'Site Info'!$A:$G,7,FALSE),"")</f>
        <v>7316686958</v>
      </c>
    </row>
    <row r="1180" spans="1:15" x14ac:dyDescent="0.45">
      <c r="A1180" t="s">
        <v>11416</v>
      </c>
      <c r="B1180" t="s">
        <v>11417</v>
      </c>
      <c r="C1180" t="s">
        <v>11418</v>
      </c>
      <c r="D1180" t="s">
        <v>773</v>
      </c>
      <c r="E1180" s="1">
        <v>46153.004675925928</v>
      </c>
      <c r="F1180">
        <v>1547</v>
      </c>
      <c r="G1180" t="s">
        <v>11419</v>
      </c>
      <c r="H1180" t="s">
        <v>15</v>
      </c>
      <c r="I1180" t="s">
        <v>775</v>
      </c>
      <c r="J1180" t="str">
        <f>RIGHT(D1180,4)</f>
        <v>6539</v>
      </c>
      <c r="K1180" t="str">
        <f>IFERROR(VLOOKUP(VALUE(J1180),'Site Info'!$A:$G,3,FALSE),"")</f>
        <v>21341 SAM'S DR</v>
      </c>
      <c r="L1180" t="str">
        <f>IFERROR(VLOOKUP(VALUE(J1180),'Site Info'!$A:$G,4,FALSE),"")</f>
        <v>WATERTOWN</v>
      </c>
      <c r="M1180" t="str">
        <f>IFERROR(VLOOKUP(VALUE(J1180),'Site Info'!$A:$G,5,FALSE),"")</f>
        <v>NY</v>
      </c>
      <c r="N1180" t="str">
        <f>IFERROR(VLOOKUP(VALUE(J1180),'Site Info'!$A:$G,6,FALSE),"")</f>
        <v>13601-5508</v>
      </c>
      <c r="O1180">
        <f>IFERROR(VLOOKUP(VALUE(J1180),'Site Info'!$A:$G,7,FALSE),"")</f>
        <v>3157868602</v>
      </c>
    </row>
    <row r="1181" spans="1:15" x14ac:dyDescent="0.45">
      <c r="A1181" t="s">
        <v>13491</v>
      </c>
      <c r="B1181" t="s">
        <v>13492</v>
      </c>
      <c r="C1181" t="s">
        <v>13493</v>
      </c>
      <c r="D1181" t="s">
        <v>773</v>
      </c>
      <c r="E1181" s="1">
        <v>46153.206863425927</v>
      </c>
      <c r="F1181">
        <v>1547</v>
      </c>
      <c r="G1181" t="s">
        <v>13494</v>
      </c>
      <c r="H1181" t="s">
        <v>15</v>
      </c>
      <c r="I1181" t="s">
        <v>775</v>
      </c>
      <c r="J1181" t="str">
        <f>RIGHT(D1181,4)</f>
        <v>6539</v>
      </c>
      <c r="K1181" t="str">
        <f>IFERROR(VLOOKUP(VALUE(J1181),'Site Info'!$A:$G,3,FALSE),"")</f>
        <v>21341 SAM'S DR</v>
      </c>
      <c r="L1181" t="str">
        <f>IFERROR(VLOOKUP(VALUE(J1181),'Site Info'!$A:$G,4,FALSE),"")</f>
        <v>WATERTOWN</v>
      </c>
      <c r="M1181" t="str">
        <f>IFERROR(VLOOKUP(VALUE(J1181),'Site Info'!$A:$G,5,FALSE),"")</f>
        <v>NY</v>
      </c>
      <c r="N1181" t="str">
        <f>IFERROR(VLOOKUP(VALUE(J1181),'Site Info'!$A:$G,6,FALSE),"")</f>
        <v>13601-5508</v>
      </c>
      <c r="O1181">
        <f>IFERROR(VLOOKUP(VALUE(J1181),'Site Info'!$A:$G,7,FALSE),"")</f>
        <v>3157868602</v>
      </c>
    </row>
    <row r="1182" spans="1:15" x14ac:dyDescent="0.45">
      <c r="A1182" t="s">
        <v>12746</v>
      </c>
      <c r="B1182" t="s">
        <v>12747</v>
      </c>
      <c r="C1182" t="s">
        <v>12748</v>
      </c>
      <c r="D1182" t="s">
        <v>773</v>
      </c>
      <c r="E1182" s="1">
        <v>46153.342037037037</v>
      </c>
      <c r="F1182">
        <v>1547</v>
      </c>
      <c r="G1182" t="s">
        <v>12749</v>
      </c>
      <c r="H1182" t="s">
        <v>15</v>
      </c>
      <c r="I1182" t="s">
        <v>775</v>
      </c>
      <c r="J1182" t="str">
        <f>RIGHT(D1182,4)</f>
        <v>6539</v>
      </c>
      <c r="K1182" t="str">
        <f>IFERROR(VLOOKUP(VALUE(J1182),'Site Info'!$A:$G,3,FALSE),"")</f>
        <v>21341 SAM'S DR</v>
      </c>
      <c r="L1182" t="str">
        <f>IFERROR(VLOOKUP(VALUE(J1182),'Site Info'!$A:$G,4,FALSE),"")</f>
        <v>WATERTOWN</v>
      </c>
      <c r="M1182" t="str">
        <f>IFERROR(VLOOKUP(VALUE(J1182),'Site Info'!$A:$G,5,FALSE),"")</f>
        <v>NY</v>
      </c>
      <c r="N1182" t="str">
        <f>IFERROR(VLOOKUP(VALUE(J1182),'Site Info'!$A:$G,6,FALSE),"")</f>
        <v>13601-5508</v>
      </c>
      <c r="O1182">
        <f>IFERROR(VLOOKUP(VALUE(J1182),'Site Info'!$A:$G,7,FALSE),"")</f>
        <v>3157868602</v>
      </c>
    </row>
    <row r="1183" spans="1:15" x14ac:dyDescent="0.45">
      <c r="A1183" t="s">
        <v>8873</v>
      </c>
      <c r="B1183" t="s">
        <v>8874</v>
      </c>
      <c r="C1183" t="s">
        <v>8875</v>
      </c>
      <c r="D1183" t="s">
        <v>773</v>
      </c>
      <c r="E1183" s="1">
        <v>46153.348379629628</v>
      </c>
      <c r="F1183">
        <v>1547</v>
      </c>
      <c r="G1183" t="s">
        <v>8876</v>
      </c>
      <c r="H1183" t="s">
        <v>15</v>
      </c>
      <c r="I1183" t="s">
        <v>775</v>
      </c>
      <c r="J1183" t="str">
        <f>RIGHT(D1183,4)</f>
        <v>6539</v>
      </c>
      <c r="K1183" t="str">
        <f>IFERROR(VLOOKUP(VALUE(J1183),'Site Info'!$A:$G,3,FALSE),"")</f>
        <v>21341 SAM'S DR</v>
      </c>
      <c r="L1183" t="str">
        <f>IFERROR(VLOOKUP(VALUE(J1183),'Site Info'!$A:$G,4,FALSE),"")</f>
        <v>WATERTOWN</v>
      </c>
      <c r="M1183" t="str">
        <f>IFERROR(VLOOKUP(VALUE(J1183),'Site Info'!$A:$G,5,FALSE),"")</f>
        <v>NY</v>
      </c>
      <c r="N1183" t="str">
        <f>IFERROR(VLOOKUP(VALUE(J1183),'Site Info'!$A:$G,6,FALSE),"")</f>
        <v>13601-5508</v>
      </c>
      <c r="O1183">
        <f>IFERROR(VLOOKUP(VALUE(J1183),'Site Info'!$A:$G,7,FALSE),"")</f>
        <v>3157868602</v>
      </c>
    </row>
    <row r="1184" spans="1:15" x14ac:dyDescent="0.45">
      <c r="A1184" t="s">
        <v>770</v>
      </c>
      <c r="B1184" t="s">
        <v>771</v>
      </c>
      <c r="C1184" t="s">
        <v>772</v>
      </c>
      <c r="D1184" t="s">
        <v>773</v>
      </c>
      <c r="E1184" s="1">
        <v>46153.369097222225</v>
      </c>
      <c r="F1184">
        <v>1481</v>
      </c>
      <c r="G1184" t="s">
        <v>774</v>
      </c>
      <c r="H1184" t="s">
        <v>15</v>
      </c>
      <c r="I1184" t="s">
        <v>775</v>
      </c>
      <c r="J1184" t="str">
        <f>RIGHT(D1184,4)</f>
        <v>6539</v>
      </c>
      <c r="K1184" t="str">
        <f>IFERROR(VLOOKUP(VALUE(J1184),'Site Info'!$A:$G,3,FALSE),"")</f>
        <v>21341 SAM'S DR</v>
      </c>
      <c r="L1184" t="str">
        <f>IFERROR(VLOOKUP(VALUE(J1184),'Site Info'!$A:$G,4,FALSE),"")</f>
        <v>WATERTOWN</v>
      </c>
      <c r="M1184" t="str">
        <f>IFERROR(VLOOKUP(VALUE(J1184),'Site Info'!$A:$G,5,FALSE),"")</f>
        <v>NY</v>
      </c>
      <c r="N1184" t="str">
        <f>IFERROR(VLOOKUP(VALUE(J1184),'Site Info'!$A:$G,6,FALSE),"")</f>
        <v>13601-5508</v>
      </c>
      <c r="O1184">
        <f>IFERROR(VLOOKUP(VALUE(J1184),'Site Info'!$A:$G,7,FALSE),"")</f>
        <v>3157868602</v>
      </c>
    </row>
    <row r="1185" spans="1:15" x14ac:dyDescent="0.45">
      <c r="A1185" t="s">
        <v>14531</v>
      </c>
      <c r="B1185" t="s">
        <v>14532</v>
      </c>
      <c r="C1185" t="s">
        <v>14533</v>
      </c>
      <c r="D1185" t="s">
        <v>7012</v>
      </c>
      <c r="E1185" s="1">
        <v>46151.554120370369</v>
      </c>
      <c r="F1185">
        <v>1547</v>
      </c>
      <c r="G1185" t="s">
        <v>14534</v>
      </c>
      <c r="H1185" t="s">
        <v>15</v>
      </c>
      <c r="I1185" t="s">
        <v>7014</v>
      </c>
      <c r="J1185" t="str">
        <f>RIGHT(D1185,4)</f>
        <v>6518</v>
      </c>
      <c r="K1185" t="str">
        <f>IFERROR(VLOOKUP(VALUE(J1185),'Site Info'!$A:$G,3,FALSE),"")</f>
        <v>21483 MARKET CENTER</v>
      </c>
      <c r="L1185" t="str">
        <f>IFERROR(VLOOKUP(VALUE(J1185),'Site Info'!$A:$G,4,FALSE),"")</f>
        <v>BRISTOL</v>
      </c>
      <c r="M1185" t="str">
        <f>IFERROR(VLOOKUP(VALUE(J1185),'Site Info'!$A:$G,5,FALSE),"")</f>
        <v>VA</v>
      </c>
      <c r="N1185" t="str">
        <f>IFERROR(VLOOKUP(VALUE(J1185),'Site Info'!$A:$G,6,FALSE),"")</f>
        <v>24202-5963</v>
      </c>
      <c r="O1185">
        <f>IFERROR(VLOOKUP(VALUE(J1185),'Site Info'!$A:$G,7,FALSE),"")</f>
        <v>2764667390</v>
      </c>
    </row>
    <row r="1186" spans="1:15" x14ac:dyDescent="0.45">
      <c r="A1186" t="s">
        <v>14580</v>
      </c>
      <c r="B1186" t="s">
        <v>14581</v>
      </c>
      <c r="C1186" t="s">
        <v>14582</v>
      </c>
      <c r="D1186" t="s">
        <v>7012</v>
      </c>
      <c r="E1186" s="1">
        <v>46151.699016203704</v>
      </c>
      <c r="F1186">
        <v>1547</v>
      </c>
      <c r="G1186" t="s">
        <v>14583</v>
      </c>
      <c r="H1186" t="s">
        <v>15</v>
      </c>
      <c r="I1186" t="s">
        <v>7014</v>
      </c>
      <c r="J1186" t="str">
        <f>RIGHT(D1186,4)</f>
        <v>6518</v>
      </c>
      <c r="K1186" t="str">
        <f>IFERROR(VLOOKUP(VALUE(J1186),'Site Info'!$A:$G,3,FALSE),"")</f>
        <v>21483 MARKET CENTER</v>
      </c>
      <c r="L1186" t="str">
        <f>IFERROR(VLOOKUP(VALUE(J1186),'Site Info'!$A:$G,4,FALSE),"")</f>
        <v>BRISTOL</v>
      </c>
      <c r="M1186" t="str">
        <f>IFERROR(VLOOKUP(VALUE(J1186),'Site Info'!$A:$G,5,FALSE),"")</f>
        <v>VA</v>
      </c>
      <c r="N1186" t="str">
        <f>IFERROR(VLOOKUP(VALUE(J1186),'Site Info'!$A:$G,6,FALSE),"")</f>
        <v>24202-5963</v>
      </c>
      <c r="O1186">
        <f>IFERROR(VLOOKUP(VALUE(J1186),'Site Info'!$A:$G,7,FALSE),"")</f>
        <v>2764667390</v>
      </c>
    </row>
    <row r="1187" spans="1:15" x14ac:dyDescent="0.45">
      <c r="A1187" t="s">
        <v>7009</v>
      </c>
      <c r="B1187" t="s">
        <v>7010</v>
      </c>
      <c r="C1187" t="s">
        <v>7011</v>
      </c>
      <c r="D1187" t="s">
        <v>7012</v>
      </c>
      <c r="E1187" s="1">
        <v>46153.258032407408</v>
      </c>
      <c r="F1187">
        <v>1547</v>
      </c>
      <c r="G1187" t="s">
        <v>7013</v>
      </c>
      <c r="H1187" t="s">
        <v>15</v>
      </c>
      <c r="I1187" t="s">
        <v>7014</v>
      </c>
      <c r="J1187" t="str">
        <f>RIGHT(D1187,4)</f>
        <v>6518</v>
      </c>
      <c r="K1187" t="str">
        <f>IFERROR(VLOOKUP(VALUE(J1187),'Site Info'!$A:$G,3,FALSE),"")</f>
        <v>21483 MARKET CENTER</v>
      </c>
      <c r="L1187" t="str">
        <f>IFERROR(VLOOKUP(VALUE(J1187),'Site Info'!$A:$G,4,FALSE),"")</f>
        <v>BRISTOL</v>
      </c>
      <c r="M1187" t="str">
        <f>IFERROR(VLOOKUP(VALUE(J1187),'Site Info'!$A:$G,5,FALSE),"")</f>
        <v>VA</v>
      </c>
      <c r="N1187" t="str">
        <f>IFERROR(VLOOKUP(VALUE(J1187),'Site Info'!$A:$G,6,FALSE),"")</f>
        <v>24202-5963</v>
      </c>
      <c r="O1187">
        <f>IFERROR(VLOOKUP(VALUE(J1187),'Site Info'!$A:$G,7,FALSE),"")</f>
        <v>2764667390</v>
      </c>
    </row>
    <row r="1188" spans="1:15" x14ac:dyDescent="0.45">
      <c r="A1188" t="s">
        <v>9105</v>
      </c>
      <c r="B1188" t="s">
        <v>9106</v>
      </c>
      <c r="C1188" t="s">
        <v>9107</v>
      </c>
      <c r="D1188" t="s">
        <v>7012</v>
      </c>
      <c r="E1188" s="1">
        <v>46153.27175925926</v>
      </c>
      <c r="F1188">
        <v>1547</v>
      </c>
      <c r="G1188" t="s">
        <v>9108</v>
      </c>
      <c r="H1188" t="s">
        <v>15</v>
      </c>
      <c r="I1188" t="s">
        <v>7014</v>
      </c>
      <c r="J1188" t="str">
        <f>RIGHT(D1188,4)</f>
        <v>6518</v>
      </c>
      <c r="K1188" t="str">
        <f>IFERROR(VLOOKUP(VALUE(J1188),'Site Info'!$A:$G,3,FALSE),"")</f>
        <v>21483 MARKET CENTER</v>
      </c>
      <c r="L1188" t="str">
        <f>IFERROR(VLOOKUP(VALUE(J1188),'Site Info'!$A:$G,4,FALSE),"")</f>
        <v>BRISTOL</v>
      </c>
      <c r="M1188" t="str">
        <f>IFERROR(VLOOKUP(VALUE(J1188),'Site Info'!$A:$G,5,FALSE),"")</f>
        <v>VA</v>
      </c>
      <c r="N1188" t="str">
        <f>IFERROR(VLOOKUP(VALUE(J1188),'Site Info'!$A:$G,6,FALSE),"")</f>
        <v>24202-5963</v>
      </c>
      <c r="O1188">
        <f>IFERROR(VLOOKUP(VALUE(J1188),'Site Info'!$A:$G,7,FALSE),"")</f>
        <v>2764667390</v>
      </c>
    </row>
    <row r="1189" spans="1:15" x14ac:dyDescent="0.45">
      <c r="A1189" t="s">
        <v>12794</v>
      </c>
      <c r="B1189" t="s">
        <v>12795</v>
      </c>
      <c r="C1189" t="s">
        <v>12796</v>
      </c>
      <c r="D1189" t="s">
        <v>7012</v>
      </c>
      <c r="E1189" s="1">
        <v>46153.294189814813</v>
      </c>
      <c r="F1189">
        <v>1547</v>
      </c>
      <c r="G1189" t="s">
        <v>12797</v>
      </c>
      <c r="H1189" t="s">
        <v>15</v>
      </c>
      <c r="I1189" t="s">
        <v>7014</v>
      </c>
      <c r="J1189" t="str">
        <f>RIGHT(D1189,4)</f>
        <v>6518</v>
      </c>
      <c r="K1189" t="str">
        <f>IFERROR(VLOOKUP(VALUE(J1189),'Site Info'!$A:$G,3,FALSE),"")</f>
        <v>21483 MARKET CENTER</v>
      </c>
      <c r="L1189" t="str">
        <f>IFERROR(VLOOKUP(VALUE(J1189),'Site Info'!$A:$G,4,FALSE),"")</f>
        <v>BRISTOL</v>
      </c>
      <c r="M1189" t="str">
        <f>IFERROR(VLOOKUP(VALUE(J1189),'Site Info'!$A:$G,5,FALSE),"")</f>
        <v>VA</v>
      </c>
      <c r="N1189" t="str">
        <f>IFERROR(VLOOKUP(VALUE(J1189),'Site Info'!$A:$G,6,FALSE),"")</f>
        <v>24202-5963</v>
      </c>
      <c r="O1189">
        <f>IFERROR(VLOOKUP(VALUE(J1189),'Site Info'!$A:$G,7,FALSE),"")</f>
        <v>2764667390</v>
      </c>
    </row>
    <row r="1190" spans="1:15" x14ac:dyDescent="0.45">
      <c r="A1190" t="s">
        <v>16916</v>
      </c>
      <c r="B1190" t="s">
        <v>16917</v>
      </c>
      <c r="C1190" t="s">
        <v>16918</v>
      </c>
      <c r="D1190" t="s">
        <v>7012</v>
      </c>
      <c r="E1190" s="1">
        <v>46152.829189814816</v>
      </c>
      <c r="F1190">
        <v>1547</v>
      </c>
      <c r="G1190" t="s">
        <v>16919</v>
      </c>
      <c r="H1190" t="s">
        <v>15</v>
      </c>
      <c r="I1190" t="s">
        <v>7014</v>
      </c>
      <c r="J1190" t="str">
        <f>RIGHT(D1190,4)</f>
        <v>6518</v>
      </c>
      <c r="K1190" t="str">
        <f>IFERROR(VLOOKUP(VALUE(J1190),'Site Info'!$A:$G,3,FALSE),"")</f>
        <v>21483 MARKET CENTER</v>
      </c>
      <c r="L1190" t="str">
        <f>IFERROR(VLOOKUP(VALUE(J1190),'Site Info'!$A:$G,4,FALSE),"")</f>
        <v>BRISTOL</v>
      </c>
      <c r="M1190" t="str">
        <f>IFERROR(VLOOKUP(VALUE(J1190),'Site Info'!$A:$G,5,FALSE),"")</f>
        <v>VA</v>
      </c>
      <c r="N1190" t="str">
        <f>IFERROR(VLOOKUP(VALUE(J1190),'Site Info'!$A:$G,6,FALSE),"")</f>
        <v>24202-5963</v>
      </c>
      <c r="O1190">
        <f>IFERROR(VLOOKUP(VALUE(J1190),'Site Info'!$A:$G,7,FALSE),"")</f>
        <v>2764667390</v>
      </c>
    </row>
    <row r="1191" spans="1:15" x14ac:dyDescent="0.45">
      <c r="A1191" t="s">
        <v>6136</v>
      </c>
      <c r="B1191" t="s">
        <v>6137</v>
      </c>
      <c r="C1191" t="s">
        <v>6138</v>
      </c>
      <c r="D1191" t="s">
        <v>2594</v>
      </c>
      <c r="E1191" s="1">
        <v>46149.383263888885</v>
      </c>
      <c r="F1191">
        <v>1547</v>
      </c>
      <c r="G1191" t="s">
        <v>6139</v>
      </c>
      <c r="H1191" t="s">
        <v>15</v>
      </c>
      <c r="I1191" t="s">
        <v>2596</v>
      </c>
      <c r="J1191" t="str">
        <f>RIGHT(D1191,4)</f>
        <v>4996</v>
      </c>
      <c r="K1191" t="str">
        <f>IFERROR(VLOOKUP(VALUE(J1191),'Site Info'!$A:$G,3,FALSE),"")</f>
        <v>215 PIEDMONT PL</v>
      </c>
      <c r="L1191" t="str">
        <f>IFERROR(VLOOKUP(VALUE(J1191),'Site Info'!$A:$G,4,FALSE),"")</f>
        <v>DANVILLE</v>
      </c>
      <c r="M1191" t="str">
        <f>IFERROR(VLOOKUP(VALUE(J1191),'Site Info'!$A:$G,5,FALSE),"")</f>
        <v>VA</v>
      </c>
      <c r="N1191" t="str">
        <f>IFERROR(VLOOKUP(VALUE(J1191),'Site Info'!$A:$G,6,FALSE),"")</f>
        <v>24541-4176</v>
      </c>
      <c r="O1191">
        <f>IFERROR(VLOOKUP(VALUE(J1191),'Site Info'!$A:$G,7,FALSE),"")</f>
        <v>4347973029</v>
      </c>
    </row>
    <row r="1192" spans="1:15" x14ac:dyDescent="0.45">
      <c r="A1192" t="s">
        <v>6372</v>
      </c>
      <c r="B1192" t="s">
        <v>6373</v>
      </c>
      <c r="C1192" t="s">
        <v>6374</v>
      </c>
      <c r="D1192" t="s">
        <v>2594</v>
      </c>
      <c r="E1192" s="1">
        <v>46151.694513888891</v>
      </c>
      <c r="F1192">
        <v>1547</v>
      </c>
      <c r="G1192" t="s">
        <v>6375</v>
      </c>
      <c r="H1192" t="s">
        <v>15</v>
      </c>
      <c r="I1192" t="s">
        <v>2596</v>
      </c>
      <c r="J1192" t="str">
        <f>RIGHT(D1192,4)</f>
        <v>4996</v>
      </c>
      <c r="K1192" t="str">
        <f>IFERROR(VLOOKUP(VALUE(J1192),'Site Info'!$A:$G,3,FALSE),"")</f>
        <v>215 PIEDMONT PL</v>
      </c>
      <c r="L1192" t="str">
        <f>IFERROR(VLOOKUP(VALUE(J1192),'Site Info'!$A:$G,4,FALSE),"")</f>
        <v>DANVILLE</v>
      </c>
      <c r="M1192" t="str">
        <f>IFERROR(VLOOKUP(VALUE(J1192),'Site Info'!$A:$G,5,FALSE),"")</f>
        <v>VA</v>
      </c>
      <c r="N1192" t="str">
        <f>IFERROR(VLOOKUP(VALUE(J1192),'Site Info'!$A:$G,6,FALSE),"")</f>
        <v>24541-4176</v>
      </c>
      <c r="O1192">
        <f>IFERROR(VLOOKUP(VALUE(J1192),'Site Info'!$A:$G,7,FALSE),"")</f>
        <v>4347973029</v>
      </c>
    </row>
    <row r="1193" spans="1:15" x14ac:dyDescent="0.45">
      <c r="A1193" t="s">
        <v>8595</v>
      </c>
      <c r="B1193" t="s">
        <v>8596</v>
      </c>
      <c r="C1193" t="s">
        <v>8597</v>
      </c>
      <c r="D1193" t="s">
        <v>2594</v>
      </c>
      <c r="E1193" s="1">
        <v>46153.155439814815</v>
      </c>
      <c r="F1193">
        <v>1547</v>
      </c>
      <c r="G1193" t="s">
        <v>8598</v>
      </c>
      <c r="H1193" t="s">
        <v>15</v>
      </c>
      <c r="I1193" t="s">
        <v>2596</v>
      </c>
      <c r="J1193" t="str">
        <f>RIGHT(D1193,4)</f>
        <v>4996</v>
      </c>
      <c r="K1193" t="str">
        <f>IFERROR(VLOOKUP(VALUE(J1193),'Site Info'!$A:$G,3,FALSE),"")</f>
        <v>215 PIEDMONT PL</v>
      </c>
      <c r="L1193" t="str">
        <f>IFERROR(VLOOKUP(VALUE(J1193),'Site Info'!$A:$G,4,FALSE),"")</f>
        <v>DANVILLE</v>
      </c>
      <c r="M1193" t="str">
        <f>IFERROR(VLOOKUP(VALUE(J1193),'Site Info'!$A:$G,5,FALSE),"")</f>
        <v>VA</v>
      </c>
      <c r="N1193" t="str">
        <f>IFERROR(VLOOKUP(VALUE(J1193),'Site Info'!$A:$G,6,FALSE),"")</f>
        <v>24541-4176</v>
      </c>
      <c r="O1193">
        <f>IFERROR(VLOOKUP(VALUE(J1193),'Site Info'!$A:$G,7,FALSE),"")</f>
        <v>4347973029</v>
      </c>
    </row>
    <row r="1194" spans="1:15" x14ac:dyDescent="0.45">
      <c r="A1194" t="s">
        <v>6110</v>
      </c>
      <c r="B1194" t="s">
        <v>6111</v>
      </c>
      <c r="C1194" t="s">
        <v>6112</v>
      </c>
      <c r="D1194" t="s">
        <v>2594</v>
      </c>
      <c r="E1194" s="1">
        <v>46153.360347222224</v>
      </c>
      <c r="F1194">
        <v>1547</v>
      </c>
      <c r="G1194" t="s">
        <v>6113</v>
      </c>
      <c r="H1194" t="s">
        <v>15</v>
      </c>
      <c r="I1194" t="s">
        <v>2596</v>
      </c>
      <c r="J1194" t="str">
        <f>RIGHT(D1194,4)</f>
        <v>4996</v>
      </c>
      <c r="K1194" t="str">
        <f>IFERROR(VLOOKUP(VALUE(J1194),'Site Info'!$A:$G,3,FALSE),"")</f>
        <v>215 PIEDMONT PL</v>
      </c>
      <c r="L1194" t="str">
        <f>IFERROR(VLOOKUP(VALUE(J1194),'Site Info'!$A:$G,4,FALSE),"")</f>
        <v>DANVILLE</v>
      </c>
      <c r="M1194" t="str">
        <f>IFERROR(VLOOKUP(VALUE(J1194),'Site Info'!$A:$G,5,FALSE),"")</f>
        <v>VA</v>
      </c>
      <c r="N1194" t="str">
        <f>IFERROR(VLOOKUP(VALUE(J1194),'Site Info'!$A:$G,6,FALSE),"")</f>
        <v>24541-4176</v>
      </c>
      <c r="O1194">
        <f>IFERROR(VLOOKUP(VALUE(J1194),'Site Info'!$A:$G,7,FALSE),"")</f>
        <v>4347973029</v>
      </c>
    </row>
    <row r="1195" spans="1:15" x14ac:dyDescent="0.45">
      <c r="A1195" t="s">
        <v>2591</v>
      </c>
      <c r="B1195" t="s">
        <v>2592</v>
      </c>
      <c r="C1195" t="s">
        <v>2593</v>
      </c>
      <c r="D1195" t="s">
        <v>2594</v>
      </c>
      <c r="E1195" s="1">
        <v>46152.224918981483</v>
      </c>
      <c r="F1195">
        <v>1481</v>
      </c>
      <c r="G1195" t="s">
        <v>2595</v>
      </c>
      <c r="H1195" t="s">
        <v>15</v>
      </c>
      <c r="I1195" t="s">
        <v>2596</v>
      </c>
      <c r="J1195" t="str">
        <f>RIGHT(D1195,4)</f>
        <v>4996</v>
      </c>
      <c r="K1195" t="str">
        <f>IFERROR(VLOOKUP(VALUE(J1195),'Site Info'!$A:$G,3,FALSE),"")</f>
        <v>215 PIEDMONT PL</v>
      </c>
      <c r="L1195" t="str">
        <f>IFERROR(VLOOKUP(VALUE(J1195),'Site Info'!$A:$G,4,FALSE),"")</f>
        <v>DANVILLE</v>
      </c>
      <c r="M1195" t="str">
        <f>IFERROR(VLOOKUP(VALUE(J1195),'Site Info'!$A:$G,5,FALSE),"")</f>
        <v>VA</v>
      </c>
      <c r="N1195" t="str">
        <f>IFERROR(VLOOKUP(VALUE(J1195),'Site Info'!$A:$G,6,FALSE),"")</f>
        <v>24541-4176</v>
      </c>
      <c r="O1195">
        <f>IFERROR(VLOOKUP(VALUE(J1195),'Site Info'!$A:$G,7,FALSE),"")</f>
        <v>4347973029</v>
      </c>
    </row>
    <row r="1196" spans="1:15" x14ac:dyDescent="0.45">
      <c r="A1196" t="s">
        <v>6743</v>
      </c>
      <c r="B1196" t="s">
        <v>6744</v>
      </c>
      <c r="C1196" t="s">
        <v>6745</v>
      </c>
      <c r="D1196" t="s">
        <v>2508</v>
      </c>
      <c r="E1196" s="1">
        <v>46151.703113425923</v>
      </c>
      <c r="F1196">
        <v>1547</v>
      </c>
      <c r="G1196" t="s">
        <v>6746</v>
      </c>
      <c r="H1196" t="s">
        <v>15</v>
      </c>
      <c r="I1196" t="s">
        <v>2510</v>
      </c>
      <c r="J1196" t="str">
        <f>RIGHT(D1196,4)</f>
        <v>8292</v>
      </c>
      <c r="K1196" t="str">
        <f>IFERROR(VLOOKUP(VALUE(J1196),'Site Info'!$A:$G,3,FALSE),"")</f>
        <v>2150 COVINGTON PIKE</v>
      </c>
      <c r="L1196" t="str">
        <f>IFERROR(VLOOKUP(VALUE(J1196),'Site Info'!$A:$G,4,FALSE),"")</f>
        <v>MEMPHIS</v>
      </c>
      <c r="M1196" t="str">
        <f>IFERROR(VLOOKUP(VALUE(J1196),'Site Info'!$A:$G,5,FALSE),"")</f>
        <v>TN</v>
      </c>
      <c r="N1196" t="str">
        <f>IFERROR(VLOOKUP(VALUE(J1196),'Site Info'!$A:$G,6,FALSE),"")</f>
        <v>38128-6907</v>
      </c>
      <c r="O1196">
        <f>IFERROR(VLOOKUP(VALUE(J1196),'Site Info'!$A:$G,7,FALSE),"")</f>
        <v>9013864004</v>
      </c>
    </row>
    <row r="1197" spans="1:15" x14ac:dyDescent="0.45">
      <c r="A1197" t="s">
        <v>7338</v>
      </c>
      <c r="B1197" t="s">
        <v>7339</v>
      </c>
      <c r="C1197" t="s">
        <v>7340</v>
      </c>
      <c r="D1197" t="s">
        <v>2508</v>
      </c>
      <c r="E1197" s="1">
        <v>46152.656990740739</v>
      </c>
      <c r="F1197">
        <v>1547</v>
      </c>
      <c r="G1197" t="s">
        <v>7341</v>
      </c>
      <c r="H1197" t="s">
        <v>15</v>
      </c>
      <c r="I1197" t="s">
        <v>2510</v>
      </c>
      <c r="J1197" t="str">
        <f>RIGHT(D1197,4)</f>
        <v>8292</v>
      </c>
      <c r="K1197" t="str">
        <f>IFERROR(VLOOKUP(VALUE(J1197),'Site Info'!$A:$G,3,FALSE),"")</f>
        <v>2150 COVINGTON PIKE</v>
      </c>
      <c r="L1197" t="str">
        <f>IFERROR(VLOOKUP(VALUE(J1197),'Site Info'!$A:$G,4,FALSE),"")</f>
        <v>MEMPHIS</v>
      </c>
      <c r="M1197" t="str">
        <f>IFERROR(VLOOKUP(VALUE(J1197),'Site Info'!$A:$G,5,FALSE),"")</f>
        <v>TN</v>
      </c>
      <c r="N1197" t="str">
        <f>IFERROR(VLOOKUP(VALUE(J1197),'Site Info'!$A:$G,6,FALSE),"")</f>
        <v>38128-6907</v>
      </c>
      <c r="O1197">
        <f>IFERROR(VLOOKUP(VALUE(J1197),'Site Info'!$A:$G,7,FALSE),"")</f>
        <v>9013864004</v>
      </c>
    </row>
    <row r="1198" spans="1:15" x14ac:dyDescent="0.45">
      <c r="A1198" t="s">
        <v>6735</v>
      </c>
      <c r="B1198" t="s">
        <v>6736</v>
      </c>
      <c r="C1198" t="s">
        <v>6737</v>
      </c>
      <c r="D1198" t="s">
        <v>2508</v>
      </c>
      <c r="E1198" s="1">
        <v>46152.666620370372</v>
      </c>
      <c r="F1198">
        <v>1547</v>
      </c>
      <c r="G1198" t="s">
        <v>6738</v>
      </c>
      <c r="H1198" t="s">
        <v>15</v>
      </c>
      <c r="I1198" t="s">
        <v>2510</v>
      </c>
      <c r="J1198" t="str">
        <f>RIGHT(D1198,4)</f>
        <v>8292</v>
      </c>
      <c r="K1198" t="str">
        <f>IFERROR(VLOOKUP(VALUE(J1198),'Site Info'!$A:$G,3,FALSE),"")</f>
        <v>2150 COVINGTON PIKE</v>
      </c>
      <c r="L1198" t="str">
        <f>IFERROR(VLOOKUP(VALUE(J1198),'Site Info'!$A:$G,4,FALSE),"")</f>
        <v>MEMPHIS</v>
      </c>
      <c r="M1198" t="str">
        <f>IFERROR(VLOOKUP(VALUE(J1198),'Site Info'!$A:$G,5,FALSE),"")</f>
        <v>TN</v>
      </c>
      <c r="N1198" t="str">
        <f>IFERROR(VLOOKUP(VALUE(J1198),'Site Info'!$A:$G,6,FALSE),"")</f>
        <v>38128-6907</v>
      </c>
      <c r="O1198">
        <f>IFERROR(VLOOKUP(VALUE(J1198),'Site Info'!$A:$G,7,FALSE),"")</f>
        <v>9013864004</v>
      </c>
    </row>
    <row r="1199" spans="1:15" x14ac:dyDescent="0.45">
      <c r="A1199" t="s">
        <v>7831</v>
      </c>
      <c r="B1199" t="s">
        <v>7832</v>
      </c>
      <c r="C1199" t="s">
        <v>7833</v>
      </c>
      <c r="D1199" t="s">
        <v>2508</v>
      </c>
      <c r="E1199" s="1">
        <v>46153.179085648146</v>
      </c>
      <c r="F1199">
        <v>1547</v>
      </c>
      <c r="G1199" t="s">
        <v>7834</v>
      </c>
      <c r="H1199" t="s">
        <v>15</v>
      </c>
      <c r="I1199" t="s">
        <v>2510</v>
      </c>
      <c r="J1199" t="str">
        <f>RIGHT(D1199,4)</f>
        <v>8292</v>
      </c>
      <c r="K1199" t="str">
        <f>IFERROR(VLOOKUP(VALUE(J1199),'Site Info'!$A:$G,3,FALSE),"")</f>
        <v>2150 COVINGTON PIKE</v>
      </c>
      <c r="L1199" t="str">
        <f>IFERROR(VLOOKUP(VALUE(J1199),'Site Info'!$A:$G,4,FALSE),"")</f>
        <v>MEMPHIS</v>
      </c>
      <c r="M1199" t="str">
        <f>IFERROR(VLOOKUP(VALUE(J1199),'Site Info'!$A:$G,5,FALSE),"")</f>
        <v>TN</v>
      </c>
      <c r="N1199" t="str">
        <f>IFERROR(VLOOKUP(VALUE(J1199),'Site Info'!$A:$G,6,FALSE),"")</f>
        <v>38128-6907</v>
      </c>
      <c r="O1199">
        <f>IFERROR(VLOOKUP(VALUE(J1199),'Site Info'!$A:$G,7,FALSE),"")</f>
        <v>9013864004</v>
      </c>
    </row>
    <row r="1200" spans="1:15" x14ac:dyDescent="0.45">
      <c r="A1200" t="s">
        <v>3153</v>
      </c>
      <c r="B1200" t="s">
        <v>3154</v>
      </c>
      <c r="C1200" t="s">
        <v>3155</v>
      </c>
      <c r="D1200" t="s">
        <v>2508</v>
      </c>
      <c r="E1200" s="1">
        <v>46152.561145833337</v>
      </c>
      <c r="F1200">
        <v>1481</v>
      </c>
      <c r="G1200" t="s">
        <v>3156</v>
      </c>
      <c r="H1200" t="s">
        <v>15</v>
      </c>
      <c r="I1200" t="s">
        <v>2510</v>
      </c>
      <c r="J1200" t="str">
        <f>RIGHT(D1200,4)</f>
        <v>8292</v>
      </c>
      <c r="K1200" t="str">
        <f>IFERROR(VLOOKUP(VALUE(J1200),'Site Info'!$A:$G,3,FALSE),"")</f>
        <v>2150 COVINGTON PIKE</v>
      </c>
      <c r="L1200" t="str">
        <f>IFERROR(VLOOKUP(VALUE(J1200),'Site Info'!$A:$G,4,FALSE),"")</f>
        <v>MEMPHIS</v>
      </c>
      <c r="M1200" t="str">
        <f>IFERROR(VLOOKUP(VALUE(J1200),'Site Info'!$A:$G,5,FALSE),"")</f>
        <v>TN</v>
      </c>
      <c r="N1200" t="str">
        <f>IFERROR(VLOOKUP(VALUE(J1200),'Site Info'!$A:$G,6,FALSE),"")</f>
        <v>38128-6907</v>
      </c>
      <c r="O1200">
        <f>IFERROR(VLOOKUP(VALUE(J1200),'Site Info'!$A:$G,7,FALSE),"")</f>
        <v>9013864004</v>
      </c>
    </row>
    <row r="1201" spans="1:15" x14ac:dyDescent="0.45">
      <c r="A1201" t="s">
        <v>2505</v>
      </c>
      <c r="B1201" t="s">
        <v>2506</v>
      </c>
      <c r="C1201" t="s">
        <v>2507</v>
      </c>
      <c r="D1201" t="s">
        <v>2508</v>
      </c>
      <c r="E1201" s="1">
        <v>46153.355219907404</v>
      </c>
      <c r="F1201">
        <v>1481</v>
      </c>
      <c r="G1201" t="s">
        <v>2509</v>
      </c>
      <c r="H1201" t="s">
        <v>15</v>
      </c>
      <c r="I1201" t="s">
        <v>2510</v>
      </c>
      <c r="J1201" t="str">
        <f>RIGHT(D1201,4)</f>
        <v>8292</v>
      </c>
      <c r="K1201" t="str">
        <f>IFERROR(VLOOKUP(VALUE(J1201),'Site Info'!$A:$G,3,FALSE),"")</f>
        <v>2150 COVINGTON PIKE</v>
      </c>
      <c r="L1201" t="str">
        <f>IFERROR(VLOOKUP(VALUE(J1201),'Site Info'!$A:$G,4,FALSE),"")</f>
        <v>MEMPHIS</v>
      </c>
      <c r="M1201" t="str">
        <f>IFERROR(VLOOKUP(VALUE(J1201),'Site Info'!$A:$G,5,FALSE),"")</f>
        <v>TN</v>
      </c>
      <c r="N1201" t="str">
        <f>IFERROR(VLOOKUP(VALUE(J1201),'Site Info'!$A:$G,6,FALSE),"")</f>
        <v>38128-6907</v>
      </c>
      <c r="O1201">
        <f>IFERROR(VLOOKUP(VALUE(J1201),'Site Info'!$A:$G,7,FALSE),"")</f>
        <v>9013864004</v>
      </c>
    </row>
    <row r="1202" spans="1:15" x14ac:dyDescent="0.45">
      <c r="A1202" t="s">
        <v>17320</v>
      </c>
      <c r="B1202" t="s">
        <v>17321</v>
      </c>
      <c r="C1202" t="s">
        <v>17322</v>
      </c>
      <c r="D1202" t="s">
        <v>2508</v>
      </c>
      <c r="E1202" s="1">
        <v>46153.328541666669</v>
      </c>
      <c r="F1202">
        <v>1628</v>
      </c>
      <c r="G1202" t="s">
        <v>17323</v>
      </c>
      <c r="H1202" t="s">
        <v>13988</v>
      </c>
      <c r="I1202" t="s">
        <v>2510</v>
      </c>
      <c r="J1202" t="str">
        <f>RIGHT(D1202,4)</f>
        <v>8292</v>
      </c>
      <c r="K1202" t="str">
        <f>IFERROR(VLOOKUP(VALUE(J1202),'Site Info'!$A:$G,3,FALSE),"")</f>
        <v>2150 COVINGTON PIKE</v>
      </c>
      <c r="L1202" t="str">
        <f>IFERROR(VLOOKUP(VALUE(J1202),'Site Info'!$A:$G,4,FALSE),"")</f>
        <v>MEMPHIS</v>
      </c>
      <c r="M1202" t="str">
        <f>IFERROR(VLOOKUP(VALUE(J1202),'Site Info'!$A:$G,5,FALSE),"")</f>
        <v>TN</v>
      </c>
      <c r="N1202" t="str">
        <f>IFERROR(VLOOKUP(VALUE(J1202),'Site Info'!$A:$G,6,FALSE),"")</f>
        <v>38128-6907</v>
      </c>
      <c r="O1202">
        <f>IFERROR(VLOOKUP(VALUE(J1202),'Site Info'!$A:$G,7,FALSE),"")</f>
        <v>9013864004</v>
      </c>
    </row>
    <row r="1203" spans="1:15" x14ac:dyDescent="0.45">
      <c r="A1203" t="s">
        <v>5890</v>
      </c>
      <c r="B1203" t="s">
        <v>5891</v>
      </c>
      <c r="C1203" t="s">
        <v>5892</v>
      </c>
      <c r="D1203" t="s">
        <v>4227</v>
      </c>
      <c r="E1203" s="1">
        <v>46126.593935185185</v>
      </c>
      <c r="F1203">
        <v>1547</v>
      </c>
      <c r="G1203" t="s">
        <v>5893</v>
      </c>
      <c r="H1203" t="s">
        <v>15</v>
      </c>
      <c r="I1203" t="s">
        <v>4229</v>
      </c>
      <c r="J1203" t="str">
        <f>RIGHT(D1203,4)</f>
        <v>4815</v>
      </c>
      <c r="K1203" t="str">
        <f>IFERROR(VLOOKUP(VALUE(J1203),'Site Info'!$A:$G,3,FALSE),"")</f>
        <v>2151 SHEPARD RD</v>
      </c>
      <c r="L1203" t="str">
        <f>IFERROR(VLOOKUP(VALUE(J1203),'Site Info'!$A:$G,4,FALSE),"")</f>
        <v>NORMAL</v>
      </c>
      <c r="M1203" t="str">
        <f>IFERROR(VLOOKUP(VALUE(J1203),'Site Info'!$A:$G,5,FALSE),"")</f>
        <v>IL</v>
      </c>
      <c r="N1203" t="str">
        <f>IFERROR(VLOOKUP(VALUE(J1203),'Site Info'!$A:$G,6,FALSE),"")</f>
        <v>61761-6414</v>
      </c>
      <c r="O1203">
        <f>IFERROR(VLOOKUP(VALUE(J1203),'Site Info'!$A:$G,7,FALSE),"")</f>
        <v>3094543138</v>
      </c>
    </row>
    <row r="1204" spans="1:15" x14ac:dyDescent="0.45">
      <c r="A1204" t="s">
        <v>6460</v>
      </c>
      <c r="B1204" t="s">
        <v>6461</v>
      </c>
      <c r="C1204" t="s">
        <v>6462</v>
      </c>
      <c r="D1204" t="s">
        <v>4227</v>
      </c>
      <c r="E1204" s="1">
        <v>46150.961539351854</v>
      </c>
      <c r="F1204">
        <v>1547</v>
      </c>
      <c r="G1204" t="s">
        <v>6463</v>
      </c>
      <c r="H1204" t="s">
        <v>15</v>
      </c>
      <c r="I1204" t="s">
        <v>4229</v>
      </c>
      <c r="J1204" t="str">
        <f>RIGHT(D1204,4)</f>
        <v>4815</v>
      </c>
      <c r="K1204" t="str">
        <f>IFERROR(VLOOKUP(VALUE(J1204),'Site Info'!$A:$G,3,FALSE),"")</f>
        <v>2151 SHEPARD RD</v>
      </c>
      <c r="L1204" t="str">
        <f>IFERROR(VLOOKUP(VALUE(J1204),'Site Info'!$A:$G,4,FALSE),"")</f>
        <v>NORMAL</v>
      </c>
      <c r="M1204" t="str">
        <f>IFERROR(VLOOKUP(VALUE(J1204),'Site Info'!$A:$G,5,FALSE),"")</f>
        <v>IL</v>
      </c>
      <c r="N1204" t="str">
        <f>IFERROR(VLOOKUP(VALUE(J1204),'Site Info'!$A:$G,6,FALSE),"")</f>
        <v>61761-6414</v>
      </c>
      <c r="O1204">
        <f>IFERROR(VLOOKUP(VALUE(J1204),'Site Info'!$A:$G,7,FALSE),"")</f>
        <v>3094543138</v>
      </c>
    </row>
    <row r="1205" spans="1:15" x14ac:dyDescent="0.45">
      <c r="A1205" t="s">
        <v>4344</v>
      </c>
      <c r="B1205" t="s">
        <v>4345</v>
      </c>
      <c r="C1205" t="s">
        <v>4346</v>
      </c>
      <c r="D1205" t="s">
        <v>4227</v>
      </c>
      <c r="E1205" s="1">
        <v>46152.311122685183</v>
      </c>
      <c r="F1205">
        <v>1547</v>
      </c>
      <c r="G1205" t="s">
        <v>4347</v>
      </c>
      <c r="H1205" t="s">
        <v>15</v>
      </c>
      <c r="I1205" t="s">
        <v>4229</v>
      </c>
      <c r="J1205" t="str">
        <f>RIGHT(D1205,4)</f>
        <v>4815</v>
      </c>
      <c r="K1205" t="str">
        <f>IFERROR(VLOOKUP(VALUE(J1205),'Site Info'!$A:$G,3,FALSE),"")</f>
        <v>2151 SHEPARD RD</v>
      </c>
      <c r="L1205" t="str">
        <f>IFERROR(VLOOKUP(VALUE(J1205),'Site Info'!$A:$G,4,FALSE),"")</f>
        <v>NORMAL</v>
      </c>
      <c r="M1205" t="str">
        <f>IFERROR(VLOOKUP(VALUE(J1205),'Site Info'!$A:$G,5,FALSE),"")</f>
        <v>IL</v>
      </c>
      <c r="N1205" t="str">
        <f>IFERROR(VLOOKUP(VALUE(J1205),'Site Info'!$A:$G,6,FALSE),"")</f>
        <v>61761-6414</v>
      </c>
      <c r="O1205">
        <f>IFERROR(VLOOKUP(VALUE(J1205),'Site Info'!$A:$G,7,FALSE),"")</f>
        <v>3094543138</v>
      </c>
    </row>
    <row r="1206" spans="1:15" x14ac:dyDescent="0.45">
      <c r="A1206" t="s">
        <v>4224</v>
      </c>
      <c r="B1206" t="s">
        <v>4225</v>
      </c>
      <c r="C1206" t="s">
        <v>4226</v>
      </c>
      <c r="D1206" t="s">
        <v>4227</v>
      </c>
      <c r="E1206" s="1">
        <v>46152.854467592595</v>
      </c>
      <c r="F1206">
        <v>1547</v>
      </c>
      <c r="G1206" t="s">
        <v>4228</v>
      </c>
      <c r="H1206" t="s">
        <v>15</v>
      </c>
      <c r="I1206" t="s">
        <v>4229</v>
      </c>
      <c r="J1206" t="str">
        <f>RIGHT(D1206,4)</f>
        <v>4815</v>
      </c>
      <c r="K1206" t="str">
        <f>IFERROR(VLOOKUP(VALUE(J1206),'Site Info'!$A:$G,3,FALSE),"")</f>
        <v>2151 SHEPARD RD</v>
      </c>
      <c r="L1206" t="str">
        <f>IFERROR(VLOOKUP(VALUE(J1206),'Site Info'!$A:$G,4,FALSE),"")</f>
        <v>NORMAL</v>
      </c>
      <c r="M1206" t="str">
        <f>IFERROR(VLOOKUP(VALUE(J1206),'Site Info'!$A:$G,5,FALSE),"")</f>
        <v>IL</v>
      </c>
      <c r="N1206" t="str">
        <f>IFERROR(VLOOKUP(VALUE(J1206),'Site Info'!$A:$G,6,FALSE),"")</f>
        <v>61761-6414</v>
      </c>
      <c r="O1206">
        <f>IFERROR(VLOOKUP(VALUE(J1206),'Site Info'!$A:$G,7,FALSE),"")</f>
        <v>3094543138</v>
      </c>
    </row>
    <row r="1207" spans="1:15" x14ac:dyDescent="0.45">
      <c r="A1207" t="s">
        <v>4296</v>
      </c>
      <c r="B1207" t="s">
        <v>4297</v>
      </c>
      <c r="C1207" t="s">
        <v>4298</v>
      </c>
      <c r="D1207" t="s">
        <v>4227</v>
      </c>
      <c r="E1207" s="1">
        <v>46153.353344907409</v>
      </c>
      <c r="F1207">
        <v>1547</v>
      </c>
      <c r="G1207" t="s">
        <v>4299</v>
      </c>
      <c r="H1207" t="s">
        <v>15</v>
      </c>
      <c r="I1207" t="s">
        <v>4229</v>
      </c>
      <c r="J1207" t="str">
        <f>RIGHT(D1207,4)</f>
        <v>4815</v>
      </c>
      <c r="K1207" t="str">
        <f>IFERROR(VLOOKUP(VALUE(J1207),'Site Info'!$A:$G,3,FALSE),"")</f>
        <v>2151 SHEPARD RD</v>
      </c>
      <c r="L1207" t="str">
        <f>IFERROR(VLOOKUP(VALUE(J1207),'Site Info'!$A:$G,4,FALSE),"")</f>
        <v>NORMAL</v>
      </c>
      <c r="M1207" t="str">
        <f>IFERROR(VLOOKUP(VALUE(J1207),'Site Info'!$A:$G,5,FALSE),"")</f>
        <v>IL</v>
      </c>
      <c r="N1207" t="str">
        <f>IFERROR(VLOOKUP(VALUE(J1207),'Site Info'!$A:$G,6,FALSE),"")</f>
        <v>61761-6414</v>
      </c>
      <c r="O1207">
        <f>IFERROR(VLOOKUP(VALUE(J1207),'Site Info'!$A:$G,7,FALSE),"")</f>
        <v>3094543138</v>
      </c>
    </row>
    <row r="1208" spans="1:15" x14ac:dyDescent="0.45">
      <c r="A1208" t="s">
        <v>6929</v>
      </c>
      <c r="B1208" t="s">
        <v>6930</v>
      </c>
      <c r="C1208" t="s">
        <v>6931</v>
      </c>
      <c r="D1208" t="s">
        <v>1607</v>
      </c>
      <c r="E1208" s="1">
        <v>46151.739849537036</v>
      </c>
      <c r="F1208">
        <v>1547</v>
      </c>
      <c r="G1208" t="s">
        <v>6932</v>
      </c>
      <c r="H1208" t="s">
        <v>15</v>
      </c>
      <c r="I1208" t="s">
        <v>1609</v>
      </c>
      <c r="J1208" t="str">
        <f>RIGHT(D1208,4)</f>
        <v>6521</v>
      </c>
      <c r="K1208" t="str">
        <f>IFERROR(VLOOKUP(VALUE(J1208),'Site Info'!$A:$G,3,FALSE),"")</f>
        <v>2174 MARTIN LUTHER KING JR BLVD</v>
      </c>
      <c r="L1208" t="str">
        <f>IFERROR(VLOOKUP(VALUE(J1208),'Site Info'!$A:$G,4,FALSE),"")</f>
        <v>HOUMA</v>
      </c>
      <c r="M1208" t="str">
        <f>IFERROR(VLOOKUP(VALUE(J1208),'Site Info'!$A:$G,5,FALSE),"")</f>
        <v>LA</v>
      </c>
      <c r="N1208" t="str">
        <f>IFERROR(VLOOKUP(VALUE(J1208),'Site Info'!$A:$G,6,FALSE),"")</f>
        <v>70360-2275</v>
      </c>
      <c r="O1208">
        <f>IFERROR(VLOOKUP(VALUE(J1208),'Site Info'!$A:$G,7,FALSE),"")</f>
        <v>9858513631</v>
      </c>
    </row>
    <row r="1209" spans="1:15" x14ac:dyDescent="0.45">
      <c r="A1209" t="s">
        <v>6973</v>
      </c>
      <c r="B1209" t="s">
        <v>6974</v>
      </c>
      <c r="C1209" t="s">
        <v>6975</v>
      </c>
      <c r="D1209" t="s">
        <v>1607</v>
      </c>
      <c r="E1209" s="1">
        <v>46152.407164351855</v>
      </c>
      <c r="F1209">
        <v>1547</v>
      </c>
      <c r="G1209" t="s">
        <v>6976</v>
      </c>
      <c r="H1209" t="s">
        <v>15</v>
      </c>
      <c r="I1209" t="s">
        <v>1609</v>
      </c>
      <c r="J1209" t="str">
        <f>RIGHT(D1209,4)</f>
        <v>6521</v>
      </c>
      <c r="K1209" t="str">
        <f>IFERROR(VLOOKUP(VALUE(J1209),'Site Info'!$A:$G,3,FALSE),"")</f>
        <v>2174 MARTIN LUTHER KING JR BLVD</v>
      </c>
      <c r="L1209" t="str">
        <f>IFERROR(VLOOKUP(VALUE(J1209),'Site Info'!$A:$G,4,FALSE),"")</f>
        <v>HOUMA</v>
      </c>
      <c r="M1209" t="str">
        <f>IFERROR(VLOOKUP(VALUE(J1209),'Site Info'!$A:$G,5,FALSE),"")</f>
        <v>LA</v>
      </c>
      <c r="N1209" t="str">
        <f>IFERROR(VLOOKUP(VALUE(J1209),'Site Info'!$A:$G,6,FALSE),"")</f>
        <v>70360-2275</v>
      </c>
      <c r="O1209">
        <f>IFERROR(VLOOKUP(VALUE(J1209),'Site Info'!$A:$G,7,FALSE),"")</f>
        <v>9858513631</v>
      </c>
    </row>
    <row r="1210" spans="1:15" x14ac:dyDescent="0.45">
      <c r="A1210" t="s">
        <v>6997</v>
      </c>
      <c r="B1210" t="s">
        <v>6998</v>
      </c>
      <c r="C1210" t="s">
        <v>6999</v>
      </c>
      <c r="D1210" t="s">
        <v>1607</v>
      </c>
      <c r="E1210" s="1">
        <v>46153.081944444442</v>
      </c>
      <c r="F1210">
        <v>1547</v>
      </c>
      <c r="G1210" t="s">
        <v>7000</v>
      </c>
      <c r="H1210" t="s">
        <v>15</v>
      </c>
      <c r="I1210" t="s">
        <v>1609</v>
      </c>
      <c r="J1210" t="str">
        <f>RIGHT(D1210,4)</f>
        <v>6521</v>
      </c>
      <c r="K1210" t="str">
        <f>IFERROR(VLOOKUP(VALUE(J1210),'Site Info'!$A:$G,3,FALSE),"")</f>
        <v>2174 MARTIN LUTHER KING JR BLVD</v>
      </c>
      <c r="L1210" t="str">
        <f>IFERROR(VLOOKUP(VALUE(J1210),'Site Info'!$A:$G,4,FALSE),"")</f>
        <v>HOUMA</v>
      </c>
      <c r="M1210" t="str">
        <f>IFERROR(VLOOKUP(VALUE(J1210),'Site Info'!$A:$G,5,FALSE),"")</f>
        <v>LA</v>
      </c>
      <c r="N1210" t="str">
        <f>IFERROR(VLOOKUP(VALUE(J1210),'Site Info'!$A:$G,6,FALSE),"")</f>
        <v>70360-2275</v>
      </c>
      <c r="O1210">
        <f>IFERROR(VLOOKUP(VALUE(J1210),'Site Info'!$A:$G,7,FALSE),"")</f>
        <v>9858513631</v>
      </c>
    </row>
    <row r="1211" spans="1:15" x14ac:dyDescent="0.45">
      <c r="A1211" t="s">
        <v>6843</v>
      </c>
      <c r="B1211" t="s">
        <v>6844</v>
      </c>
      <c r="C1211" t="s">
        <v>6845</v>
      </c>
      <c r="D1211" t="s">
        <v>1607</v>
      </c>
      <c r="E1211" s="1">
        <v>46153.303819444445</v>
      </c>
      <c r="F1211">
        <v>1547</v>
      </c>
      <c r="G1211" t="s">
        <v>6846</v>
      </c>
      <c r="H1211" t="s">
        <v>15</v>
      </c>
      <c r="I1211" t="s">
        <v>1609</v>
      </c>
      <c r="J1211" t="str">
        <f>RIGHT(D1211,4)</f>
        <v>6521</v>
      </c>
      <c r="K1211" t="str">
        <f>IFERROR(VLOOKUP(VALUE(J1211),'Site Info'!$A:$G,3,FALSE),"")</f>
        <v>2174 MARTIN LUTHER KING JR BLVD</v>
      </c>
      <c r="L1211" t="str">
        <f>IFERROR(VLOOKUP(VALUE(J1211),'Site Info'!$A:$G,4,FALSE),"")</f>
        <v>HOUMA</v>
      </c>
      <c r="M1211" t="str">
        <f>IFERROR(VLOOKUP(VALUE(J1211),'Site Info'!$A:$G,5,FALSE),"")</f>
        <v>LA</v>
      </c>
      <c r="N1211" t="str">
        <f>IFERROR(VLOOKUP(VALUE(J1211),'Site Info'!$A:$G,6,FALSE),"")</f>
        <v>70360-2275</v>
      </c>
      <c r="O1211">
        <f>IFERROR(VLOOKUP(VALUE(J1211),'Site Info'!$A:$G,7,FALSE),"")</f>
        <v>9858513631</v>
      </c>
    </row>
    <row r="1212" spans="1:15" x14ac:dyDescent="0.45">
      <c r="A1212" t="s">
        <v>6977</v>
      </c>
      <c r="B1212" t="s">
        <v>6978</v>
      </c>
      <c r="C1212" t="s">
        <v>6979</v>
      </c>
      <c r="D1212" t="s">
        <v>1607</v>
      </c>
      <c r="E1212" s="1">
        <v>46153.349791666667</v>
      </c>
      <c r="F1212">
        <v>1547</v>
      </c>
      <c r="G1212" t="s">
        <v>6980</v>
      </c>
      <c r="H1212" t="s">
        <v>15</v>
      </c>
      <c r="I1212" t="s">
        <v>1609</v>
      </c>
      <c r="J1212" t="str">
        <f>RIGHT(D1212,4)</f>
        <v>6521</v>
      </c>
      <c r="K1212" t="str">
        <f>IFERROR(VLOOKUP(VALUE(J1212),'Site Info'!$A:$G,3,FALSE),"")</f>
        <v>2174 MARTIN LUTHER KING JR BLVD</v>
      </c>
      <c r="L1212" t="str">
        <f>IFERROR(VLOOKUP(VALUE(J1212),'Site Info'!$A:$G,4,FALSE),"")</f>
        <v>HOUMA</v>
      </c>
      <c r="M1212" t="str">
        <f>IFERROR(VLOOKUP(VALUE(J1212),'Site Info'!$A:$G,5,FALSE),"")</f>
        <v>LA</v>
      </c>
      <c r="N1212" t="str">
        <f>IFERROR(VLOOKUP(VALUE(J1212),'Site Info'!$A:$G,6,FALSE),"")</f>
        <v>70360-2275</v>
      </c>
      <c r="O1212">
        <f>IFERROR(VLOOKUP(VALUE(J1212),'Site Info'!$A:$G,7,FALSE),"")</f>
        <v>9858513631</v>
      </c>
    </row>
    <row r="1213" spans="1:15" x14ac:dyDescent="0.45">
      <c r="A1213" t="s">
        <v>3087</v>
      </c>
      <c r="B1213" t="s">
        <v>3088</v>
      </c>
      <c r="C1213" t="s">
        <v>3089</v>
      </c>
      <c r="D1213" t="s">
        <v>1607</v>
      </c>
      <c r="E1213" s="1">
        <v>46149.702546296299</v>
      </c>
      <c r="F1213">
        <v>1481</v>
      </c>
      <c r="G1213" t="s">
        <v>3090</v>
      </c>
      <c r="H1213" t="s">
        <v>15</v>
      </c>
      <c r="I1213" t="s">
        <v>1609</v>
      </c>
      <c r="J1213" t="str">
        <f>RIGHT(D1213,4)</f>
        <v>6521</v>
      </c>
      <c r="K1213" t="str">
        <f>IFERROR(VLOOKUP(VALUE(J1213),'Site Info'!$A:$G,3,FALSE),"")</f>
        <v>2174 MARTIN LUTHER KING JR BLVD</v>
      </c>
      <c r="L1213" t="str">
        <f>IFERROR(VLOOKUP(VALUE(J1213),'Site Info'!$A:$G,4,FALSE),"")</f>
        <v>HOUMA</v>
      </c>
      <c r="M1213" t="str">
        <f>IFERROR(VLOOKUP(VALUE(J1213),'Site Info'!$A:$G,5,FALSE),"")</f>
        <v>LA</v>
      </c>
      <c r="N1213" t="str">
        <f>IFERROR(VLOOKUP(VALUE(J1213),'Site Info'!$A:$G,6,FALSE),"")</f>
        <v>70360-2275</v>
      </c>
      <c r="O1213">
        <f>IFERROR(VLOOKUP(VALUE(J1213),'Site Info'!$A:$G,7,FALSE),"")</f>
        <v>9858513631</v>
      </c>
    </row>
    <row r="1214" spans="1:15" x14ac:dyDescent="0.45">
      <c r="A1214" t="s">
        <v>3161</v>
      </c>
      <c r="B1214" t="s">
        <v>3162</v>
      </c>
      <c r="C1214" t="s">
        <v>3163</v>
      </c>
      <c r="D1214" t="s">
        <v>1607</v>
      </c>
      <c r="E1214" s="1">
        <v>46150.596180555556</v>
      </c>
      <c r="F1214">
        <v>1481</v>
      </c>
      <c r="G1214" t="s">
        <v>3164</v>
      </c>
      <c r="H1214" t="s">
        <v>15</v>
      </c>
      <c r="I1214" t="s">
        <v>1609</v>
      </c>
      <c r="J1214" t="str">
        <f>RIGHT(D1214,4)</f>
        <v>6521</v>
      </c>
      <c r="K1214" t="str">
        <f>IFERROR(VLOOKUP(VALUE(J1214),'Site Info'!$A:$G,3,FALSE),"")</f>
        <v>2174 MARTIN LUTHER KING JR BLVD</v>
      </c>
      <c r="L1214" t="str">
        <f>IFERROR(VLOOKUP(VALUE(J1214),'Site Info'!$A:$G,4,FALSE),"")</f>
        <v>HOUMA</v>
      </c>
      <c r="M1214" t="str">
        <f>IFERROR(VLOOKUP(VALUE(J1214),'Site Info'!$A:$G,5,FALSE),"")</f>
        <v>LA</v>
      </c>
      <c r="N1214" t="str">
        <f>IFERROR(VLOOKUP(VALUE(J1214),'Site Info'!$A:$G,6,FALSE),"")</f>
        <v>70360-2275</v>
      </c>
      <c r="O1214">
        <f>IFERROR(VLOOKUP(VALUE(J1214),'Site Info'!$A:$G,7,FALSE),"")</f>
        <v>9858513631</v>
      </c>
    </row>
    <row r="1215" spans="1:15" x14ac:dyDescent="0.45">
      <c r="A1215" t="s">
        <v>2605</v>
      </c>
      <c r="B1215" t="s">
        <v>2606</v>
      </c>
      <c r="C1215" t="s">
        <v>2607</v>
      </c>
      <c r="D1215" t="s">
        <v>1607</v>
      </c>
      <c r="E1215" s="1">
        <v>46152.825798611113</v>
      </c>
      <c r="F1215">
        <v>1481</v>
      </c>
      <c r="G1215" t="s">
        <v>2608</v>
      </c>
      <c r="H1215" t="s">
        <v>15</v>
      </c>
      <c r="I1215" t="s">
        <v>1609</v>
      </c>
      <c r="J1215" t="str">
        <f>RIGHT(D1215,4)</f>
        <v>6521</v>
      </c>
      <c r="K1215" t="str">
        <f>IFERROR(VLOOKUP(VALUE(J1215),'Site Info'!$A:$G,3,FALSE),"")</f>
        <v>2174 MARTIN LUTHER KING JR BLVD</v>
      </c>
      <c r="L1215" t="str">
        <f>IFERROR(VLOOKUP(VALUE(J1215),'Site Info'!$A:$G,4,FALSE),"")</f>
        <v>HOUMA</v>
      </c>
      <c r="M1215" t="str">
        <f>IFERROR(VLOOKUP(VALUE(J1215),'Site Info'!$A:$G,5,FALSE),"")</f>
        <v>LA</v>
      </c>
      <c r="N1215" t="str">
        <f>IFERROR(VLOOKUP(VALUE(J1215),'Site Info'!$A:$G,6,FALSE),"")</f>
        <v>70360-2275</v>
      </c>
      <c r="O1215">
        <f>IFERROR(VLOOKUP(VALUE(J1215),'Site Info'!$A:$G,7,FALSE),"")</f>
        <v>9858513631</v>
      </c>
    </row>
    <row r="1216" spans="1:15" x14ac:dyDescent="0.45">
      <c r="A1216" t="s">
        <v>1604</v>
      </c>
      <c r="B1216" t="s">
        <v>1605</v>
      </c>
      <c r="C1216" t="s">
        <v>1606</v>
      </c>
      <c r="D1216" t="s">
        <v>1607</v>
      </c>
      <c r="E1216" s="1">
        <v>46153.311481481483</v>
      </c>
      <c r="F1216">
        <v>1481</v>
      </c>
      <c r="G1216" t="s">
        <v>1608</v>
      </c>
      <c r="H1216" t="s">
        <v>15</v>
      </c>
      <c r="I1216" t="s">
        <v>1609</v>
      </c>
      <c r="J1216" t="str">
        <f>RIGHT(D1216,4)</f>
        <v>6521</v>
      </c>
      <c r="K1216" t="str">
        <f>IFERROR(VLOOKUP(VALUE(J1216),'Site Info'!$A:$G,3,FALSE),"")</f>
        <v>2174 MARTIN LUTHER KING JR BLVD</v>
      </c>
      <c r="L1216" t="str">
        <f>IFERROR(VLOOKUP(VALUE(J1216),'Site Info'!$A:$G,4,FALSE),"")</f>
        <v>HOUMA</v>
      </c>
      <c r="M1216" t="str">
        <f>IFERROR(VLOOKUP(VALUE(J1216),'Site Info'!$A:$G,5,FALSE),"")</f>
        <v>LA</v>
      </c>
      <c r="N1216" t="str">
        <f>IFERROR(VLOOKUP(VALUE(J1216),'Site Info'!$A:$G,6,FALSE),"")</f>
        <v>70360-2275</v>
      </c>
      <c r="O1216">
        <f>IFERROR(VLOOKUP(VALUE(J1216),'Site Info'!$A:$G,7,FALSE),"")</f>
        <v>9858513631</v>
      </c>
    </row>
    <row r="1217" spans="1:15" x14ac:dyDescent="0.45">
      <c r="A1217" t="s">
        <v>13844</v>
      </c>
      <c r="B1217" t="s">
        <v>13845</v>
      </c>
      <c r="C1217" t="s">
        <v>13846</v>
      </c>
      <c r="D1217" t="s">
        <v>1283</v>
      </c>
      <c r="E1217" s="1">
        <v>46153.372210648151</v>
      </c>
      <c r="F1217">
        <v>1547</v>
      </c>
      <c r="G1217" t="s">
        <v>13847</v>
      </c>
      <c r="H1217" t="s">
        <v>15</v>
      </c>
      <c r="I1217" t="s">
        <v>1285</v>
      </c>
      <c r="J1217" t="str">
        <f>RIGHT(D1217,4)</f>
        <v>6417</v>
      </c>
      <c r="K1217" t="str">
        <f>IFERROR(VLOOKUP(VALUE(J1217),'Site Info'!$A:$G,3,FALSE),"")</f>
        <v>2190 N PARK DR</v>
      </c>
      <c r="L1217" t="str">
        <f>IFERROR(VLOOKUP(VALUE(J1217),'Site Info'!$A:$G,4,FALSE),"")</f>
        <v>HOLLAND</v>
      </c>
      <c r="M1217" t="str">
        <f>IFERROR(VLOOKUP(VALUE(J1217),'Site Info'!$A:$G,5,FALSE),"")</f>
        <v>MI</v>
      </c>
      <c r="N1217" t="str">
        <f>IFERROR(VLOOKUP(VALUE(J1217),'Site Info'!$A:$G,6,FALSE),"")</f>
        <v>49424-9595</v>
      </c>
      <c r="O1217">
        <f>IFERROR(VLOOKUP(VALUE(J1217),'Site Info'!$A:$G,7,FALSE),"")</f>
        <v>6163953190</v>
      </c>
    </row>
    <row r="1218" spans="1:15" x14ac:dyDescent="0.45">
      <c r="A1218" t="s">
        <v>1280</v>
      </c>
      <c r="B1218" t="s">
        <v>1281</v>
      </c>
      <c r="C1218" t="s">
        <v>1282</v>
      </c>
      <c r="D1218" t="s">
        <v>1283</v>
      </c>
      <c r="E1218" s="1">
        <v>46151.746562499997</v>
      </c>
      <c r="F1218">
        <v>1481</v>
      </c>
      <c r="G1218" t="s">
        <v>1284</v>
      </c>
      <c r="H1218" t="s">
        <v>15</v>
      </c>
      <c r="I1218" t="s">
        <v>1285</v>
      </c>
      <c r="J1218" t="str">
        <f>RIGHT(D1218,4)</f>
        <v>6417</v>
      </c>
      <c r="K1218" t="str">
        <f>IFERROR(VLOOKUP(VALUE(J1218),'Site Info'!$A:$G,3,FALSE),"")</f>
        <v>2190 N PARK DR</v>
      </c>
      <c r="L1218" t="str">
        <f>IFERROR(VLOOKUP(VALUE(J1218),'Site Info'!$A:$G,4,FALSE),"")</f>
        <v>HOLLAND</v>
      </c>
      <c r="M1218" t="str">
        <f>IFERROR(VLOOKUP(VALUE(J1218),'Site Info'!$A:$G,5,FALSE),"")</f>
        <v>MI</v>
      </c>
      <c r="N1218" t="str">
        <f>IFERROR(VLOOKUP(VALUE(J1218),'Site Info'!$A:$G,6,FALSE),"")</f>
        <v>49424-9595</v>
      </c>
      <c r="O1218">
        <f>IFERROR(VLOOKUP(VALUE(J1218),'Site Info'!$A:$G,7,FALSE),"")</f>
        <v>6163953190</v>
      </c>
    </row>
    <row r="1219" spans="1:15" x14ac:dyDescent="0.45">
      <c r="A1219" t="s">
        <v>16831</v>
      </c>
      <c r="B1219" t="s">
        <v>16832</v>
      </c>
      <c r="C1219" t="s">
        <v>16833</v>
      </c>
      <c r="D1219" t="s">
        <v>1283</v>
      </c>
      <c r="E1219" s="1">
        <v>46152.52071759259</v>
      </c>
      <c r="F1219">
        <v>1547</v>
      </c>
      <c r="G1219" t="s">
        <v>16834</v>
      </c>
      <c r="H1219" t="s">
        <v>15</v>
      </c>
      <c r="I1219" t="s">
        <v>1285</v>
      </c>
      <c r="J1219" t="str">
        <f>RIGHT(D1219,4)</f>
        <v>6417</v>
      </c>
      <c r="K1219" t="str">
        <f>IFERROR(VLOOKUP(VALUE(J1219),'Site Info'!$A:$G,3,FALSE),"")</f>
        <v>2190 N PARK DR</v>
      </c>
      <c r="L1219" t="str">
        <f>IFERROR(VLOOKUP(VALUE(J1219),'Site Info'!$A:$G,4,FALSE),"")</f>
        <v>HOLLAND</v>
      </c>
      <c r="M1219" t="str">
        <f>IFERROR(VLOOKUP(VALUE(J1219),'Site Info'!$A:$G,5,FALSE),"")</f>
        <v>MI</v>
      </c>
      <c r="N1219" t="str">
        <f>IFERROR(VLOOKUP(VALUE(J1219),'Site Info'!$A:$G,6,FALSE),"")</f>
        <v>49424-9595</v>
      </c>
      <c r="O1219">
        <f>IFERROR(VLOOKUP(VALUE(J1219),'Site Info'!$A:$G,7,FALSE),"")</f>
        <v>6163953190</v>
      </c>
    </row>
    <row r="1220" spans="1:15" x14ac:dyDescent="0.45">
      <c r="A1220" t="s">
        <v>6665</v>
      </c>
      <c r="B1220" t="s">
        <v>6666</v>
      </c>
      <c r="C1220" t="s">
        <v>6667</v>
      </c>
      <c r="D1220" t="s">
        <v>140</v>
      </c>
      <c r="E1220" s="1">
        <v>46148.325520833336</v>
      </c>
      <c r="F1220">
        <v>1547</v>
      </c>
      <c r="G1220" t="s">
        <v>6668</v>
      </c>
      <c r="H1220" t="s">
        <v>15</v>
      </c>
      <c r="I1220" t="s">
        <v>141</v>
      </c>
      <c r="J1220" t="str">
        <f>RIGHT(D1220,4)</f>
        <v>4879</v>
      </c>
      <c r="K1220" t="str">
        <f>IFERROR(VLOOKUP(VALUE(J1220),'Site Info'!$A:$G,3,FALSE),"")</f>
        <v>220 JEFFERSON DAVIS HWY</v>
      </c>
      <c r="L1220" t="str">
        <f>IFERROR(VLOOKUP(VALUE(J1220),'Site Info'!$A:$G,4,FALSE),"")</f>
        <v>AIKEN</v>
      </c>
      <c r="M1220" t="str">
        <f>IFERROR(VLOOKUP(VALUE(J1220),'Site Info'!$A:$G,5,FALSE),"")</f>
        <v>SC</v>
      </c>
      <c r="N1220" t="str">
        <f>IFERROR(VLOOKUP(VALUE(J1220),'Site Info'!$A:$G,6,FALSE),"")</f>
        <v>29801-0000</v>
      </c>
      <c r="O1220">
        <f>IFERROR(VLOOKUP(VALUE(J1220),'Site Info'!$A:$G,7,FALSE),"")</f>
        <v>8037616908</v>
      </c>
    </row>
    <row r="1221" spans="1:15" x14ac:dyDescent="0.45">
      <c r="A1221" t="s">
        <v>6669</v>
      </c>
      <c r="B1221" t="s">
        <v>6670</v>
      </c>
      <c r="C1221" t="s">
        <v>6671</v>
      </c>
      <c r="D1221" t="s">
        <v>140</v>
      </c>
      <c r="E1221" s="1">
        <v>46152.021620370368</v>
      </c>
      <c r="F1221">
        <v>1547</v>
      </c>
      <c r="G1221" t="s">
        <v>6672</v>
      </c>
      <c r="H1221" t="s">
        <v>15</v>
      </c>
      <c r="I1221" t="s">
        <v>141</v>
      </c>
      <c r="J1221" t="str">
        <f>RIGHT(D1221,4)</f>
        <v>4879</v>
      </c>
      <c r="K1221" t="str">
        <f>IFERROR(VLOOKUP(VALUE(J1221),'Site Info'!$A:$G,3,FALSE),"")</f>
        <v>220 JEFFERSON DAVIS HWY</v>
      </c>
      <c r="L1221" t="str">
        <f>IFERROR(VLOOKUP(VALUE(J1221),'Site Info'!$A:$G,4,FALSE),"")</f>
        <v>AIKEN</v>
      </c>
      <c r="M1221" t="str">
        <f>IFERROR(VLOOKUP(VALUE(J1221),'Site Info'!$A:$G,5,FALSE),"")</f>
        <v>SC</v>
      </c>
      <c r="N1221" t="str">
        <f>IFERROR(VLOOKUP(VALUE(J1221),'Site Info'!$A:$G,6,FALSE),"")</f>
        <v>29801-0000</v>
      </c>
      <c r="O1221">
        <f>IFERROR(VLOOKUP(VALUE(J1221),'Site Info'!$A:$G,7,FALSE),"")</f>
        <v>8037616908</v>
      </c>
    </row>
    <row r="1222" spans="1:15" x14ac:dyDescent="0.45">
      <c r="A1222" t="s">
        <v>13763</v>
      </c>
      <c r="B1222" t="s">
        <v>13764</v>
      </c>
      <c r="C1222" t="s">
        <v>13765</v>
      </c>
      <c r="D1222" t="s">
        <v>140</v>
      </c>
      <c r="E1222" s="1">
        <v>46152.592256944445</v>
      </c>
      <c r="F1222">
        <v>1547</v>
      </c>
      <c r="G1222" t="s">
        <v>13766</v>
      </c>
      <c r="H1222" t="s">
        <v>15</v>
      </c>
      <c r="I1222" t="s">
        <v>141</v>
      </c>
      <c r="J1222" t="str">
        <f>RIGHT(D1222,4)</f>
        <v>4879</v>
      </c>
      <c r="K1222" t="str">
        <f>IFERROR(VLOOKUP(VALUE(J1222),'Site Info'!$A:$G,3,FALSE),"")</f>
        <v>220 JEFFERSON DAVIS HWY</v>
      </c>
      <c r="L1222" t="str">
        <f>IFERROR(VLOOKUP(VALUE(J1222),'Site Info'!$A:$G,4,FALSE),"")</f>
        <v>AIKEN</v>
      </c>
      <c r="M1222" t="str">
        <f>IFERROR(VLOOKUP(VALUE(J1222),'Site Info'!$A:$G,5,FALSE),"")</f>
        <v>SC</v>
      </c>
      <c r="N1222" t="str">
        <f>IFERROR(VLOOKUP(VALUE(J1222),'Site Info'!$A:$G,6,FALSE),"")</f>
        <v>29801-0000</v>
      </c>
      <c r="O1222">
        <f>IFERROR(VLOOKUP(VALUE(J1222),'Site Info'!$A:$G,7,FALSE),"")</f>
        <v>8037616908</v>
      </c>
    </row>
    <row r="1223" spans="1:15" x14ac:dyDescent="0.45">
      <c r="A1223" t="s">
        <v>5624</v>
      </c>
      <c r="B1223" t="s">
        <v>5625</v>
      </c>
      <c r="C1223" t="s">
        <v>5626</v>
      </c>
      <c r="D1223" t="s">
        <v>140</v>
      </c>
      <c r="E1223" s="1">
        <v>46153.290601851855</v>
      </c>
      <c r="F1223">
        <v>1547</v>
      </c>
      <c r="G1223" t="s">
        <v>5627</v>
      </c>
      <c r="H1223" t="s">
        <v>15</v>
      </c>
      <c r="I1223" t="s">
        <v>141</v>
      </c>
      <c r="J1223" t="str">
        <f>RIGHT(D1223,4)</f>
        <v>4879</v>
      </c>
      <c r="K1223" t="str">
        <f>IFERROR(VLOOKUP(VALUE(J1223),'Site Info'!$A:$G,3,FALSE),"")</f>
        <v>220 JEFFERSON DAVIS HWY</v>
      </c>
      <c r="L1223" t="str">
        <f>IFERROR(VLOOKUP(VALUE(J1223),'Site Info'!$A:$G,4,FALSE),"")</f>
        <v>AIKEN</v>
      </c>
      <c r="M1223" t="str">
        <f>IFERROR(VLOOKUP(VALUE(J1223),'Site Info'!$A:$G,5,FALSE),"")</f>
        <v>SC</v>
      </c>
      <c r="N1223" t="str">
        <f>IFERROR(VLOOKUP(VALUE(J1223),'Site Info'!$A:$G,6,FALSE),"")</f>
        <v>29801-0000</v>
      </c>
      <c r="O1223">
        <f>IFERROR(VLOOKUP(VALUE(J1223),'Site Info'!$A:$G,7,FALSE),"")</f>
        <v>8037616908</v>
      </c>
    </row>
    <row r="1224" spans="1:15" x14ac:dyDescent="0.45">
      <c r="A1224" t="s">
        <v>5728</v>
      </c>
      <c r="B1224" t="s">
        <v>5729</v>
      </c>
      <c r="C1224" t="s">
        <v>5730</v>
      </c>
      <c r="D1224" t="s">
        <v>140</v>
      </c>
      <c r="E1224" s="1">
        <v>46153.341574074075</v>
      </c>
      <c r="F1224">
        <v>1547</v>
      </c>
      <c r="G1224" t="s">
        <v>5731</v>
      </c>
      <c r="H1224" t="s">
        <v>15</v>
      </c>
      <c r="I1224" t="s">
        <v>141</v>
      </c>
      <c r="J1224" t="str">
        <f>RIGHT(D1224,4)</f>
        <v>4879</v>
      </c>
      <c r="K1224" t="str">
        <f>IFERROR(VLOOKUP(VALUE(J1224),'Site Info'!$A:$G,3,FALSE),"")</f>
        <v>220 JEFFERSON DAVIS HWY</v>
      </c>
      <c r="L1224" t="str">
        <f>IFERROR(VLOOKUP(VALUE(J1224),'Site Info'!$A:$G,4,FALSE),"")</f>
        <v>AIKEN</v>
      </c>
      <c r="M1224" t="str">
        <f>IFERROR(VLOOKUP(VALUE(J1224),'Site Info'!$A:$G,5,FALSE),"")</f>
        <v>SC</v>
      </c>
      <c r="N1224" t="str">
        <f>IFERROR(VLOOKUP(VALUE(J1224),'Site Info'!$A:$G,6,FALSE),"")</f>
        <v>29801-0000</v>
      </c>
      <c r="O1224">
        <f>IFERROR(VLOOKUP(VALUE(J1224),'Site Info'!$A:$G,7,FALSE),"")</f>
        <v>8037616908</v>
      </c>
    </row>
    <row r="1225" spans="1:15" x14ac:dyDescent="0.45">
      <c r="A1225" t="s">
        <v>3247</v>
      </c>
      <c r="B1225" t="s">
        <v>3248</v>
      </c>
      <c r="C1225" t="s">
        <v>3249</v>
      </c>
      <c r="D1225" t="s">
        <v>140</v>
      </c>
      <c r="E1225" s="1">
        <v>46153.327233796299</v>
      </c>
      <c r="F1225">
        <v>1481</v>
      </c>
      <c r="G1225" t="s">
        <v>3250</v>
      </c>
      <c r="H1225" t="s">
        <v>15</v>
      </c>
      <c r="I1225" t="s">
        <v>141</v>
      </c>
      <c r="J1225" t="str">
        <f>RIGHT(D1225,4)</f>
        <v>4879</v>
      </c>
      <c r="K1225" t="str">
        <f>IFERROR(VLOOKUP(VALUE(J1225),'Site Info'!$A:$G,3,FALSE),"")</f>
        <v>220 JEFFERSON DAVIS HWY</v>
      </c>
      <c r="L1225" t="str">
        <f>IFERROR(VLOOKUP(VALUE(J1225),'Site Info'!$A:$G,4,FALSE),"")</f>
        <v>AIKEN</v>
      </c>
      <c r="M1225" t="str">
        <f>IFERROR(VLOOKUP(VALUE(J1225),'Site Info'!$A:$G,5,FALSE),"")</f>
        <v>SC</v>
      </c>
      <c r="N1225" t="str">
        <f>IFERROR(VLOOKUP(VALUE(J1225),'Site Info'!$A:$G,6,FALSE),"")</f>
        <v>29801-0000</v>
      </c>
      <c r="O1225">
        <f>IFERROR(VLOOKUP(VALUE(J1225),'Site Info'!$A:$G,7,FALSE),"")</f>
        <v>8037616908</v>
      </c>
    </row>
    <row r="1226" spans="1:15" x14ac:dyDescent="0.45">
      <c r="A1226" t="s">
        <v>16520</v>
      </c>
      <c r="B1226" t="s">
        <v>16521</v>
      </c>
      <c r="C1226" t="s">
        <v>16522</v>
      </c>
      <c r="D1226" t="s">
        <v>140</v>
      </c>
      <c r="E1226" s="1">
        <v>46153.137303240743</v>
      </c>
      <c r="F1226">
        <v>1481</v>
      </c>
      <c r="G1226" t="s">
        <v>16523</v>
      </c>
      <c r="H1226" t="s">
        <v>15</v>
      </c>
      <c r="I1226" t="s">
        <v>141</v>
      </c>
      <c r="J1226" t="str">
        <f>RIGHT(D1226,4)</f>
        <v>4879</v>
      </c>
      <c r="K1226" t="str">
        <f>IFERROR(VLOOKUP(VALUE(J1226),'Site Info'!$A:$G,3,FALSE),"")</f>
        <v>220 JEFFERSON DAVIS HWY</v>
      </c>
      <c r="L1226" t="str">
        <f>IFERROR(VLOOKUP(VALUE(J1226),'Site Info'!$A:$G,4,FALSE),"")</f>
        <v>AIKEN</v>
      </c>
      <c r="M1226" t="str">
        <f>IFERROR(VLOOKUP(VALUE(J1226),'Site Info'!$A:$G,5,FALSE),"")</f>
        <v>SC</v>
      </c>
      <c r="N1226" t="str">
        <f>IFERROR(VLOOKUP(VALUE(J1226),'Site Info'!$A:$G,6,FALSE),"")</f>
        <v>29801-0000</v>
      </c>
      <c r="O1226">
        <f>IFERROR(VLOOKUP(VALUE(J1226),'Site Info'!$A:$G,7,FALSE),"")</f>
        <v>8037616908</v>
      </c>
    </row>
    <row r="1227" spans="1:15" x14ac:dyDescent="0.45">
      <c r="A1227" t="s">
        <v>9427</v>
      </c>
      <c r="B1227" t="s">
        <v>9428</v>
      </c>
      <c r="C1227" t="s">
        <v>9429</v>
      </c>
      <c r="D1227" t="s">
        <v>9300</v>
      </c>
      <c r="E1227" s="1">
        <v>46151.723819444444</v>
      </c>
      <c r="F1227">
        <v>1548</v>
      </c>
      <c r="G1227" t="s">
        <v>9430</v>
      </c>
      <c r="H1227" t="s">
        <v>15</v>
      </c>
      <c r="I1227" t="s">
        <v>9302</v>
      </c>
      <c r="J1227" t="str">
        <f>RIGHT(D1227,4)</f>
        <v>8279</v>
      </c>
      <c r="K1227" t="str">
        <f>IFERROR(VLOOKUP(VALUE(J1227),'Site Info'!$A:$G,3,FALSE),"")</f>
        <v>2201 ROSS OSAGE ST</v>
      </c>
      <c r="L1227" t="str">
        <f>IFERROR(VLOOKUP(VALUE(J1227),'Site Info'!$A:$G,4,FALSE),"")</f>
        <v>AMARILLO</v>
      </c>
      <c r="M1227" t="str">
        <f>IFERROR(VLOOKUP(VALUE(J1227),'Site Info'!$A:$G,5,FALSE),"")</f>
        <v>TX</v>
      </c>
      <c r="N1227" t="str">
        <f>IFERROR(VLOOKUP(VALUE(J1227),'Site Info'!$A:$G,6,FALSE),"")</f>
        <v>79103-2318</v>
      </c>
      <c r="O1227">
        <f>IFERROR(VLOOKUP(VALUE(J1227),'Site Info'!$A:$G,7,FALSE),"")</f>
        <v>8063746651</v>
      </c>
    </row>
    <row r="1228" spans="1:15" x14ac:dyDescent="0.45">
      <c r="A1228" t="s">
        <v>9297</v>
      </c>
      <c r="B1228" t="s">
        <v>9298</v>
      </c>
      <c r="C1228" t="s">
        <v>9299</v>
      </c>
      <c r="D1228" t="s">
        <v>9300</v>
      </c>
      <c r="E1228" s="1">
        <v>46153.191053240742</v>
      </c>
      <c r="F1228">
        <v>1547</v>
      </c>
      <c r="G1228" t="s">
        <v>9301</v>
      </c>
      <c r="H1228" t="s">
        <v>15</v>
      </c>
      <c r="I1228" t="s">
        <v>9302</v>
      </c>
      <c r="J1228" t="str">
        <f>RIGHT(D1228,4)</f>
        <v>8279</v>
      </c>
      <c r="K1228" t="str">
        <f>IFERROR(VLOOKUP(VALUE(J1228),'Site Info'!$A:$G,3,FALSE),"")</f>
        <v>2201 ROSS OSAGE ST</v>
      </c>
      <c r="L1228" t="str">
        <f>IFERROR(VLOOKUP(VALUE(J1228),'Site Info'!$A:$G,4,FALSE),"")</f>
        <v>AMARILLO</v>
      </c>
      <c r="M1228" t="str">
        <f>IFERROR(VLOOKUP(VALUE(J1228),'Site Info'!$A:$G,5,FALSE),"")</f>
        <v>TX</v>
      </c>
      <c r="N1228" t="str">
        <f>IFERROR(VLOOKUP(VALUE(J1228),'Site Info'!$A:$G,6,FALSE),"")</f>
        <v>79103-2318</v>
      </c>
      <c r="O1228">
        <f>IFERROR(VLOOKUP(VALUE(J1228),'Site Info'!$A:$G,7,FALSE),"")</f>
        <v>8063746651</v>
      </c>
    </row>
    <row r="1229" spans="1:15" x14ac:dyDescent="0.45">
      <c r="A1229" t="s">
        <v>12100</v>
      </c>
      <c r="B1229" t="s">
        <v>12101</v>
      </c>
      <c r="C1229" t="s">
        <v>12102</v>
      </c>
      <c r="D1229" t="s">
        <v>9300</v>
      </c>
      <c r="E1229" s="1">
        <v>46153.358865740738</v>
      </c>
      <c r="F1229">
        <v>1547</v>
      </c>
      <c r="G1229" t="s">
        <v>12103</v>
      </c>
      <c r="H1229" t="s">
        <v>15</v>
      </c>
      <c r="I1229" t="s">
        <v>9302</v>
      </c>
      <c r="J1229" t="str">
        <f>RIGHT(D1229,4)</f>
        <v>8279</v>
      </c>
      <c r="K1229" t="str">
        <f>IFERROR(VLOOKUP(VALUE(J1229),'Site Info'!$A:$G,3,FALSE),"")</f>
        <v>2201 ROSS OSAGE ST</v>
      </c>
      <c r="L1229" t="str">
        <f>IFERROR(VLOOKUP(VALUE(J1229),'Site Info'!$A:$G,4,FALSE),"")</f>
        <v>AMARILLO</v>
      </c>
      <c r="M1229" t="str">
        <f>IFERROR(VLOOKUP(VALUE(J1229),'Site Info'!$A:$G,5,FALSE),"")</f>
        <v>TX</v>
      </c>
      <c r="N1229" t="str">
        <f>IFERROR(VLOOKUP(VALUE(J1229),'Site Info'!$A:$G,6,FALSE),"")</f>
        <v>79103-2318</v>
      </c>
      <c r="O1229">
        <f>IFERROR(VLOOKUP(VALUE(J1229),'Site Info'!$A:$G,7,FALSE),"")</f>
        <v>8063746651</v>
      </c>
    </row>
    <row r="1230" spans="1:15" x14ac:dyDescent="0.45">
      <c r="A1230" t="s">
        <v>17267</v>
      </c>
      <c r="B1230" t="s">
        <v>17268</v>
      </c>
      <c r="C1230" t="s">
        <v>17269</v>
      </c>
      <c r="D1230" t="s">
        <v>9300</v>
      </c>
      <c r="E1230" s="1">
        <v>46151.511689814812</v>
      </c>
      <c r="F1230">
        <v>1547</v>
      </c>
      <c r="G1230" t="s">
        <v>17270</v>
      </c>
      <c r="H1230" t="s">
        <v>15</v>
      </c>
      <c r="I1230" t="s">
        <v>9302</v>
      </c>
      <c r="J1230" t="str">
        <f>RIGHT(D1230,4)</f>
        <v>8279</v>
      </c>
      <c r="K1230" t="str">
        <f>IFERROR(VLOOKUP(VALUE(J1230),'Site Info'!$A:$G,3,FALSE),"")</f>
        <v>2201 ROSS OSAGE ST</v>
      </c>
      <c r="L1230" t="str">
        <f>IFERROR(VLOOKUP(VALUE(J1230),'Site Info'!$A:$G,4,FALSE),"")</f>
        <v>AMARILLO</v>
      </c>
      <c r="M1230" t="str">
        <f>IFERROR(VLOOKUP(VALUE(J1230),'Site Info'!$A:$G,5,FALSE),"")</f>
        <v>TX</v>
      </c>
      <c r="N1230" t="str">
        <f>IFERROR(VLOOKUP(VALUE(J1230),'Site Info'!$A:$G,6,FALSE),"")</f>
        <v>79103-2318</v>
      </c>
      <c r="O1230">
        <f>IFERROR(VLOOKUP(VALUE(J1230),'Site Info'!$A:$G,7,FALSE),"")</f>
        <v>8063746651</v>
      </c>
    </row>
    <row r="1231" spans="1:15" x14ac:dyDescent="0.45">
      <c r="A1231" t="s">
        <v>17271</v>
      </c>
      <c r="B1231" t="s">
        <v>17272</v>
      </c>
      <c r="C1231" t="s">
        <v>17273</v>
      </c>
      <c r="D1231" t="s">
        <v>9300</v>
      </c>
      <c r="E1231" s="1">
        <v>46153.164270833331</v>
      </c>
      <c r="F1231">
        <v>1547</v>
      </c>
      <c r="G1231" t="s">
        <v>17274</v>
      </c>
      <c r="H1231" t="s">
        <v>15</v>
      </c>
      <c r="I1231" t="s">
        <v>9302</v>
      </c>
      <c r="J1231" t="str">
        <f>RIGHT(D1231,4)</f>
        <v>8279</v>
      </c>
      <c r="K1231" t="str">
        <f>IFERROR(VLOOKUP(VALUE(J1231),'Site Info'!$A:$G,3,FALSE),"")</f>
        <v>2201 ROSS OSAGE ST</v>
      </c>
      <c r="L1231" t="str">
        <f>IFERROR(VLOOKUP(VALUE(J1231),'Site Info'!$A:$G,4,FALSE),"")</f>
        <v>AMARILLO</v>
      </c>
      <c r="M1231" t="str">
        <f>IFERROR(VLOOKUP(VALUE(J1231),'Site Info'!$A:$G,5,FALSE),"")</f>
        <v>TX</v>
      </c>
      <c r="N1231" t="str">
        <f>IFERROR(VLOOKUP(VALUE(J1231),'Site Info'!$A:$G,6,FALSE),"")</f>
        <v>79103-2318</v>
      </c>
      <c r="O1231">
        <f>IFERROR(VLOOKUP(VALUE(J1231),'Site Info'!$A:$G,7,FALSE),"")</f>
        <v>8063746651</v>
      </c>
    </row>
    <row r="1232" spans="1:15" x14ac:dyDescent="0.45">
      <c r="A1232" t="s">
        <v>5990</v>
      </c>
      <c r="B1232" t="s">
        <v>5991</v>
      </c>
      <c r="C1232" t="s">
        <v>5992</v>
      </c>
      <c r="D1232" t="s">
        <v>645</v>
      </c>
      <c r="E1232" s="1">
        <v>46153.316712962966</v>
      </c>
      <c r="F1232">
        <v>1547</v>
      </c>
      <c r="G1232" t="s">
        <v>5993</v>
      </c>
      <c r="H1232" t="s">
        <v>15</v>
      </c>
      <c r="I1232" t="s">
        <v>647</v>
      </c>
      <c r="J1232" t="str">
        <f>RIGHT(D1232,4)</f>
        <v>4925</v>
      </c>
      <c r="K1232" t="str">
        <f>IFERROR(VLOOKUP(VALUE(J1232),'Site Info'!$A:$G,3,FALSE),"")</f>
        <v>2218 GREENVILLE, AVE</v>
      </c>
      <c r="L1232" t="str">
        <f>IFERROR(VLOOKUP(VALUE(J1232),'Site Info'!$A:$G,4,FALSE),"")</f>
        <v>DALLAS</v>
      </c>
      <c r="M1232" t="str">
        <f>IFERROR(VLOOKUP(VALUE(J1232),'Site Info'!$A:$G,5,FALSE),"")</f>
        <v>TX</v>
      </c>
      <c r="N1232" t="str">
        <f>IFERROR(VLOOKUP(VALUE(J1232),'Site Info'!$A:$G,6,FALSE),"")</f>
        <v>75206-7122</v>
      </c>
      <c r="O1232">
        <f>IFERROR(VLOOKUP(VALUE(J1232),'Site Info'!$A:$G,7,FALSE),"")</f>
        <v>4693295388</v>
      </c>
    </row>
    <row r="1233" spans="1:15" x14ac:dyDescent="0.45">
      <c r="A1233" t="s">
        <v>642</v>
      </c>
      <c r="B1233" t="s">
        <v>643</v>
      </c>
      <c r="C1233" t="s">
        <v>644</v>
      </c>
      <c r="D1233" t="s">
        <v>645</v>
      </c>
      <c r="E1233" s="1">
        <v>46152.488541666666</v>
      </c>
      <c r="F1233">
        <v>1481</v>
      </c>
      <c r="G1233" t="s">
        <v>646</v>
      </c>
      <c r="H1233" t="s">
        <v>15</v>
      </c>
      <c r="I1233" t="s">
        <v>647</v>
      </c>
      <c r="J1233" t="str">
        <f>RIGHT(D1233,4)</f>
        <v>4925</v>
      </c>
      <c r="K1233" t="str">
        <f>IFERROR(VLOOKUP(VALUE(J1233),'Site Info'!$A:$G,3,FALSE),"")</f>
        <v>2218 GREENVILLE, AVE</v>
      </c>
      <c r="L1233" t="str">
        <f>IFERROR(VLOOKUP(VALUE(J1233),'Site Info'!$A:$G,4,FALSE),"")</f>
        <v>DALLAS</v>
      </c>
      <c r="M1233" t="str">
        <f>IFERROR(VLOOKUP(VALUE(J1233),'Site Info'!$A:$G,5,FALSE),"")</f>
        <v>TX</v>
      </c>
      <c r="N1233" t="str">
        <f>IFERROR(VLOOKUP(VALUE(J1233),'Site Info'!$A:$G,6,FALSE),"")</f>
        <v>75206-7122</v>
      </c>
      <c r="O1233">
        <f>IFERROR(VLOOKUP(VALUE(J1233),'Site Info'!$A:$G,7,FALSE),"")</f>
        <v>4693295388</v>
      </c>
    </row>
    <row r="1234" spans="1:15" x14ac:dyDescent="0.45">
      <c r="A1234" t="s">
        <v>9866</v>
      </c>
      <c r="B1234" t="s">
        <v>9867</v>
      </c>
      <c r="C1234" t="s">
        <v>9868</v>
      </c>
      <c r="D1234" t="s">
        <v>2402</v>
      </c>
      <c r="E1234" s="1">
        <v>46149.441018518519</v>
      </c>
      <c r="F1234">
        <v>1547</v>
      </c>
      <c r="G1234" t="s">
        <v>9869</v>
      </c>
      <c r="H1234" t="s">
        <v>15</v>
      </c>
      <c r="I1234" t="s">
        <v>2404</v>
      </c>
      <c r="J1234" t="str">
        <f>RIGHT(D1234,4)</f>
        <v>8107</v>
      </c>
      <c r="K1234" t="str">
        <f>IFERROR(VLOOKUP(VALUE(J1234),'Site Info'!$A:$G,3,FALSE),"")</f>
        <v>2235 NATIONAL BLVD SW</v>
      </c>
      <c r="L1234" t="str">
        <f>IFERROR(VLOOKUP(VALUE(J1234),'Site Info'!$A:$G,4,FALSE),"")</f>
        <v>HUNTSVILLE</v>
      </c>
      <c r="M1234" t="str">
        <f>IFERROR(VLOOKUP(VALUE(J1234),'Site Info'!$A:$G,5,FALSE),"")</f>
        <v>AL</v>
      </c>
      <c r="N1234" t="str">
        <f>IFERROR(VLOOKUP(VALUE(J1234),'Site Info'!$A:$G,6,FALSE),"")</f>
        <v>35803-2197</v>
      </c>
      <c r="O1234">
        <f>IFERROR(VLOOKUP(VALUE(J1234),'Site Info'!$A:$G,7,FALSE),"")</f>
        <v>2568818186</v>
      </c>
    </row>
    <row r="1235" spans="1:15" x14ac:dyDescent="0.45">
      <c r="A1235" t="s">
        <v>9966</v>
      </c>
      <c r="B1235" t="s">
        <v>9967</v>
      </c>
      <c r="C1235" t="s">
        <v>9968</v>
      </c>
      <c r="D1235" t="s">
        <v>2402</v>
      </c>
      <c r="E1235" s="1">
        <v>46149.799861111111</v>
      </c>
      <c r="F1235">
        <v>1547</v>
      </c>
      <c r="G1235" t="s">
        <v>9969</v>
      </c>
      <c r="H1235" t="s">
        <v>15</v>
      </c>
      <c r="I1235" t="s">
        <v>2404</v>
      </c>
      <c r="J1235" t="str">
        <f>RIGHT(D1235,4)</f>
        <v>8107</v>
      </c>
      <c r="K1235" t="str">
        <f>IFERROR(VLOOKUP(VALUE(J1235),'Site Info'!$A:$G,3,FALSE),"")</f>
        <v>2235 NATIONAL BLVD SW</v>
      </c>
      <c r="L1235" t="str">
        <f>IFERROR(VLOOKUP(VALUE(J1235),'Site Info'!$A:$G,4,FALSE),"")</f>
        <v>HUNTSVILLE</v>
      </c>
      <c r="M1235" t="str">
        <f>IFERROR(VLOOKUP(VALUE(J1235),'Site Info'!$A:$G,5,FALSE),"")</f>
        <v>AL</v>
      </c>
      <c r="N1235" t="str">
        <f>IFERROR(VLOOKUP(VALUE(J1235),'Site Info'!$A:$G,6,FALSE),"")</f>
        <v>35803-2197</v>
      </c>
      <c r="O1235">
        <f>IFERROR(VLOOKUP(VALUE(J1235),'Site Info'!$A:$G,7,FALSE),"")</f>
        <v>2568818186</v>
      </c>
    </row>
    <row r="1236" spans="1:15" x14ac:dyDescent="0.45">
      <c r="A1236" t="s">
        <v>13747</v>
      </c>
      <c r="B1236" t="s">
        <v>13748</v>
      </c>
      <c r="C1236" t="s">
        <v>13749</v>
      </c>
      <c r="D1236" t="s">
        <v>2402</v>
      </c>
      <c r="E1236" s="1">
        <v>46153.365902777776</v>
      </c>
      <c r="F1236">
        <v>1547</v>
      </c>
      <c r="G1236" t="s">
        <v>13750</v>
      </c>
      <c r="H1236" t="s">
        <v>15</v>
      </c>
      <c r="I1236" t="s">
        <v>2404</v>
      </c>
      <c r="J1236" t="str">
        <f>RIGHT(D1236,4)</f>
        <v>8107</v>
      </c>
      <c r="K1236" t="str">
        <f>IFERROR(VLOOKUP(VALUE(J1236),'Site Info'!$A:$G,3,FALSE),"")</f>
        <v>2235 NATIONAL BLVD SW</v>
      </c>
      <c r="L1236" t="str">
        <f>IFERROR(VLOOKUP(VALUE(J1236),'Site Info'!$A:$G,4,FALSE),"")</f>
        <v>HUNTSVILLE</v>
      </c>
      <c r="M1236" t="str">
        <f>IFERROR(VLOOKUP(VALUE(J1236),'Site Info'!$A:$G,5,FALSE),"")</f>
        <v>AL</v>
      </c>
      <c r="N1236" t="str">
        <f>IFERROR(VLOOKUP(VALUE(J1236),'Site Info'!$A:$G,6,FALSE),"")</f>
        <v>35803-2197</v>
      </c>
      <c r="O1236">
        <f>IFERROR(VLOOKUP(VALUE(J1236),'Site Info'!$A:$G,7,FALSE),"")</f>
        <v>2568818186</v>
      </c>
    </row>
    <row r="1237" spans="1:15" x14ac:dyDescent="0.45">
      <c r="A1237" t="s">
        <v>9810</v>
      </c>
      <c r="B1237" t="s">
        <v>9811</v>
      </c>
      <c r="C1237" t="s">
        <v>9812</v>
      </c>
      <c r="D1237" t="s">
        <v>2402</v>
      </c>
      <c r="E1237" s="1">
        <v>46153.374074074076</v>
      </c>
      <c r="F1237">
        <v>1547</v>
      </c>
      <c r="G1237" t="s">
        <v>9813</v>
      </c>
      <c r="H1237" t="s">
        <v>15</v>
      </c>
      <c r="I1237" t="s">
        <v>2404</v>
      </c>
      <c r="J1237" t="str">
        <f>RIGHT(D1237,4)</f>
        <v>8107</v>
      </c>
      <c r="K1237" t="str">
        <f>IFERROR(VLOOKUP(VALUE(J1237),'Site Info'!$A:$G,3,FALSE),"")</f>
        <v>2235 NATIONAL BLVD SW</v>
      </c>
      <c r="L1237" t="str">
        <f>IFERROR(VLOOKUP(VALUE(J1237),'Site Info'!$A:$G,4,FALSE),"")</f>
        <v>HUNTSVILLE</v>
      </c>
      <c r="M1237" t="str">
        <f>IFERROR(VLOOKUP(VALUE(J1237),'Site Info'!$A:$G,5,FALSE),"")</f>
        <v>AL</v>
      </c>
      <c r="N1237" t="str">
        <f>IFERROR(VLOOKUP(VALUE(J1237),'Site Info'!$A:$G,6,FALSE),"")</f>
        <v>35803-2197</v>
      </c>
      <c r="O1237">
        <f>IFERROR(VLOOKUP(VALUE(J1237),'Site Info'!$A:$G,7,FALSE),"")</f>
        <v>2568818186</v>
      </c>
    </row>
    <row r="1238" spans="1:15" x14ac:dyDescent="0.45">
      <c r="A1238" t="s">
        <v>2399</v>
      </c>
      <c r="B1238" t="s">
        <v>2400</v>
      </c>
      <c r="C1238" t="s">
        <v>2401</v>
      </c>
      <c r="D1238" t="s">
        <v>2402</v>
      </c>
      <c r="E1238" s="1">
        <v>46153.348182870373</v>
      </c>
      <c r="F1238">
        <v>1481</v>
      </c>
      <c r="G1238" t="s">
        <v>2403</v>
      </c>
      <c r="H1238" t="s">
        <v>15</v>
      </c>
      <c r="I1238" t="s">
        <v>2404</v>
      </c>
      <c r="J1238" t="str">
        <f>RIGHT(D1238,4)</f>
        <v>8107</v>
      </c>
      <c r="K1238" t="str">
        <f>IFERROR(VLOOKUP(VALUE(J1238),'Site Info'!$A:$G,3,FALSE),"")</f>
        <v>2235 NATIONAL BLVD SW</v>
      </c>
      <c r="L1238" t="str">
        <f>IFERROR(VLOOKUP(VALUE(J1238),'Site Info'!$A:$G,4,FALSE),"")</f>
        <v>HUNTSVILLE</v>
      </c>
      <c r="M1238" t="str">
        <f>IFERROR(VLOOKUP(VALUE(J1238),'Site Info'!$A:$G,5,FALSE),"")</f>
        <v>AL</v>
      </c>
      <c r="N1238" t="str">
        <f>IFERROR(VLOOKUP(VALUE(J1238),'Site Info'!$A:$G,6,FALSE),"")</f>
        <v>35803-2197</v>
      </c>
      <c r="O1238">
        <f>IFERROR(VLOOKUP(VALUE(J1238),'Site Info'!$A:$G,7,FALSE),"")</f>
        <v>2568818186</v>
      </c>
    </row>
    <row r="1239" spans="1:15" x14ac:dyDescent="0.45">
      <c r="A1239" t="s">
        <v>17080</v>
      </c>
      <c r="B1239" t="s">
        <v>17081</v>
      </c>
      <c r="C1239" t="s">
        <v>17082</v>
      </c>
      <c r="D1239" t="s">
        <v>2402</v>
      </c>
      <c r="E1239" s="1">
        <v>46153.183854166666</v>
      </c>
      <c r="F1239">
        <v>1547</v>
      </c>
      <c r="G1239" t="s">
        <v>17083</v>
      </c>
      <c r="H1239" t="s">
        <v>15</v>
      </c>
      <c r="I1239" t="s">
        <v>2404</v>
      </c>
      <c r="J1239" t="str">
        <f>RIGHT(D1239,4)</f>
        <v>8107</v>
      </c>
      <c r="K1239" t="str">
        <f>IFERROR(VLOOKUP(VALUE(J1239),'Site Info'!$A:$G,3,FALSE),"")</f>
        <v>2235 NATIONAL BLVD SW</v>
      </c>
      <c r="L1239" t="str">
        <f>IFERROR(VLOOKUP(VALUE(J1239),'Site Info'!$A:$G,4,FALSE),"")</f>
        <v>HUNTSVILLE</v>
      </c>
      <c r="M1239" t="str">
        <f>IFERROR(VLOOKUP(VALUE(J1239),'Site Info'!$A:$G,5,FALSE),"")</f>
        <v>AL</v>
      </c>
      <c r="N1239" t="str">
        <f>IFERROR(VLOOKUP(VALUE(J1239),'Site Info'!$A:$G,6,FALSE),"")</f>
        <v>35803-2197</v>
      </c>
      <c r="O1239">
        <f>IFERROR(VLOOKUP(VALUE(J1239),'Site Info'!$A:$G,7,FALSE),"")</f>
        <v>2568818186</v>
      </c>
    </row>
    <row r="1240" spans="1:15" x14ac:dyDescent="0.45">
      <c r="A1240" t="s">
        <v>9347</v>
      </c>
      <c r="B1240" t="s">
        <v>9348</v>
      </c>
      <c r="C1240" t="s">
        <v>9349</v>
      </c>
      <c r="D1240" t="s">
        <v>621</v>
      </c>
      <c r="E1240" s="1">
        <v>46152.67292824074</v>
      </c>
      <c r="F1240">
        <v>1547</v>
      </c>
      <c r="G1240" t="s">
        <v>9350</v>
      </c>
      <c r="H1240" t="s">
        <v>15</v>
      </c>
      <c r="I1240" t="s">
        <v>623</v>
      </c>
      <c r="J1240" t="str">
        <f>RIGHT(D1240,4)</f>
        <v>6867</v>
      </c>
      <c r="K1240" t="str">
        <f>IFERROR(VLOOKUP(VALUE(J1240),'Site Info'!$A:$G,3,FALSE),"")</f>
        <v>22402 BELLAIRE BLVD</v>
      </c>
      <c r="L1240" t="str">
        <f>IFERROR(VLOOKUP(VALUE(J1240),'Site Info'!$A:$G,4,FALSE),"")</f>
        <v>RICHMOND</v>
      </c>
      <c r="M1240" t="str">
        <f>IFERROR(VLOOKUP(VALUE(J1240),'Site Info'!$A:$G,5,FALSE),"")</f>
        <v>TX</v>
      </c>
      <c r="N1240" t="str">
        <f>IFERROR(VLOOKUP(VALUE(J1240),'Site Info'!$A:$G,6,FALSE),"")</f>
        <v>77407-0000</v>
      </c>
      <c r="O1240">
        <f>IFERROR(VLOOKUP(VALUE(J1240),'Site Info'!$A:$G,7,FALSE),"")</f>
        <v>2812020337</v>
      </c>
    </row>
    <row r="1241" spans="1:15" x14ac:dyDescent="0.45">
      <c r="A1241" t="s">
        <v>9371</v>
      </c>
      <c r="B1241" t="s">
        <v>9372</v>
      </c>
      <c r="C1241" t="s">
        <v>9373</v>
      </c>
      <c r="D1241" t="s">
        <v>621</v>
      </c>
      <c r="E1241" s="1">
        <v>46152.681203703702</v>
      </c>
      <c r="F1241">
        <v>1547</v>
      </c>
      <c r="G1241" t="s">
        <v>9374</v>
      </c>
      <c r="H1241" t="s">
        <v>15</v>
      </c>
      <c r="I1241" t="s">
        <v>623</v>
      </c>
      <c r="J1241" t="str">
        <f>RIGHT(D1241,4)</f>
        <v>6867</v>
      </c>
      <c r="K1241" t="str">
        <f>IFERROR(VLOOKUP(VALUE(J1241),'Site Info'!$A:$G,3,FALSE),"")</f>
        <v>22402 BELLAIRE BLVD</v>
      </c>
      <c r="L1241" t="str">
        <f>IFERROR(VLOOKUP(VALUE(J1241),'Site Info'!$A:$G,4,FALSE),"")</f>
        <v>RICHMOND</v>
      </c>
      <c r="M1241" t="str">
        <f>IFERROR(VLOOKUP(VALUE(J1241),'Site Info'!$A:$G,5,FALSE),"")</f>
        <v>TX</v>
      </c>
      <c r="N1241" t="str">
        <f>IFERROR(VLOOKUP(VALUE(J1241),'Site Info'!$A:$G,6,FALSE),"")</f>
        <v>77407-0000</v>
      </c>
      <c r="O1241">
        <f>IFERROR(VLOOKUP(VALUE(J1241),'Site Info'!$A:$G,7,FALSE),"")</f>
        <v>2812020337</v>
      </c>
    </row>
    <row r="1242" spans="1:15" x14ac:dyDescent="0.45">
      <c r="A1242" t="s">
        <v>12842</v>
      </c>
      <c r="B1242" t="s">
        <v>12843</v>
      </c>
      <c r="C1242" t="s">
        <v>12844</v>
      </c>
      <c r="D1242" t="s">
        <v>621</v>
      </c>
      <c r="E1242" s="1">
        <v>46152.714884259258</v>
      </c>
      <c r="F1242">
        <v>1547</v>
      </c>
      <c r="G1242" t="s">
        <v>12845</v>
      </c>
      <c r="H1242" t="s">
        <v>15</v>
      </c>
      <c r="I1242" t="s">
        <v>623</v>
      </c>
      <c r="J1242" t="str">
        <f>RIGHT(D1242,4)</f>
        <v>6867</v>
      </c>
      <c r="K1242" t="str">
        <f>IFERROR(VLOOKUP(VALUE(J1242),'Site Info'!$A:$G,3,FALSE),"")</f>
        <v>22402 BELLAIRE BLVD</v>
      </c>
      <c r="L1242" t="str">
        <f>IFERROR(VLOOKUP(VALUE(J1242),'Site Info'!$A:$G,4,FALSE),"")</f>
        <v>RICHMOND</v>
      </c>
      <c r="M1242" t="str">
        <f>IFERROR(VLOOKUP(VALUE(J1242),'Site Info'!$A:$G,5,FALSE),"")</f>
        <v>TX</v>
      </c>
      <c r="N1242" t="str">
        <f>IFERROR(VLOOKUP(VALUE(J1242),'Site Info'!$A:$G,6,FALSE),"")</f>
        <v>77407-0000</v>
      </c>
      <c r="O1242">
        <f>IFERROR(VLOOKUP(VALUE(J1242),'Site Info'!$A:$G,7,FALSE),"")</f>
        <v>2812020337</v>
      </c>
    </row>
    <row r="1243" spans="1:15" x14ac:dyDescent="0.45">
      <c r="A1243" t="s">
        <v>13271</v>
      </c>
      <c r="B1243" t="s">
        <v>13272</v>
      </c>
      <c r="C1243" t="s">
        <v>13273</v>
      </c>
      <c r="D1243" t="s">
        <v>621</v>
      </c>
      <c r="E1243" s="1">
        <v>46153.343240740738</v>
      </c>
      <c r="F1243">
        <v>1547</v>
      </c>
      <c r="G1243" t="s">
        <v>13274</v>
      </c>
      <c r="H1243" t="s">
        <v>15</v>
      </c>
      <c r="I1243" t="s">
        <v>623</v>
      </c>
      <c r="J1243" t="str">
        <f>RIGHT(D1243,4)</f>
        <v>6867</v>
      </c>
      <c r="K1243" t="str">
        <f>IFERROR(VLOOKUP(VALUE(J1243),'Site Info'!$A:$G,3,FALSE),"")</f>
        <v>22402 BELLAIRE BLVD</v>
      </c>
      <c r="L1243" t="str">
        <f>IFERROR(VLOOKUP(VALUE(J1243),'Site Info'!$A:$G,4,FALSE),"")</f>
        <v>RICHMOND</v>
      </c>
      <c r="M1243" t="str">
        <f>IFERROR(VLOOKUP(VALUE(J1243),'Site Info'!$A:$G,5,FALSE),"")</f>
        <v>TX</v>
      </c>
      <c r="N1243" t="str">
        <f>IFERROR(VLOOKUP(VALUE(J1243),'Site Info'!$A:$G,6,FALSE),"")</f>
        <v>77407-0000</v>
      </c>
      <c r="O1243">
        <f>IFERROR(VLOOKUP(VALUE(J1243),'Site Info'!$A:$G,7,FALSE),"")</f>
        <v>2812020337</v>
      </c>
    </row>
    <row r="1244" spans="1:15" x14ac:dyDescent="0.45">
      <c r="A1244" t="s">
        <v>618</v>
      </c>
      <c r="B1244" t="s">
        <v>619</v>
      </c>
      <c r="C1244" t="s">
        <v>620</v>
      </c>
      <c r="D1244" t="s">
        <v>621</v>
      </c>
      <c r="E1244" s="1">
        <v>46152.642361111109</v>
      </c>
      <c r="F1244">
        <v>1481</v>
      </c>
      <c r="G1244" t="s">
        <v>622</v>
      </c>
      <c r="H1244" t="s">
        <v>15</v>
      </c>
      <c r="I1244" t="s">
        <v>623</v>
      </c>
      <c r="J1244" t="str">
        <f>RIGHT(D1244,4)</f>
        <v>6867</v>
      </c>
      <c r="K1244" t="str">
        <f>IFERROR(VLOOKUP(VALUE(J1244),'Site Info'!$A:$G,3,FALSE),"")</f>
        <v>22402 BELLAIRE BLVD</v>
      </c>
      <c r="L1244" t="str">
        <f>IFERROR(VLOOKUP(VALUE(J1244),'Site Info'!$A:$G,4,FALSE),"")</f>
        <v>RICHMOND</v>
      </c>
      <c r="M1244" t="str">
        <f>IFERROR(VLOOKUP(VALUE(J1244),'Site Info'!$A:$G,5,FALSE),"")</f>
        <v>TX</v>
      </c>
      <c r="N1244" t="str">
        <f>IFERROR(VLOOKUP(VALUE(J1244),'Site Info'!$A:$G,6,FALSE),"")</f>
        <v>77407-0000</v>
      </c>
      <c r="O1244">
        <f>IFERROR(VLOOKUP(VALUE(J1244),'Site Info'!$A:$G,7,FALSE),"")</f>
        <v>2812020337</v>
      </c>
    </row>
    <row r="1245" spans="1:15" x14ac:dyDescent="0.45">
      <c r="A1245" t="s">
        <v>1186</v>
      </c>
      <c r="B1245" t="s">
        <v>1187</v>
      </c>
      <c r="C1245" t="s">
        <v>1188</v>
      </c>
      <c r="D1245" t="s">
        <v>621</v>
      </c>
      <c r="E1245" s="1">
        <v>46153.174895833334</v>
      </c>
      <c r="F1245">
        <v>1481</v>
      </c>
      <c r="G1245" t="s">
        <v>1189</v>
      </c>
      <c r="H1245" t="s">
        <v>15</v>
      </c>
      <c r="I1245" t="s">
        <v>623</v>
      </c>
      <c r="J1245" t="str">
        <f>RIGHT(D1245,4)</f>
        <v>6867</v>
      </c>
      <c r="K1245" t="str">
        <f>IFERROR(VLOOKUP(VALUE(J1245),'Site Info'!$A:$G,3,FALSE),"")</f>
        <v>22402 BELLAIRE BLVD</v>
      </c>
      <c r="L1245" t="str">
        <f>IFERROR(VLOOKUP(VALUE(J1245),'Site Info'!$A:$G,4,FALSE),"")</f>
        <v>RICHMOND</v>
      </c>
      <c r="M1245" t="str">
        <f>IFERROR(VLOOKUP(VALUE(J1245),'Site Info'!$A:$G,5,FALSE),"")</f>
        <v>TX</v>
      </c>
      <c r="N1245" t="str">
        <f>IFERROR(VLOOKUP(VALUE(J1245),'Site Info'!$A:$G,6,FALSE),"")</f>
        <v>77407-0000</v>
      </c>
      <c r="O1245">
        <f>IFERROR(VLOOKUP(VALUE(J1245),'Site Info'!$A:$G,7,FALSE),"")</f>
        <v>2812020337</v>
      </c>
    </row>
    <row r="1246" spans="1:15" x14ac:dyDescent="0.45">
      <c r="A1246" t="s">
        <v>11586</v>
      </c>
      <c r="B1246" t="s">
        <v>11587</v>
      </c>
      <c r="C1246" t="s">
        <v>11588</v>
      </c>
      <c r="D1246" t="s">
        <v>4739</v>
      </c>
      <c r="E1246" s="1">
        <v>46135.559062499997</v>
      </c>
      <c r="F1246">
        <v>1547</v>
      </c>
      <c r="G1246" t="s">
        <v>11589</v>
      </c>
      <c r="H1246" t="s">
        <v>15</v>
      </c>
      <c r="I1246" t="s">
        <v>4741</v>
      </c>
      <c r="J1246" t="str">
        <f>RIGHT(D1246,4)</f>
        <v>6454</v>
      </c>
      <c r="K1246" t="str">
        <f>IFERROR(VLOOKUP(VALUE(J1246),'Site Info'!$A:$G,3,FALSE),"")</f>
        <v>22500 W 8 MILE RD</v>
      </c>
      <c r="L1246" t="str">
        <f>IFERROR(VLOOKUP(VALUE(J1246),'Site Info'!$A:$G,4,FALSE),"")</f>
        <v>SOUTHFIELD</v>
      </c>
      <c r="M1246" t="str">
        <f>IFERROR(VLOOKUP(VALUE(J1246),'Site Info'!$A:$G,5,FALSE),"")</f>
        <v>MI</v>
      </c>
      <c r="N1246" t="str">
        <f>IFERROR(VLOOKUP(VALUE(J1246),'Site Info'!$A:$G,6,FALSE),"")</f>
        <v>48033-4365</v>
      </c>
      <c r="O1246">
        <f>IFERROR(VLOOKUP(VALUE(J1246),'Site Info'!$A:$G,7,FALSE),"")</f>
        <v>2483541108</v>
      </c>
    </row>
    <row r="1247" spans="1:15" x14ac:dyDescent="0.45">
      <c r="A1247" t="s">
        <v>4826</v>
      </c>
      <c r="B1247" t="s">
        <v>4827</v>
      </c>
      <c r="C1247" t="s">
        <v>4828</v>
      </c>
      <c r="D1247" t="s">
        <v>4739</v>
      </c>
      <c r="E1247" s="1">
        <v>46149.696898148148</v>
      </c>
      <c r="F1247">
        <v>1547</v>
      </c>
      <c r="G1247" t="s">
        <v>4829</v>
      </c>
      <c r="H1247" t="s">
        <v>15</v>
      </c>
      <c r="I1247" t="s">
        <v>4741</v>
      </c>
      <c r="J1247" t="str">
        <f>RIGHT(D1247,4)</f>
        <v>6454</v>
      </c>
      <c r="K1247" t="str">
        <f>IFERROR(VLOOKUP(VALUE(J1247),'Site Info'!$A:$G,3,FALSE),"")</f>
        <v>22500 W 8 MILE RD</v>
      </c>
      <c r="L1247" t="str">
        <f>IFERROR(VLOOKUP(VALUE(J1247),'Site Info'!$A:$G,4,FALSE),"")</f>
        <v>SOUTHFIELD</v>
      </c>
      <c r="M1247" t="str">
        <f>IFERROR(VLOOKUP(VALUE(J1247),'Site Info'!$A:$G,5,FALSE),"")</f>
        <v>MI</v>
      </c>
      <c r="N1247" t="str">
        <f>IFERROR(VLOOKUP(VALUE(J1247),'Site Info'!$A:$G,6,FALSE),"")</f>
        <v>48033-4365</v>
      </c>
      <c r="O1247">
        <f>IFERROR(VLOOKUP(VALUE(J1247),'Site Info'!$A:$G,7,FALSE),"")</f>
        <v>2483541108</v>
      </c>
    </row>
    <row r="1248" spans="1:15" x14ac:dyDescent="0.45">
      <c r="A1248" t="s">
        <v>11630</v>
      </c>
      <c r="B1248" t="s">
        <v>11631</v>
      </c>
      <c r="C1248" t="s">
        <v>11632</v>
      </c>
      <c r="D1248" t="s">
        <v>4739</v>
      </c>
      <c r="E1248" s="1">
        <v>46150.418391203704</v>
      </c>
      <c r="F1248">
        <v>1547</v>
      </c>
      <c r="G1248" t="s">
        <v>11633</v>
      </c>
      <c r="H1248" t="s">
        <v>15</v>
      </c>
      <c r="I1248" t="s">
        <v>4741</v>
      </c>
      <c r="J1248" t="str">
        <f>RIGHT(D1248,4)</f>
        <v>6454</v>
      </c>
      <c r="K1248" t="str">
        <f>IFERROR(VLOOKUP(VALUE(J1248),'Site Info'!$A:$G,3,FALSE),"")</f>
        <v>22500 W 8 MILE RD</v>
      </c>
      <c r="L1248" t="str">
        <f>IFERROR(VLOOKUP(VALUE(J1248),'Site Info'!$A:$G,4,FALSE),"")</f>
        <v>SOUTHFIELD</v>
      </c>
      <c r="M1248" t="str">
        <f>IFERROR(VLOOKUP(VALUE(J1248),'Site Info'!$A:$G,5,FALSE),"")</f>
        <v>MI</v>
      </c>
      <c r="N1248" t="str">
        <f>IFERROR(VLOOKUP(VALUE(J1248),'Site Info'!$A:$G,6,FALSE),"")</f>
        <v>48033-4365</v>
      </c>
      <c r="O1248">
        <f>IFERROR(VLOOKUP(VALUE(J1248),'Site Info'!$A:$G,7,FALSE),"")</f>
        <v>2483541108</v>
      </c>
    </row>
    <row r="1249" spans="1:15" x14ac:dyDescent="0.45">
      <c r="A1249" t="s">
        <v>4736</v>
      </c>
      <c r="B1249" t="s">
        <v>4737</v>
      </c>
      <c r="C1249" t="s">
        <v>4738</v>
      </c>
      <c r="D1249" t="s">
        <v>4739</v>
      </c>
      <c r="E1249" s="1">
        <v>46151.682013888887</v>
      </c>
      <c r="F1249">
        <v>1547</v>
      </c>
      <c r="G1249" t="s">
        <v>4740</v>
      </c>
      <c r="H1249" t="s">
        <v>15</v>
      </c>
      <c r="I1249" t="s">
        <v>4741</v>
      </c>
      <c r="J1249" t="str">
        <f>RIGHT(D1249,4)</f>
        <v>6454</v>
      </c>
      <c r="K1249" t="str">
        <f>IFERROR(VLOOKUP(VALUE(J1249),'Site Info'!$A:$G,3,FALSE),"")</f>
        <v>22500 W 8 MILE RD</v>
      </c>
      <c r="L1249" t="str">
        <f>IFERROR(VLOOKUP(VALUE(J1249),'Site Info'!$A:$G,4,FALSE),"")</f>
        <v>SOUTHFIELD</v>
      </c>
      <c r="M1249" t="str">
        <f>IFERROR(VLOOKUP(VALUE(J1249),'Site Info'!$A:$G,5,FALSE),"")</f>
        <v>MI</v>
      </c>
      <c r="N1249" t="str">
        <f>IFERROR(VLOOKUP(VALUE(J1249),'Site Info'!$A:$G,6,FALSE),"")</f>
        <v>48033-4365</v>
      </c>
      <c r="O1249">
        <f>IFERROR(VLOOKUP(VALUE(J1249),'Site Info'!$A:$G,7,FALSE),"")</f>
        <v>2483541108</v>
      </c>
    </row>
    <row r="1250" spans="1:15" x14ac:dyDescent="0.45">
      <c r="A1250" t="s">
        <v>9693</v>
      </c>
      <c r="B1250" t="s">
        <v>9694</v>
      </c>
      <c r="C1250" t="s">
        <v>9695</v>
      </c>
      <c r="D1250" t="s">
        <v>4739</v>
      </c>
      <c r="E1250" s="1">
        <v>46153.355011574073</v>
      </c>
      <c r="F1250">
        <v>1547</v>
      </c>
      <c r="G1250" t="s">
        <v>9696</v>
      </c>
      <c r="H1250" t="s">
        <v>15</v>
      </c>
      <c r="I1250" t="s">
        <v>4741</v>
      </c>
      <c r="J1250" t="str">
        <f>RIGHT(D1250,4)</f>
        <v>6454</v>
      </c>
      <c r="K1250" t="str">
        <f>IFERROR(VLOOKUP(VALUE(J1250),'Site Info'!$A:$G,3,FALSE),"")</f>
        <v>22500 W 8 MILE RD</v>
      </c>
      <c r="L1250" t="str">
        <f>IFERROR(VLOOKUP(VALUE(J1250),'Site Info'!$A:$G,4,FALSE),"")</f>
        <v>SOUTHFIELD</v>
      </c>
      <c r="M1250" t="str">
        <f>IFERROR(VLOOKUP(VALUE(J1250),'Site Info'!$A:$G,5,FALSE),"")</f>
        <v>MI</v>
      </c>
      <c r="N1250" t="str">
        <f>IFERROR(VLOOKUP(VALUE(J1250),'Site Info'!$A:$G,6,FALSE),"")</f>
        <v>48033-4365</v>
      </c>
      <c r="O1250">
        <f>IFERROR(VLOOKUP(VALUE(J1250),'Site Info'!$A:$G,7,FALSE),"")</f>
        <v>2483541108</v>
      </c>
    </row>
    <row r="1251" spans="1:15" x14ac:dyDescent="0.45">
      <c r="A1251" t="s">
        <v>9451</v>
      </c>
      <c r="B1251" t="s">
        <v>9452</v>
      </c>
      <c r="C1251" t="s">
        <v>9453</v>
      </c>
      <c r="D1251" t="s">
        <v>299</v>
      </c>
      <c r="E1251" s="1">
        <v>46153.303773148145</v>
      </c>
      <c r="F1251">
        <v>1547</v>
      </c>
      <c r="G1251" t="s">
        <v>9454</v>
      </c>
      <c r="H1251" t="s">
        <v>15</v>
      </c>
      <c r="I1251" t="s">
        <v>301</v>
      </c>
      <c r="J1251" t="str">
        <f>RIGHT(D1251,4)</f>
        <v>6679</v>
      </c>
      <c r="K1251" t="str">
        <f>IFERROR(VLOOKUP(VALUE(J1251),'Site Info'!$A:$G,3,FALSE),"")</f>
        <v>2251 CENTURY DR</v>
      </c>
      <c r="L1251" t="str">
        <f>IFERROR(VLOOKUP(VALUE(J1251),'Site Info'!$A:$G,4,FALSE),"")</f>
        <v>WEST MIFFLIN</v>
      </c>
      <c r="M1251" t="str">
        <f>IFERROR(VLOOKUP(VALUE(J1251),'Site Info'!$A:$G,5,FALSE),"")</f>
        <v>PA</v>
      </c>
      <c r="N1251" t="str">
        <f>IFERROR(VLOOKUP(VALUE(J1251),'Site Info'!$A:$G,6,FALSE),"")</f>
        <v>15122-2465</v>
      </c>
      <c r="O1251">
        <f>IFERROR(VLOOKUP(VALUE(J1251),'Site Info'!$A:$G,7,FALSE),"")</f>
        <v>4126538622</v>
      </c>
    </row>
    <row r="1252" spans="1:15" x14ac:dyDescent="0.45">
      <c r="A1252" t="s">
        <v>9577</v>
      </c>
      <c r="B1252" t="s">
        <v>9578</v>
      </c>
      <c r="C1252" t="s">
        <v>9579</v>
      </c>
      <c r="D1252" t="s">
        <v>299</v>
      </c>
      <c r="E1252" s="1">
        <v>46153.309733796297</v>
      </c>
      <c r="F1252">
        <v>1547</v>
      </c>
      <c r="G1252" t="s">
        <v>9580</v>
      </c>
      <c r="H1252" t="s">
        <v>15</v>
      </c>
      <c r="I1252" t="s">
        <v>301</v>
      </c>
      <c r="J1252" t="str">
        <f>RIGHT(D1252,4)</f>
        <v>6679</v>
      </c>
      <c r="K1252" t="str">
        <f>IFERROR(VLOOKUP(VALUE(J1252),'Site Info'!$A:$G,3,FALSE),"")</f>
        <v>2251 CENTURY DR</v>
      </c>
      <c r="L1252" t="str">
        <f>IFERROR(VLOOKUP(VALUE(J1252),'Site Info'!$A:$G,4,FALSE),"")</f>
        <v>WEST MIFFLIN</v>
      </c>
      <c r="M1252" t="str">
        <f>IFERROR(VLOOKUP(VALUE(J1252),'Site Info'!$A:$G,5,FALSE),"")</f>
        <v>PA</v>
      </c>
      <c r="N1252" t="str">
        <f>IFERROR(VLOOKUP(VALUE(J1252),'Site Info'!$A:$G,6,FALSE),"")</f>
        <v>15122-2465</v>
      </c>
      <c r="O1252">
        <f>IFERROR(VLOOKUP(VALUE(J1252),'Site Info'!$A:$G,7,FALSE),"")</f>
        <v>4126538622</v>
      </c>
    </row>
    <row r="1253" spans="1:15" x14ac:dyDescent="0.45">
      <c r="A1253" t="s">
        <v>9335</v>
      </c>
      <c r="B1253" t="s">
        <v>9336</v>
      </c>
      <c r="C1253" t="s">
        <v>9337</v>
      </c>
      <c r="D1253" t="s">
        <v>299</v>
      </c>
      <c r="E1253" s="1">
        <v>46153.344247685185</v>
      </c>
      <c r="F1253">
        <v>1547</v>
      </c>
      <c r="G1253" t="s">
        <v>9338</v>
      </c>
      <c r="H1253" t="s">
        <v>15</v>
      </c>
      <c r="I1253" t="s">
        <v>301</v>
      </c>
      <c r="J1253" t="str">
        <f>RIGHT(D1253,4)</f>
        <v>6679</v>
      </c>
      <c r="K1253" t="str">
        <f>IFERROR(VLOOKUP(VALUE(J1253),'Site Info'!$A:$G,3,FALSE),"")</f>
        <v>2251 CENTURY DR</v>
      </c>
      <c r="L1253" t="str">
        <f>IFERROR(VLOOKUP(VALUE(J1253),'Site Info'!$A:$G,4,FALSE),"")</f>
        <v>WEST MIFFLIN</v>
      </c>
      <c r="M1253" t="str">
        <f>IFERROR(VLOOKUP(VALUE(J1253),'Site Info'!$A:$G,5,FALSE),"")</f>
        <v>PA</v>
      </c>
      <c r="N1253" t="str">
        <f>IFERROR(VLOOKUP(VALUE(J1253),'Site Info'!$A:$G,6,FALSE),"")</f>
        <v>15122-2465</v>
      </c>
      <c r="O1253">
        <f>IFERROR(VLOOKUP(VALUE(J1253),'Site Info'!$A:$G,7,FALSE),"")</f>
        <v>4126538622</v>
      </c>
    </row>
    <row r="1254" spans="1:15" x14ac:dyDescent="0.45">
      <c r="A1254" t="s">
        <v>296</v>
      </c>
      <c r="B1254" t="s">
        <v>297</v>
      </c>
      <c r="C1254" t="s">
        <v>298</v>
      </c>
      <c r="D1254" t="s">
        <v>299</v>
      </c>
      <c r="E1254" s="1">
        <v>46153.160567129627</v>
      </c>
      <c r="F1254">
        <v>1481</v>
      </c>
      <c r="G1254" t="s">
        <v>300</v>
      </c>
      <c r="H1254" t="s">
        <v>15</v>
      </c>
      <c r="I1254" t="s">
        <v>301</v>
      </c>
      <c r="J1254" t="str">
        <f>RIGHT(D1254,4)</f>
        <v>6679</v>
      </c>
      <c r="K1254" t="str">
        <f>IFERROR(VLOOKUP(VALUE(J1254),'Site Info'!$A:$G,3,FALSE),"")</f>
        <v>2251 CENTURY DR</v>
      </c>
      <c r="L1254" t="str">
        <f>IFERROR(VLOOKUP(VALUE(J1254),'Site Info'!$A:$G,4,FALSE),"")</f>
        <v>WEST MIFFLIN</v>
      </c>
      <c r="M1254" t="str">
        <f>IFERROR(VLOOKUP(VALUE(J1254),'Site Info'!$A:$G,5,FALSE),"")</f>
        <v>PA</v>
      </c>
      <c r="N1254" t="str">
        <f>IFERROR(VLOOKUP(VALUE(J1254),'Site Info'!$A:$G,6,FALSE),"")</f>
        <v>15122-2465</v>
      </c>
      <c r="O1254">
        <f>IFERROR(VLOOKUP(VALUE(J1254),'Site Info'!$A:$G,7,FALSE),"")</f>
        <v>4126538622</v>
      </c>
    </row>
    <row r="1255" spans="1:15" x14ac:dyDescent="0.45">
      <c r="A1255" t="s">
        <v>3813</v>
      </c>
      <c r="B1255" t="s">
        <v>3814</v>
      </c>
      <c r="C1255" t="s">
        <v>3815</v>
      </c>
      <c r="D1255" t="s">
        <v>299</v>
      </c>
      <c r="E1255" s="1">
        <v>46153.242013888892</v>
      </c>
      <c r="F1255">
        <v>1481</v>
      </c>
      <c r="G1255" t="s">
        <v>3816</v>
      </c>
      <c r="H1255" t="s">
        <v>15</v>
      </c>
      <c r="I1255" t="s">
        <v>301</v>
      </c>
      <c r="J1255" t="str">
        <f>RIGHT(D1255,4)</f>
        <v>6679</v>
      </c>
      <c r="K1255" t="str">
        <f>IFERROR(VLOOKUP(VALUE(J1255),'Site Info'!$A:$G,3,FALSE),"")</f>
        <v>2251 CENTURY DR</v>
      </c>
      <c r="L1255" t="str">
        <f>IFERROR(VLOOKUP(VALUE(J1255),'Site Info'!$A:$G,4,FALSE),"")</f>
        <v>WEST MIFFLIN</v>
      </c>
      <c r="M1255" t="str">
        <f>IFERROR(VLOOKUP(VALUE(J1255),'Site Info'!$A:$G,5,FALSE),"")</f>
        <v>PA</v>
      </c>
      <c r="N1255" t="str">
        <f>IFERROR(VLOOKUP(VALUE(J1255),'Site Info'!$A:$G,6,FALSE),"")</f>
        <v>15122-2465</v>
      </c>
      <c r="O1255">
        <f>IFERROR(VLOOKUP(VALUE(J1255),'Site Info'!$A:$G,7,FALSE),"")</f>
        <v>4126538622</v>
      </c>
    </row>
    <row r="1256" spans="1:15" x14ac:dyDescent="0.45">
      <c r="A1256" t="s">
        <v>3121</v>
      </c>
      <c r="B1256" t="s">
        <v>3122</v>
      </c>
      <c r="C1256" t="s">
        <v>3123</v>
      </c>
      <c r="D1256" t="s">
        <v>299</v>
      </c>
      <c r="E1256" s="1">
        <v>46153.333611111113</v>
      </c>
      <c r="F1256">
        <v>1481</v>
      </c>
      <c r="G1256" t="s">
        <v>3124</v>
      </c>
      <c r="H1256" t="s">
        <v>15</v>
      </c>
      <c r="I1256" t="s">
        <v>301</v>
      </c>
      <c r="J1256" t="str">
        <f>RIGHT(D1256,4)</f>
        <v>6679</v>
      </c>
      <c r="K1256" t="str">
        <f>IFERROR(VLOOKUP(VALUE(J1256),'Site Info'!$A:$G,3,FALSE),"")</f>
        <v>2251 CENTURY DR</v>
      </c>
      <c r="L1256" t="str">
        <f>IFERROR(VLOOKUP(VALUE(J1256),'Site Info'!$A:$G,4,FALSE),"")</f>
        <v>WEST MIFFLIN</v>
      </c>
      <c r="M1256" t="str">
        <f>IFERROR(VLOOKUP(VALUE(J1256),'Site Info'!$A:$G,5,FALSE),"")</f>
        <v>PA</v>
      </c>
      <c r="N1256" t="str">
        <f>IFERROR(VLOOKUP(VALUE(J1256),'Site Info'!$A:$G,6,FALSE),"")</f>
        <v>15122-2465</v>
      </c>
      <c r="O1256">
        <f>IFERROR(VLOOKUP(VALUE(J1256),'Site Info'!$A:$G,7,FALSE),"")</f>
        <v>4126538622</v>
      </c>
    </row>
    <row r="1257" spans="1:15" x14ac:dyDescent="0.45">
      <c r="A1257" t="s">
        <v>7961</v>
      </c>
      <c r="B1257" t="s">
        <v>7962</v>
      </c>
      <c r="C1257" t="s">
        <v>7963</v>
      </c>
      <c r="D1257" t="s">
        <v>1493</v>
      </c>
      <c r="E1257" s="1">
        <v>46150.595243055555</v>
      </c>
      <c r="F1257">
        <v>1547</v>
      </c>
      <c r="G1257" t="s">
        <v>7964</v>
      </c>
      <c r="H1257" t="s">
        <v>15</v>
      </c>
      <c r="I1257" t="s">
        <v>1495</v>
      </c>
      <c r="J1257" t="str">
        <f>RIGHT(D1257,4)</f>
        <v>6535</v>
      </c>
      <c r="K1257" t="str">
        <f>IFERROR(VLOOKUP(VALUE(J1257),'Site Info'!$A:$G,3,FALSE),"")</f>
        <v>226200 RIB MOUNTAIN DR</v>
      </c>
      <c r="L1257" t="str">
        <f>IFERROR(VLOOKUP(VALUE(J1257),'Site Info'!$A:$G,4,FALSE),"")</f>
        <v>WAUSAU</v>
      </c>
      <c r="M1257" t="str">
        <f>IFERROR(VLOOKUP(VALUE(J1257),'Site Info'!$A:$G,5,FALSE),"")</f>
        <v>WI</v>
      </c>
      <c r="N1257" t="str">
        <f>IFERROR(VLOOKUP(VALUE(J1257),'Site Info'!$A:$G,6,FALSE),"")</f>
        <v>54401-7483</v>
      </c>
      <c r="O1257">
        <f>IFERROR(VLOOKUP(VALUE(J1257),'Site Info'!$A:$G,7,FALSE),"")</f>
        <v>7153590044</v>
      </c>
    </row>
    <row r="1258" spans="1:15" x14ac:dyDescent="0.45">
      <c r="A1258" t="s">
        <v>8207</v>
      </c>
      <c r="B1258" t="s">
        <v>8208</v>
      </c>
      <c r="C1258" t="s">
        <v>8209</v>
      </c>
      <c r="D1258" t="s">
        <v>1493</v>
      </c>
      <c r="E1258" s="1">
        <v>46151.424432870372</v>
      </c>
      <c r="F1258">
        <v>1547</v>
      </c>
      <c r="G1258" t="s">
        <v>8210</v>
      </c>
      <c r="H1258" t="s">
        <v>15</v>
      </c>
      <c r="I1258" t="s">
        <v>1495</v>
      </c>
      <c r="J1258" t="str">
        <f>RIGHT(D1258,4)</f>
        <v>6535</v>
      </c>
      <c r="K1258" t="str">
        <f>IFERROR(VLOOKUP(VALUE(J1258),'Site Info'!$A:$G,3,FALSE),"")</f>
        <v>226200 RIB MOUNTAIN DR</v>
      </c>
      <c r="L1258" t="str">
        <f>IFERROR(VLOOKUP(VALUE(J1258),'Site Info'!$A:$G,4,FALSE),"")</f>
        <v>WAUSAU</v>
      </c>
      <c r="M1258" t="str">
        <f>IFERROR(VLOOKUP(VALUE(J1258),'Site Info'!$A:$G,5,FALSE),"")</f>
        <v>WI</v>
      </c>
      <c r="N1258" t="str">
        <f>IFERROR(VLOOKUP(VALUE(J1258),'Site Info'!$A:$G,6,FALSE),"")</f>
        <v>54401-7483</v>
      </c>
      <c r="O1258">
        <f>IFERROR(VLOOKUP(VALUE(J1258),'Site Info'!$A:$G,7,FALSE),"")</f>
        <v>7153590044</v>
      </c>
    </row>
    <row r="1259" spans="1:15" x14ac:dyDescent="0.45">
      <c r="A1259" t="s">
        <v>7441</v>
      </c>
      <c r="B1259" t="s">
        <v>7442</v>
      </c>
      <c r="C1259" t="s">
        <v>7443</v>
      </c>
      <c r="D1259" t="s">
        <v>1493</v>
      </c>
      <c r="E1259" s="1">
        <v>46152.74523148148</v>
      </c>
      <c r="F1259">
        <v>1547</v>
      </c>
      <c r="G1259" t="s">
        <v>7444</v>
      </c>
      <c r="H1259" t="s">
        <v>15</v>
      </c>
      <c r="I1259" t="s">
        <v>1495</v>
      </c>
      <c r="J1259" t="str">
        <f>RIGHT(D1259,4)</f>
        <v>6535</v>
      </c>
      <c r="K1259" t="str">
        <f>IFERROR(VLOOKUP(VALUE(J1259),'Site Info'!$A:$G,3,FALSE),"")</f>
        <v>226200 RIB MOUNTAIN DR</v>
      </c>
      <c r="L1259" t="str">
        <f>IFERROR(VLOOKUP(VALUE(J1259),'Site Info'!$A:$G,4,FALSE),"")</f>
        <v>WAUSAU</v>
      </c>
      <c r="M1259" t="str">
        <f>IFERROR(VLOOKUP(VALUE(J1259),'Site Info'!$A:$G,5,FALSE),"")</f>
        <v>WI</v>
      </c>
      <c r="N1259" t="str">
        <f>IFERROR(VLOOKUP(VALUE(J1259),'Site Info'!$A:$G,6,FALSE),"")</f>
        <v>54401-7483</v>
      </c>
      <c r="O1259">
        <f>IFERROR(VLOOKUP(VALUE(J1259),'Site Info'!$A:$G,7,FALSE),"")</f>
        <v>7153590044</v>
      </c>
    </row>
    <row r="1260" spans="1:15" x14ac:dyDescent="0.45">
      <c r="A1260" t="s">
        <v>6789</v>
      </c>
      <c r="B1260" t="s">
        <v>6790</v>
      </c>
      <c r="C1260" t="s">
        <v>6791</v>
      </c>
      <c r="D1260" t="s">
        <v>1493</v>
      </c>
      <c r="E1260" s="1">
        <v>46152.755543981482</v>
      </c>
      <c r="F1260">
        <v>1547</v>
      </c>
      <c r="G1260" t="s">
        <v>6792</v>
      </c>
      <c r="H1260" t="s">
        <v>15</v>
      </c>
      <c r="I1260" t="s">
        <v>1495</v>
      </c>
      <c r="J1260" t="str">
        <f>RIGHT(D1260,4)</f>
        <v>6535</v>
      </c>
      <c r="K1260" t="str">
        <f>IFERROR(VLOOKUP(VALUE(J1260),'Site Info'!$A:$G,3,FALSE),"")</f>
        <v>226200 RIB MOUNTAIN DR</v>
      </c>
      <c r="L1260" t="str">
        <f>IFERROR(VLOOKUP(VALUE(J1260),'Site Info'!$A:$G,4,FALSE),"")</f>
        <v>WAUSAU</v>
      </c>
      <c r="M1260" t="str">
        <f>IFERROR(VLOOKUP(VALUE(J1260),'Site Info'!$A:$G,5,FALSE),"")</f>
        <v>WI</v>
      </c>
      <c r="N1260" t="str">
        <f>IFERROR(VLOOKUP(VALUE(J1260),'Site Info'!$A:$G,6,FALSE),"")</f>
        <v>54401-7483</v>
      </c>
      <c r="O1260">
        <f>IFERROR(VLOOKUP(VALUE(J1260),'Site Info'!$A:$G,7,FALSE),"")</f>
        <v>7153590044</v>
      </c>
    </row>
    <row r="1261" spans="1:15" x14ac:dyDescent="0.45">
      <c r="A1261" t="s">
        <v>8713</v>
      </c>
      <c r="B1261" t="s">
        <v>8714</v>
      </c>
      <c r="C1261" t="s">
        <v>8715</v>
      </c>
      <c r="D1261" t="s">
        <v>1493</v>
      </c>
      <c r="E1261" s="1">
        <v>46153.1721412037</v>
      </c>
      <c r="F1261">
        <v>1547</v>
      </c>
      <c r="G1261" t="s">
        <v>8716</v>
      </c>
      <c r="H1261" t="s">
        <v>15</v>
      </c>
      <c r="I1261" t="s">
        <v>1495</v>
      </c>
      <c r="J1261" t="str">
        <f>RIGHT(D1261,4)</f>
        <v>6535</v>
      </c>
      <c r="K1261" t="str">
        <f>IFERROR(VLOOKUP(VALUE(J1261),'Site Info'!$A:$G,3,FALSE),"")</f>
        <v>226200 RIB MOUNTAIN DR</v>
      </c>
      <c r="L1261" t="str">
        <f>IFERROR(VLOOKUP(VALUE(J1261),'Site Info'!$A:$G,4,FALSE),"")</f>
        <v>WAUSAU</v>
      </c>
      <c r="M1261" t="str">
        <f>IFERROR(VLOOKUP(VALUE(J1261),'Site Info'!$A:$G,5,FALSE),"")</f>
        <v>WI</v>
      </c>
      <c r="N1261" t="str">
        <f>IFERROR(VLOOKUP(VALUE(J1261),'Site Info'!$A:$G,6,FALSE),"")</f>
        <v>54401-7483</v>
      </c>
      <c r="O1261">
        <f>IFERROR(VLOOKUP(VALUE(J1261),'Site Info'!$A:$G,7,FALSE),"")</f>
        <v>7153590044</v>
      </c>
    </row>
    <row r="1262" spans="1:15" x14ac:dyDescent="0.45">
      <c r="A1262" t="s">
        <v>3419</v>
      </c>
      <c r="B1262" t="s">
        <v>3420</v>
      </c>
      <c r="C1262" t="s">
        <v>3421</v>
      </c>
      <c r="D1262" t="s">
        <v>1493</v>
      </c>
      <c r="E1262" s="1">
        <v>46152.515289351853</v>
      </c>
      <c r="F1262">
        <v>1481</v>
      </c>
      <c r="G1262" t="s">
        <v>3422</v>
      </c>
      <c r="H1262" t="s">
        <v>15</v>
      </c>
      <c r="I1262" t="s">
        <v>1495</v>
      </c>
      <c r="J1262" t="str">
        <f>RIGHT(D1262,4)</f>
        <v>6535</v>
      </c>
      <c r="K1262" t="str">
        <f>IFERROR(VLOOKUP(VALUE(J1262),'Site Info'!$A:$G,3,FALSE),"")</f>
        <v>226200 RIB MOUNTAIN DR</v>
      </c>
      <c r="L1262" t="str">
        <f>IFERROR(VLOOKUP(VALUE(J1262),'Site Info'!$A:$G,4,FALSE),"")</f>
        <v>WAUSAU</v>
      </c>
      <c r="M1262" t="str">
        <f>IFERROR(VLOOKUP(VALUE(J1262),'Site Info'!$A:$G,5,FALSE),"")</f>
        <v>WI</v>
      </c>
      <c r="N1262" t="str">
        <f>IFERROR(VLOOKUP(VALUE(J1262),'Site Info'!$A:$G,6,FALSE),"")</f>
        <v>54401-7483</v>
      </c>
      <c r="O1262">
        <f>IFERROR(VLOOKUP(VALUE(J1262),'Site Info'!$A:$G,7,FALSE),"")</f>
        <v>7153590044</v>
      </c>
    </row>
    <row r="1263" spans="1:15" x14ac:dyDescent="0.45">
      <c r="A1263" t="s">
        <v>1490</v>
      </c>
      <c r="B1263" t="s">
        <v>1491</v>
      </c>
      <c r="C1263" t="s">
        <v>1492</v>
      </c>
      <c r="D1263" t="s">
        <v>1493</v>
      </c>
      <c r="E1263" s="1">
        <v>46153.299062500002</v>
      </c>
      <c r="F1263">
        <v>1481</v>
      </c>
      <c r="G1263" t="s">
        <v>1494</v>
      </c>
      <c r="H1263" t="s">
        <v>15</v>
      </c>
      <c r="I1263" t="s">
        <v>1495</v>
      </c>
      <c r="J1263" t="str">
        <f>RIGHT(D1263,4)</f>
        <v>6535</v>
      </c>
      <c r="K1263" t="str">
        <f>IFERROR(VLOOKUP(VALUE(J1263),'Site Info'!$A:$G,3,FALSE),"")</f>
        <v>226200 RIB MOUNTAIN DR</v>
      </c>
      <c r="L1263" t="str">
        <f>IFERROR(VLOOKUP(VALUE(J1263),'Site Info'!$A:$G,4,FALSE),"")</f>
        <v>WAUSAU</v>
      </c>
      <c r="M1263" t="str">
        <f>IFERROR(VLOOKUP(VALUE(J1263),'Site Info'!$A:$G,5,FALSE),"")</f>
        <v>WI</v>
      </c>
      <c r="N1263" t="str">
        <f>IFERROR(VLOOKUP(VALUE(J1263),'Site Info'!$A:$G,6,FALSE),"")</f>
        <v>54401-7483</v>
      </c>
      <c r="O1263">
        <f>IFERROR(VLOOKUP(VALUE(J1263),'Site Info'!$A:$G,7,FALSE),"")</f>
        <v>7153590044</v>
      </c>
    </row>
    <row r="1264" spans="1:15" x14ac:dyDescent="0.45">
      <c r="A1264" t="s">
        <v>10258</v>
      </c>
      <c r="B1264" t="s">
        <v>10259</v>
      </c>
      <c r="C1264" t="s">
        <v>10260</v>
      </c>
      <c r="D1264" t="s">
        <v>1719</v>
      </c>
      <c r="E1264" s="1">
        <v>46151.649733796294</v>
      </c>
      <c r="F1264">
        <v>1548</v>
      </c>
      <c r="G1264" t="s">
        <v>10261</v>
      </c>
      <c r="H1264" t="s">
        <v>15</v>
      </c>
      <c r="I1264" t="s">
        <v>1721</v>
      </c>
      <c r="J1264" t="str">
        <f>RIGHT(D1264,4)</f>
        <v>8215</v>
      </c>
      <c r="K1264" t="str">
        <f>IFERROR(VLOOKUP(VALUE(J1264),'Site Info'!$A:$G,3,FALSE),"")</f>
        <v>2300 W WHITE OAKS DR</v>
      </c>
      <c r="L1264" t="str">
        <f>IFERROR(VLOOKUP(VALUE(J1264),'Site Info'!$A:$G,4,FALSE),"")</f>
        <v>SPRINGFIELD</v>
      </c>
      <c r="M1264" t="str">
        <f>IFERROR(VLOOKUP(VALUE(J1264),'Site Info'!$A:$G,5,FALSE),"")</f>
        <v>IL</v>
      </c>
      <c r="N1264" t="str">
        <f>IFERROR(VLOOKUP(VALUE(J1264),'Site Info'!$A:$G,6,FALSE),"")</f>
        <v>62704-6423</v>
      </c>
      <c r="O1264">
        <f>IFERROR(VLOOKUP(VALUE(J1264),'Site Info'!$A:$G,7,FALSE),"")</f>
        <v>2177874126</v>
      </c>
    </row>
    <row r="1265" spans="1:15" x14ac:dyDescent="0.45">
      <c r="A1265" t="s">
        <v>9217</v>
      </c>
      <c r="B1265" t="s">
        <v>9218</v>
      </c>
      <c r="C1265" t="s">
        <v>9219</v>
      </c>
      <c r="D1265" t="s">
        <v>1719</v>
      </c>
      <c r="E1265" s="1">
        <v>46150.39534722222</v>
      </c>
      <c r="F1265">
        <v>1547</v>
      </c>
      <c r="G1265" t="s">
        <v>9220</v>
      </c>
      <c r="H1265" t="s">
        <v>15</v>
      </c>
      <c r="I1265" t="s">
        <v>1721</v>
      </c>
      <c r="J1265" t="str">
        <f>RIGHT(D1265,4)</f>
        <v>8215</v>
      </c>
      <c r="K1265" t="str">
        <f>IFERROR(VLOOKUP(VALUE(J1265),'Site Info'!$A:$G,3,FALSE),"")</f>
        <v>2300 W WHITE OAKS DR</v>
      </c>
      <c r="L1265" t="str">
        <f>IFERROR(VLOOKUP(VALUE(J1265),'Site Info'!$A:$G,4,FALSE),"")</f>
        <v>SPRINGFIELD</v>
      </c>
      <c r="M1265" t="str">
        <f>IFERROR(VLOOKUP(VALUE(J1265),'Site Info'!$A:$G,5,FALSE),"")</f>
        <v>IL</v>
      </c>
      <c r="N1265" t="str">
        <f>IFERROR(VLOOKUP(VALUE(J1265),'Site Info'!$A:$G,6,FALSE),"")</f>
        <v>62704-6423</v>
      </c>
      <c r="O1265">
        <f>IFERROR(VLOOKUP(VALUE(J1265),'Site Info'!$A:$G,7,FALSE),"")</f>
        <v>2177874126</v>
      </c>
    </row>
    <row r="1266" spans="1:15" x14ac:dyDescent="0.45">
      <c r="A1266" t="s">
        <v>5894</v>
      </c>
      <c r="B1266" t="s">
        <v>5895</v>
      </c>
      <c r="C1266" t="s">
        <v>5896</v>
      </c>
      <c r="D1266" t="s">
        <v>1719</v>
      </c>
      <c r="E1266" s="1">
        <v>46152.7656712963</v>
      </c>
      <c r="F1266">
        <v>1547</v>
      </c>
      <c r="G1266" t="s">
        <v>5897</v>
      </c>
      <c r="H1266" t="s">
        <v>15</v>
      </c>
      <c r="I1266" t="s">
        <v>1721</v>
      </c>
      <c r="J1266" t="str">
        <f>RIGHT(D1266,4)</f>
        <v>8215</v>
      </c>
      <c r="K1266" t="str">
        <f>IFERROR(VLOOKUP(VALUE(J1266),'Site Info'!$A:$G,3,FALSE),"")</f>
        <v>2300 W WHITE OAKS DR</v>
      </c>
      <c r="L1266" t="str">
        <f>IFERROR(VLOOKUP(VALUE(J1266),'Site Info'!$A:$G,4,FALSE),"")</f>
        <v>SPRINGFIELD</v>
      </c>
      <c r="M1266" t="str">
        <f>IFERROR(VLOOKUP(VALUE(J1266),'Site Info'!$A:$G,5,FALSE),"")</f>
        <v>IL</v>
      </c>
      <c r="N1266" t="str">
        <f>IFERROR(VLOOKUP(VALUE(J1266),'Site Info'!$A:$G,6,FALSE),"")</f>
        <v>62704-6423</v>
      </c>
      <c r="O1266">
        <f>IFERROR(VLOOKUP(VALUE(J1266),'Site Info'!$A:$G,7,FALSE),"")</f>
        <v>2177874126</v>
      </c>
    </row>
    <row r="1267" spans="1:15" x14ac:dyDescent="0.45">
      <c r="A1267" t="s">
        <v>6218</v>
      </c>
      <c r="B1267" t="s">
        <v>6219</v>
      </c>
      <c r="C1267" t="s">
        <v>6220</v>
      </c>
      <c r="D1267" t="s">
        <v>1719</v>
      </c>
      <c r="E1267" s="1">
        <v>46152.871608796297</v>
      </c>
      <c r="F1267">
        <v>1547</v>
      </c>
      <c r="G1267" t="s">
        <v>6221</v>
      </c>
      <c r="H1267" t="s">
        <v>15</v>
      </c>
      <c r="I1267" t="s">
        <v>1721</v>
      </c>
      <c r="J1267" t="str">
        <f>RIGHT(D1267,4)</f>
        <v>8215</v>
      </c>
      <c r="K1267" t="str">
        <f>IFERROR(VLOOKUP(VALUE(J1267),'Site Info'!$A:$G,3,FALSE),"")</f>
        <v>2300 W WHITE OAKS DR</v>
      </c>
      <c r="L1267" t="str">
        <f>IFERROR(VLOOKUP(VALUE(J1267),'Site Info'!$A:$G,4,FALSE),"")</f>
        <v>SPRINGFIELD</v>
      </c>
      <c r="M1267" t="str">
        <f>IFERROR(VLOOKUP(VALUE(J1267),'Site Info'!$A:$G,5,FALSE),"")</f>
        <v>IL</v>
      </c>
      <c r="N1267" t="str">
        <f>IFERROR(VLOOKUP(VALUE(J1267),'Site Info'!$A:$G,6,FALSE),"")</f>
        <v>62704-6423</v>
      </c>
      <c r="O1267">
        <f>IFERROR(VLOOKUP(VALUE(J1267),'Site Info'!$A:$G,7,FALSE),"")</f>
        <v>2177874126</v>
      </c>
    </row>
    <row r="1268" spans="1:15" x14ac:dyDescent="0.45">
      <c r="A1268" t="s">
        <v>4334</v>
      </c>
      <c r="B1268" t="s">
        <v>4335</v>
      </c>
      <c r="C1268" t="s">
        <v>4336</v>
      </c>
      <c r="D1268" t="s">
        <v>1719</v>
      </c>
      <c r="E1268" s="1">
        <v>46153.313368055555</v>
      </c>
      <c r="F1268">
        <v>1547</v>
      </c>
      <c r="G1268" t="s">
        <v>4337</v>
      </c>
      <c r="H1268" t="s">
        <v>15</v>
      </c>
      <c r="I1268" t="s">
        <v>1721</v>
      </c>
      <c r="J1268" t="str">
        <f>RIGHT(D1268,4)</f>
        <v>8215</v>
      </c>
      <c r="K1268" t="str">
        <f>IFERROR(VLOOKUP(VALUE(J1268),'Site Info'!$A:$G,3,FALSE),"")</f>
        <v>2300 W WHITE OAKS DR</v>
      </c>
      <c r="L1268" t="str">
        <f>IFERROR(VLOOKUP(VALUE(J1268),'Site Info'!$A:$G,4,FALSE),"")</f>
        <v>SPRINGFIELD</v>
      </c>
      <c r="M1268" t="str">
        <f>IFERROR(VLOOKUP(VALUE(J1268),'Site Info'!$A:$G,5,FALSE),"")</f>
        <v>IL</v>
      </c>
      <c r="N1268" t="str">
        <f>IFERROR(VLOOKUP(VALUE(J1268),'Site Info'!$A:$G,6,FALSE),"")</f>
        <v>62704-6423</v>
      </c>
      <c r="O1268">
        <f>IFERROR(VLOOKUP(VALUE(J1268),'Site Info'!$A:$G,7,FALSE),"")</f>
        <v>2177874126</v>
      </c>
    </row>
    <row r="1269" spans="1:15" x14ac:dyDescent="0.45">
      <c r="A1269" t="s">
        <v>13776</v>
      </c>
      <c r="B1269" t="s">
        <v>13777</v>
      </c>
      <c r="C1269" t="s">
        <v>13778</v>
      </c>
      <c r="D1269" t="s">
        <v>1719</v>
      </c>
      <c r="E1269" s="1">
        <v>46153.33315972222</v>
      </c>
      <c r="F1269">
        <v>1547</v>
      </c>
      <c r="G1269" t="s">
        <v>13779</v>
      </c>
      <c r="H1269" t="s">
        <v>15</v>
      </c>
      <c r="I1269" t="s">
        <v>1721</v>
      </c>
      <c r="J1269" t="str">
        <f>RIGHT(D1269,4)</f>
        <v>8215</v>
      </c>
      <c r="K1269" t="str">
        <f>IFERROR(VLOOKUP(VALUE(J1269),'Site Info'!$A:$G,3,FALSE),"")</f>
        <v>2300 W WHITE OAKS DR</v>
      </c>
      <c r="L1269" t="str">
        <f>IFERROR(VLOOKUP(VALUE(J1269),'Site Info'!$A:$G,4,FALSE),"")</f>
        <v>SPRINGFIELD</v>
      </c>
      <c r="M1269" t="str">
        <f>IFERROR(VLOOKUP(VALUE(J1269),'Site Info'!$A:$G,5,FALSE),"")</f>
        <v>IL</v>
      </c>
      <c r="N1269" t="str">
        <f>IFERROR(VLOOKUP(VALUE(J1269),'Site Info'!$A:$G,6,FALSE),"")</f>
        <v>62704-6423</v>
      </c>
      <c r="O1269">
        <f>IFERROR(VLOOKUP(VALUE(J1269),'Site Info'!$A:$G,7,FALSE),"")</f>
        <v>2177874126</v>
      </c>
    </row>
    <row r="1270" spans="1:15" x14ac:dyDescent="0.45">
      <c r="A1270" t="s">
        <v>12700</v>
      </c>
      <c r="B1270" t="s">
        <v>12701</v>
      </c>
      <c r="C1270" t="s">
        <v>12702</v>
      </c>
      <c r="D1270" t="s">
        <v>1719</v>
      </c>
      <c r="E1270" s="1">
        <v>46153.35056712963</v>
      </c>
      <c r="F1270">
        <v>1547</v>
      </c>
      <c r="G1270" t="s">
        <v>12703</v>
      </c>
      <c r="H1270" t="s">
        <v>15</v>
      </c>
      <c r="I1270" t="s">
        <v>1721</v>
      </c>
      <c r="J1270" t="str">
        <f>RIGHT(D1270,4)</f>
        <v>8215</v>
      </c>
      <c r="K1270" t="str">
        <f>IFERROR(VLOOKUP(VALUE(J1270),'Site Info'!$A:$G,3,FALSE),"")</f>
        <v>2300 W WHITE OAKS DR</v>
      </c>
      <c r="L1270" t="str">
        <f>IFERROR(VLOOKUP(VALUE(J1270),'Site Info'!$A:$G,4,FALSE),"")</f>
        <v>SPRINGFIELD</v>
      </c>
      <c r="M1270" t="str">
        <f>IFERROR(VLOOKUP(VALUE(J1270),'Site Info'!$A:$G,5,FALSE),"")</f>
        <v>IL</v>
      </c>
      <c r="N1270" t="str">
        <f>IFERROR(VLOOKUP(VALUE(J1270),'Site Info'!$A:$G,6,FALSE),"")</f>
        <v>62704-6423</v>
      </c>
      <c r="O1270">
        <f>IFERROR(VLOOKUP(VALUE(J1270),'Site Info'!$A:$G,7,FALSE),"")</f>
        <v>2177874126</v>
      </c>
    </row>
    <row r="1271" spans="1:15" x14ac:dyDescent="0.45">
      <c r="A1271" t="s">
        <v>10797</v>
      </c>
      <c r="B1271" t="s">
        <v>10798</v>
      </c>
      <c r="C1271" t="s">
        <v>10799</v>
      </c>
      <c r="D1271" t="s">
        <v>1719</v>
      </c>
      <c r="E1271" s="1">
        <v>46153.355775462966</v>
      </c>
      <c r="F1271">
        <v>1547</v>
      </c>
      <c r="G1271" t="s">
        <v>10800</v>
      </c>
      <c r="H1271" t="s">
        <v>15</v>
      </c>
      <c r="I1271" t="s">
        <v>1721</v>
      </c>
      <c r="J1271" t="str">
        <f>RIGHT(D1271,4)</f>
        <v>8215</v>
      </c>
      <c r="K1271" t="str">
        <f>IFERROR(VLOOKUP(VALUE(J1271),'Site Info'!$A:$G,3,FALSE),"")</f>
        <v>2300 W WHITE OAKS DR</v>
      </c>
      <c r="L1271" t="str">
        <f>IFERROR(VLOOKUP(VALUE(J1271),'Site Info'!$A:$G,4,FALSE),"")</f>
        <v>SPRINGFIELD</v>
      </c>
      <c r="M1271" t="str">
        <f>IFERROR(VLOOKUP(VALUE(J1271),'Site Info'!$A:$G,5,FALSE),"")</f>
        <v>IL</v>
      </c>
      <c r="N1271" t="str">
        <f>IFERROR(VLOOKUP(VALUE(J1271),'Site Info'!$A:$G,6,FALSE),"")</f>
        <v>62704-6423</v>
      </c>
      <c r="O1271">
        <f>IFERROR(VLOOKUP(VALUE(J1271),'Site Info'!$A:$G,7,FALSE),"")</f>
        <v>2177874126</v>
      </c>
    </row>
    <row r="1272" spans="1:15" x14ac:dyDescent="0.45">
      <c r="A1272" t="s">
        <v>9593</v>
      </c>
      <c r="B1272" t="s">
        <v>9594</v>
      </c>
      <c r="C1272" t="s">
        <v>9595</v>
      </c>
      <c r="D1272" t="s">
        <v>1719</v>
      </c>
      <c r="E1272" s="1">
        <v>46153.373182870368</v>
      </c>
      <c r="F1272">
        <v>1547</v>
      </c>
      <c r="G1272" t="s">
        <v>9596</v>
      </c>
      <c r="H1272" t="s">
        <v>15</v>
      </c>
      <c r="I1272" t="s">
        <v>1721</v>
      </c>
      <c r="J1272" t="str">
        <f>RIGHT(D1272,4)</f>
        <v>8215</v>
      </c>
      <c r="K1272" t="str">
        <f>IFERROR(VLOOKUP(VALUE(J1272),'Site Info'!$A:$G,3,FALSE),"")</f>
        <v>2300 W WHITE OAKS DR</v>
      </c>
      <c r="L1272" t="str">
        <f>IFERROR(VLOOKUP(VALUE(J1272),'Site Info'!$A:$G,4,FALSE),"")</f>
        <v>SPRINGFIELD</v>
      </c>
      <c r="M1272" t="str">
        <f>IFERROR(VLOOKUP(VALUE(J1272),'Site Info'!$A:$G,5,FALSE),"")</f>
        <v>IL</v>
      </c>
      <c r="N1272" t="str">
        <f>IFERROR(VLOOKUP(VALUE(J1272),'Site Info'!$A:$G,6,FALSE),"")</f>
        <v>62704-6423</v>
      </c>
      <c r="O1272">
        <f>IFERROR(VLOOKUP(VALUE(J1272),'Site Info'!$A:$G,7,FALSE),"")</f>
        <v>2177874126</v>
      </c>
    </row>
    <row r="1273" spans="1:15" x14ac:dyDescent="0.45">
      <c r="A1273" t="s">
        <v>1716</v>
      </c>
      <c r="B1273" t="s">
        <v>1717</v>
      </c>
      <c r="C1273" t="s">
        <v>1718</v>
      </c>
      <c r="D1273" t="s">
        <v>1719</v>
      </c>
      <c r="E1273" s="1">
        <v>46149.535312499997</v>
      </c>
      <c r="F1273">
        <v>1481</v>
      </c>
      <c r="G1273" t="s">
        <v>1720</v>
      </c>
      <c r="H1273" t="s">
        <v>15</v>
      </c>
      <c r="I1273" t="s">
        <v>1721</v>
      </c>
      <c r="J1273" t="str">
        <f>RIGHT(D1273,4)</f>
        <v>8215</v>
      </c>
      <c r="K1273" t="str">
        <f>IFERROR(VLOOKUP(VALUE(J1273),'Site Info'!$A:$G,3,FALSE),"")</f>
        <v>2300 W WHITE OAKS DR</v>
      </c>
      <c r="L1273" t="str">
        <f>IFERROR(VLOOKUP(VALUE(J1273),'Site Info'!$A:$G,4,FALSE),"")</f>
        <v>SPRINGFIELD</v>
      </c>
      <c r="M1273" t="str">
        <f>IFERROR(VLOOKUP(VALUE(J1273),'Site Info'!$A:$G,5,FALSE),"")</f>
        <v>IL</v>
      </c>
      <c r="N1273" t="str">
        <f>IFERROR(VLOOKUP(VALUE(J1273),'Site Info'!$A:$G,6,FALSE),"")</f>
        <v>62704-6423</v>
      </c>
      <c r="O1273">
        <f>IFERROR(VLOOKUP(VALUE(J1273),'Site Info'!$A:$G,7,FALSE),"")</f>
        <v>2177874126</v>
      </c>
    </row>
    <row r="1274" spans="1:15" x14ac:dyDescent="0.45">
      <c r="A1274" t="s">
        <v>12962</v>
      </c>
      <c r="B1274" t="s">
        <v>12963</v>
      </c>
      <c r="C1274" t="s">
        <v>12964</v>
      </c>
      <c r="D1274" t="s">
        <v>1395</v>
      </c>
      <c r="E1274" s="1">
        <v>46152.483530092592</v>
      </c>
      <c r="F1274">
        <v>1547</v>
      </c>
      <c r="G1274" t="s">
        <v>12965</v>
      </c>
      <c r="H1274" t="s">
        <v>15</v>
      </c>
      <c r="I1274" t="s">
        <v>1397</v>
      </c>
      <c r="J1274" t="str">
        <f>RIGHT(D1274,4)</f>
        <v>8286</v>
      </c>
      <c r="K1274" t="str">
        <f>IFERROR(VLOOKUP(VALUE(J1274),'Site Info'!$A:$G,3,FALSE),"")</f>
        <v>2301 E WACO DR</v>
      </c>
      <c r="L1274" t="str">
        <f>IFERROR(VLOOKUP(VALUE(J1274),'Site Info'!$A:$G,4,FALSE),"")</f>
        <v>WACO</v>
      </c>
      <c r="M1274" t="str">
        <f>IFERROR(VLOOKUP(VALUE(J1274),'Site Info'!$A:$G,5,FALSE),"")</f>
        <v>TX</v>
      </c>
      <c r="N1274" t="str">
        <f>IFERROR(VLOOKUP(VALUE(J1274),'Site Info'!$A:$G,6,FALSE),"")</f>
        <v>76705-3207</v>
      </c>
      <c r="O1274">
        <f>IFERROR(VLOOKUP(VALUE(J1274),'Site Info'!$A:$G,7,FALSE),"")</f>
        <v>2547992408</v>
      </c>
    </row>
    <row r="1275" spans="1:15" x14ac:dyDescent="0.45">
      <c r="A1275" t="s">
        <v>9669</v>
      </c>
      <c r="B1275" t="s">
        <v>9670</v>
      </c>
      <c r="C1275" t="s">
        <v>9671</v>
      </c>
      <c r="D1275" t="s">
        <v>1395</v>
      </c>
      <c r="E1275" s="1">
        <v>46152.668969907405</v>
      </c>
      <c r="F1275">
        <v>1547</v>
      </c>
      <c r="G1275" t="s">
        <v>9672</v>
      </c>
      <c r="H1275" t="s">
        <v>15</v>
      </c>
      <c r="I1275" t="s">
        <v>1397</v>
      </c>
      <c r="J1275" t="str">
        <f>RIGHT(D1275,4)</f>
        <v>8286</v>
      </c>
      <c r="K1275" t="str">
        <f>IFERROR(VLOOKUP(VALUE(J1275),'Site Info'!$A:$G,3,FALSE),"")</f>
        <v>2301 E WACO DR</v>
      </c>
      <c r="L1275" t="str">
        <f>IFERROR(VLOOKUP(VALUE(J1275),'Site Info'!$A:$G,4,FALSE),"")</f>
        <v>WACO</v>
      </c>
      <c r="M1275" t="str">
        <f>IFERROR(VLOOKUP(VALUE(J1275),'Site Info'!$A:$G,5,FALSE),"")</f>
        <v>TX</v>
      </c>
      <c r="N1275" t="str">
        <f>IFERROR(VLOOKUP(VALUE(J1275),'Site Info'!$A:$G,6,FALSE),"")</f>
        <v>76705-3207</v>
      </c>
      <c r="O1275">
        <f>IFERROR(VLOOKUP(VALUE(J1275),'Site Info'!$A:$G,7,FALSE),"")</f>
        <v>2547992408</v>
      </c>
    </row>
    <row r="1276" spans="1:15" x14ac:dyDescent="0.45">
      <c r="A1276" t="s">
        <v>13227</v>
      </c>
      <c r="B1276" t="s">
        <v>13228</v>
      </c>
      <c r="C1276" t="s">
        <v>13229</v>
      </c>
      <c r="D1276" t="s">
        <v>1395</v>
      </c>
      <c r="E1276" s="1">
        <v>46153.326006944444</v>
      </c>
      <c r="F1276">
        <v>1547</v>
      </c>
      <c r="G1276" t="s">
        <v>13230</v>
      </c>
      <c r="H1276" t="s">
        <v>15</v>
      </c>
      <c r="I1276" t="s">
        <v>1397</v>
      </c>
      <c r="J1276" t="str">
        <f>RIGHT(D1276,4)</f>
        <v>8286</v>
      </c>
      <c r="K1276" t="str">
        <f>IFERROR(VLOOKUP(VALUE(J1276),'Site Info'!$A:$G,3,FALSE),"")</f>
        <v>2301 E WACO DR</v>
      </c>
      <c r="L1276" t="str">
        <f>IFERROR(VLOOKUP(VALUE(J1276),'Site Info'!$A:$G,4,FALSE),"")</f>
        <v>WACO</v>
      </c>
      <c r="M1276" t="str">
        <f>IFERROR(VLOOKUP(VALUE(J1276),'Site Info'!$A:$G,5,FALSE),"")</f>
        <v>TX</v>
      </c>
      <c r="N1276" t="str">
        <f>IFERROR(VLOOKUP(VALUE(J1276),'Site Info'!$A:$G,6,FALSE),"")</f>
        <v>76705-3207</v>
      </c>
      <c r="O1276">
        <f>IFERROR(VLOOKUP(VALUE(J1276),'Site Info'!$A:$G,7,FALSE),"")</f>
        <v>2547992408</v>
      </c>
    </row>
    <row r="1277" spans="1:15" x14ac:dyDescent="0.45">
      <c r="A1277" t="s">
        <v>2247</v>
      </c>
      <c r="B1277" t="s">
        <v>2248</v>
      </c>
      <c r="C1277" t="s">
        <v>2249</v>
      </c>
      <c r="D1277" t="s">
        <v>1395</v>
      </c>
      <c r="E1277" s="1">
        <v>46150.363113425927</v>
      </c>
      <c r="F1277">
        <v>1481</v>
      </c>
      <c r="G1277" t="s">
        <v>2250</v>
      </c>
      <c r="H1277" t="s">
        <v>15</v>
      </c>
      <c r="I1277" t="s">
        <v>1397</v>
      </c>
      <c r="J1277" t="str">
        <f>RIGHT(D1277,4)</f>
        <v>8286</v>
      </c>
      <c r="K1277" t="str">
        <f>IFERROR(VLOOKUP(VALUE(J1277),'Site Info'!$A:$G,3,FALSE),"")</f>
        <v>2301 E WACO DR</v>
      </c>
      <c r="L1277" t="str">
        <f>IFERROR(VLOOKUP(VALUE(J1277),'Site Info'!$A:$G,4,FALSE),"")</f>
        <v>WACO</v>
      </c>
      <c r="M1277" t="str">
        <f>IFERROR(VLOOKUP(VALUE(J1277),'Site Info'!$A:$G,5,FALSE),"")</f>
        <v>TX</v>
      </c>
      <c r="N1277" t="str">
        <f>IFERROR(VLOOKUP(VALUE(J1277),'Site Info'!$A:$G,6,FALSE),"")</f>
        <v>76705-3207</v>
      </c>
      <c r="O1277">
        <f>IFERROR(VLOOKUP(VALUE(J1277),'Site Info'!$A:$G,7,FALSE),"")</f>
        <v>2547992408</v>
      </c>
    </row>
    <row r="1278" spans="1:15" x14ac:dyDescent="0.45">
      <c r="A1278" t="s">
        <v>1392</v>
      </c>
      <c r="B1278" t="s">
        <v>1393</v>
      </c>
      <c r="C1278" t="s">
        <v>1394</v>
      </c>
      <c r="D1278" t="s">
        <v>1395</v>
      </c>
      <c r="E1278" s="1">
        <v>46152.528368055559</v>
      </c>
      <c r="F1278">
        <v>1481</v>
      </c>
      <c r="G1278" t="s">
        <v>1396</v>
      </c>
      <c r="H1278" t="s">
        <v>15</v>
      </c>
      <c r="I1278" t="s">
        <v>1397</v>
      </c>
      <c r="J1278" t="str">
        <f>RIGHT(D1278,4)</f>
        <v>8286</v>
      </c>
      <c r="K1278" t="str">
        <f>IFERROR(VLOOKUP(VALUE(J1278),'Site Info'!$A:$G,3,FALSE),"")</f>
        <v>2301 E WACO DR</v>
      </c>
      <c r="L1278" t="str">
        <f>IFERROR(VLOOKUP(VALUE(J1278),'Site Info'!$A:$G,4,FALSE),"")</f>
        <v>WACO</v>
      </c>
      <c r="M1278" t="str">
        <f>IFERROR(VLOOKUP(VALUE(J1278),'Site Info'!$A:$G,5,FALSE),"")</f>
        <v>TX</v>
      </c>
      <c r="N1278" t="str">
        <f>IFERROR(VLOOKUP(VALUE(J1278),'Site Info'!$A:$G,6,FALSE),"")</f>
        <v>76705-3207</v>
      </c>
      <c r="O1278">
        <f>IFERROR(VLOOKUP(VALUE(J1278),'Site Info'!$A:$G,7,FALSE),"")</f>
        <v>2547992408</v>
      </c>
    </row>
    <row r="1279" spans="1:15" x14ac:dyDescent="0.45">
      <c r="A1279" t="s">
        <v>17310</v>
      </c>
      <c r="B1279" t="s">
        <v>17311</v>
      </c>
      <c r="C1279" t="s">
        <v>17312</v>
      </c>
      <c r="D1279" t="s">
        <v>1395</v>
      </c>
      <c r="E1279" s="1">
        <v>46153.310034722221</v>
      </c>
      <c r="F1279">
        <v>1481</v>
      </c>
      <c r="G1279" t="s">
        <v>17313</v>
      </c>
      <c r="H1279" t="s">
        <v>15</v>
      </c>
      <c r="I1279" t="s">
        <v>1397</v>
      </c>
      <c r="J1279" t="str">
        <f>RIGHT(D1279,4)</f>
        <v>8286</v>
      </c>
      <c r="K1279" t="str">
        <f>IFERROR(VLOOKUP(VALUE(J1279),'Site Info'!$A:$G,3,FALSE),"")</f>
        <v>2301 E WACO DR</v>
      </c>
      <c r="L1279" t="str">
        <f>IFERROR(VLOOKUP(VALUE(J1279),'Site Info'!$A:$G,4,FALSE),"")</f>
        <v>WACO</v>
      </c>
      <c r="M1279" t="str">
        <f>IFERROR(VLOOKUP(VALUE(J1279),'Site Info'!$A:$G,5,FALSE),"")</f>
        <v>TX</v>
      </c>
      <c r="N1279" t="str">
        <f>IFERROR(VLOOKUP(VALUE(J1279),'Site Info'!$A:$G,6,FALSE),"")</f>
        <v>76705-3207</v>
      </c>
      <c r="O1279">
        <f>IFERROR(VLOOKUP(VALUE(J1279),'Site Info'!$A:$G,7,FALSE),"")</f>
        <v>2547992408</v>
      </c>
    </row>
    <row r="1280" spans="1:15" x14ac:dyDescent="0.45">
      <c r="A1280" t="s">
        <v>7633</v>
      </c>
      <c r="B1280" t="s">
        <v>7634</v>
      </c>
      <c r="C1280" t="s">
        <v>7635</v>
      </c>
      <c r="D1280" t="s">
        <v>373</v>
      </c>
      <c r="E1280" s="1">
        <v>46152.869803240741</v>
      </c>
      <c r="F1280">
        <v>1547</v>
      </c>
      <c r="G1280" t="s">
        <v>7636</v>
      </c>
      <c r="H1280" t="s">
        <v>15</v>
      </c>
      <c r="I1280" t="s">
        <v>375</v>
      </c>
      <c r="J1280" t="str">
        <f>RIGHT(D1280,4)</f>
        <v>6479</v>
      </c>
      <c r="K1280" t="str">
        <f>IFERROR(VLOOKUP(VALUE(J1280),'Site Info'!$A:$G,3,FALSE),"")</f>
        <v>232 SHIRLEY DR</v>
      </c>
      <c r="L1280" t="str">
        <f>IFERROR(VLOOKUP(VALUE(J1280),'Site Info'!$A:$G,4,FALSE),"")</f>
        <v>CAPE GIRARDEAU</v>
      </c>
      <c r="M1280" t="str">
        <f>IFERROR(VLOOKUP(VALUE(J1280),'Site Info'!$A:$G,5,FALSE),"")</f>
        <v>MO</v>
      </c>
      <c r="N1280" t="str">
        <f>IFERROR(VLOOKUP(VALUE(J1280),'Site Info'!$A:$G,6,FALSE),"")</f>
        <v>63701-8478</v>
      </c>
      <c r="O1280">
        <f>IFERROR(VLOOKUP(VALUE(J1280),'Site Info'!$A:$G,7,FALSE),"")</f>
        <v>5733348484</v>
      </c>
    </row>
    <row r="1281" spans="1:15" x14ac:dyDescent="0.45">
      <c r="A1281" t="s">
        <v>8157</v>
      </c>
      <c r="B1281" t="s">
        <v>8158</v>
      </c>
      <c r="C1281" t="s">
        <v>8159</v>
      </c>
      <c r="D1281" t="s">
        <v>373</v>
      </c>
      <c r="E1281" s="1">
        <v>46153.371111111112</v>
      </c>
      <c r="F1281">
        <v>1547</v>
      </c>
      <c r="G1281" t="s">
        <v>8160</v>
      </c>
      <c r="H1281" t="s">
        <v>15</v>
      </c>
      <c r="I1281" t="s">
        <v>375</v>
      </c>
      <c r="J1281" t="str">
        <f>RIGHT(D1281,4)</f>
        <v>6479</v>
      </c>
      <c r="K1281" t="str">
        <f>IFERROR(VLOOKUP(VALUE(J1281),'Site Info'!$A:$G,3,FALSE),"")</f>
        <v>232 SHIRLEY DR</v>
      </c>
      <c r="L1281" t="str">
        <f>IFERROR(VLOOKUP(VALUE(J1281),'Site Info'!$A:$G,4,FALSE),"")</f>
        <v>CAPE GIRARDEAU</v>
      </c>
      <c r="M1281" t="str">
        <f>IFERROR(VLOOKUP(VALUE(J1281),'Site Info'!$A:$G,5,FALSE),"")</f>
        <v>MO</v>
      </c>
      <c r="N1281" t="str">
        <f>IFERROR(VLOOKUP(VALUE(J1281),'Site Info'!$A:$G,6,FALSE),"")</f>
        <v>63701-8478</v>
      </c>
      <c r="O1281">
        <f>IFERROR(VLOOKUP(VALUE(J1281),'Site Info'!$A:$G,7,FALSE),"")</f>
        <v>5733348484</v>
      </c>
    </row>
    <row r="1282" spans="1:15" x14ac:dyDescent="0.45">
      <c r="A1282" t="s">
        <v>370</v>
      </c>
      <c r="B1282" t="s">
        <v>371</v>
      </c>
      <c r="C1282" t="s">
        <v>372</v>
      </c>
      <c r="D1282" t="s">
        <v>373</v>
      </c>
      <c r="E1282" s="1">
        <v>46153.312395833331</v>
      </c>
      <c r="F1282">
        <v>1481</v>
      </c>
      <c r="G1282" t="s">
        <v>374</v>
      </c>
      <c r="H1282" t="s">
        <v>15</v>
      </c>
      <c r="I1282" t="s">
        <v>375</v>
      </c>
      <c r="J1282" t="str">
        <f>RIGHT(D1282,4)</f>
        <v>6479</v>
      </c>
      <c r="K1282" t="str">
        <f>IFERROR(VLOOKUP(VALUE(J1282),'Site Info'!$A:$G,3,FALSE),"")</f>
        <v>232 SHIRLEY DR</v>
      </c>
      <c r="L1282" t="str">
        <f>IFERROR(VLOOKUP(VALUE(J1282),'Site Info'!$A:$G,4,FALSE),"")</f>
        <v>CAPE GIRARDEAU</v>
      </c>
      <c r="M1282" t="str">
        <f>IFERROR(VLOOKUP(VALUE(J1282),'Site Info'!$A:$G,5,FALSE),"")</f>
        <v>MO</v>
      </c>
      <c r="N1282" t="str">
        <f>IFERROR(VLOOKUP(VALUE(J1282),'Site Info'!$A:$G,6,FALSE),"")</f>
        <v>63701-8478</v>
      </c>
      <c r="O1282">
        <f>IFERROR(VLOOKUP(VALUE(J1282),'Site Info'!$A:$G,7,FALSE),"")</f>
        <v>5733348484</v>
      </c>
    </row>
    <row r="1283" spans="1:15" x14ac:dyDescent="0.45">
      <c r="A1283" t="s">
        <v>16802</v>
      </c>
      <c r="B1283" t="s">
        <v>16903</v>
      </c>
      <c r="C1283" t="s">
        <v>16904</v>
      </c>
      <c r="D1283" t="s">
        <v>373</v>
      </c>
      <c r="E1283" s="1">
        <v>46153.354490740741</v>
      </c>
      <c r="F1283">
        <v>1481</v>
      </c>
      <c r="G1283" t="s">
        <v>16905</v>
      </c>
      <c r="H1283" t="s">
        <v>15</v>
      </c>
      <c r="I1283" t="s">
        <v>375</v>
      </c>
      <c r="J1283" t="str">
        <f>RIGHT(D1283,4)</f>
        <v>6479</v>
      </c>
      <c r="K1283" t="str">
        <f>IFERROR(VLOOKUP(VALUE(J1283),'Site Info'!$A:$G,3,FALSE),"")</f>
        <v>232 SHIRLEY DR</v>
      </c>
      <c r="L1283" t="str">
        <f>IFERROR(VLOOKUP(VALUE(J1283),'Site Info'!$A:$G,4,FALSE),"")</f>
        <v>CAPE GIRARDEAU</v>
      </c>
      <c r="M1283" t="str">
        <f>IFERROR(VLOOKUP(VALUE(J1283),'Site Info'!$A:$G,5,FALSE),"")</f>
        <v>MO</v>
      </c>
      <c r="N1283" t="str">
        <f>IFERROR(VLOOKUP(VALUE(J1283),'Site Info'!$A:$G,6,FALSE),"")</f>
        <v>63701-8478</v>
      </c>
      <c r="O1283">
        <f>IFERROR(VLOOKUP(VALUE(J1283),'Site Info'!$A:$G,7,FALSE),"")</f>
        <v>5733348484</v>
      </c>
    </row>
    <row r="1284" spans="1:15" x14ac:dyDescent="0.45">
      <c r="A1284" t="s">
        <v>10198</v>
      </c>
      <c r="B1284" t="s">
        <v>10199</v>
      </c>
      <c r="C1284" t="s">
        <v>10200</v>
      </c>
      <c r="D1284" t="s">
        <v>2852</v>
      </c>
      <c r="E1284" s="1">
        <v>46152.672835648147</v>
      </c>
      <c r="F1284">
        <v>1547</v>
      </c>
      <c r="G1284" t="s">
        <v>10201</v>
      </c>
      <c r="H1284" t="s">
        <v>15</v>
      </c>
      <c r="I1284" t="s">
        <v>2854</v>
      </c>
      <c r="J1284" t="str">
        <f>RIGHT(D1284,4)</f>
        <v>8269</v>
      </c>
      <c r="K1284" t="str">
        <f>IFERROR(VLOOKUP(VALUE(J1284),'Site Info'!$A:$G,3,FALSE),"")</f>
        <v>2325 W HWY I 20</v>
      </c>
      <c r="L1284" t="str">
        <f>IFERROR(VLOOKUP(VALUE(J1284),'Site Info'!$A:$G,4,FALSE),"")</f>
        <v>GRAND PRAIRIE</v>
      </c>
      <c r="M1284" t="str">
        <f>IFERROR(VLOOKUP(VALUE(J1284),'Site Info'!$A:$G,5,FALSE),"")</f>
        <v>TX</v>
      </c>
      <c r="N1284" t="str">
        <f>IFERROR(VLOOKUP(VALUE(J1284),'Site Info'!$A:$G,6,FALSE),"")</f>
        <v>75052-3927</v>
      </c>
      <c r="O1284">
        <f>IFERROR(VLOOKUP(VALUE(J1284),'Site Info'!$A:$G,7,FALSE),"")</f>
        <v>9726603405</v>
      </c>
    </row>
    <row r="1285" spans="1:15" x14ac:dyDescent="0.45">
      <c r="A1285" t="s">
        <v>9994</v>
      </c>
      <c r="B1285" t="s">
        <v>9995</v>
      </c>
      <c r="C1285" t="s">
        <v>9996</v>
      </c>
      <c r="D1285" t="s">
        <v>2852</v>
      </c>
      <c r="E1285" s="1">
        <v>46153.34170138889</v>
      </c>
      <c r="F1285">
        <v>1547</v>
      </c>
      <c r="G1285" t="s">
        <v>9997</v>
      </c>
      <c r="H1285" t="s">
        <v>15</v>
      </c>
      <c r="I1285" t="s">
        <v>2854</v>
      </c>
      <c r="J1285" t="str">
        <f>RIGHT(D1285,4)</f>
        <v>8269</v>
      </c>
      <c r="K1285" t="str">
        <f>IFERROR(VLOOKUP(VALUE(J1285),'Site Info'!$A:$G,3,FALSE),"")</f>
        <v>2325 W HWY I 20</v>
      </c>
      <c r="L1285" t="str">
        <f>IFERROR(VLOOKUP(VALUE(J1285),'Site Info'!$A:$G,4,FALSE),"")</f>
        <v>GRAND PRAIRIE</v>
      </c>
      <c r="M1285" t="str">
        <f>IFERROR(VLOOKUP(VALUE(J1285),'Site Info'!$A:$G,5,FALSE),"")</f>
        <v>TX</v>
      </c>
      <c r="N1285" t="str">
        <f>IFERROR(VLOOKUP(VALUE(J1285),'Site Info'!$A:$G,6,FALSE),"")</f>
        <v>75052-3927</v>
      </c>
      <c r="O1285">
        <f>IFERROR(VLOOKUP(VALUE(J1285),'Site Info'!$A:$G,7,FALSE),"")</f>
        <v>9726603405</v>
      </c>
    </row>
    <row r="1286" spans="1:15" x14ac:dyDescent="0.45">
      <c r="A1286" t="s">
        <v>3401</v>
      </c>
      <c r="B1286" t="s">
        <v>3402</v>
      </c>
      <c r="C1286" t="s">
        <v>3403</v>
      </c>
      <c r="D1286" t="s">
        <v>2852</v>
      </c>
      <c r="E1286" s="1">
        <v>46152.866296296299</v>
      </c>
      <c r="F1286">
        <v>1481</v>
      </c>
      <c r="G1286" t="s">
        <v>3404</v>
      </c>
      <c r="H1286" t="s">
        <v>15</v>
      </c>
      <c r="I1286" t="s">
        <v>2854</v>
      </c>
      <c r="J1286" t="str">
        <f>RIGHT(D1286,4)</f>
        <v>8269</v>
      </c>
      <c r="K1286" t="str">
        <f>IFERROR(VLOOKUP(VALUE(J1286),'Site Info'!$A:$G,3,FALSE),"")</f>
        <v>2325 W HWY I 20</v>
      </c>
      <c r="L1286" t="str">
        <f>IFERROR(VLOOKUP(VALUE(J1286),'Site Info'!$A:$G,4,FALSE),"")</f>
        <v>GRAND PRAIRIE</v>
      </c>
      <c r="M1286" t="str">
        <f>IFERROR(VLOOKUP(VALUE(J1286),'Site Info'!$A:$G,5,FALSE),"")</f>
        <v>TX</v>
      </c>
      <c r="N1286" t="str">
        <f>IFERROR(VLOOKUP(VALUE(J1286),'Site Info'!$A:$G,6,FALSE),"")</f>
        <v>75052-3927</v>
      </c>
      <c r="O1286">
        <f>IFERROR(VLOOKUP(VALUE(J1286),'Site Info'!$A:$G,7,FALSE),"")</f>
        <v>9726603405</v>
      </c>
    </row>
    <row r="1287" spans="1:15" x14ac:dyDescent="0.45">
      <c r="A1287" t="s">
        <v>2849</v>
      </c>
      <c r="B1287" t="s">
        <v>2850</v>
      </c>
      <c r="C1287" t="s">
        <v>2851</v>
      </c>
      <c r="D1287" t="s">
        <v>2852</v>
      </c>
      <c r="E1287" s="1">
        <v>46153.357546296298</v>
      </c>
      <c r="F1287">
        <v>1481</v>
      </c>
      <c r="G1287" t="s">
        <v>2853</v>
      </c>
      <c r="H1287" t="s">
        <v>15</v>
      </c>
      <c r="I1287" t="s">
        <v>2854</v>
      </c>
      <c r="J1287" t="str">
        <f>RIGHT(D1287,4)</f>
        <v>8269</v>
      </c>
      <c r="K1287" t="str">
        <f>IFERROR(VLOOKUP(VALUE(J1287),'Site Info'!$A:$G,3,FALSE),"")</f>
        <v>2325 W HWY I 20</v>
      </c>
      <c r="L1287" t="str">
        <f>IFERROR(VLOOKUP(VALUE(J1287),'Site Info'!$A:$G,4,FALSE),"")</f>
        <v>GRAND PRAIRIE</v>
      </c>
      <c r="M1287" t="str">
        <f>IFERROR(VLOOKUP(VALUE(J1287),'Site Info'!$A:$G,5,FALSE),"")</f>
        <v>TX</v>
      </c>
      <c r="N1287" t="str">
        <f>IFERROR(VLOOKUP(VALUE(J1287),'Site Info'!$A:$G,6,FALSE),"")</f>
        <v>75052-3927</v>
      </c>
      <c r="O1287">
        <f>IFERROR(VLOOKUP(VALUE(J1287),'Site Info'!$A:$G,7,FALSE),"")</f>
        <v>9726603405</v>
      </c>
    </row>
    <row r="1288" spans="1:15" x14ac:dyDescent="0.45">
      <c r="A1288" t="s">
        <v>3385</v>
      </c>
      <c r="B1288" t="s">
        <v>3386</v>
      </c>
      <c r="C1288" t="s">
        <v>3387</v>
      </c>
      <c r="D1288" t="s">
        <v>2852</v>
      </c>
      <c r="E1288" s="1">
        <v>46153.370844907404</v>
      </c>
      <c r="F1288">
        <v>1481</v>
      </c>
      <c r="G1288" t="s">
        <v>3388</v>
      </c>
      <c r="H1288" t="s">
        <v>15</v>
      </c>
      <c r="I1288" t="s">
        <v>2854</v>
      </c>
      <c r="J1288" t="str">
        <f>RIGHT(D1288,4)</f>
        <v>8269</v>
      </c>
      <c r="K1288" t="str">
        <f>IFERROR(VLOOKUP(VALUE(J1288),'Site Info'!$A:$G,3,FALSE),"")</f>
        <v>2325 W HWY I 20</v>
      </c>
      <c r="L1288" t="str">
        <f>IFERROR(VLOOKUP(VALUE(J1288),'Site Info'!$A:$G,4,FALSE),"")</f>
        <v>GRAND PRAIRIE</v>
      </c>
      <c r="M1288" t="str">
        <f>IFERROR(VLOOKUP(VALUE(J1288),'Site Info'!$A:$G,5,FALSE),"")</f>
        <v>TX</v>
      </c>
      <c r="N1288" t="str">
        <f>IFERROR(VLOOKUP(VALUE(J1288),'Site Info'!$A:$G,6,FALSE),"")</f>
        <v>75052-3927</v>
      </c>
      <c r="O1288">
        <f>IFERROR(VLOOKUP(VALUE(J1288),'Site Info'!$A:$G,7,FALSE),"")</f>
        <v>9726603405</v>
      </c>
    </row>
    <row r="1289" spans="1:15" x14ac:dyDescent="0.45">
      <c r="A1289" t="s">
        <v>8409</v>
      </c>
      <c r="B1289" t="s">
        <v>8410</v>
      </c>
      <c r="C1289" t="s">
        <v>8411</v>
      </c>
      <c r="D1289" t="s">
        <v>905</v>
      </c>
      <c r="E1289" s="1">
        <v>46151.715011574073</v>
      </c>
      <c r="F1289">
        <v>1547</v>
      </c>
      <c r="G1289" t="s">
        <v>8412</v>
      </c>
      <c r="H1289" t="s">
        <v>15</v>
      </c>
      <c r="I1289" t="s">
        <v>907</v>
      </c>
      <c r="J1289" t="str">
        <f>RIGHT(D1289,4)</f>
        <v>6302</v>
      </c>
      <c r="K1289" t="str">
        <f>IFERROR(VLOOKUP(VALUE(J1289),'Site Info'!$A:$G,3,FALSE),"")</f>
        <v>23300 BROADWAY AVE</v>
      </c>
      <c r="L1289" t="str">
        <f>IFERROR(VLOOKUP(VALUE(J1289),'Site Info'!$A:$G,4,FALSE),"")</f>
        <v>OAKWOOD VILLAGE</v>
      </c>
      <c r="M1289" t="str">
        <f>IFERROR(VLOOKUP(VALUE(J1289),'Site Info'!$A:$G,5,FALSE),"")</f>
        <v>OH</v>
      </c>
      <c r="N1289" t="str">
        <f>IFERROR(VLOOKUP(VALUE(J1289),'Site Info'!$A:$G,6,FALSE),"")</f>
        <v>44146-6016</v>
      </c>
      <c r="O1289">
        <f>IFERROR(VLOOKUP(VALUE(J1289),'Site Info'!$A:$G,7,FALSE),"")</f>
        <v>4402322582</v>
      </c>
    </row>
    <row r="1290" spans="1:15" x14ac:dyDescent="0.45">
      <c r="A1290" t="s">
        <v>8285</v>
      </c>
      <c r="B1290" t="s">
        <v>8286</v>
      </c>
      <c r="C1290" t="s">
        <v>8287</v>
      </c>
      <c r="D1290" t="s">
        <v>905</v>
      </c>
      <c r="E1290" s="1">
        <v>46153.322569444441</v>
      </c>
      <c r="F1290">
        <v>1547</v>
      </c>
      <c r="G1290" t="s">
        <v>8288</v>
      </c>
      <c r="H1290" t="s">
        <v>15</v>
      </c>
      <c r="I1290" t="s">
        <v>907</v>
      </c>
      <c r="J1290" t="str">
        <f>RIGHT(D1290,4)</f>
        <v>6302</v>
      </c>
      <c r="K1290" t="str">
        <f>IFERROR(VLOOKUP(VALUE(J1290),'Site Info'!$A:$G,3,FALSE),"")</f>
        <v>23300 BROADWAY AVE</v>
      </c>
      <c r="L1290" t="str">
        <f>IFERROR(VLOOKUP(VALUE(J1290),'Site Info'!$A:$G,4,FALSE),"")</f>
        <v>OAKWOOD VILLAGE</v>
      </c>
      <c r="M1290" t="str">
        <f>IFERROR(VLOOKUP(VALUE(J1290),'Site Info'!$A:$G,5,FALSE),"")</f>
        <v>OH</v>
      </c>
      <c r="N1290" t="str">
        <f>IFERROR(VLOOKUP(VALUE(J1290),'Site Info'!$A:$G,6,FALSE),"")</f>
        <v>44146-6016</v>
      </c>
      <c r="O1290">
        <f>IFERROR(VLOOKUP(VALUE(J1290),'Site Info'!$A:$G,7,FALSE),"")</f>
        <v>4402322582</v>
      </c>
    </row>
    <row r="1291" spans="1:15" x14ac:dyDescent="0.45">
      <c r="A1291" t="s">
        <v>8897</v>
      </c>
      <c r="B1291" t="s">
        <v>8898</v>
      </c>
      <c r="C1291" t="s">
        <v>8899</v>
      </c>
      <c r="D1291" t="s">
        <v>905</v>
      </c>
      <c r="E1291" s="1">
        <v>46153.323692129627</v>
      </c>
      <c r="F1291">
        <v>1547</v>
      </c>
      <c r="G1291" t="s">
        <v>8900</v>
      </c>
      <c r="H1291" t="s">
        <v>15</v>
      </c>
      <c r="I1291" t="s">
        <v>907</v>
      </c>
      <c r="J1291" t="str">
        <f>RIGHT(D1291,4)</f>
        <v>6302</v>
      </c>
      <c r="K1291" t="str">
        <f>IFERROR(VLOOKUP(VALUE(J1291),'Site Info'!$A:$G,3,FALSE),"")</f>
        <v>23300 BROADWAY AVE</v>
      </c>
      <c r="L1291" t="str">
        <f>IFERROR(VLOOKUP(VALUE(J1291),'Site Info'!$A:$G,4,FALSE),"")</f>
        <v>OAKWOOD VILLAGE</v>
      </c>
      <c r="M1291" t="str">
        <f>IFERROR(VLOOKUP(VALUE(J1291),'Site Info'!$A:$G,5,FALSE),"")</f>
        <v>OH</v>
      </c>
      <c r="N1291" t="str">
        <f>IFERROR(VLOOKUP(VALUE(J1291),'Site Info'!$A:$G,6,FALSE),"")</f>
        <v>44146-6016</v>
      </c>
      <c r="O1291">
        <f>IFERROR(VLOOKUP(VALUE(J1291),'Site Info'!$A:$G,7,FALSE),"")</f>
        <v>4402322582</v>
      </c>
    </row>
    <row r="1292" spans="1:15" x14ac:dyDescent="0.45">
      <c r="A1292" t="s">
        <v>8981</v>
      </c>
      <c r="B1292" t="s">
        <v>8982</v>
      </c>
      <c r="C1292" t="s">
        <v>8983</v>
      </c>
      <c r="D1292" t="s">
        <v>905</v>
      </c>
      <c r="E1292" s="1">
        <v>46153.373912037037</v>
      </c>
      <c r="F1292">
        <v>1547</v>
      </c>
      <c r="G1292" t="s">
        <v>8984</v>
      </c>
      <c r="H1292" t="s">
        <v>15</v>
      </c>
      <c r="I1292" t="s">
        <v>907</v>
      </c>
      <c r="J1292" t="str">
        <f>RIGHT(D1292,4)</f>
        <v>6302</v>
      </c>
      <c r="K1292" t="str">
        <f>IFERROR(VLOOKUP(VALUE(J1292),'Site Info'!$A:$G,3,FALSE),"")</f>
        <v>23300 BROADWAY AVE</v>
      </c>
      <c r="L1292" t="str">
        <f>IFERROR(VLOOKUP(VALUE(J1292),'Site Info'!$A:$G,4,FALSE),"")</f>
        <v>OAKWOOD VILLAGE</v>
      </c>
      <c r="M1292" t="str">
        <f>IFERROR(VLOOKUP(VALUE(J1292),'Site Info'!$A:$G,5,FALSE),"")</f>
        <v>OH</v>
      </c>
      <c r="N1292" t="str">
        <f>IFERROR(VLOOKUP(VALUE(J1292),'Site Info'!$A:$G,6,FALSE),"")</f>
        <v>44146-6016</v>
      </c>
      <c r="O1292">
        <f>IFERROR(VLOOKUP(VALUE(J1292),'Site Info'!$A:$G,7,FALSE),"")</f>
        <v>4402322582</v>
      </c>
    </row>
    <row r="1293" spans="1:15" x14ac:dyDescent="0.45">
      <c r="A1293" t="s">
        <v>938</v>
      </c>
      <c r="B1293" t="s">
        <v>939</v>
      </c>
      <c r="C1293" t="s">
        <v>940</v>
      </c>
      <c r="D1293" t="s">
        <v>905</v>
      </c>
      <c r="E1293" s="1">
        <v>46151.714479166665</v>
      </c>
      <c r="F1293">
        <v>1481</v>
      </c>
      <c r="G1293" t="s">
        <v>941</v>
      </c>
      <c r="H1293" t="s">
        <v>15</v>
      </c>
      <c r="I1293" t="s">
        <v>907</v>
      </c>
      <c r="J1293" t="str">
        <f>RIGHT(D1293,4)</f>
        <v>6302</v>
      </c>
      <c r="K1293" t="str">
        <f>IFERROR(VLOOKUP(VALUE(J1293),'Site Info'!$A:$G,3,FALSE),"")</f>
        <v>23300 BROADWAY AVE</v>
      </c>
      <c r="L1293" t="str">
        <f>IFERROR(VLOOKUP(VALUE(J1293),'Site Info'!$A:$G,4,FALSE),"")</f>
        <v>OAKWOOD VILLAGE</v>
      </c>
      <c r="M1293" t="str">
        <f>IFERROR(VLOOKUP(VALUE(J1293),'Site Info'!$A:$G,5,FALSE),"")</f>
        <v>OH</v>
      </c>
      <c r="N1293" t="str">
        <f>IFERROR(VLOOKUP(VALUE(J1293),'Site Info'!$A:$G,6,FALSE),"")</f>
        <v>44146-6016</v>
      </c>
      <c r="O1293">
        <f>IFERROR(VLOOKUP(VALUE(J1293),'Site Info'!$A:$G,7,FALSE),"")</f>
        <v>4402322582</v>
      </c>
    </row>
    <row r="1294" spans="1:15" x14ac:dyDescent="0.45">
      <c r="A1294" t="s">
        <v>1900</v>
      </c>
      <c r="B1294" t="s">
        <v>1901</v>
      </c>
      <c r="C1294" t="s">
        <v>1902</v>
      </c>
      <c r="D1294" t="s">
        <v>905</v>
      </c>
      <c r="E1294" s="1">
        <v>46152.364131944443</v>
      </c>
      <c r="F1294">
        <v>1481</v>
      </c>
      <c r="G1294" t="s">
        <v>1903</v>
      </c>
      <c r="H1294" t="s">
        <v>15</v>
      </c>
      <c r="I1294" t="s">
        <v>907</v>
      </c>
      <c r="J1294" t="str">
        <f>RIGHT(D1294,4)</f>
        <v>6302</v>
      </c>
      <c r="K1294" t="str">
        <f>IFERROR(VLOOKUP(VALUE(J1294),'Site Info'!$A:$G,3,FALSE),"")</f>
        <v>23300 BROADWAY AVE</v>
      </c>
      <c r="L1294" t="str">
        <f>IFERROR(VLOOKUP(VALUE(J1294),'Site Info'!$A:$G,4,FALSE),"")</f>
        <v>OAKWOOD VILLAGE</v>
      </c>
      <c r="M1294" t="str">
        <f>IFERROR(VLOOKUP(VALUE(J1294),'Site Info'!$A:$G,5,FALSE),"")</f>
        <v>OH</v>
      </c>
      <c r="N1294" t="str">
        <f>IFERROR(VLOOKUP(VALUE(J1294),'Site Info'!$A:$G,6,FALSE),"")</f>
        <v>44146-6016</v>
      </c>
      <c r="O1294">
        <f>IFERROR(VLOOKUP(VALUE(J1294),'Site Info'!$A:$G,7,FALSE),"")</f>
        <v>4402322582</v>
      </c>
    </row>
    <row r="1295" spans="1:15" x14ac:dyDescent="0.45">
      <c r="A1295" t="s">
        <v>902</v>
      </c>
      <c r="B1295" t="s">
        <v>903</v>
      </c>
      <c r="C1295" t="s">
        <v>904</v>
      </c>
      <c r="D1295" t="s">
        <v>905</v>
      </c>
      <c r="E1295" s="1">
        <v>46152.405763888892</v>
      </c>
      <c r="F1295">
        <v>1481</v>
      </c>
      <c r="G1295" t="s">
        <v>906</v>
      </c>
      <c r="H1295" t="s">
        <v>15</v>
      </c>
      <c r="I1295" t="s">
        <v>907</v>
      </c>
      <c r="J1295" t="str">
        <f>RIGHT(D1295,4)</f>
        <v>6302</v>
      </c>
      <c r="K1295" t="str">
        <f>IFERROR(VLOOKUP(VALUE(J1295),'Site Info'!$A:$G,3,FALSE),"")</f>
        <v>23300 BROADWAY AVE</v>
      </c>
      <c r="L1295" t="str">
        <f>IFERROR(VLOOKUP(VALUE(J1295),'Site Info'!$A:$G,4,FALSE),"")</f>
        <v>OAKWOOD VILLAGE</v>
      </c>
      <c r="M1295" t="str">
        <f>IFERROR(VLOOKUP(VALUE(J1295),'Site Info'!$A:$G,5,FALSE),"")</f>
        <v>OH</v>
      </c>
      <c r="N1295" t="str">
        <f>IFERROR(VLOOKUP(VALUE(J1295),'Site Info'!$A:$G,6,FALSE),"")</f>
        <v>44146-6016</v>
      </c>
      <c r="O1295">
        <f>IFERROR(VLOOKUP(VALUE(J1295),'Site Info'!$A:$G,7,FALSE),"")</f>
        <v>4402322582</v>
      </c>
    </row>
    <row r="1296" spans="1:15" x14ac:dyDescent="0.45">
      <c r="A1296" t="s">
        <v>11041</v>
      </c>
      <c r="B1296" t="s">
        <v>11042</v>
      </c>
      <c r="C1296" t="s">
        <v>11043</v>
      </c>
      <c r="D1296" t="s">
        <v>527</v>
      </c>
      <c r="E1296" s="1">
        <v>46147.292870370373</v>
      </c>
      <c r="F1296">
        <v>1547</v>
      </c>
      <c r="G1296" t="s">
        <v>11044</v>
      </c>
      <c r="H1296" t="s">
        <v>15</v>
      </c>
      <c r="I1296" t="s">
        <v>529</v>
      </c>
      <c r="J1296" t="str">
        <f>RIGHT(D1296,4)</f>
        <v>4989</v>
      </c>
      <c r="K1296" t="str">
        <f>IFERROR(VLOOKUP(VALUE(J1296),'Site Info'!$A:$G,3,FALSE),"")</f>
        <v>2335 BENT CREEK RD</v>
      </c>
      <c r="L1296" t="str">
        <f>IFERROR(VLOOKUP(VALUE(J1296),'Site Info'!$A:$G,4,FALSE),"")</f>
        <v>AUBURN</v>
      </c>
      <c r="M1296" t="str">
        <f>IFERROR(VLOOKUP(VALUE(J1296),'Site Info'!$A:$G,5,FALSE),"")</f>
        <v>AL</v>
      </c>
      <c r="N1296" t="str">
        <f>IFERROR(VLOOKUP(VALUE(J1296),'Site Info'!$A:$G,6,FALSE),"")</f>
        <v>36830-6434</v>
      </c>
      <c r="O1296">
        <f>IFERROR(VLOOKUP(VALUE(J1296),'Site Info'!$A:$G,7,FALSE),"")</f>
        <v>3348210121</v>
      </c>
    </row>
    <row r="1297" spans="1:15" x14ac:dyDescent="0.45">
      <c r="A1297" t="s">
        <v>13038</v>
      </c>
      <c r="B1297" t="s">
        <v>13039</v>
      </c>
      <c r="C1297" t="s">
        <v>13040</v>
      </c>
      <c r="D1297" t="s">
        <v>527</v>
      </c>
      <c r="E1297" s="1">
        <v>46149.440381944441</v>
      </c>
      <c r="F1297">
        <v>1547</v>
      </c>
      <c r="G1297" t="s">
        <v>13041</v>
      </c>
      <c r="H1297" t="s">
        <v>15</v>
      </c>
      <c r="I1297" t="s">
        <v>529</v>
      </c>
      <c r="J1297" t="str">
        <f>RIGHT(D1297,4)</f>
        <v>4989</v>
      </c>
      <c r="K1297" t="str">
        <f>IFERROR(VLOOKUP(VALUE(J1297),'Site Info'!$A:$G,3,FALSE),"")</f>
        <v>2335 BENT CREEK RD</v>
      </c>
      <c r="L1297" t="str">
        <f>IFERROR(VLOOKUP(VALUE(J1297),'Site Info'!$A:$G,4,FALSE),"")</f>
        <v>AUBURN</v>
      </c>
      <c r="M1297" t="str">
        <f>IFERROR(VLOOKUP(VALUE(J1297),'Site Info'!$A:$G,5,FALSE),"")</f>
        <v>AL</v>
      </c>
      <c r="N1297" t="str">
        <f>IFERROR(VLOOKUP(VALUE(J1297),'Site Info'!$A:$G,6,FALSE),"")</f>
        <v>36830-6434</v>
      </c>
      <c r="O1297">
        <f>IFERROR(VLOOKUP(VALUE(J1297),'Site Info'!$A:$G,7,FALSE),"")</f>
        <v>3348210121</v>
      </c>
    </row>
    <row r="1298" spans="1:15" x14ac:dyDescent="0.45">
      <c r="A1298" t="s">
        <v>10464</v>
      </c>
      <c r="B1298" t="s">
        <v>10465</v>
      </c>
      <c r="C1298" t="s">
        <v>10466</v>
      </c>
      <c r="D1298" t="s">
        <v>527</v>
      </c>
      <c r="E1298" s="1">
        <v>46153.189016203702</v>
      </c>
      <c r="F1298">
        <v>1547</v>
      </c>
      <c r="G1298" t="s">
        <v>10467</v>
      </c>
      <c r="H1298" t="s">
        <v>15</v>
      </c>
      <c r="I1298" t="s">
        <v>529</v>
      </c>
      <c r="J1298" t="str">
        <f>RIGHT(D1298,4)</f>
        <v>4989</v>
      </c>
      <c r="K1298" t="str">
        <f>IFERROR(VLOOKUP(VALUE(J1298),'Site Info'!$A:$G,3,FALSE),"")</f>
        <v>2335 BENT CREEK RD</v>
      </c>
      <c r="L1298" t="str">
        <f>IFERROR(VLOOKUP(VALUE(J1298),'Site Info'!$A:$G,4,FALSE),"")</f>
        <v>AUBURN</v>
      </c>
      <c r="M1298" t="str">
        <f>IFERROR(VLOOKUP(VALUE(J1298),'Site Info'!$A:$G,5,FALSE),"")</f>
        <v>AL</v>
      </c>
      <c r="N1298" t="str">
        <f>IFERROR(VLOOKUP(VALUE(J1298),'Site Info'!$A:$G,6,FALSE),"")</f>
        <v>36830-6434</v>
      </c>
      <c r="O1298">
        <f>IFERROR(VLOOKUP(VALUE(J1298),'Site Info'!$A:$G,7,FALSE),"")</f>
        <v>3348210121</v>
      </c>
    </row>
    <row r="1299" spans="1:15" x14ac:dyDescent="0.45">
      <c r="A1299" t="s">
        <v>13074</v>
      </c>
      <c r="B1299" t="s">
        <v>13075</v>
      </c>
      <c r="C1299" t="s">
        <v>13076</v>
      </c>
      <c r="D1299" t="s">
        <v>527</v>
      </c>
      <c r="E1299" s="1">
        <v>46153.370300925926</v>
      </c>
      <c r="F1299">
        <v>1547</v>
      </c>
      <c r="G1299" t="s">
        <v>13077</v>
      </c>
      <c r="H1299" t="s">
        <v>15</v>
      </c>
      <c r="I1299" t="s">
        <v>529</v>
      </c>
      <c r="J1299" t="str">
        <f>RIGHT(D1299,4)</f>
        <v>4989</v>
      </c>
      <c r="K1299" t="str">
        <f>IFERROR(VLOOKUP(VALUE(J1299),'Site Info'!$A:$G,3,FALSE),"")</f>
        <v>2335 BENT CREEK RD</v>
      </c>
      <c r="L1299" t="str">
        <f>IFERROR(VLOOKUP(VALUE(J1299),'Site Info'!$A:$G,4,FALSE),"")</f>
        <v>AUBURN</v>
      </c>
      <c r="M1299" t="str">
        <f>IFERROR(VLOOKUP(VALUE(J1299),'Site Info'!$A:$G,5,FALSE),"")</f>
        <v>AL</v>
      </c>
      <c r="N1299" t="str">
        <f>IFERROR(VLOOKUP(VALUE(J1299),'Site Info'!$A:$G,6,FALSE),"")</f>
        <v>36830-6434</v>
      </c>
      <c r="O1299">
        <f>IFERROR(VLOOKUP(VALUE(J1299),'Site Info'!$A:$G,7,FALSE),"")</f>
        <v>3348210121</v>
      </c>
    </row>
    <row r="1300" spans="1:15" x14ac:dyDescent="0.45">
      <c r="A1300" t="s">
        <v>524</v>
      </c>
      <c r="B1300" t="s">
        <v>525</v>
      </c>
      <c r="C1300" t="s">
        <v>526</v>
      </c>
      <c r="D1300" t="s">
        <v>527</v>
      </c>
      <c r="E1300" s="1">
        <v>46148.033854166664</v>
      </c>
      <c r="F1300">
        <v>1481</v>
      </c>
      <c r="G1300" t="s">
        <v>528</v>
      </c>
      <c r="H1300" t="s">
        <v>15</v>
      </c>
      <c r="I1300" t="s">
        <v>529</v>
      </c>
      <c r="J1300" t="str">
        <f>RIGHT(D1300,4)</f>
        <v>4989</v>
      </c>
      <c r="K1300" t="str">
        <f>IFERROR(VLOOKUP(VALUE(J1300),'Site Info'!$A:$G,3,FALSE),"")</f>
        <v>2335 BENT CREEK RD</v>
      </c>
      <c r="L1300" t="str">
        <f>IFERROR(VLOOKUP(VALUE(J1300),'Site Info'!$A:$G,4,FALSE),"")</f>
        <v>AUBURN</v>
      </c>
      <c r="M1300" t="str">
        <f>IFERROR(VLOOKUP(VALUE(J1300),'Site Info'!$A:$G,5,FALSE),"")</f>
        <v>AL</v>
      </c>
      <c r="N1300" t="str">
        <f>IFERROR(VLOOKUP(VALUE(J1300),'Site Info'!$A:$G,6,FALSE),"")</f>
        <v>36830-6434</v>
      </c>
      <c r="O1300">
        <f>IFERROR(VLOOKUP(VALUE(J1300),'Site Info'!$A:$G,7,FALSE),"")</f>
        <v>3348210121</v>
      </c>
    </row>
    <row r="1301" spans="1:15" x14ac:dyDescent="0.45">
      <c r="A1301" t="s">
        <v>1558</v>
      </c>
      <c r="B1301" t="s">
        <v>1559</v>
      </c>
      <c r="C1301" t="s">
        <v>1560</v>
      </c>
      <c r="D1301" t="s">
        <v>527</v>
      </c>
      <c r="E1301" s="1">
        <v>46153.301689814813</v>
      </c>
      <c r="F1301">
        <v>1481</v>
      </c>
      <c r="G1301" t="s">
        <v>1561</v>
      </c>
      <c r="H1301" t="s">
        <v>15</v>
      </c>
      <c r="I1301" t="s">
        <v>529</v>
      </c>
      <c r="J1301" t="str">
        <f>RIGHT(D1301,4)</f>
        <v>4989</v>
      </c>
      <c r="K1301" t="str">
        <f>IFERROR(VLOOKUP(VALUE(J1301),'Site Info'!$A:$G,3,FALSE),"")</f>
        <v>2335 BENT CREEK RD</v>
      </c>
      <c r="L1301" t="str">
        <f>IFERROR(VLOOKUP(VALUE(J1301),'Site Info'!$A:$G,4,FALSE),"")</f>
        <v>AUBURN</v>
      </c>
      <c r="M1301" t="str">
        <f>IFERROR(VLOOKUP(VALUE(J1301),'Site Info'!$A:$G,5,FALSE),"")</f>
        <v>AL</v>
      </c>
      <c r="N1301" t="str">
        <f>IFERROR(VLOOKUP(VALUE(J1301),'Site Info'!$A:$G,6,FALSE),"")</f>
        <v>36830-6434</v>
      </c>
      <c r="O1301">
        <f>IFERROR(VLOOKUP(VALUE(J1301),'Site Info'!$A:$G,7,FALSE),"")</f>
        <v>3348210121</v>
      </c>
    </row>
    <row r="1302" spans="1:15" x14ac:dyDescent="0.45">
      <c r="A1302" t="s">
        <v>6701</v>
      </c>
      <c r="B1302" t="s">
        <v>6702</v>
      </c>
      <c r="C1302" t="s">
        <v>6703</v>
      </c>
      <c r="D1302" t="s">
        <v>3332</v>
      </c>
      <c r="E1302" s="1">
        <v>46152.499976851854</v>
      </c>
      <c r="F1302">
        <v>1548</v>
      </c>
      <c r="G1302" t="s">
        <v>6704</v>
      </c>
      <c r="H1302" t="s">
        <v>15</v>
      </c>
      <c r="I1302" t="s">
        <v>3334</v>
      </c>
      <c r="J1302" t="str">
        <f>RIGHT(D1302,4)</f>
        <v>6655</v>
      </c>
      <c r="K1302" t="str">
        <f>IFERROR(VLOOKUP(VALUE(J1302),'Site Info'!$A:$G,3,FALSE),"")</f>
        <v>2365 CRAIN HWY</v>
      </c>
      <c r="L1302" t="str">
        <f>IFERROR(VLOOKUP(VALUE(J1302),'Site Info'!$A:$G,4,FALSE),"")</f>
        <v>WALDORF</v>
      </c>
      <c r="M1302" t="str">
        <f>IFERROR(VLOOKUP(VALUE(J1302),'Site Info'!$A:$G,5,FALSE),"")</f>
        <v>MD</v>
      </c>
      <c r="N1302" t="str">
        <f>IFERROR(VLOOKUP(VALUE(J1302),'Site Info'!$A:$G,6,FALSE),"")</f>
        <v>20601-3167</v>
      </c>
      <c r="O1302">
        <f>IFERROR(VLOOKUP(VALUE(J1302),'Site Info'!$A:$G,7,FALSE),"")</f>
        <v>3016456116</v>
      </c>
    </row>
    <row r="1303" spans="1:15" x14ac:dyDescent="0.45">
      <c r="A1303" t="s">
        <v>5524</v>
      </c>
      <c r="B1303" t="s">
        <v>5525</v>
      </c>
      <c r="C1303" t="s">
        <v>5526</v>
      </c>
      <c r="D1303" t="s">
        <v>3332</v>
      </c>
      <c r="E1303" s="1">
        <v>46151.730520833335</v>
      </c>
      <c r="F1303">
        <v>1547</v>
      </c>
      <c r="G1303" t="s">
        <v>5527</v>
      </c>
      <c r="H1303" t="s">
        <v>15</v>
      </c>
      <c r="I1303" t="s">
        <v>3334</v>
      </c>
      <c r="J1303" t="str">
        <f>RIGHT(D1303,4)</f>
        <v>6655</v>
      </c>
      <c r="K1303" t="str">
        <f>IFERROR(VLOOKUP(VALUE(J1303),'Site Info'!$A:$G,3,FALSE),"")</f>
        <v>2365 CRAIN HWY</v>
      </c>
      <c r="L1303" t="str">
        <f>IFERROR(VLOOKUP(VALUE(J1303),'Site Info'!$A:$G,4,FALSE),"")</f>
        <v>WALDORF</v>
      </c>
      <c r="M1303" t="str">
        <f>IFERROR(VLOOKUP(VALUE(J1303),'Site Info'!$A:$G,5,FALSE),"")</f>
        <v>MD</v>
      </c>
      <c r="N1303" t="str">
        <f>IFERROR(VLOOKUP(VALUE(J1303),'Site Info'!$A:$G,6,FALSE),"")</f>
        <v>20601-3167</v>
      </c>
      <c r="O1303">
        <f>IFERROR(VLOOKUP(VALUE(J1303),'Site Info'!$A:$G,7,FALSE),"")</f>
        <v>3016456116</v>
      </c>
    </row>
    <row r="1304" spans="1:15" x14ac:dyDescent="0.45">
      <c r="A1304" t="s">
        <v>5760</v>
      </c>
      <c r="B1304" t="s">
        <v>5761</v>
      </c>
      <c r="C1304" t="s">
        <v>5762</v>
      </c>
      <c r="D1304" t="s">
        <v>3332</v>
      </c>
      <c r="E1304" s="1">
        <v>46152.610162037039</v>
      </c>
      <c r="F1304">
        <v>1547</v>
      </c>
      <c r="G1304" t="s">
        <v>5763</v>
      </c>
      <c r="H1304" t="s">
        <v>15</v>
      </c>
      <c r="I1304" t="s">
        <v>3334</v>
      </c>
      <c r="J1304" t="str">
        <f>RIGHT(D1304,4)</f>
        <v>6655</v>
      </c>
      <c r="K1304" t="str">
        <f>IFERROR(VLOOKUP(VALUE(J1304),'Site Info'!$A:$G,3,FALSE),"")</f>
        <v>2365 CRAIN HWY</v>
      </c>
      <c r="L1304" t="str">
        <f>IFERROR(VLOOKUP(VALUE(J1304),'Site Info'!$A:$G,4,FALSE),"")</f>
        <v>WALDORF</v>
      </c>
      <c r="M1304" t="str">
        <f>IFERROR(VLOOKUP(VALUE(J1304),'Site Info'!$A:$G,5,FALSE),"")</f>
        <v>MD</v>
      </c>
      <c r="N1304" t="str">
        <f>IFERROR(VLOOKUP(VALUE(J1304),'Site Info'!$A:$G,6,FALSE),"")</f>
        <v>20601-3167</v>
      </c>
      <c r="O1304">
        <f>IFERROR(VLOOKUP(VALUE(J1304),'Site Info'!$A:$G,7,FALSE),"")</f>
        <v>3016456116</v>
      </c>
    </row>
    <row r="1305" spans="1:15" x14ac:dyDescent="0.45">
      <c r="A1305" t="s">
        <v>3329</v>
      </c>
      <c r="B1305" t="s">
        <v>3330</v>
      </c>
      <c r="C1305" t="s">
        <v>3331</v>
      </c>
      <c r="D1305" t="s">
        <v>3332</v>
      </c>
      <c r="E1305" s="1">
        <v>46152.810729166667</v>
      </c>
      <c r="F1305">
        <v>1481</v>
      </c>
      <c r="G1305" t="s">
        <v>3333</v>
      </c>
      <c r="H1305" t="s">
        <v>15</v>
      </c>
      <c r="I1305" t="s">
        <v>3334</v>
      </c>
      <c r="J1305" t="str">
        <f>RIGHT(D1305,4)</f>
        <v>6655</v>
      </c>
      <c r="K1305" t="str">
        <f>IFERROR(VLOOKUP(VALUE(J1305),'Site Info'!$A:$G,3,FALSE),"")</f>
        <v>2365 CRAIN HWY</v>
      </c>
      <c r="L1305" t="str">
        <f>IFERROR(VLOOKUP(VALUE(J1305),'Site Info'!$A:$G,4,FALSE),"")</f>
        <v>WALDORF</v>
      </c>
      <c r="M1305" t="str">
        <f>IFERROR(VLOOKUP(VALUE(J1305),'Site Info'!$A:$G,5,FALSE),"")</f>
        <v>MD</v>
      </c>
      <c r="N1305" t="str">
        <f>IFERROR(VLOOKUP(VALUE(J1305),'Site Info'!$A:$G,6,FALSE),"")</f>
        <v>20601-3167</v>
      </c>
      <c r="O1305">
        <f>IFERROR(VLOOKUP(VALUE(J1305),'Site Info'!$A:$G,7,FALSE),"")</f>
        <v>3016456116</v>
      </c>
    </row>
    <row r="1306" spans="1:15" x14ac:dyDescent="0.45">
      <c r="A1306" t="s">
        <v>17015</v>
      </c>
      <c r="B1306" t="s">
        <v>17016</v>
      </c>
      <c r="C1306" t="s">
        <v>17017</v>
      </c>
      <c r="D1306" t="s">
        <v>3332</v>
      </c>
      <c r="E1306" s="1">
        <v>46153.293553240743</v>
      </c>
      <c r="F1306">
        <v>1547</v>
      </c>
      <c r="G1306" t="s">
        <v>17018</v>
      </c>
      <c r="H1306" t="s">
        <v>15</v>
      </c>
      <c r="I1306" t="s">
        <v>3334</v>
      </c>
      <c r="J1306" t="str">
        <f>RIGHT(D1306,4)</f>
        <v>6655</v>
      </c>
      <c r="K1306" t="str">
        <f>IFERROR(VLOOKUP(VALUE(J1306),'Site Info'!$A:$G,3,FALSE),"")</f>
        <v>2365 CRAIN HWY</v>
      </c>
      <c r="L1306" t="str">
        <f>IFERROR(VLOOKUP(VALUE(J1306),'Site Info'!$A:$G,4,FALSE),"")</f>
        <v>WALDORF</v>
      </c>
      <c r="M1306" t="str">
        <f>IFERROR(VLOOKUP(VALUE(J1306),'Site Info'!$A:$G,5,FALSE),"")</f>
        <v>MD</v>
      </c>
      <c r="N1306" t="str">
        <f>IFERROR(VLOOKUP(VALUE(J1306),'Site Info'!$A:$G,6,FALSE),"")</f>
        <v>20601-3167</v>
      </c>
      <c r="O1306">
        <f>IFERROR(VLOOKUP(VALUE(J1306),'Site Info'!$A:$G,7,FALSE),"")</f>
        <v>3016456116</v>
      </c>
    </row>
    <row r="1307" spans="1:15" x14ac:dyDescent="0.45">
      <c r="A1307" t="s">
        <v>13455</v>
      </c>
      <c r="B1307" t="s">
        <v>13456</v>
      </c>
      <c r="C1307" t="s">
        <v>13457</v>
      </c>
      <c r="D1307" t="s">
        <v>3570</v>
      </c>
      <c r="E1307" s="1">
        <v>46152.703425925924</v>
      </c>
      <c r="F1307">
        <v>1547</v>
      </c>
      <c r="G1307" t="s">
        <v>13458</v>
      </c>
      <c r="H1307" t="s">
        <v>15</v>
      </c>
      <c r="I1307" t="s">
        <v>3572</v>
      </c>
      <c r="J1307" t="str">
        <f>RIGHT(D1307,4)</f>
        <v>6455</v>
      </c>
      <c r="K1307" t="str">
        <f>IFERROR(VLOOKUP(VALUE(J1307),'Site Info'!$A:$G,3,FALSE),"")</f>
        <v>2401 N ROSE AVE</v>
      </c>
      <c r="L1307" t="str">
        <f>IFERROR(VLOOKUP(VALUE(J1307),'Site Info'!$A:$G,4,FALSE),"")</f>
        <v>OXNARD</v>
      </c>
      <c r="M1307" t="str">
        <f>IFERROR(VLOOKUP(VALUE(J1307),'Site Info'!$A:$G,5,FALSE),"")</f>
        <v>CA</v>
      </c>
      <c r="N1307" t="str">
        <f>IFERROR(VLOOKUP(VALUE(J1307),'Site Info'!$A:$G,6,FALSE),"")</f>
        <v>93036-0602</v>
      </c>
      <c r="O1307">
        <f>IFERROR(VLOOKUP(VALUE(J1307),'Site Info'!$A:$G,7,FALSE),"")</f>
        <v>8059832442</v>
      </c>
    </row>
    <row r="1308" spans="1:15" x14ac:dyDescent="0.45">
      <c r="A1308" t="s">
        <v>13816</v>
      </c>
      <c r="B1308" t="s">
        <v>13817</v>
      </c>
      <c r="C1308" t="s">
        <v>13818</v>
      </c>
      <c r="D1308" t="s">
        <v>3570</v>
      </c>
      <c r="E1308" s="1">
        <v>46152.775787037041</v>
      </c>
      <c r="F1308">
        <v>1547</v>
      </c>
      <c r="G1308" t="s">
        <v>13819</v>
      </c>
      <c r="H1308" t="s">
        <v>15</v>
      </c>
      <c r="I1308" t="s">
        <v>3572</v>
      </c>
      <c r="J1308" t="str">
        <f>RIGHT(D1308,4)</f>
        <v>6455</v>
      </c>
      <c r="K1308" t="str">
        <f>IFERROR(VLOOKUP(VALUE(J1308),'Site Info'!$A:$G,3,FALSE),"")</f>
        <v>2401 N ROSE AVE</v>
      </c>
      <c r="L1308" t="str">
        <f>IFERROR(VLOOKUP(VALUE(J1308),'Site Info'!$A:$G,4,FALSE),"")</f>
        <v>OXNARD</v>
      </c>
      <c r="M1308" t="str">
        <f>IFERROR(VLOOKUP(VALUE(J1308),'Site Info'!$A:$G,5,FALSE),"")</f>
        <v>CA</v>
      </c>
      <c r="N1308" t="str">
        <f>IFERROR(VLOOKUP(VALUE(J1308),'Site Info'!$A:$G,6,FALSE),"")</f>
        <v>93036-0602</v>
      </c>
      <c r="O1308">
        <f>IFERROR(VLOOKUP(VALUE(J1308),'Site Info'!$A:$G,7,FALSE),"")</f>
        <v>8059832442</v>
      </c>
    </row>
    <row r="1309" spans="1:15" x14ac:dyDescent="0.45">
      <c r="A1309" t="s">
        <v>13960</v>
      </c>
      <c r="B1309" t="s">
        <v>13961</v>
      </c>
      <c r="C1309" t="s">
        <v>13962</v>
      </c>
      <c r="D1309" t="s">
        <v>3570</v>
      </c>
      <c r="E1309" s="1">
        <v>46152.798379629632</v>
      </c>
      <c r="F1309">
        <v>1547</v>
      </c>
      <c r="G1309" t="s">
        <v>13963</v>
      </c>
      <c r="H1309" t="s">
        <v>15</v>
      </c>
      <c r="I1309" t="s">
        <v>3572</v>
      </c>
      <c r="J1309" t="str">
        <f>RIGHT(D1309,4)</f>
        <v>6455</v>
      </c>
      <c r="K1309" t="str">
        <f>IFERROR(VLOOKUP(VALUE(J1309),'Site Info'!$A:$G,3,FALSE),"")</f>
        <v>2401 N ROSE AVE</v>
      </c>
      <c r="L1309" t="str">
        <f>IFERROR(VLOOKUP(VALUE(J1309),'Site Info'!$A:$G,4,FALSE),"")</f>
        <v>OXNARD</v>
      </c>
      <c r="M1309" t="str">
        <f>IFERROR(VLOOKUP(VALUE(J1309),'Site Info'!$A:$G,5,FALSE),"")</f>
        <v>CA</v>
      </c>
      <c r="N1309" t="str">
        <f>IFERROR(VLOOKUP(VALUE(J1309),'Site Info'!$A:$G,6,FALSE),"")</f>
        <v>93036-0602</v>
      </c>
      <c r="O1309">
        <f>IFERROR(VLOOKUP(VALUE(J1309),'Site Info'!$A:$G,7,FALSE),"")</f>
        <v>8059832442</v>
      </c>
    </row>
    <row r="1310" spans="1:15" x14ac:dyDescent="0.45">
      <c r="A1310" t="s">
        <v>10536</v>
      </c>
      <c r="B1310" t="s">
        <v>10537</v>
      </c>
      <c r="C1310" t="s">
        <v>10538</v>
      </c>
      <c r="D1310" t="s">
        <v>3570</v>
      </c>
      <c r="E1310" s="1">
        <v>46152.915046296293</v>
      </c>
      <c r="F1310">
        <v>1547</v>
      </c>
      <c r="G1310" t="s">
        <v>10539</v>
      </c>
      <c r="H1310" t="s">
        <v>15</v>
      </c>
      <c r="I1310" t="s">
        <v>3572</v>
      </c>
      <c r="J1310" t="str">
        <f>RIGHT(D1310,4)</f>
        <v>6455</v>
      </c>
      <c r="K1310" t="str">
        <f>IFERROR(VLOOKUP(VALUE(J1310),'Site Info'!$A:$G,3,FALSE),"")</f>
        <v>2401 N ROSE AVE</v>
      </c>
      <c r="L1310" t="str">
        <f>IFERROR(VLOOKUP(VALUE(J1310),'Site Info'!$A:$G,4,FALSE),"")</f>
        <v>OXNARD</v>
      </c>
      <c r="M1310" t="str">
        <f>IFERROR(VLOOKUP(VALUE(J1310),'Site Info'!$A:$G,5,FALSE),"")</f>
        <v>CA</v>
      </c>
      <c r="N1310" t="str">
        <f>IFERROR(VLOOKUP(VALUE(J1310),'Site Info'!$A:$G,6,FALSE),"")</f>
        <v>93036-0602</v>
      </c>
      <c r="O1310">
        <f>IFERROR(VLOOKUP(VALUE(J1310),'Site Info'!$A:$G,7,FALSE),"")</f>
        <v>8059832442</v>
      </c>
    </row>
    <row r="1311" spans="1:15" x14ac:dyDescent="0.45">
      <c r="A1311" t="s">
        <v>13932</v>
      </c>
      <c r="B1311" t="s">
        <v>13933</v>
      </c>
      <c r="C1311" t="s">
        <v>13934</v>
      </c>
      <c r="D1311" t="s">
        <v>3570</v>
      </c>
      <c r="E1311" s="1">
        <v>46153.306226851855</v>
      </c>
      <c r="F1311">
        <v>1547</v>
      </c>
      <c r="G1311" t="s">
        <v>13935</v>
      </c>
      <c r="H1311" t="s">
        <v>15</v>
      </c>
      <c r="I1311" t="s">
        <v>3572</v>
      </c>
      <c r="J1311" t="str">
        <f>RIGHT(D1311,4)</f>
        <v>6455</v>
      </c>
      <c r="K1311" t="str">
        <f>IFERROR(VLOOKUP(VALUE(J1311),'Site Info'!$A:$G,3,FALSE),"")</f>
        <v>2401 N ROSE AVE</v>
      </c>
      <c r="L1311" t="str">
        <f>IFERROR(VLOOKUP(VALUE(J1311),'Site Info'!$A:$G,4,FALSE),"")</f>
        <v>OXNARD</v>
      </c>
      <c r="M1311" t="str">
        <f>IFERROR(VLOOKUP(VALUE(J1311),'Site Info'!$A:$G,5,FALSE),"")</f>
        <v>CA</v>
      </c>
      <c r="N1311" t="str">
        <f>IFERROR(VLOOKUP(VALUE(J1311),'Site Info'!$A:$G,6,FALSE),"")</f>
        <v>93036-0602</v>
      </c>
      <c r="O1311">
        <f>IFERROR(VLOOKUP(VALUE(J1311),'Site Info'!$A:$G,7,FALSE),"")</f>
        <v>8059832442</v>
      </c>
    </row>
    <row r="1312" spans="1:15" x14ac:dyDescent="0.45">
      <c r="A1312" t="s">
        <v>10328</v>
      </c>
      <c r="B1312" t="s">
        <v>10329</v>
      </c>
      <c r="C1312" t="s">
        <v>10330</v>
      </c>
      <c r="D1312" t="s">
        <v>3570</v>
      </c>
      <c r="E1312" s="1">
        <v>46153.368819444448</v>
      </c>
      <c r="F1312">
        <v>1547</v>
      </c>
      <c r="G1312" t="s">
        <v>10331</v>
      </c>
      <c r="H1312" t="s">
        <v>15</v>
      </c>
      <c r="I1312" t="s">
        <v>3572</v>
      </c>
      <c r="J1312" t="str">
        <f>RIGHT(D1312,4)</f>
        <v>6455</v>
      </c>
      <c r="K1312" t="str">
        <f>IFERROR(VLOOKUP(VALUE(J1312),'Site Info'!$A:$G,3,FALSE),"")</f>
        <v>2401 N ROSE AVE</v>
      </c>
      <c r="L1312" t="str">
        <f>IFERROR(VLOOKUP(VALUE(J1312),'Site Info'!$A:$G,4,FALSE),"")</f>
        <v>OXNARD</v>
      </c>
      <c r="M1312" t="str">
        <f>IFERROR(VLOOKUP(VALUE(J1312),'Site Info'!$A:$G,5,FALSE),"")</f>
        <v>CA</v>
      </c>
      <c r="N1312" t="str">
        <f>IFERROR(VLOOKUP(VALUE(J1312),'Site Info'!$A:$G,6,FALSE),"")</f>
        <v>93036-0602</v>
      </c>
      <c r="O1312">
        <f>IFERROR(VLOOKUP(VALUE(J1312),'Site Info'!$A:$G,7,FALSE),"")</f>
        <v>8059832442</v>
      </c>
    </row>
    <row r="1313" spans="1:15" x14ac:dyDescent="0.45">
      <c r="A1313" t="s">
        <v>3567</v>
      </c>
      <c r="B1313" t="s">
        <v>3568</v>
      </c>
      <c r="C1313" t="s">
        <v>3569</v>
      </c>
      <c r="D1313" t="s">
        <v>3570</v>
      </c>
      <c r="E1313" s="1">
        <v>46153.314756944441</v>
      </c>
      <c r="F1313">
        <v>1481</v>
      </c>
      <c r="G1313" t="s">
        <v>3571</v>
      </c>
      <c r="H1313" t="s">
        <v>15</v>
      </c>
      <c r="I1313" t="s">
        <v>3572</v>
      </c>
      <c r="J1313" t="str">
        <f>RIGHT(D1313,4)</f>
        <v>6455</v>
      </c>
      <c r="K1313" t="str">
        <f>IFERROR(VLOOKUP(VALUE(J1313),'Site Info'!$A:$G,3,FALSE),"")</f>
        <v>2401 N ROSE AVE</v>
      </c>
      <c r="L1313" t="str">
        <f>IFERROR(VLOOKUP(VALUE(J1313),'Site Info'!$A:$G,4,FALSE),"")</f>
        <v>OXNARD</v>
      </c>
      <c r="M1313" t="str">
        <f>IFERROR(VLOOKUP(VALUE(J1313),'Site Info'!$A:$G,5,FALSE),"")</f>
        <v>CA</v>
      </c>
      <c r="N1313" t="str">
        <f>IFERROR(VLOOKUP(VALUE(J1313),'Site Info'!$A:$G,6,FALSE),"")</f>
        <v>93036-0602</v>
      </c>
      <c r="O1313">
        <f>IFERROR(VLOOKUP(VALUE(J1313),'Site Info'!$A:$G,7,FALSE),"")</f>
        <v>8059832442</v>
      </c>
    </row>
    <row r="1314" spans="1:15" x14ac:dyDescent="0.45">
      <c r="A1314" t="s">
        <v>8001</v>
      </c>
      <c r="B1314" t="s">
        <v>8002</v>
      </c>
      <c r="C1314" t="s">
        <v>8003</v>
      </c>
      <c r="D1314" t="s">
        <v>2238</v>
      </c>
      <c r="E1314" s="1">
        <v>46146.701284722221</v>
      </c>
      <c r="F1314">
        <v>1547</v>
      </c>
      <c r="G1314" t="s">
        <v>8004</v>
      </c>
      <c r="H1314" t="s">
        <v>15</v>
      </c>
      <c r="I1314" t="s">
        <v>2240</v>
      </c>
      <c r="J1314" t="str">
        <f>RIGHT(D1314,4)</f>
        <v>6419</v>
      </c>
      <c r="K1314" t="str">
        <f>IFERROR(VLOOKUP(VALUE(J1314),'Site Info'!$A:$G,3,FALSE),"")</f>
        <v>2401 N US HIGHWAY 31 S</v>
      </c>
      <c r="L1314" t="str">
        <f>IFERROR(VLOOKUP(VALUE(J1314),'Site Info'!$A:$G,4,FALSE),"")</f>
        <v>TRAVERSE CITY</v>
      </c>
      <c r="M1314" t="str">
        <f>IFERROR(VLOOKUP(VALUE(J1314),'Site Info'!$A:$G,5,FALSE),"")</f>
        <v>MI</v>
      </c>
      <c r="N1314" t="str">
        <f>IFERROR(VLOOKUP(VALUE(J1314),'Site Info'!$A:$G,6,FALSE),"")</f>
        <v>49684-4520</v>
      </c>
      <c r="O1314">
        <f>IFERROR(VLOOKUP(VALUE(J1314),'Site Info'!$A:$G,7,FALSE),"")</f>
        <v>2319468777</v>
      </c>
    </row>
    <row r="1315" spans="1:15" x14ac:dyDescent="0.45">
      <c r="A1315" t="s">
        <v>9713</v>
      </c>
      <c r="B1315" t="s">
        <v>9714</v>
      </c>
      <c r="C1315" t="s">
        <v>9715</v>
      </c>
      <c r="D1315" t="s">
        <v>2238</v>
      </c>
      <c r="E1315" s="1">
        <v>46149.407858796294</v>
      </c>
      <c r="F1315">
        <v>1547</v>
      </c>
      <c r="G1315" t="s">
        <v>9716</v>
      </c>
      <c r="H1315" t="s">
        <v>15</v>
      </c>
      <c r="I1315" t="s">
        <v>2240</v>
      </c>
      <c r="J1315" t="str">
        <f>RIGHT(D1315,4)</f>
        <v>6419</v>
      </c>
      <c r="K1315" t="str">
        <f>IFERROR(VLOOKUP(VALUE(J1315),'Site Info'!$A:$G,3,FALSE),"")</f>
        <v>2401 N US HIGHWAY 31 S</v>
      </c>
      <c r="L1315" t="str">
        <f>IFERROR(VLOOKUP(VALUE(J1315),'Site Info'!$A:$G,4,FALSE),"")</f>
        <v>TRAVERSE CITY</v>
      </c>
      <c r="M1315" t="str">
        <f>IFERROR(VLOOKUP(VALUE(J1315),'Site Info'!$A:$G,5,FALSE),"")</f>
        <v>MI</v>
      </c>
      <c r="N1315" t="str">
        <f>IFERROR(VLOOKUP(VALUE(J1315),'Site Info'!$A:$G,6,FALSE),"")</f>
        <v>49684-4520</v>
      </c>
      <c r="O1315">
        <f>IFERROR(VLOOKUP(VALUE(J1315),'Site Info'!$A:$G,7,FALSE),"")</f>
        <v>2319468777</v>
      </c>
    </row>
    <row r="1316" spans="1:15" x14ac:dyDescent="0.45">
      <c r="A1316" t="s">
        <v>12164</v>
      </c>
      <c r="B1316" t="s">
        <v>12165</v>
      </c>
      <c r="C1316" t="s">
        <v>12166</v>
      </c>
      <c r="D1316" t="s">
        <v>2238</v>
      </c>
      <c r="E1316" s="1">
        <v>46151.331111111111</v>
      </c>
      <c r="F1316">
        <v>1547</v>
      </c>
      <c r="G1316" t="s">
        <v>12167</v>
      </c>
      <c r="H1316" t="s">
        <v>15</v>
      </c>
      <c r="I1316" t="s">
        <v>2240</v>
      </c>
      <c r="J1316" t="str">
        <f>RIGHT(D1316,4)</f>
        <v>6419</v>
      </c>
      <c r="K1316" t="str">
        <f>IFERROR(VLOOKUP(VALUE(J1316),'Site Info'!$A:$G,3,FALSE),"")</f>
        <v>2401 N US HIGHWAY 31 S</v>
      </c>
      <c r="L1316" t="str">
        <f>IFERROR(VLOOKUP(VALUE(J1316),'Site Info'!$A:$G,4,FALSE),"")</f>
        <v>TRAVERSE CITY</v>
      </c>
      <c r="M1316" t="str">
        <f>IFERROR(VLOOKUP(VALUE(J1316),'Site Info'!$A:$G,5,FALSE),"")</f>
        <v>MI</v>
      </c>
      <c r="N1316" t="str">
        <f>IFERROR(VLOOKUP(VALUE(J1316),'Site Info'!$A:$G,6,FALSE),"")</f>
        <v>49684-4520</v>
      </c>
      <c r="O1316">
        <f>IFERROR(VLOOKUP(VALUE(J1316),'Site Info'!$A:$G,7,FALSE),"")</f>
        <v>2319468777</v>
      </c>
    </row>
    <row r="1317" spans="1:15" x14ac:dyDescent="0.45">
      <c r="A1317" t="s">
        <v>12440</v>
      </c>
      <c r="B1317" t="s">
        <v>12441</v>
      </c>
      <c r="C1317" t="s">
        <v>12442</v>
      </c>
      <c r="D1317" t="s">
        <v>2238</v>
      </c>
      <c r="E1317" s="1">
        <v>46151.798206018517</v>
      </c>
      <c r="F1317">
        <v>1547</v>
      </c>
      <c r="G1317" t="s">
        <v>12443</v>
      </c>
      <c r="H1317" t="s">
        <v>15</v>
      </c>
      <c r="I1317" t="s">
        <v>2240</v>
      </c>
      <c r="J1317" t="str">
        <f>RIGHT(D1317,4)</f>
        <v>6419</v>
      </c>
      <c r="K1317" t="str">
        <f>IFERROR(VLOOKUP(VALUE(J1317),'Site Info'!$A:$G,3,FALSE),"")</f>
        <v>2401 N US HIGHWAY 31 S</v>
      </c>
      <c r="L1317" t="str">
        <f>IFERROR(VLOOKUP(VALUE(J1317),'Site Info'!$A:$G,4,FALSE),"")</f>
        <v>TRAVERSE CITY</v>
      </c>
      <c r="M1317" t="str">
        <f>IFERROR(VLOOKUP(VALUE(J1317),'Site Info'!$A:$G,5,FALSE),"")</f>
        <v>MI</v>
      </c>
      <c r="N1317" t="str">
        <f>IFERROR(VLOOKUP(VALUE(J1317),'Site Info'!$A:$G,6,FALSE),"")</f>
        <v>49684-4520</v>
      </c>
      <c r="O1317">
        <f>IFERROR(VLOOKUP(VALUE(J1317),'Site Info'!$A:$G,7,FALSE),"")</f>
        <v>2319468777</v>
      </c>
    </row>
    <row r="1318" spans="1:15" x14ac:dyDescent="0.45">
      <c r="A1318" t="s">
        <v>12268</v>
      </c>
      <c r="B1318" t="s">
        <v>12269</v>
      </c>
      <c r="C1318" t="s">
        <v>12270</v>
      </c>
      <c r="D1318" t="s">
        <v>2238</v>
      </c>
      <c r="E1318" s="1">
        <v>46152.619710648149</v>
      </c>
      <c r="F1318">
        <v>1547</v>
      </c>
      <c r="G1318" t="s">
        <v>12271</v>
      </c>
      <c r="H1318" t="s">
        <v>15</v>
      </c>
      <c r="I1318" t="s">
        <v>2240</v>
      </c>
      <c r="J1318" t="str">
        <f>RIGHT(D1318,4)</f>
        <v>6419</v>
      </c>
      <c r="K1318" t="str">
        <f>IFERROR(VLOOKUP(VALUE(J1318),'Site Info'!$A:$G,3,FALSE),"")</f>
        <v>2401 N US HIGHWAY 31 S</v>
      </c>
      <c r="L1318" t="str">
        <f>IFERROR(VLOOKUP(VALUE(J1318),'Site Info'!$A:$G,4,FALSE),"")</f>
        <v>TRAVERSE CITY</v>
      </c>
      <c r="M1318" t="str">
        <f>IFERROR(VLOOKUP(VALUE(J1318),'Site Info'!$A:$G,5,FALSE),"")</f>
        <v>MI</v>
      </c>
      <c r="N1318" t="str">
        <f>IFERROR(VLOOKUP(VALUE(J1318),'Site Info'!$A:$G,6,FALSE),"")</f>
        <v>49684-4520</v>
      </c>
      <c r="O1318">
        <f>IFERROR(VLOOKUP(VALUE(J1318),'Site Info'!$A:$G,7,FALSE),"")</f>
        <v>2319468777</v>
      </c>
    </row>
    <row r="1319" spans="1:15" x14ac:dyDescent="0.45">
      <c r="A1319" t="s">
        <v>3907</v>
      </c>
      <c r="B1319" t="s">
        <v>3908</v>
      </c>
      <c r="C1319" t="s">
        <v>3909</v>
      </c>
      <c r="D1319" t="s">
        <v>2238</v>
      </c>
      <c r="E1319" s="1">
        <v>46150.515740740739</v>
      </c>
      <c r="F1319">
        <v>1481</v>
      </c>
      <c r="G1319" t="s">
        <v>3910</v>
      </c>
      <c r="H1319" t="s">
        <v>15</v>
      </c>
      <c r="I1319" t="s">
        <v>2240</v>
      </c>
      <c r="J1319" t="str">
        <f>RIGHT(D1319,4)</f>
        <v>6419</v>
      </c>
      <c r="K1319" t="str">
        <f>IFERROR(VLOOKUP(VALUE(J1319),'Site Info'!$A:$G,3,FALSE),"")</f>
        <v>2401 N US HIGHWAY 31 S</v>
      </c>
      <c r="L1319" t="str">
        <f>IFERROR(VLOOKUP(VALUE(J1319),'Site Info'!$A:$G,4,FALSE),"")</f>
        <v>TRAVERSE CITY</v>
      </c>
      <c r="M1319" t="str">
        <f>IFERROR(VLOOKUP(VALUE(J1319),'Site Info'!$A:$G,5,FALSE),"")</f>
        <v>MI</v>
      </c>
      <c r="N1319" t="str">
        <f>IFERROR(VLOOKUP(VALUE(J1319),'Site Info'!$A:$G,6,FALSE),"")</f>
        <v>49684-4520</v>
      </c>
      <c r="O1319">
        <f>IFERROR(VLOOKUP(VALUE(J1319),'Site Info'!$A:$G,7,FALSE),"")</f>
        <v>2319468777</v>
      </c>
    </row>
    <row r="1320" spans="1:15" x14ac:dyDescent="0.45">
      <c r="A1320" t="s">
        <v>2235</v>
      </c>
      <c r="B1320" t="s">
        <v>2236</v>
      </c>
      <c r="C1320" t="s">
        <v>2237</v>
      </c>
      <c r="D1320" t="s">
        <v>2238</v>
      </c>
      <c r="E1320" s="1">
        <v>46153.36928240741</v>
      </c>
      <c r="F1320">
        <v>1481</v>
      </c>
      <c r="G1320" t="s">
        <v>2239</v>
      </c>
      <c r="H1320" t="s">
        <v>15</v>
      </c>
      <c r="I1320" t="s">
        <v>2240</v>
      </c>
      <c r="J1320" t="str">
        <f>RIGHT(D1320,4)</f>
        <v>6419</v>
      </c>
      <c r="K1320" t="str">
        <f>IFERROR(VLOOKUP(VALUE(J1320),'Site Info'!$A:$G,3,FALSE),"")</f>
        <v>2401 N US HIGHWAY 31 S</v>
      </c>
      <c r="L1320" t="str">
        <f>IFERROR(VLOOKUP(VALUE(J1320),'Site Info'!$A:$G,4,FALSE),"")</f>
        <v>TRAVERSE CITY</v>
      </c>
      <c r="M1320" t="str">
        <f>IFERROR(VLOOKUP(VALUE(J1320),'Site Info'!$A:$G,5,FALSE),"")</f>
        <v>MI</v>
      </c>
      <c r="N1320" t="str">
        <f>IFERROR(VLOOKUP(VALUE(J1320),'Site Info'!$A:$G,6,FALSE),"")</f>
        <v>49684-4520</v>
      </c>
      <c r="O1320">
        <f>IFERROR(VLOOKUP(VALUE(J1320),'Site Info'!$A:$G,7,FALSE),"")</f>
        <v>2319468777</v>
      </c>
    </row>
    <row r="1321" spans="1:15" x14ac:dyDescent="0.45">
      <c r="A1321" t="s">
        <v>16504</v>
      </c>
      <c r="B1321" t="s">
        <v>16835</v>
      </c>
      <c r="C1321" t="s">
        <v>16836</v>
      </c>
      <c r="D1321" t="s">
        <v>2238</v>
      </c>
      <c r="E1321" s="1">
        <v>46153.294525462959</v>
      </c>
      <c r="F1321">
        <v>1628</v>
      </c>
      <c r="G1321" t="s">
        <v>16837</v>
      </c>
      <c r="H1321" t="s">
        <v>13988</v>
      </c>
      <c r="I1321" t="s">
        <v>2240</v>
      </c>
      <c r="J1321" t="str">
        <f>RIGHT(D1321,4)</f>
        <v>6419</v>
      </c>
      <c r="K1321" t="str">
        <f>IFERROR(VLOOKUP(VALUE(J1321),'Site Info'!$A:$G,3,FALSE),"")</f>
        <v>2401 N US HIGHWAY 31 S</v>
      </c>
      <c r="L1321" t="str">
        <f>IFERROR(VLOOKUP(VALUE(J1321),'Site Info'!$A:$G,4,FALSE),"")</f>
        <v>TRAVERSE CITY</v>
      </c>
      <c r="M1321" t="str">
        <f>IFERROR(VLOOKUP(VALUE(J1321),'Site Info'!$A:$G,5,FALSE),"")</f>
        <v>MI</v>
      </c>
      <c r="N1321" t="str">
        <f>IFERROR(VLOOKUP(VALUE(J1321),'Site Info'!$A:$G,6,FALSE),"")</f>
        <v>49684-4520</v>
      </c>
      <c r="O1321">
        <f>IFERROR(VLOOKUP(VALUE(J1321),'Site Info'!$A:$G,7,FALSE),"")</f>
        <v>2319468777</v>
      </c>
    </row>
    <row r="1322" spans="1:15" x14ac:dyDescent="0.45">
      <c r="A1322" t="s">
        <v>10746</v>
      </c>
      <c r="B1322" t="s">
        <v>10747</v>
      </c>
      <c r="C1322" t="s">
        <v>10748</v>
      </c>
      <c r="D1322" t="s">
        <v>2974</v>
      </c>
      <c r="E1322" s="1">
        <v>46153.3358912037</v>
      </c>
      <c r="F1322">
        <v>1547</v>
      </c>
      <c r="G1322" t="s">
        <v>10749</v>
      </c>
      <c r="H1322" t="s">
        <v>15</v>
      </c>
      <c r="I1322" t="s">
        <v>2976</v>
      </c>
      <c r="J1322" t="str">
        <f>RIGHT(D1322,4)</f>
        <v>6377</v>
      </c>
      <c r="K1322" t="str">
        <f>IFERROR(VLOOKUP(VALUE(J1322),'Site Info'!$A:$G,3,FALSE),"")</f>
        <v>2405 S CARAWAY RD</v>
      </c>
      <c r="L1322" t="str">
        <f>IFERROR(VLOOKUP(VALUE(J1322),'Site Info'!$A:$G,4,FALSE),"")</f>
        <v>JONESBORO</v>
      </c>
      <c r="M1322" t="str">
        <f>IFERROR(VLOOKUP(VALUE(J1322),'Site Info'!$A:$G,5,FALSE),"")</f>
        <v>AR</v>
      </c>
      <c r="N1322" t="str">
        <f>IFERROR(VLOOKUP(VALUE(J1322),'Site Info'!$A:$G,6,FALSE),"")</f>
        <v>72401-6208</v>
      </c>
      <c r="O1322">
        <f>IFERROR(VLOOKUP(VALUE(J1322),'Site Info'!$A:$G,7,FALSE),"")</f>
        <v>8709721644</v>
      </c>
    </row>
    <row r="1323" spans="1:15" x14ac:dyDescent="0.45">
      <c r="A1323" t="s">
        <v>2971</v>
      </c>
      <c r="B1323" t="s">
        <v>2972</v>
      </c>
      <c r="C1323" t="s">
        <v>2973</v>
      </c>
      <c r="D1323" t="s">
        <v>2974</v>
      </c>
      <c r="E1323" s="1">
        <v>46153.335335648146</v>
      </c>
      <c r="F1323">
        <v>1481</v>
      </c>
      <c r="G1323" t="s">
        <v>2975</v>
      </c>
      <c r="H1323" t="s">
        <v>15</v>
      </c>
      <c r="I1323" t="s">
        <v>2976</v>
      </c>
      <c r="J1323" t="str">
        <f>RIGHT(D1323,4)</f>
        <v>6377</v>
      </c>
      <c r="K1323" t="str">
        <f>IFERROR(VLOOKUP(VALUE(J1323),'Site Info'!$A:$G,3,FALSE),"")</f>
        <v>2405 S CARAWAY RD</v>
      </c>
      <c r="L1323" t="str">
        <f>IFERROR(VLOOKUP(VALUE(J1323),'Site Info'!$A:$G,4,FALSE),"")</f>
        <v>JONESBORO</v>
      </c>
      <c r="M1323" t="str">
        <f>IFERROR(VLOOKUP(VALUE(J1323),'Site Info'!$A:$G,5,FALSE),"")</f>
        <v>AR</v>
      </c>
      <c r="N1323" t="str">
        <f>IFERROR(VLOOKUP(VALUE(J1323),'Site Info'!$A:$G,6,FALSE),"")</f>
        <v>72401-6208</v>
      </c>
      <c r="O1323">
        <f>IFERROR(VLOOKUP(VALUE(J1323),'Site Info'!$A:$G,7,FALSE),"")</f>
        <v>8709721644</v>
      </c>
    </row>
    <row r="1324" spans="1:15" x14ac:dyDescent="0.45">
      <c r="A1324" t="s">
        <v>11304</v>
      </c>
      <c r="B1324" t="s">
        <v>11305</v>
      </c>
      <c r="C1324" t="s">
        <v>11306</v>
      </c>
      <c r="D1324" t="s">
        <v>2135</v>
      </c>
      <c r="E1324" s="1">
        <v>46153.138090277775</v>
      </c>
      <c r="F1324">
        <v>1547</v>
      </c>
      <c r="G1324" t="s">
        <v>11307</v>
      </c>
      <c r="H1324" t="s">
        <v>15</v>
      </c>
      <c r="I1324" t="s">
        <v>2137</v>
      </c>
      <c r="J1324" t="str">
        <f>RIGHT(D1324,4)</f>
        <v>4797</v>
      </c>
      <c r="K1324" t="str">
        <f>IFERROR(VLOOKUP(VALUE(J1324),'Site Info'!$A:$G,3,FALSE),"")</f>
        <v>2421 SUPERCENTER DR NE</v>
      </c>
      <c r="L1324" t="str">
        <f>IFERROR(VLOOKUP(VALUE(J1324),'Site Info'!$A:$G,4,FALSE),"")</f>
        <v>KANNAPOLIS</v>
      </c>
      <c r="M1324" t="str">
        <f>IFERROR(VLOOKUP(VALUE(J1324),'Site Info'!$A:$G,5,FALSE),"")</f>
        <v>NC</v>
      </c>
      <c r="N1324" t="str">
        <f>IFERROR(VLOOKUP(VALUE(J1324),'Site Info'!$A:$G,6,FALSE),"")</f>
        <v>28083-6426</v>
      </c>
      <c r="O1324">
        <f>IFERROR(VLOOKUP(VALUE(J1324),'Site Info'!$A:$G,7,FALSE),"")</f>
        <v>7047929000</v>
      </c>
    </row>
    <row r="1325" spans="1:15" x14ac:dyDescent="0.45">
      <c r="A1325" t="s">
        <v>6038</v>
      </c>
      <c r="B1325" t="s">
        <v>6039</v>
      </c>
      <c r="C1325" t="s">
        <v>6040</v>
      </c>
      <c r="D1325" t="s">
        <v>2135</v>
      </c>
      <c r="E1325" s="1">
        <v>46153.372291666667</v>
      </c>
      <c r="F1325">
        <v>1547</v>
      </c>
      <c r="G1325" t="s">
        <v>6041</v>
      </c>
      <c r="H1325" t="s">
        <v>15</v>
      </c>
      <c r="I1325" t="s">
        <v>2137</v>
      </c>
      <c r="J1325" t="str">
        <f>RIGHT(D1325,4)</f>
        <v>4797</v>
      </c>
      <c r="K1325" t="str">
        <f>IFERROR(VLOOKUP(VALUE(J1325),'Site Info'!$A:$G,3,FALSE),"")</f>
        <v>2421 SUPERCENTER DR NE</v>
      </c>
      <c r="L1325" t="str">
        <f>IFERROR(VLOOKUP(VALUE(J1325),'Site Info'!$A:$G,4,FALSE),"")</f>
        <v>KANNAPOLIS</v>
      </c>
      <c r="M1325" t="str">
        <f>IFERROR(VLOOKUP(VALUE(J1325),'Site Info'!$A:$G,5,FALSE),"")</f>
        <v>NC</v>
      </c>
      <c r="N1325" t="str">
        <f>IFERROR(VLOOKUP(VALUE(J1325),'Site Info'!$A:$G,6,FALSE),"")</f>
        <v>28083-6426</v>
      </c>
      <c r="O1325">
        <f>IFERROR(VLOOKUP(VALUE(J1325),'Site Info'!$A:$G,7,FALSE),"")</f>
        <v>7047929000</v>
      </c>
    </row>
    <row r="1326" spans="1:15" x14ac:dyDescent="0.45">
      <c r="A1326" t="s">
        <v>2132</v>
      </c>
      <c r="B1326" t="s">
        <v>2133</v>
      </c>
      <c r="C1326" t="s">
        <v>2134</v>
      </c>
      <c r="D1326" t="s">
        <v>2135</v>
      </c>
      <c r="E1326" s="1">
        <v>46153.13994212963</v>
      </c>
      <c r="F1326">
        <v>1481</v>
      </c>
      <c r="G1326" t="s">
        <v>2136</v>
      </c>
      <c r="H1326" t="s">
        <v>15</v>
      </c>
      <c r="I1326" t="s">
        <v>2137</v>
      </c>
      <c r="J1326" t="str">
        <f>RIGHT(D1326,4)</f>
        <v>4797</v>
      </c>
      <c r="K1326" t="str">
        <f>IFERROR(VLOOKUP(VALUE(J1326),'Site Info'!$A:$G,3,FALSE),"")</f>
        <v>2421 SUPERCENTER DR NE</v>
      </c>
      <c r="L1326" t="str">
        <f>IFERROR(VLOOKUP(VALUE(J1326),'Site Info'!$A:$G,4,FALSE),"")</f>
        <v>KANNAPOLIS</v>
      </c>
      <c r="M1326" t="str">
        <f>IFERROR(VLOOKUP(VALUE(J1326),'Site Info'!$A:$G,5,FALSE),"")</f>
        <v>NC</v>
      </c>
      <c r="N1326" t="str">
        <f>IFERROR(VLOOKUP(VALUE(J1326),'Site Info'!$A:$G,6,FALSE),"")</f>
        <v>28083-6426</v>
      </c>
      <c r="O1326">
        <f>IFERROR(VLOOKUP(VALUE(J1326),'Site Info'!$A:$G,7,FALSE),"")</f>
        <v>7047929000</v>
      </c>
    </row>
    <row r="1327" spans="1:15" x14ac:dyDescent="0.45">
      <c r="A1327" t="s">
        <v>16447</v>
      </c>
      <c r="B1327" t="s">
        <v>16448</v>
      </c>
      <c r="C1327" t="s">
        <v>16449</v>
      </c>
      <c r="D1327" t="s">
        <v>2135</v>
      </c>
      <c r="E1327" s="1">
        <v>46151.622071759259</v>
      </c>
      <c r="F1327">
        <v>1547</v>
      </c>
      <c r="G1327" t="s">
        <v>16450</v>
      </c>
      <c r="H1327" t="s">
        <v>15</v>
      </c>
      <c r="I1327" t="s">
        <v>2137</v>
      </c>
      <c r="J1327" t="str">
        <f>RIGHT(D1327,4)</f>
        <v>4797</v>
      </c>
      <c r="K1327" t="str">
        <f>IFERROR(VLOOKUP(VALUE(J1327),'Site Info'!$A:$G,3,FALSE),"")</f>
        <v>2421 SUPERCENTER DR NE</v>
      </c>
      <c r="L1327" t="str">
        <f>IFERROR(VLOOKUP(VALUE(J1327),'Site Info'!$A:$G,4,FALSE),"")</f>
        <v>KANNAPOLIS</v>
      </c>
      <c r="M1327" t="str">
        <f>IFERROR(VLOOKUP(VALUE(J1327),'Site Info'!$A:$G,5,FALSE),"")</f>
        <v>NC</v>
      </c>
      <c r="N1327" t="str">
        <f>IFERROR(VLOOKUP(VALUE(J1327),'Site Info'!$A:$G,6,FALSE),"")</f>
        <v>28083-6426</v>
      </c>
      <c r="O1327">
        <f>IFERROR(VLOOKUP(VALUE(J1327),'Site Info'!$A:$G,7,FALSE),"")</f>
        <v>7047929000</v>
      </c>
    </row>
    <row r="1328" spans="1:15" x14ac:dyDescent="0.45">
      <c r="A1328" t="s">
        <v>12540</v>
      </c>
      <c r="B1328" t="s">
        <v>12541</v>
      </c>
      <c r="C1328" t="s">
        <v>12542</v>
      </c>
      <c r="D1328" t="s">
        <v>8966</v>
      </c>
      <c r="E1328" s="1">
        <v>46151.713321759256</v>
      </c>
      <c r="F1328">
        <v>1547</v>
      </c>
      <c r="G1328" t="s">
        <v>12543</v>
      </c>
      <c r="H1328" t="s">
        <v>15</v>
      </c>
      <c r="I1328" t="s">
        <v>8968</v>
      </c>
      <c r="J1328" t="str">
        <f>RIGHT(D1328,4)</f>
        <v>6355</v>
      </c>
      <c r="K1328" t="str">
        <f>IFERROR(VLOOKUP(VALUE(J1328),'Site Info'!$A:$G,3,FALSE),"")</f>
        <v>2435 US HIGHWAY 70 SE</v>
      </c>
      <c r="L1328" t="str">
        <f>IFERROR(VLOOKUP(VALUE(J1328),'Site Info'!$A:$G,4,FALSE),"")</f>
        <v>HICKORY</v>
      </c>
      <c r="M1328" t="str">
        <f>IFERROR(VLOOKUP(VALUE(J1328),'Site Info'!$A:$G,5,FALSE),"")</f>
        <v>NC</v>
      </c>
      <c r="N1328" t="str">
        <f>IFERROR(VLOOKUP(VALUE(J1328),'Site Info'!$A:$G,6,FALSE),"")</f>
        <v>28602-8301</v>
      </c>
      <c r="O1328">
        <f>IFERROR(VLOOKUP(VALUE(J1328),'Site Info'!$A:$G,7,FALSE),"")</f>
        <v>8283268699</v>
      </c>
    </row>
    <row r="1329" spans="1:15" x14ac:dyDescent="0.45">
      <c r="A1329" t="s">
        <v>8963</v>
      </c>
      <c r="B1329" t="s">
        <v>8964</v>
      </c>
      <c r="C1329" t="s">
        <v>8965</v>
      </c>
      <c r="D1329" t="s">
        <v>8966</v>
      </c>
      <c r="E1329" s="1">
        <v>46152.320370370369</v>
      </c>
      <c r="F1329">
        <v>1547</v>
      </c>
      <c r="G1329" t="s">
        <v>8967</v>
      </c>
      <c r="H1329" t="s">
        <v>15</v>
      </c>
      <c r="I1329" t="s">
        <v>8968</v>
      </c>
      <c r="J1329" t="str">
        <f>RIGHT(D1329,4)</f>
        <v>6355</v>
      </c>
      <c r="K1329" t="str">
        <f>IFERROR(VLOOKUP(VALUE(J1329),'Site Info'!$A:$G,3,FALSE),"")</f>
        <v>2435 US HIGHWAY 70 SE</v>
      </c>
      <c r="L1329" t="str">
        <f>IFERROR(VLOOKUP(VALUE(J1329),'Site Info'!$A:$G,4,FALSE),"")</f>
        <v>HICKORY</v>
      </c>
      <c r="M1329" t="str">
        <f>IFERROR(VLOOKUP(VALUE(J1329),'Site Info'!$A:$G,5,FALSE),"")</f>
        <v>NC</v>
      </c>
      <c r="N1329" t="str">
        <f>IFERROR(VLOOKUP(VALUE(J1329),'Site Info'!$A:$G,6,FALSE),"")</f>
        <v>28602-8301</v>
      </c>
      <c r="O1329">
        <f>IFERROR(VLOOKUP(VALUE(J1329),'Site Info'!$A:$G,7,FALSE),"")</f>
        <v>8283268699</v>
      </c>
    </row>
    <row r="1330" spans="1:15" x14ac:dyDescent="0.45">
      <c r="A1330" t="s">
        <v>9253</v>
      </c>
      <c r="B1330" t="s">
        <v>9254</v>
      </c>
      <c r="C1330" t="s">
        <v>9255</v>
      </c>
      <c r="D1330" t="s">
        <v>8966</v>
      </c>
      <c r="E1330" s="1">
        <v>46153.126307870371</v>
      </c>
      <c r="F1330">
        <v>1547</v>
      </c>
      <c r="G1330" t="s">
        <v>9256</v>
      </c>
      <c r="H1330" t="s">
        <v>15</v>
      </c>
      <c r="I1330" t="s">
        <v>8968</v>
      </c>
      <c r="J1330" t="str">
        <f>RIGHT(D1330,4)</f>
        <v>6355</v>
      </c>
      <c r="K1330" t="str">
        <f>IFERROR(VLOOKUP(VALUE(J1330),'Site Info'!$A:$G,3,FALSE),"")</f>
        <v>2435 US HIGHWAY 70 SE</v>
      </c>
      <c r="L1330" t="str">
        <f>IFERROR(VLOOKUP(VALUE(J1330),'Site Info'!$A:$G,4,FALSE),"")</f>
        <v>HICKORY</v>
      </c>
      <c r="M1330" t="str">
        <f>IFERROR(VLOOKUP(VALUE(J1330),'Site Info'!$A:$G,5,FALSE),"")</f>
        <v>NC</v>
      </c>
      <c r="N1330" t="str">
        <f>IFERROR(VLOOKUP(VALUE(J1330),'Site Info'!$A:$G,6,FALSE),"")</f>
        <v>28602-8301</v>
      </c>
      <c r="O1330">
        <f>IFERROR(VLOOKUP(VALUE(J1330),'Site Info'!$A:$G,7,FALSE),"")</f>
        <v>8283268699</v>
      </c>
    </row>
    <row r="1331" spans="1:15" x14ac:dyDescent="0.45">
      <c r="A1331" t="s">
        <v>9573</v>
      </c>
      <c r="B1331" t="s">
        <v>9574</v>
      </c>
      <c r="C1331" t="s">
        <v>9575</v>
      </c>
      <c r="D1331" t="s">
        <v>8966</v>
      </c>
      <c r="E1331" s="1">
        <v>46153.129664351851</v>
      </c>
      <c r="F1331">
        <v>1547</v>
      </c>
      <c r="G1331" t="s">
        <v>9576</v>
      </c>
      <c r="H1331" t="s">
        <v>15</v>
      </c>
      <c r="I1331" t="s">
        <v>8968</v>
      </c>
      <c r="J1331" t="str">
        <f>RIGHT(D1331,4)</f>
        <v>6355</v>
      </c>
      <c r="K1331" t="str">
        <f>IFERROR(VLOOKUP(VALUE(J1331),'Site Info'!$A:$G,3,FALSE),"")</f>
        <v>2435 US HIGHWAY 70 SE</v>
      </c>
      <c r="L1331" t="str">
        <f>IFERROR(VLOOKUP(VALUE(J1331),'Site Info'!$A:$G,4,FALSE),"")</f>
        <v>HICKORY</v>
      </c>
      <c r="M1331" t="str">
        <f>IFERROR(VLOOKUP(VALUE(J1331),'Site Info'!$A:$G,5,FALSE),"")</f>
        <v>NC</v>
      </c>
      <c r="N1331" t="str">
        <f>IFERROR(VLOOKUP(VALUE(J1331),'Site Info'!$A:$G,6,FALSE),"")</f>
        <v>28602-8301</v>
      </c>
      <c r="O1331">
        <f>IFERROR(VLOOKUP(VALUE(J1331),'Site Info'!$A:$G,7,FALSE),"")</f>
        <v>8283268699</v>
      </c>
    </row>
    <row r="1332" spans="1:15" x14ac:dyDescent="0.45">
      <c r="A1332" t="s">
        <v>9395</v>
      </c>
      <c r="B1332" t="s">
        <v>9396</v>
      </c>
      <c r="C1332" t="s">
        <v>9397</v>
      </c>
      <c r="D1332" t="s">
        <v>8966</v>
      </c>
      <c r="E1332" s="1">
        <v>46153.314560185187</v>
      </c>
      <c r="F1332">
        <v>1547</v>
      </c>
      <c r="G1332" t="s">
        <v>9398</v>
      </c>
      <c r="H1332" t="s">
        <v>15</v>
      </c>
      <c r="I1332" t="s">
        <v>8968</v>
      </c>
      <c r="J1332" t="str">
        <f>RIGHT(D1332,4)</f>
        <v>6355</v>
      </c>
      <c r="K1332" t="str">
        <f>IFERROR(VLOOKUP(VALUE(J1332),'Site Info'!$A:$G,3,FALSE),"")</f>
        <v>2435 US HIGHWAY 70 SE</v>
      </c>
      <c r="L1332" t="str">
        <f>IFERROR(VLOOKUP(VALUE(J1332),'Site Info'!$A:$G,4,FALSE),"")</f>
        <v>HICKORY</v>
      </c>
      <c r="M1332" t="str">
        <f>IFERROR(VLOOKUP(VALUE(J1332),'Site Info'!$A:$G,5,FALSE),"")</f>
        <v>NC</v>
      </c>
      <c r="N1332" t="str">
        <f>IFERROR(VLOOKUP(VALUE(J1332),'Site Info'!$A:$G,6,FALSE),"")</f>
        <v>28602-8301</v>
      </c>
      <c r="O1332">
        <f>IFERROR(VLOOKUP(VALUE(J1332),'Site Info'!$A:$G,7,FALSE),"")</f>
        <v>8283268699</v>
      </c>
    </row>
    <row r="1333" spans="1:15" x14ac:dyDescent="0.45">
      <c r="A1333" t="s">
        <v>10895</v>
      </c>
      <c r="B1333" t="s">
        <v>10896</v>
      </c>
      <c r="C1333" t="s">
        <v>10897</v>
      </c>
      <c r="D1333" t="s">
        <v>8966</v>
      </c>
      <c r="E1333" s="1">
        <v>46153.364710648151</v>
      </c>
      <c r="F1333">
        <v>1547</v>
      </c>
      <c r="G1333" t="s">
        <v>10898</v>
      </c>
      <c r="H1333" t="s">
        <v>15</v>
      </c>
      <c r="I1333" t="s">
        <v>8968</v>
      </c>
      <c r="J1333" t="str">
        <f>RIGHT(D1333,4)</f>
        <v>6355</v>
      </c>
      <c r="K1333" t="str">
        <f>IFERROR(VLOOKUP(VALUE(J1333),'Site Info'!$A:$G,3,FALSE),"")</f>
        <v>2435 US HIGHWAY 70 SE</v>
      </c>
      <c r="L1333" t="str">
        <f>IFERROR(VLOOKUP(VALUE(J1333),'Site Info'!$A:$G,4,FALSE),"")</f>
        <v>HICKORY</v>
      </c>
      <c r="M1333" t="str">
        <f>IFERROR(VLOOKUP(VALUE(J1333),'Site Info'!$A:$G,5,FALSE),"")</f>
        <v>NC</v>
      </c>
      <c r="N1333" t="str">
        <f>IFERROR(VLOOKUP(VALUE(J1333),'Site Info'!$A:$G,6,FALSE),"")</f>
        <v>28602-8301</v>
      </c>
      <c r="O1333">
        <f>IFERROR(VLOOKUP(VALUE(J1333),'Site Info'!$A:$G,7,FALSE),"")</f>
        <v>8283268699</v>
      </c>
    </row>
    <row r="1334" spans="1:15" x14ac:dyDescent="0.45">
      <c r="A1334" t="s">
        <v>11832</v>
      </c>
      <c r="B1334" t="s">
        <v>11833</v>
      </c>
      <c r="C1334" t="s">
        <v>11834</v>
      </c>
      <c r="D1334" t="s">
        <v>1083</v>
      </c>
      <c r="E1334" s="1">
        <v>46151.619814814818</v>
      </c>
      <c r="F1334">
        <v>1547</v>
      </c>
      <c r="G1334" t="s">
        <v>11835</v>
      </c>
      <c r="H1334" t="s">
        <v>15</v>
      </c>
      <c r="I1334" t="s">
        <v>1085</v>
      </c>
      <c r="J1334" t="str">
        <f>RIGHT(D1334,4)</f>
        <v>6366</v>
      </c>
      <c r="K1334" t="str">
        <f>IFERROR(VLOOKUP(VALUE(J1334),'Site Info'!$A:$G,3,FALSE),"")</f>
        <v>2441 VESTAL PKWY E</v>
      </c>
      <c r="L1334" t="str">
        <f>IFERROR(VLOOKUP(VALUE(J1334),'Site Info'!$A:$G,4,FALSE),"")</f>
        <v>VESTAL</v>
      </c>
      <c r="M1334" t="str">
        <f>IFERROR(VLOOKUP(VALUE(J1334),'Site Info'!$A:$G,5,FALSE),"")</f>
        <v>NY</v>
      </c>
      <c r="N1334" t="str">
        <f>IFERROR(VLOOKUP(VALUE(J1334),'Site Info'!$A:$G,6,FALSE),"")</f>
        <v>13850-2018</v>
      </c>
      <c r="O1334">
        <f>IFERROR(VLOOKUP(VALUE(J1334),'Site Info'!$A:$G,7,FALSE),"")</f>
        <v>6077706200</v>
      </c>
    </row>
    <row r="1335" spans="1:15" x14ac:dyDescent="0.45">
      <c r="A1335" t="s">
        <v>11025</v>
      </c>
      <c r="B1335" t="s">
        <v>11026</v>
      </c>
      <c r="C1335" t="s">
        <v>11027</v>
      </c>
      <c r="D1335" t="s">
        <v>1083</v>
      </c>
      <c r="E1335" s="1">
        <v>46153.190312500003</v>
      </c>
      <c r="F1335">
        <v>1547</v>
      </c>
      <c r="G1335" t="s">
        <v>11028</v>
      </c>
      <c r="H1335" t="s">
        <v>15</v>
      </c>
      <c r="I1335" t="s">
        <v>1085</v>
      </c>
      <c r="J1335" t="str">
        <f>RIGHT(D1335,4)</f>
        <v>6366</v>
      </c>
      <c r="K1335" t="str">
        <f>IFERROR(VLOOKUP(VALUE(J1335),'Site Info'!$A:$G,3,FALSE),"")</f>
        <v>2441 VESTAL PKWY E</v>
      </c>
      <c r="L1335" t="str">
        <f>IFERROR(VLOOKUP(VALUE(J1335),'Site Info'!$A:$G,4,FALSE),"")</f>
        <v>VESTAL</v>
      </c>
      <c r="M1335" t="str">
        <f>IFERROR(VLOOKUP(VALUE(J1335),'Site Info'!$A:$G,5,FALSE),"")</f>
        <v>NY</v>
      </c>
      <c r="N1335" t="str">
        <f>IFERROR(VLOOKUP(VALUE(J1335),'Site Info'!$A:$G,6,FALSE),"")</f>
        <v>13850-2018</v>
      </c>
      <c r="O1335">
        <f>IFERROR(VLOOKUP(VALUE(J1335),'Site Info'!$A:$G,7,FALSE),"")</f>
        <v>6077706200</v>
      </c>
    </row>
    <row r="1336" spans="1:15" x14ac:dyDescent="0.45">
      <c r="A1336" t="s">
        <v>9930</v>
      </c>
      <c r="B1336" t="s">
        <v>9931</v>
      </c>
      <c r="C1336" t="s">
        <v>9932</v>
      </c>
      <c r="D1336" t="s">
        <v>1083</v>
      </c>
      <c r="E1336" s="1">
        <v>46153.195092592592</v>
      </c>
      <c r="F1336">
        <v>1547</v>
      </c>
      <c r="G1336" t="s">
        <v>9933</v>
      </c>
      <c r="H1336" t="s">
        <v>15</v>
      </c>
      <c r="I1336" t="s">
        <v>1085</v>
      </c>
      <c r="J1336" t="str">
        <f>RIGHT(D1336,4)</f>
        <v>6366</v>
      </c>
      <c r="K1336" t="str">
        <f>IFERROR(VLOOKUP(VALUE(J1336),'Site Info'!$A:$G,3,FALSE),"")</f>
        <v>2441 VESTAL PKWY E</v>
      </c>
      <c r="L1336" t="str">
        <f>IFERROR(VLOOKUP(VALUE(J1336),'Site Info'!$A:$G,4,FALSE),"")</f>
        <v>VESTAL</v>
      </c>
      <c r="M1336" t="str">
        <f>IFERROR(VLOOKUP(VALUE(J1336),'Site Info'!$A:$G,5,FALSE),"")</f>
        <v>NY</v>
      </c>
      <c r="N1336" t="str">
        <f>IFERROR(VLOOKUP(VALUE(J1336),'Site Info'!$A:$G,6,FALSE),"")</f>
        <v>13850-2018</v>
      </c>
      <c r="O1336">
        <f>IFERROR(VLOOKUP(VALUE(J1336),'Site Info'!$A:$G,7,FALSE),"")</f>
        <v>6077706200</v>
      </c>
    </row>
    <row r="1337" spans="1:15" x14ac:dyDescent="0.45">
      <c r="A1337" t="s">
        <v>7015</v>
      </c>
      <c r="B1337" t="s">
        <v>7016</v>
      </c>
      <c r="C1337" t="s">
        <v>7017</v>
      </c>
      <c r="D1337" t="s">
        <v>1083</v>
      </c>
      <c r="E1337" s="1">
        <v>46153.366747685184</v>
      </c>
      <c r="F1337">
        <v>1547</v>
      </c>
      <c r="G1337" t="s">
        <v>7018</v>
      </c>
      <c r="H1337" t="s">
        <v>15</v>
      </c>
      <c r="I1337" t="s">
        <v>1085</v>
      </c>
      <c r="J1337" t="str">
        <f>RIGHT(D1337,4)</f>
        <v>6366</v>
      </c>
      <c r="K1337" t="str">
        <f>IFERROR(VLOOKUP(VALUE(J1337),'Site Info'!$A:$G,3,FALSE),"")</f>
        <v>2441 VESTAL PKWY E</v>
      </c>
      <c r="L1337" t="str">
        <f>IFERROR(VLOOKUP(VALUE(J1337),'Site Info'!$A:$G,4,FALSE),"")</f>
        <v>VESTAL</v>
      </c>
      <c r="M1337" t="str">
        <f>IFERROR(VLOOKUP(VALUE(J1337),'Site Info'!$A:$G,5,FALSE),"")</f>
        <v>NY</v>
      </c>
      <c r="N1337" t="str">
        <f>IFERROR(VLOOKUP(VALUE(J1337),'Site Info'!$A:$G,6,FALSE),"")</f>
        <v>13850-2018</v>
      </c>
      <c r="O1337">
        <f>IFERROR(VLOOKUP(VALUE(J1337),'Site Info'!$A:$G,7,FALSE),"")</f>
        <v>6077706200</v>
      </c>
    </row>
    <row r="1338" spans="1:15" x14ac:dyDescent="0.45">
      <c r="A1338" t="s">
        <v>2933</v>
      </c>
      <c r="B1338" t="s">
        <v>2934</v>
      </c>
      <c r="C1338" t="s">
        <v>2935</v>
      </c>
      <c r="D1338" t="s">
        <v>1083</v>
      </c>
      <c r="E1338" s="1">
        <v>46149.368449074071</v>
      </c>
      <c r="F1338">
        <v>1481</v>
      </c>
      <c r="G1338" t="s">
        <v>2936</v>
      </c>
      <c r="H1338" t="s">
        <v>15</v>
      </c>
      <c r="I1338" t="s">
        <v>1085</v>
      </c>
      <c r="J1338" t="str">
        <f>RIGHT(D1338,4)</f>
        <v>6366</v>
      </c>
      <c r="K1338" t="str">
        <f>IFERROR(VLOOKUP(VALUE(J1338),'Site Info'!$A:$G,3,FALSE),"")</f>
        <v>2441 VESTAL PKWY E</v>
      </c>
      <c r="L1338" t="str">
        <f>IFERROR(VLOOKUP(VALUE(J1338),'Site Info'!$A:$G,4,FALSE),"")</f>
        <v>VESTAL</v>
      </c>
      <c r="M1338" t="str">
        <f>IFERROR(VLOOKUP(VALUE(J1338),'Site Info'!$A:$G,5,FALSE),"")</f>
        <v>NY</v>
      </c>
      <c r="N1338" t="str">
        <f>IFERROR(VLOOKUP(VALUE(J1338),'Site Info'!$A:$G,6,FALSE),"")</f>
        <v>13850-2018</v>
      </c>
      <c r="O1338">
        <f>IFERROR(VLOOKUP(VALUE(J1338),'Site Info'!$A:$G,7,FALSE),"")</f>
        <v>6077706200</v>
      </c>
    </row>
    <row r="1339" spans="1:15" x14ac:dyDescent="0.45">
      <c r="A1339" t="s">
        <v>1114</v>
      </c>
      <c r="B1339" t="s">
        <v>1115</v>
      </c>
      <c r="C1339" t="s">
        <v>1116</v>
      </c>
      <c r="D1339" t="s">
        <v>1083</v>
      </c>
      <c r="E1339" s="1">
        <v>46153.286412037036</v>
      </c>
      <c r="F1339">
        <v>1481</v>
      </c>
      <c r="G1339" t="s">
        <v>1117</v>
      </c>
      <c r="H1339" t="s">
        <v>15</v>
      </c>
      <c r="I1339" t="s">
        <v>1085</v>
      </c>
      <c r="J1339" t="str">
        <f>RIGHT(D1339,4)</f>
        <v>6366</v>
      </c>
      <c r="K1339" t="str">
        <f>IFERROR(VLOOKUP(VALUE(J1339),'Site Info'!$A:$G,3,FALSE),"")</f>
        <v>2441 VESTAL PKWY E</v>
      </c>
      <c r="L1339" t="str">
        <f>IFERROR(VLOOKUP(VALUE(J1339),'Site Info'!$A:$G,4,FALSE),"")</f>
        <v>VESTAL</v>
      </c>
      <c r="M1339" t="str">
        <f>IFERROR(VLOOKUP(VALUE(J1339),'Site Info'!$A:$G,5,FALSE),"")</f>
        <v>NY</v>
      </c>
      <c r="N1339" t="str">
        <f>IFERROR(VLOOKUP(VALUE(J1339),'Site Info'!$A:$G,6,FALSE),"")</f>
        <v>13850-2018</v>
      </c>
      <c r="O1339">
        <f>IFERROR(VLOOKUP(VALUE(J1339),'Site Info'!$A:$G,7,FALSE),"")</f>
        <v>6077706200</v>
      </c>
    </row>
    <row r="1340" spans="1:15" x14ac:dyDescent="0.45">
      <c r="A1340" t="s">
        <v>1080</v>
      </c>
      <c r="B1340" t="s">
        <v>1081</v>
      </c>
      <c r="C1340" t="s">
        <v>1082</v>
      </c>
      <c r="D1340" t="s">
        <v>1083</v>
      </c>
      <c r="E1340" s="1">
        <v>46153.297662037039</v>
      </c>
      <c r="F1340">
        <v>1481</v>
      </c>
      <c r="G1340" t="s">
        <v>1084</v>
      </c>
      <c r="H1340" t="s">
        <v>15</v>
      </c>
      <c r="I1340" t="s">
        <v>1085</v>
      </c>
      <c r="J1340" t="str">
        <f>RIGHT(D1340,4)</f>
        <v>6366</v>
      </c>
      <c r="K1340" t="str">
        <f>IFERROR(VLOOKUP(VALUE(J1340),'Site Info'!$A:$G,3,FALSE),"")</f>
        <v>2441 VESTAL PKWY E</v>
      </c>
      <c r="L1340" t="str">
        <f>IFERROR(VLOOKUP(VALUE(J1340),'Site Info'!$A:$G,4,FALSE),"")</f>
        <v>VESTAL</v>
      </c>
      <c r="M1340" t="str">
        <f>IFERROR(VLOOKUP(VALUE(J1340),'Site Info'!$A:$G,5,FALSE),"")</f>
        <v>NY</v>
      </c>
      <c r="N1340" t="str">
        <f>IFERROR(VLOOKUP(VALUE(J1340),'Site Info'!$A:$G,6,FALSE),"")</f>
        <v>13850-2018</v>
      </c>
      <c r="O1340">
        <f>IFERROR(VLOOKUP(VALUE(J1340),'Site Info'!$A:$G,7,FALSE),"")</f>
        <v>6077706200</v>
      </c>
    </row>
    <row r="1341" spans="1:15" x14ac:dyDescent="0.45">
      <c r="A1341" t="s">
        <v>10632</v>
      </c>
      <c r="B1341" t="s">
        <v>10633</v>
      </c>
      <c r="C1341" t="s">
        <v>10634</v>
      </c>
      <c r="D1341" t="s">
        <v>1003</v>
      </c>
      <c r="E1341" s="1">
        <v>46150.432951388888</v>
      </c>
      <c r="F1341">
        <v>1547</v>
      </c>
      <c r="G1341" t="s">
        <v>10635</v>
      </c>
      <c r="H1341" t="s">
        <v>15</v>
      </c>
      <c r="I1341" t="s">
        <v>1005</v>
      </c>
      <c r="J1341" t="str">
        <f>RIGHT(D1341,4)</f>
        <v>4710</v>
      </c>
      <c r="K1341" t="str">
        <f>IFERROR(VLOOKUP(VALUE(J1341),'Site Info'!$A:$G,3,FALSE),"")</f>
        <v>2444 CHESAPEAKE SQUARE RING RD</v>
      </c>
      <c r="L1341" t="str">
        <f>IFERROR(VLOOKUP(VALUE(J1341),'Site Info'!$A:$G,4,FALSE),"")</f>
        <v>CHESAPEAKE</v>
      </c>
      <c r="M1341" t="str">
        <f>IFERROR(VLOOKUP(VALUE(J1341),'Site Info'!$A:$G,5,FALSE),"")</f>
        <v>VA</v>
      </c>
      <c r="N1341" t="str">
        <f>IFERROR(VLOOKUP(VALUE(J1341),'Site Info'!$A:$G,6,FALSE),"")</f>
        <v>23321-2173</v>
      </c>
      <c r="O1341">
        <f>IFERROR(VLOOKUP(VALUE(J1341),'Site Info'!$A:$G,7,FALSE),"")</f>
        <v>7574650082</v>
      </c>
    </row>
    <row r="1342" spans="1:15" x14ac:dyDescent="0.45">
      <c r="A1342" t="s">
        <v>13026</v>
      </c>
      <c r="B1342" t="s">
        <v>13027</v>
      </c>
      <c r="C1342" t="s">
        <v>13028</v>
      </c>
      <c r="D1342" t="s">
        <v>1003</v>
      </c>
      <c r="E1342" s="1">
        <v>46152.768692129626</v>
      </c>
      <c r="F1342">
        <v>1547</v>
      </c>
      <c r="G1342" t="s">
        <v>13029</v>
      </c>
      <c r="H1342" t="s">
        <v>15</v>
      </c>
      <c r="I1342" t="s">
        <v>1005</v>
      </c>
      <c r="J1342" t="str">
        <f>RIGHT(D1342,4)</f>
        <v>4710</v>
      </c>
      <c r="K1342" t="str">
        <f>IFERROR(VLOOKUP(VALUE(J1342),'Site Info'!$A:$G,3,FALSE),"")</f>
        <v>2444 CHESAPEAKE SQUARE RING RD</v>
      </c>
      <c r="L1342" t="str">
        <f>IFERROR(VLOOKUP(VALUE(J1342),'Site Info'!$A:$G,4,FALSE),"")</f>
        <v>CHESAPEAKE</v>
      </c>
      <c r="M1342" t="str">
        <f>IFERROR(VLOOKUP(VALUE(J1342),'Site Info'!$A:$G,5,FALSE),"")</f>
        <v>VA</v>
      </c>
      <c r="N1342" t="str">
        <f>IFERROR(VLOOKUP(VALUE(J1342),'Site Info'!$A:$G,6,FALSE),"")</f>
        <v>23321-2173</v>
      </c>
      <c r="O1342">
        <f>IFERROR(VLOOKUP(VALUE(J1342),'Site Info'!$A:$G,7,FALSE),"")</f>
        <v>7574650082</v>
      </c>
    </row>
    <row r="1343" spans="1:15" x14ac:dyDescent="0.45">
      <c r="A1343" t="s">
        <v>13363</v>
      </c>
      <c r="B1343" t="s">
        <v>13364</v>
      </c>
      <c r="C1343" t="s">
        <v>13365</v>
      </c>
      <c r="D1343" t="s">
        <v>1003</v>
      </c>
      <c r="E1343" s="1">
        <v>46152.833726851852</v>
      </c>
      <c r="F1343">
        <v>1547</v>
      </c>
      <c r="G1343" t="s">
        <v>13366</v>
      </c>
      <c r="H1343" t="s">
        <v>15</v>
      </c>
      <c r="I1343" t="s">
        <v>1005</v>
      </c>
      <c r="J1343" t="str">
        <f>RIGHT(D1343,4)</f>
        <v>4710</v>
      </c>
      <c r="K1343" t="str">
        <f>IFERROR(VLOOKUP(VALUE(J1343),'Site Info'!$A:$G,3,FALSE),"")</f>
        <v>2444 CHESAPEAKE SQUARE RING RD</v>
      </c>
      <c r="L1343" t="str">
        <f>IFERROR(VLOOKUP(VALUE(J1343),'Site Info'!$A:$G,4,FALSE),"")</f>
        <v>CHESAPEAKE</v>
      </c>
      <c r="M1343" t="str">
        <f>IFERROR(VLOOKUP(VALUE(J1343),'Site Info'!$A:$G,5,FALSE),"")</f>
        <v>VA</v>
      </c>
      <c r="N1343" t="str">
        <f>IFERROR(VLOOKUP(VALUE(J1343),'Site Info'!$A:$G,6,FALSE),"")</f>
        <v>23321-2173</v>
      </c>
      <c r="O1343">
        <f>IFERROR(VLOOKUP(VALUE(J1343),'Site Info'!$A:$G,7,FALSE),"")</f>
        <v>7574650082</v>
      </c>
    </row>
    <row r="1344" spans="1:15" x14ac:dyDescent="0.45">
      <c r="A1344" t="s">
        <v>13407</v>
      </c>
      <c r="B1344" t="s">
        <v>13408</v>
      </c>
      <c r="C1344" t="s">
        <v>13409</v>
      </c>
      <c r="D1344" t="s">
        <v>1003</v>
      </c>
      <c r="E1344" s="1">
        <v>46153.357858796298</v>
      </c>
      <c r="F1344">
        <v>1547</v>
      </c>
      <c r="G1344" t="s">
        <v>13410</v>
      </c>
      <c r="H1344" t="s">
        <v>15</v>
      </c>
      <c r="I1344" t="s">
        <v>1005</v>
      </c>
      <c r="J1344" t="str">
        <f>RIGHT(D1344,4)</f>
        <v>4710</v>
      </c>
      <c r="K1344" t="str">
        <f>IFERROR(VLOOKUP(VALUE(J1344),'Site Info'!$A:$G,3,FALSE),"")</f>
        <v>2444 CHESAPEAKE SQUARE RING RD</v>
      </c>
      <c r="L1344" t="str">
        <f>IFERROR(VLOOKUP(VALUE(J1344),'Site Info'!$A:$G,4,FALSE),"")</f>
        <v>CHESAPEAKE</v>
      </c>
      <c r="M1344" t="str">
        <f>IFERROR(VLOOKUP(VALUE(J1344),'Site Info'!$A:$G,5,FALSE),"")</f>
        <v>VA</v>
      </c>
      <c r="N1344" t="str">
        <f>IFERROR(VLOOKUP(VALUE(J1344),'Site Info'!$A:$G,6,FALSE),"")</f>
        <v>23321-2173</v>
      </c>
      <c r="O1344">
        <f>IFERROR(VLOOKUP(VALUE(J1344),'Site Info'!$A:$G,7,FALSE),"")</f>
        <v>7574650082</v>
      </c>
    </row>
    <row r="1345" spans="1:15" x14ac:dyDescent="0.45">
      <c r="A1345" t="s">
        <v>11550</v>
      </c>
      <c r="B1345" t="s">
        <v>11551</v>
      </c>
      <c r="C1345" t="s">
        <v>11552</v>
      </c>
      <c r="D1345" t="s">
        <v>1003</v>
      </c>
      <c r="E1345" s="1">
        <v>46153.359432870369</v>
      </c>
      <c r="F1345">
        <v>1547</v>
      </c>
      <c r="G1345" t="s">
        <v>11553</v>
      </c>
      <c r="H1345" t="s">
        <v>15</v>
      </c>
      <c r="I1345" t="s">
        <v>1005</v>
      </c>
      <c r="J1345" t="str">
        <f>RIGHT(D1345,4)</f>
        <v>4710</v>
      </c>
      <c r="K1345" t="str">
        <f>IFERROR(VLOOKUP(VALUE(J1345),'Site Info'!$A:$G,3,FALSE),"")</f>
        <v>2444 CHESAPEAKE SQUARE RING RD</v>
      </c>
      <c r="L1345" t="str">
        <f>IFERROR(VLOOKUP(VALUE(J1345),'Site Info'!$A:$G,4,FALSE),"")</f>
        <v>CHESAPEAKE</v>
      </c>
      <c r="M1345" t="str">
        <f>IFERROR(VLOOKUP(VALUE(J1345),'Site Info'!$A:$G,5,FALSE),"")</f>
        <v>VA</v>
      </c>
      <c r="N1345" t="str">
        <f>IFERROR(VLOOKUP(VALUE(J1345),'Site Info'!$A:$G,6,FALSE),"")</f>
        <v>23321-2173</v>
      </c>
      <c r="O1345">
        <f>IFERROR(VLOOKUP(VALUE(J1345),'Site Info'!$A:$G,7,FALSE),"")</f>
        <v>7574650082</v>
      </c>
    </row>
    <row r="1346" spans="1:15" x14ac:dyDescent="0.45">
      <c r="A1346" t="s">
        <v>1000</v>
      </c>
      <c r="B1346" t="s">
        <v>1001</v>
      </c>
      <c r="C1346" t="s">
        <v>1002</v>
      </c>
      <c r="D1346" t="s">
        <v>1003</v>
      </c>
      <c r="E1346" s="1">
        <v>46153.130219907405</v>
      </c>
      <c r="F1346">
        <v>1481</v>
      </c>
      <c r="G1346" t="s">
        <v>1004</v>
      </c>
      <c r="H1346" t="s">
        <v>15</v>
      </c>
      <c r="I1346" t="s">
        <v>1005</v>
      </c>
      <c r="J1346" t="str">
        <f>RIGHT(D1346,4)</f>
        <v>4710</v>
      </c>
      <c r="K1346" t="str">
        <f>IFERROR(VLOOKUP(VALUE(J1346),'Site Info'!$A:$G,3,FALSE),"")</f>
        <v>2444 CHESAPEAKE SQUARE RING RD</v>
      </c>
      <c r="L1346" t="str">
        <f>IFERROR(VLOOKUP(VALUE(J1346),'Site Info'!$A:$G,4,FALSE),"")</f>
        <v>CHESAPEAKE</v>
      </c>
      <c r="M1346" t="str">
        <f>IFERROR(VLOOKUP(VALUE(J1346),'Site Info'!$A:$G,5,FALSE),"")</f>
        <v>VA</v>
      </c>
      <c r="N1346" t="str">
        <f>IFERROR(VLOOKUP(VALUE(J1346),'Site Info'!$A:$G,6,FALSE),"")</f>
        <v>23321-2173</v>
      </c>
      <c r="O1346">
        <f>IFERROR(VLOOKUP(VALUE(J1346),'Site Info'!$A:$G,7,FALSE),"")</f>
        <v>7574650082</v>
      </c>
    </row>
    <row r="1347" spans="1:15" x14ac:dyDescent="0.45">
      <c r="A1347" t="s">
        <v>1222</v>
      </c>
      <c r="B1347" t="s">
        <v>1223</v>
      </c>
      <c r="C1347" t="s">
        <v>1224</v>
      </c>
      <c r="D1347" t="s">
        <v>1003</v>
      </c>
      <c r="E1347" s="1">
        <v>46153.350092592591</v>
      </c>
      <c r="F1347">
        <v>1481</v>
      </c>
      <c r="G1347" t="s">
        <v>1225</v>
      </c>
      <c r="H1347" t="s">
        <v>15</v>
      </c>
      <c r="I1347" t="s">
        <v>1005</v>
      </c>
      <c r="J1347" t="str">
        <f>RIGHT(D1347,4)</f>
        <v>4710</v>
      </c>
      <c r="K1347" t="str">
        <f>IFERROR(VLOOKUP(VALUE(J1347),'Site Info'!$A:$G,3,FALSE),"")</f>
        <v>2444 CHESAPEAKE SQUARE RING RD</v>
      </c>
      <c r="L1347" t="str">
        <f>IFERROR(VLOOKUP(VALUE(J1347),'Site Info'!$A:$G,4,FALSE),"")</f>
        <v>CHESAPEAKE</v>
      </c>
      <c r="M1347" t="str">
        <f>IFERROR(VLOOKUP(VALUE(J1347),'Site Info'!$A:$G,5,FALSE),"")</f>
        <v>VA</v>
      </c>
      <c r="N1347" t="str">
        <f>IFERROR(VLOOKUP(VALUE(J1347),'Site Info'!$A:$G,6,FALSE),"")</f>
        <v>23321-2173</v>
      </c>
      <c r="O1347">
        <f>IFERROR(VLOOKUP(VALUE(J1347),'Site Info'!$A:$G,7,FALSE),"")</f>
        <v>7574650082</v>
      </c>
    </row>
    <row r="1348" spans="1:15" x14ac:dyDescent="0.45">
      <c r="A1348" t="s">
        <v>96</v>
      </c>
      <c r="B1348" t="s">
        <v>104</v>
      </c>
      <c r="C1348" t="s">
        <v>105</v>
      </c>
      <c r="D1348" t="s">
        <v>106</v>
      </c>
      <c r="E1348" s="1">
        <v>46151.654976851853</v>
      </c>
      <c r="F1348">
        <v>1547</v>
      </c>
      <c r="G1348" t="s">
        <v>107</v>
      </c>
      <c r="H1348" t="s">
        <v>15</v>
      </c>
      <c r="I1348" t="s">
        <v>108</v>
      </c>
      <c r="J1348" t="str">
        <f>RIGHT(D1348,4)</f>
        <v>6444</v>
      </c>
      <c r="K1348" t="str">
        <f>IFERROR(VLOOKUP(VALUE(J1348),'Site Info'!$A:$G,3,FALSE),"")</f>
        <v>2450 MAIN ST</v>
      </c>
      <c r="L1348" t="str">
        <f>IFERROR(VLOOKUP(VALUE(J1348),'Site Info'!$A:$G,4,FALSE),"")</f>
        <v>EVANSTON</v>
      </c>
      <c r="M1348" t="str">
        <f>IFERROR(VLOOKUP(VALUE(J1348),'Site Info'!$A:$G,5,FALSE),"")</f>
        <v>IL</v>
      </c>
      <c r="N1348" t="str">
        <f>IFERROR(VLOOKUP(VALUE(J1348),'Site Info'!$A:$G,6,FALSE),"")</f>
        <v>60202-1548</v>
      </c>
      <c r="O1348">
        <f>IFERROR(VLOOKUP(VALUE(J1348),'Site Info'!$A:$G,7,FALSE),"")</f>
        <v>8474919000</v>
      </c>
    </row>
    <row r="1349" spans="1:15" x14ac:dyDescent="0.45">
      <c r="A1349" t="s">
        <v>14059</v>
      </c>
      <c r="B1349" t="s">
        <v>14060</v>
      </c>
      <c r="C1349" t="s">
        <v>14061</v>
      </c>
      <c r="D1349" t="s">
        <v>106</v>
      </c>
      <c r="E1349" s="1">
        <v>46152.392881944441</v>
      </c>
      <c r="F1349">
        <v>1547</v>
      </c>
      <c r="G1349" t="s">
        <v>14062</v>
      </c>
      <c r="H1349" t="s">
        <v>15</v>
      </c>
      <c r="I1349" t="s">
        <v>108</v>
      </c>
      <c r="J1349" t="str">
        <f>RIGHT(D1349,4)</f>
        <v>6444</v>
      </c>
      <c r="K1349" t="str">
        <f>IFERROR(VLOOKUP(VALUE(J1349),'Site Info'!$A:$G,3,FALSE),"")</f>
        <v>2450 MAIN ST</v>
      </c>
      <c r="L1349" t="str">
        <f>IFERROR(VLOOKUP(VALUE(J1349),'Site Info'!$A:$G,4,FALSE),"")</f>
        <v>EVANSTON</v>
      </c>
      <c r="M1349" t="str">
        <f>IFERROR(VLOOKUP(VALUE(J1349),'Site Info'!$A:$G,5,FALSE),"")</f>
        <v>IL</v>
      </c>
      <c r="N1349" t="str">
        <f>IFERROR(VLOOKUP(VALUE(J1349),'Site Info'!$A:$G,6,FALSE),"")</f>
        <v>60202-1548</v>
      </c>
      <c r="O1349">
        <f>IFERROR(VLOOKUP(VALUE(J1349),'Site Info'!$A:$G,7,FALSE),"")</f>
        <v>8474919000</v>
      </c>
    </row>
    <row r="1350" spans="1:15" x14ac:dyDescent="0.45">
      <c r="A1350" t="s">
        <v>13743</v>
      </c>
      <c r="B1350" t="s">
        <v>13744</v>
      </c>
      <c r="C1350" t="s">
        <v>13745</v>
      </c>
      <c r="D1350" t="s">
        <v>106</v>
      </c>
      <c r="E1350" s="1">
        <v>46152.529560185183</v>
      </c>
      <c r="F1350">
        <v>1547</v>
      </c>
      <c r="G1350" t="s">
        <v>13746</v>
      </c>
      <c r="H1350" t="s">
        <v>15</v>
      </c>
      <c r="I1350" t="s">
        <v>108</v>
      </c>
      <c r="J1350" t="str">
        <f>RIGHT(D1350,4)</f>
        <v>6444</v>
      </c>
      <c r="K1350" t="str">
        <f>IFERROR(VLOOKUP(VALUE(J1350),'Site Info'!$A:$G,3,FALSE),"")</f>
        <v>2450 MAIN ST</v>
      </c>
      <c r="L1350" t="str">
        <f>IFERROR(VLOOKUP(VALUE(J1350),'Site Info'!$A:$G,4,FALSE),"")</f>
        <v>EVANSTON</v>
      </c>
      <c r="M1350" t="str">
        <f>IFERROR(VLOOKUP(VALUE(J1350),'Site Info'!$A:$G,5,FALSE),"")</f>
        <v>IL</v>
      </c>
      <c r="N1350" t="str">
        <f>IFERROR(VLOOKUP(VALUE(J1350),'Site Info'!$A:$G,6,FALSE),"")</f>
        <v>60202-1548</v>
      </c>
      <c r="O1350">
        <f>IFERROR(VLOOKUP(VALUE(J1350),'Site Info'!$A:$G,7,FALSE),"")</f>
        <v>8474919000</v>
      </c>
    </row>
    <row r="1351" spans="1:15" x14ac:dyDescent="0.45">
      <c r="A1351" t="s">
        <v>13836</v>
      </c>
      <c r="B1351" t="s">
        <v>13837</v>
      </c>
      <c r="C1351" t="s">
        <v>13838</v>
      </c>
      <c r="D1351" t="s">
        <v>106</v>
      </c>
      <c r="E1351" s="1">
        <v>46152.666898148149</v>
      </c>
      <c r="F1351">
        <v>1547</v>
      </c>
      <c r="G1351" t="s">
        <v>13839</v>
      </c>
      <c r="H1351" t="s">
        <v>15</v>
      </c>
      <c r="I1351" t="s">
        <v>108</v>
      </c>
      <c r="J1351" t="str">
        <f>RIGHT(D1351,4)</f>
        <v>6444</v>
      </c>
      <c r="K1351" t="str">
        <f>IFERROR(VLOOKUP(VALUE(J1351),'Site Info'!$A:$G,3,FALSE),"")</f>
        <v>2450 MAIN ST</v>
      </c>
      <c r="L1351" t="str">
        <f>IFERROR(VLOOKUP(VALUE(J1351),'Site Info'!$A:$G,4,FALSE),"")</f>
        <v>EVANSTON</v>
      </c>
      <c r="M1351" t="str">
        <f>IFERROR(VLOOKUP(VALUE(J1351),'Site Info'!$A:$G,5,FALSE),"")</f>
        <v>IL</v>
      </c>
      <c r="N1351" t="str">
        <f>IFERROR(VLOOKUP(VALUE(J1351),'Site Info'!$A:$G,6,FALSE),"")</f>
        <v>60202-1548</v>
      </c>
      <c r="O1351">
        <f>IFERROR(VLOOKUP(VALUE(J1351),'Site Info'!$A:$G,7,FALSE),"")</f>
        <v>8474919000</v>
      </c>
    </row>
    <row r="1352" spans="1:15" x14ac:dyDescent="0.45">
      <c r="A1352" t="s">
        <v>11562</v>
      </c>
      <c r="B1352" t="s">
        <v>11563</v>
      </c>
      <c r="C1352" t="s">
        <v>11564</v>
      </c>
      <c r="D1352" t="s">
        <v>106</v>
      </c>
      <c r="E1352" s="1">
        <v>46153.179386574076</v>
      </c>
      <c r="F1352">
        <v>1547</v>
      </c>
      <c r="G1352" t="s">
        <v>11565</v>
      </c>
      <c r="H1352" t="s">
        <v>15</v>
      </c>
      <c r="I1352" t="s">
        <v>108</v>
      </c>
      <c r="J1352" t="str">
        <f>RIGHT(D1352,4)</f>
        <v>6444</v>
      </c>
      <c r="K1352" t="str">
        <f>IFERROR(VLOOKUP(VALUE(J1352),'Site Info'!$A:$G,3,FALSE),"")</f>
        <v>2450 MAIN ST</v>
      </c>
      <c r="L1352" t="str">
        <f>IFERROR(VLOOKUP(VALUE(J1352),'Site Info'!$A:$G,4,FALSE),"")</f>
        <v>EVANSTON</v>
      </c>
      <c r="M1352" t="str">
        <f>IFERROR(VLOOKUP(VALUE(J1352),'Site Info'!$A:$G,5,FALSE),"")</f>
        <v>IL</v>
      </c>
      <c r="N1352" t="str">
        <f>IFERROR(VLOOKUP(VALUE(J1352),'Site Info'!$A:$G,6,FALSE),"")</f>
        <v>60202-1548</v>
      </c>
      <c r="O1352">
        <f>IFERROR(VLOOKUP(VALUE(J1352),'Site Info'!$A:$G,7,FALSE),"")</f>
        <v>8474919000</v>
      </c>
    </row>
    <row r="1353" spans="1:15" x14ac:dyDescent="0.45">
      <c r="A1353" t="s">
        <v>6605</v>
      </c>
      <c r="B1353" t="s">
        <v>6606</v>
      </c>
      <c r="C1353" t="s">
        <v>6607</v>
      </c>
      <c r="D1353" t="s">
        <v>517</v>
      </c>
      <c r="E1353" s="1">
        <v>46151.518888888888</v>
      </c>
      <c r="F1353">
        <v>1547</v>
      </c>
      <c r="G1353" t="s">
        <v>6608</v>
      </c>
      <c r="H1353" t="s">
        <v>15</v>
      </c>
      <c r="I1353" t="s">
        <v>519</v>
      </c>
      <c r="J1353" t="str">
        <f>RIGHT(D1353,4)</f>
        <v>8149</v>
      </c>
      <c r="K1353" t="str">
        <f>IFERROR(VLOOKUP(VALUE(J1353),'Site Info'!$A:$G,3,FALSE),"")</f>
        <v>2470 W MASON ST</v>
      </c>
      <c r="L1353" t="str">
        <f>IFERROR(VLOOKUP(VALUE(J1353),'Site Info'!$A:$G,4,FALSE),"")</f>
        <v>GREEN BAY</v>
      </c>
      <c r="M1353" t="str">
        <f>IFERROR(VLOOKUP(VALUE(J1353),'Site Info'!$A:$G,5,FALSE),"")</f>
        <v>WI</v>
      </c>
      <c r="N1353" t="str">
        <f>IFERROR(VLOOKUP(VALUE(J1353),'Site Info'!$A:$G,6,FALSE),"")</f>
        <v>54303-4711</v>
      </c>
      <c r="O1353">
        <f>IFERROR(VLOOKUP(VALUE(J1353),'Site Info'!$A:$G,7,FALSE),"")</f>
        <v>9204972112</v>
      </c>
    </row>
    <row r="1354" spans="1:15" x14ac:dyDescent="0.45">
      <c r="A1354" t="s">
        <v>6643</v>
      </c>
      <c r="B1354" t="s">
        <v>6644</v>
      </c>
      <c r="C1354" t="s">
        <v>6645</v>
      </c>
      <c r="D1354" t="s">
        <v>517</v>
      </c>
      <c r="E1354" s="1">
        <v>46151.756655092591</v>
      </c>
      <c r="F1354">
        <v>1547</v>
      </c>
      <c r="G1354" t="s">
        <v>6646</v>
      </c>
      <c r="H1354" t="s">
        <v>15</v>
      </c>
      <c r="I1354" t="s">
        <v>519</v>
      </c>
      <c r="J1354" t="str">
        <f>RIGHT(D1354,4)</f>
        <v>8149</v>
      </c>
      <c r="K1354" t="str">
        <f>IFERROR(VLOOKUP(VALUE(J1354),'Site Info'!$A:$G,3,FALSE),"")</f>
        <v>2470 W MASON ST</v>
      </c>
      <c r="L1354" t="str">
        <f>IFERROR(VLOOKUP(VALUE(J1354),'Site Info'!$A:$G,4,FALSE),"")</f>
        <v>GREEN BAY</v>
      </c>
      <c r="M1354" t="str">
        <f>IFERROR(VLOOKUP(VALUE(J1354),'Site Info'!$A:$G,5,FALSE),"")</f>
        <v>WI</v>
      </c>
      <c r="N1354" t="str">
        <f>IFERROR(VLOOKUP(VALUE(J1354),'Site Info'!$A:$G,6,FALSE),"")</f>
        <v>54303-4711</v>
      </c>
      <c r="O1354">
        <f>IFERROR(VLOOKUP(VALUE(J1354),'Site Info'!$A:$G,7,FALSE),"")</f>
        <v>9204972112</v>
      </c>
    </row>
    <row r="1355" spans="1:15" x14ac:dyDescent="0.45">
      <c r="A1355" t="s">
        <v>9085</v>
      </c>
      <c r="B1355" t="s">
        <v>9086</v>
      </c>
      <c r="C1355" t="s">
        <v>9087</v>
      </c>
      <c r="D1355" t="s">
        <v>517</v>
      </c>
      <c r="E1355" s="1">
        <v>46153.162372685183</v>
      </c>
      <c r="F1355">
        <v>1547</v>
      </c>
      <c r="G1355" t="s">
        <v>9088</v>
      </c>
      <c r="H1355" t="s">
        <v>15</v>
      </c>
      <c r="I1355" t="s">
        <v>519</v>
      </c>
      <c r="J1355" t="str">
        <f>RIGHT(D1355,4)</f>
        <v>8149</v>
      </c>
      <c r="K1355" t="str">
        <f>IFERROR(VLOOKUP(VALUE(J1355),'Site Info'!$A:$G,3,FALSE),"")</f>
        <v>2470 W MASON ST</v>
      </c>
      <c r="L1355" t="str">
        <f>IFERROR(VLOOKUP(VALUE(J1355),'Site Info'!$A:$G,4,FALSE),"")</f>
        <v>GREEN BAY</v>
      </c>
      <c r="M1355" t="str">
        <f>IFERROR(VLOOKUP(VALUE(J1355),'Site Info'!$A:$G,5,FALSE),"")</f>
        <v>WI</v>
      </c>
      <c r="N1355" t="str">
        <f>IFERROR(VLOOKUP(VALUE(J1355),'Site Info'!$A:$G,6,FALSE),"")</f>
        <v>54303-4711</v>
      </c>
      <c r="O1355">
        <f>IFERROR(VLOOKUP(VALUE(J1355),'Site Info'!$A:$G,7,FALSE),"")</f>
        <v>9204972112</v>
      </c>
    </row>
    <row r="1356" spans="1:15" x14ac:dyDescent="0.45">
      <c r="A1356" t="s">
        <v>6609</v>
      </c>
      <c r="B1356" t="s">
        <v>6610</v>
      </c>
      <c r="C1356" t="s">
        <v>6611</v>
      </c>
      <c r="D1356" t="s">
        <v>517</v>
      </c>
      <c r="E1356" s="1">
        <v>46153.365520833337</v>
      </c>
      <c r="F1356">
        <v>1547</v>
      </c>
      <c r="G1356" t="s">
        <v>6612</v>
      </c>
      <c r="H1356" t="s">
        <v>15</v>
      </c>
      <c r="I1356" t="s">
        <v>519</v>
      </c>
      <c r="J1356" t="str">
        <f>RIGHT(D1356,4)</f>
        <v>8149</v>
      </c>
      <c r="K1356" t="str">
        <f>IFERROR(VLOOKUP(VALUE(J1356),'Site Info'!$A:$G,3,FALSE),"")</f>
        <v>2470 W MASON ST</v>
      </c>
      <c r="L1356" t="str">
        <f>IFERROR(VLOOKUP(VALUE(J1356),'Site Info'!$A:$G,4,FALSE),"")</f>
        <v>GREEN BAY</v>
      </c>
      <c r="M1356" t="str">
        <f>IFERROR(VLOOKUP(VALUE(J1356),'Site Info'!$A:$G,5,FALSE),"")</f>
        <v>WI</v>
      </c>
      <c r="N1356" t="str">
        <f>IFERROR(VLOOKUP(VALUE(J1356),'Site Info'!$A:$G,6,FALSE),"")</f>
        <v>54303-4711</v>
      </c>
      <c r="O1356">
        <f>IFERROR(VLOOKUP(VALUE(J1356),'Site Info'!$A:$G,7,FALSE),"")</f>
        <v>9204972112</v>
      </c>
    </row>
    <row r="1357" spans="1:15" x14ac:dyDescent="0.45">
      <c r="A1357" t="s">
        <v>3541</v>
      </c>
      <c r="B1357" t="s">
        <v>3542</v>
      </c>
      <c r="C1357" t="s">
        <v>3543</v>
      </c>
      <c r="D1357" t="s">
        <v>517</v>
      </c>
      <c r="E1357" s="1">
        <v>46149.637997685182</v>
      </c>
      <c r="F1357">
        <v>1481</v>
      </c>
      <c r="G1357" t="s">
        <v>3544</v>
      </c>
      <c r="H1357" t="s">
        <v>15</v>
      </c>
      <c r="I1357" t="s">
        <v>519</v>
      </c>
      <c r="J1357" t="str">
        <f>RIGHT(D1357,4)</f>
        <v>8149</v>
      </c>
      <c r="K1357" t="str">
        <f>IFERROR(VLOOKUP(VALUE(J1357),'Site Info'!$A:$G,3,FALSE),"")</f>
        <v>2470 W MASON ST</v>
      </c>
      <c r="L1357" t="str">
        <f>IFERROR(VLOOKUP(VALUE(J1357),'Site Info'!$A:$G,4,FALSE),"")</f>
        <v>GREEN BAY</v>
      </c>
      <c r="M1357" t="str">
        <f>IFERROR(VLOOKUP(VALUE(J1357),'Site Info'!$A:$G,5,FALSE),"")</f>
        <v>WI</v>
      </c>
      <c r="N1357" t="str">
        <f>IFERROR(VLOOKUP(VALUE(J1357),'Site Info'!$A:$G,6,FALSE),"")</f>
        <v>54303-4711</v>
      </c>
      <c r="O1357">
        <f>IFERROR(VLOOKUP(VALUE(J1357),'Site Info'!$A:$G,7,FALSE),"")</f>
        <v>9204972112</v>
      </c>
    </row>
    <row r="1358" spans="1:15" x14ac:dyDescent="0.45">
      <c r="A1358" t="s">
        <v>3747</v>
      </c>
      <c r="B1358" t="s">
        <v>3748</v>
      </c>
      <c r="C1358" t="s">
        <v>3749</v>
      </c>
      <c r="D1358" t="s">
        <v>517</v>
      </c>
      <c r="E1358" s="1">
        <v>46151.608611111114</v>
      </c>
      <c r="F1358">
        <v>1481</v>
      </c>
      <c r="G1358" t="s">
        <v>3750</v>
      </c>
      <c r="H1358" t="s">
        <v>15</v>
      </c>
      <c r="I1358" t="s">
        <v>519</v>
      </c>
      <c r="J1358" t="str">
        <f>RIGHT(D1358,4)</f>
        <v>8149</v>
      </c>
      <c r="K1358" t="str">
        <f>IFERROR(VLOOKUP(VALUE(J1358),'Site Info'!$A:$G,3,FALSE),"")</f>
        <v>2470 W MASON ST</v>
      </c>
      <c r="L1358" t="str">
        <f>IFERROR(VLOOKUP(VALUE(J1358),'Site Info'!$A:$G,4,FALSE),"")</f>
        <v>GREEN BAY</v>
      </c>
      <c r="M1358" t="str">
        <f>IFERROR(VLOOKUP(VALUE(J1358),'Site Info'!$A:$G,5,FALSE),"")</f>
        <v>WI</v>
      </c>
      <c r="N1358" t="str">
        <f>IFERROR(VLOOKUP(VALUE(J1358),'Site Info'!$A:$G,6,FALSE),"")</f>
        <v>54303-4711</v>
      </c>
      <c r="O1358">
        <f>IFERROR(VLOOKUP(VALUE(J1358),'Site Info'!$A:$G,7,FALSE),"")</f>
        <v>9204972112</v>
      </c>
    </row>
    <row r="1359" spans="1:15" x14ac:dyDescent="0.45">
      <c r="A1359" t="s">
        <v>14321</v>
      </c>
      <c r="B1359" t="s">
        <v>14322</v>
      </c>
      <c r="C1359" t="s">
        <v>14323</v>
      </c>
      <c r="D1359" t="s">
        <v>517</v>
      </c>
      <c r="E1359" s="1">
        <v>46152.218159722222</v>
      </c>
      <c r="F1359">
        <v>1481</v>
      </c>
      <c r="G1359" t="s">
        <v>14324</v>
      </c>
      <c r="H1359" t="s">
        <v>15</v>
      </c>
      <c r="I1359" t="s">
        <v>519</v>
      </c>
      <c r="J1359" t="str">
        <f>RIGHT(D1359,4)</f>
        <v>8149</v>
      </c>
      <c r="K1359" t="str">
        <f>IFERROR(VLOOKUP(VALUE(J1359),'Site Info'!$A:$G,3,FALSE),"")</f>
        <v>2470 W MASON ST</v>
      </c>
      <c r="L1359" t="str">
        <f>IFERROR(VLOOKUP(VALUE(J1359),'Site Info'!$A:$G,4,FALSE),"")</f>
        <v>GREEN BAY</v>
      </c>
      <c r="M1359" t="str">
        <f>IFERROR(VLOOKUP(VALUE(J1359),'Site Info'!$A:$G,5,FALSE),"")</f>
        <v>WI</v>
      </c>
      <c r="N1359" t="str">
        <f>IFERROR(VLOOKUP(VALUE(J1359),'Site Info'!$A:$G,6,FALSE),"")</f>
        <v>54303-4711</v>
      </c>
      <c r="O1359">
        <f>IFERROR(VLOOKUP(VALUE(J1359),'Site Info'!$A:$G,7,FALSE),"")</f>
        <v>9204972112</v>
      </c>
    </row>
    <row r="1360" spans="1:15" x14ac:dyDescent="0.45">
      <c r="A1360" t="s">
        <v>2471</v>
      </c>
      <c r="B1360" t="s">
        <v>2472</v>
      </c>
      <c r="C1360" t="s">
        <v>2473</v>
      </c>
      <c r="D1360" t="s">
        <v>517</v>
      </c>
      <c r="E1360" s="1">
        <v>46153.088043981479</v>
      </c>
      <c r="F1360">
        <v>1481</v>
      </c>
      <c r="G1360" t="s">
        <v>2474</v>
      </c>
      <c r="H1360" t="s">
        <v>15</v>
      </c>
      <c r="I1360" t="s">
        <v>519</v>
      </c>
      <c r="J1360" t="str">
        <f>RIGHT(D1360,4)</f>
        <v>8149</v>
      </c>
      <c r="K1360" t="str">
        <f>IFERROR(VLOOKUP(VALUE(J1360),'Site Info'!$A:$G,3,FALSE),"")</f>
        <v>2470 W MASON ST</v>
      </c>
      <c r="L1360" t="str">
        <f>IFERROR(VLOOKUP(VALUE(J1360),'Site Info'!$A:$G,4,FALSE),"")</f>
        <v>GREEN BAY</v>
      </c>
      <c r="M1360" t="str">
        <f>IFERROR(VLOOKUP(VALUE(J1360),'Site Info'!$A:$G,5,FALSE),"")</f>
        <v>WI</v>
      </c>
      <c r="N1360" t="str">
        <f>IFERROR(VLOOKUP(VALUE(J1360),'Site Info'!$A:$G,6,FALSE),"")</f>
        <v>54303-4711</v>
      </c>
      <c r="O1360">
        <f>IFERROR(VLOOKUP(VALUE(J1360),'Site Info'!$A:$G,7,FALSE),"")</f>
        <v>9204972112</v>
      </c>
    </row>
    <row r="1361" spans="1:15" x14ac:dyDescent="0.45">
      <c r="A1361" t="s">
        <v>514</v>
      </c>
      <c r="B1361" t="s">
        <v>515</v>
      </c>
      <c r="C1361" t="s">
        <v>516</v>
      </c>
      <c r="D1361" t="s">
        <v>517</v>
      </c>
      <c r="E1361" s="1">
        <v>46153.371053240742</v>
      </c>
      <c r="F1361">
        <v>1481</v>
      </c>
      <c r="G1361" t="s">
        <v>518</v>
      </c>
      <c r="H1361" t="s">
        <v>15</v>
      </c>
      <c r="I1361" t="s">
        <v>519</v>
      </c>
      <c r="J1361" t="str">
        <f>RIGHT(D1361,4)</f>
        <v>8149</v>
      </c>
      <c r="K1361" t="str">
        <f>IFERROR(VLOOKUP(VALUE(J1361),'Site Info'!$A:$G,3,FALSE),"")</f>
        <v>2470 W MASON ST</v>
      </c>
      <c r="L1361" t="str">
        <f>IFERROR(VLOOKUP(VALUE(J1361),'Site Info'!$A:$G,4,FALSE),"")</f>
        <v>GREEN BAY</v>
      </c>
      <c r="M1361" t="str">
        <f>IFERROR(VLOOKUP(VALUE(J1361),'Site Info'!$A:$G,5,FALSE),"")</f>
        <v>WI</v>
      </c>
      <c r="N1361" t="str">
        <f>IFERROR(VLOOKUP(VALUE(J1361),'Site Info'!$A:$G,6,FALSE),"")</f>
        <v>54303-4711</v>
      </c>
      <c r="O1361">
        <f>IFERROR(VLOOKUP(VALUE(J1361),'Site Info'!$A:$G,7,FALSE),"")</f>
        <v>9204972112</v>
      </c>
    </row>
    <row r="1362" spans="1:15" x14ac:dyDescent="0.45">
      <c r="A1362" t="s">
        <v>16504</v>
      </c>
      <c r="B1362" t="s">
        <v>17118</v>
      </c>
      <c r="C1362" t="s">
        <v>17119</v>
      </c>
      <c r="D1362" t="s">
        <v>517</v>
      </c>
      <c r="E1362" s="1">
        <v>46152.905555555553</v>
      </c>
      <c r="F1362">
        <v>1628</v>
      </c>
      <c r="G1362" t="s">
        <v>17120</v>
      </c>
      <c r="H1362" t="s">
        <v>13988</v>
      </c>
      <c r="I1362" t="s">
        <v>519</v>
      </c>
      <c r="J1362" t="str">
        <f>RIGHT(D1362,4)</f>
        <v>8149</v>
      </c>
      <c r="K1362" t="str">
        <f>IFERROR(VLOOKUP(VALUE(J1362),'Site Info'!$A:$G,3,FALSE),"")</f>
        <v>2470 W MASON ST</v>
      </c>
      <c r="L1362" t="str">
        <f>IFERROR(VLOOKUP(VALUE(J1362),'Site Info'!$A:$G,4,FALSE),"")</f>
        <v>GREEN BAY</v>
      </c>
      <c r="M1362" t="str">
        <f>IFERROR(VLOOKUP(VALUE(J1362),'Site Info'!$A:$G,5,FALSE),"")</f>
        <v>WI</v>
      </c>
      <c r="N1362" t="str">
        <f>IFERROR(VLOOKUP(VALUE(J1362),'Site Info'!$A:$G,6,FALSE),"")</f>
        <v>54303-4711</v>
      </c>
      <c r="O1362">
        <f>IFERROR(VLOOKUP(VALUE(J1362),'Site Info'!$A:$G,7,FALSE),"")</f>
        <v>9204972112</v>
      </c>
    </row>
    <row r="1363" spans="1:15" x14ac:dyDescent="0.45">
      <c r="A1363" t="s">
        <v>7915</v>
      </c>
      <c r="B1363" t="s">
        <v>7916</v>
      </c>
      <c r="C1363" t="s">
        <v>7917</v>
      </c>
      <c r="D1363" t="s">
        <v>2764</v>
      </c>
      <c r="E1363" s="1">
        <v>46150.937175925923</v>
      </c>
      <c r="F1363">
        <v>1547</v>
      </c>
      <c r="G1363" t="s">
        <v>7918</v>
      </c>
      <c r="H1363" t="s">
        <v>15</v>
      </c>
      <c r="I1363" t="s">
        <v>2766</v>
      </c>
      <c r="J1363" t="str">
        <f>RIGHT(D1363,4)</f>
        <v>6236</v>
      </c>
      <c r="K1363" t="str">
        <f>IFERROR(VLOOKUP(VALUE(J1363),'Site Info'!$A:$G,3,FALSE),"")</f>
        <v>2474 CROSS POINTE DRIVE</v>
      </c>
      <c r="L1363" t="str">
        <f>IFERROR(VLOOKUP(VALUE(J1363),'Site Info'!$A:$G,4,FALSE),"")</f>
        <v>ROCK HILL</v>
      </c>
      <c r="M1363" t="str">
        <f>IFERROR(VLOOKUP(VALUE(J1363),'Site Info'!$A:$G,5,FALSE),"")</f>
        <v>SC</v>
      </c>
      <c r="N1363" t="str">
        <f>IFERROR(VLOOKUP(VALUE(J1363),'Site Info'!$A:$G,6,FALSE),"")</f>
        <v>29730-8185</v>
      </c>
      <c r="O1363">
        <f>IFERROR(VLOOKUP(VALUE(J1363),'Site Info'!$A:$G,7,FALSE),"")</f>
        <v>8033726500</v>
      </c>
    </row>
    <row r="1364" spans="1:15" x14ac:dyDescent="0.45">
      <c r="A1364" t="s">
        <v>8115</v>
      </c>
      <c r="B1364" t="s">
        <v>8116</v>
      </c>
      <c r="C1364" t="s">
        <v>8117</v>
      </c>
      <c r="D1364" t="s">
        <v>2764</v>
      </c>
      <c r="E1364" s="1">
        <v>46151.617986111109</v>
      </c>
      <c r="F1364">
        <v>1547</v>
      </c>
      <c r="G1364" t="s">
        <v>8118</v>
      </c>
      <c r="H1364" t="s">
        <v>15</v>
      </c>
      <c r="I1364" t="s">
        <v>2766</v>
      </c>
      <c r="J1364" t="str">
        <f>RIGHT(D1364,4)</f>
        <v>6236</v>
      </c>
      <c r="K1364" t="str">
        <f>IFERROR(VLOOKUP(VALUE(J1364),'Site Info'!$A:$G,3,FALSE),"")</f>
        <v>2474 CROSS POINTE DRIVE</v>
      </c>
      <c r="L1364" t="str">
        <f>IFERROR(VLOOKUP(VALUE(J1364),'Site Info'!$A:$G,4,FALSE),"")</f>
        <v>ROCK HILL</v>
      </c>
      <c r="M1364" t="str">
        <f>IFERROR(VLOOKUP(VALUE(J1364),'Site Info'!$A:$G,5,FALSE),"")</f>
        <v>SC</v>
      </c>
      <c r="N1364" t="str">
        <f>IFERROR(VLOOKUP(VALUE(J1364),'Site Info'!$A:$G,6,FALSE),"")</f>
        <v>29730-8185</v>
      </c>
      <c r="O1364">
        <f>IFERROR(VLOOKUP(VALUE(J1364),'Site Info'!$A:$G,7,FALSE),"")</f>
        <v>8033726500</v>
      </c>
    </row>
    <row r="1365" spans="1:15" x14ac:dyDescent="0.45">
      <c r="A1365" t="s">
        <v>8107</v>
      </c>
      <c r="B1365" t="s">
        <v>8108</v>
      </c>
      <c r="C1365" t="s">
        <v>8109</v>
      </c>
      <c r="D1365" t="s">
        <v>2764</v>
      </c>
      <c r="E1365" s="1">
        <v>46152.467476851853</v>
      </c>
      <c r="F1365">
        <v>1547</v>
      </c>
      <c r="G1365" t="s">
        <v>8110</v>
      </c>
      <c r="H1365" t="s">
        <v>15</v>
      </c>
      <c r="I1365" t="s">
        <v>2766</v>
      </c>
      <c r="J1365" t="str">
        <f>RIGHT(D1365,4)</f>
        <v>6236</v>
      </c>
      <c r="K1365" t="str">
        <f>IFERROR(VLOOKUP(VALUE(J1365),'Site Info'!$A:$G,3,FALSE),"")</f>
        <v>2474 CROSS POINTE DRIVE</v>
      </c>
      <c r="L1365" t="str">
        <f>IFERROR(VLOOKUP(VALUE(J1365),'Site Info'!$A:$G,4,FALSE),"")</f>
        <v>ROCK HILL</v>
      </c>
      <c r="M1365" t="str">
        <f>IFERROR(VLOOKUP(VALUE(J1365),'Site Info'!$A:$G,5,FALSE),"")</f>
        <v>SC</v>
      </c>
      <c r="N1365" t="str">
        <f>IFERROR(VLOOKUP(VALUE(J1365),'Site Info'!$A:$G,6,FALSE),"")</f>
        <v>29730-8185</v>
      </c>
      <c r="O1365">
        <f>IFERROR(VLOOKUP(VALUE(J1365),'Site Info'!$A:$G,7,FALSE),"")</f>
        <v>8033726500</v>
      </c>
    </row>
    <row r="1366" spans="1:15" x14ac:dyDescent="0.45">
      <c r="A1366" t="s">
        <v>8195</v>
      </c>
      <c r="B1366" t="s">
        <v>8196</v>
      </c>
      <c r="C1366" t="s">
        <v>8197</v>
      </c>
      <c r="D1366" t="s">
        <v>2764</v>
      </c>
      <c r="E1366" s="1">
        <v>46152.846666666665</v>
      </c>
      <c r="F1366">
        <v>1547</v>
      </c>
      <c r="G1366" t="s">
        <v>8198</v>
      </c>
      <c r="H1366" t="s">
        <v>15</v>
      </c>
      <c r="I1366" t="s">
        <v>2766</v>
      </c>
      <c r="J1366" t="str">
        <f>RIGHT(D1366,4)</f>
        <v>6236</v>
      </c>
      <c r="K1366" t="str">
        <f>IFERROR(VLOOKUP(VALUE(J1366),'Site Info'!$A:$G,3,FALSE),"")</f>
        <v>2474 CROSS POINTE DRIVE</v>
      </c>
      <c r="L1366" t="str">
        <f>IFERROR(VLOOKUP(VALUE(J1366),'Site Info'!$A:$G,4,FALSE),"")</f>
        <v>ROCK HILL</v>
      </c>
      <c r="M1366" t="str">
        <f>IFERROR(VLOOKUP(VALUE(J1366),'Site Info'!$A:$G,5,FALSE),"")</f>
        <v>SC</v>
      </c>
      <c r="N1366" t="str">
        <f>IFERROR(VLOOKUP(VALUE(J1366),'Site Info'!$A:$G,6,FALSE),"")</f>
        <v>29730-8185</v>
      </c>
      <c r="O1366">
        <f>IFERROR(VLOOKUP(VALUE(J1366),'Site Info'!$A:$G,7,FALSE),"")</f>
        <v>8033726500</v>
      </c>
    </row>
    <row r="1367" spans="1:15" x14ac:dyDescent="0.45">
      <c r="A1367" t="s">
        <v>8781</v>
      </c>
      <c r="B1367" t="s">
        <v>8782</v>
      </c>
      <c r="C1367" t="s">
        <v>8783</v>
      </c>
      <c r="D1367" t="s">
        <v>2764</v>
      </c>
      <c r="E1367" s="1">
        <v>46153.248113425929</v>
      </c>
      <c r="F1367">
        <v>1547</v>
      </c>
      <c r="G1367" t="s">
        <v>8784</v>
      </c>
      <c r="H1367" t="s">
        <v>15</v>
      </c>
      <c r="I1367" t="s">
        <v>2766</v>
      </c>
      <c r="J1367" t="str">
        <f>RIGHT(D1367,4)</f>
        <v>6236</v>
      </c>
      <c r="K1367" t="str">
        <f>IFERROR(VLOOKUP(VALUE(J1367),'Site Info'!$A:$G,3,FALSE),"")</f>
        <v>2474 CROSS POINTE DRIVE</v>
      </c>
      <c r="L1367" t="str">
        <f>IFERROR(VLOOKUP(VALUE(J1367),'Site Info'!$A:$G,4,FALSE),"")</f>
        <v>ROCK HILL</v>
      </c>
      <c r="M1367" t="str">
        <f>IFERROR(VLOOKUP(VALUE(J1367),'Site Info'!$A:$G,5,FALSE),"")</f>
        <v>SC</v>
      </c>
      <c r="N1367" t="str">
        <f>IFERROR(VLOOKUP(VALUE(J1367),'Site Info'!$A:$G,6,FALSE),"")</f>
        <v>29730-8185</v>
      </c>
      <c r="O1367">
        <f>IFERROR(VLOOKUP(VALUE(J1367),'Site Info'!$A:$G,7,FALSE),"")</f>
        <v>8033726500</v>
      </c>
    </row>
    <row r="1368" spans="1:15" x14ac:dyDescent="0.45">
      <c r="A1368" t="s">
        <v>8253</v>
      </c>
      <c r="B1368" t="s">
        <v>8254</v>
      </c>
      <c r="C1368" t="s">
        <v>8255</v>
      </c>
      <c r="D1368" t="s">
        <v>2764</v>
      </c>
      <c r="E1368" s="1">
        <v>46153.370046296295</v>
      </c>
      <c r="F1368">
        <v>1547</v>
      </c>
      <c r="G1368" t="s">
        <v>8256</v>
      </c>
      <c r="H1368" t="s">
        <v>15</v>
      </c>
      <c r="I1368" t="s">
        <v>2766</v>
      </c>
      <c r="J1368" t="str">
        <f>RIGHT(D1368,4)</f>
        <v>6236</v>
      </c>
      <c r="K1368" t="str">
        <f>IFERROR(VLOOKUP(VALUE(J1368),'Site Info'!$A:$G,3,FALSE),"")</f>
        <v>2474 CROSS POINTE DRIVE</v>
      </c>
      <c r="L1368" t="str">
        <f>IFERROR(VLOOKUP(VALUE(J1368),'Site Info'!$A:$G,4,FALSE),"")</f>
        <v>ROCK HILL</v>
      </c>
      <c r="M1368" t="str">
        <f>IFERROR(VLOOKUP(VALUE(J1368),'Site Info'!$A:$G,5,FALSE),"")</f>
        <v>SC</v>
      </c>
      <c r="N1368" t="str">
        <f>IFERROR(VLOOKUP(VALUE(J1368),'Site Info'!$A:$G,6,FALSE),"")</f>
        <v>29730-8185</v>
      </c>
      <c r="O1368">
        <f>IFERROR(VLOOKUP(VALUE(J1368),'Site Info'!$A:$G,7,FALSE),"")</f>
        <v>8033726500</v>
      </c>
    </row>
    <row r="1369" spans="1:15" x14ac:dyDescent="0.45">
      <c r="A1369" t="s">
        <v>2761</v>
      </c>
      <c r="B1369" t="s">
        <v>2762</v>
      </c>
      <c r="C1369" t="s">
        <v>2763</v>
      </c>
      <c r="D1369" t="s">
        <v>2764</v>
      </c>
      <c r="E1369" s="1">
        <v>46152.57304398148</v>
      </c>
      <c r="F1369">
        <v>1481</v>
      </c>
      <c r="G1369" t="s">
        <v>2765</v>
      </c>
      <c r="H1369" t="s">
        <v>15</v>
      </c>
      <c r="I1369" t="s">
        <v>2766</v>
      </c>
      <c r="J1369" t="str">
        <f>RIGHT(D1369,4)</f>
        <v>6236</v>
      </c>
      <c r="K1369" t="str">
        <f>IFERROR(VLOOKUP(VALUE(J1369),'Site Info'!$A:$G,3,FALSE),"")</f>
        <v>2474 CROSS POINTE DRIVE</v>
      </c>
      <c r="L1369" t="str">
        <f>IFERROR(VLOOKUP(VALUE(J1369),'Site Info'!$A:$G,4,FALSE),"")</f>
        <v>ROCK HILL</v>
      </c>
      <c r="M1369" t="str">
        <f>IFERROR(VLOOKUP(VALUE(J1369),'Site Info'!$A:$G,5,FALSE),"")</f>
        <v>SC</v>
      </c>
      <c r="N1369" t="str">
        <f>IFERROR(VLOOKUP(VALUE(J1369),'Site Info'!$A:$G,6,FALSE),"")</f>
        <v>29730-8185</v>
      </c>
      <c r="O1369">
        <f>IFERROR(VLOOKUP(VALUE(J1369),'Site Info'!$A:$G,7,FALSE),"")</f>
        <v>8033726500</v>
      </c>
    </row>
    <row r="1370" spans="1:15" x14ac:dyDescent="0.45">
      <c r="A1370" t="s">
        <v>11820</v>
      </c>
      <c r="B1370" t="s">
        <v>11821</v>
      </c>
      <c r="C1370" t="s">
        <v>11822</v>
      </c>
      <c r="D1370" t="s">
        <v>10876</v>
      </c>
      <c r="E1370" s="1">
        <v>46150.694166666668</v>
      </c>
      <c r="F1370">
        <v>1547</v>
      </c>
      <c r="G1370" t="s">
        <v>11823</v>
      </c>
      <c r="H1370" t="s">
        <v>15</v>
      </c>
      <c r="I1370" t="s">
        <v>10878</v>
      </c>
      <c r="J1370" t="str">
        <f>RIGHT(D1370,4)</f>
        <v>6575</v>
      </c>
      <c r="K1370" t="str">
        <f>IFERROR(VLOOKUP(VALUE(J1370),'Site Info'!$A:$G,3,FALSE),"")</f>
        <v>249 SUMMIT PARK DR</v>
      </c>
      <c r="L1370" t="str">
        <f>IFERROR(VLOOKUP(VALUE(J1370),'Site Info'!$A:$G,4,FALSE),"")</f>
        <v>PITTSBURGH</v>
      </c>
      <c r="M1370" t="str">
        <f>IFERROR(VLOOKUP(VALUE(J1370),'Site Info'!$A:$G,5,FALSE),"")</f>
        <v>PA</v>
      </c>
      <c r="N1370" t="str">
        <f>IFERROR(VLOOKUP(VALUE(J1370),'Site Info'!$A:$G,6,FALSE),"")</f>
        <v>15275-1221</v>
      </c>
      <c r="O1370">
        <f>IFERROR(VLOOKUP(VALUE(J1370),'Site Info'!$A:$G,7,FALSE),"")</f>
        <v>4124944140</v>
      </c>
    </row>
    <row r="1371" spans="1:15" x14ac:dyDescent="0.45">
      <c r="A1371" t="s">
        <v>12336</v>
      </c>
      <c r="B1371" t="s">
        <v>12337</v>
      </c>
      <c r="C1371" t="s">
        <v>12338</v>
      </c>
      <c r="D1371" t="s">
        <v>10876</v>
      </c>
      <c r="E1371" s="1">
        <v>46152.254745370374</v>
      </c>
      <c r="F1371">
        <v>1547</v>
      </c>
      <c r="G1371" t="s">
        <v>12339</v>
      </c>
      <c r="H1371" t="s">
        <v>15</v>
      </c>
      <c r="I1371" t="s">
        <v>10878</v>
      </c>
      <c r="J1371" t="str">
        <f>RIGHT(D1371,4)</f>
        <v>6575</v>
      </c>
      <c r="K1371" t="str">
        <f>IFERROR(VLOOKUP(VALUE(J1371),'Site Info'!$A:$G,3,FALSE),"")</f>
        <v>249 SUMMIT PARK DR</v>
      </c>
      <c r="L1371" t="str">
        <f>IFERROR(VLOOKUP(VALUE(J1371),'Site Info'!$A:$G,4,FALSE),"")</f>
        <v>PITTSBURGH</v>
      </c>
      <c r="M1371" t="str">
        <f>IFERROR(VLOOKUP(VALUE(J1371),'Site Info'!$A:$G,5,FALSE),"")</f>
        <v>PA</v>
      </c>
      <c r="N1371" t="str">
        <f>IFERROR(VLOOKUP(VALUE(J1371),'Site Info'!$A:$G,6,FALSE),"")</f>
        <v>15275-1221</v>
      </c>
      <c r="O1371">
        <f>IFERROR(VLOOKUP(VALUE(J1371),'Site Info'!$A:$G,7,FALSE),"")</f>
        <v>4124944140</v>
      </c>
    </row>
    <row r="1372" spans="1:15" x14ac:dyDescent="0.45">
      <c r="A1372" t="s">
        <v>10873</v>
      </c>
      <c r="B1372" t="s">
        <v>10874</v>
      </c>
      <c r="C1372" t="s">
        <v>10875</v>
      </c>
      <c r="D1372" t="s">
        <v>10876</v>
      </c>
      <c r="E1372" s="1">
        <v>46152.897523148145</v>
      </c>
      <c r="F1372">
        <v>1547</v>
      </c>
      <c r="G1372" t="s">
        <v>10877</v>
      </c>
      <c r="H1372" t="s">
        <v>15</v>
      </c>
      <c r="I1372" t="s">
        <v>10878</v>
      </c>
      <c r="J1372" t="str">
        <f>RIGHT(D1372,4)</f>
        <v>6575</v>
      </c>
      <c r="K1372" t="str">
        <f>IFERROR(VLOOKUP(VALUE(J1372),'Site Info'!$A:$G,3,FALSE),"")</f>
        <v>249 SUMMIT PARK DR</v>
      </c>
      <c r="L1372" t="str">
        <f>IFERROR(VLOOKUP(VALUE(J1372),'Site Info'!$A:$G,4,FALSE),"")</f>
        <v>PITTSBURGH</v>
      </c>
      <c r="M1372" t="str">
        <f>IFERROR(VLOOKUP(VALUE(J1372),'Site Info'!$A:$G,5,FALSE),"")</f>
        <v>PA</v>
      </c>
      <c r="N1372" t="str">
        <f>IFERROR(VLOOKUP(VALUE(J1372),'Site Info'!$A:$G,6,FALSE),"")</f>
        <v>15275-1221</v>
      </c>
      <c r="O1372">
        <f>IFERROR(VLOOKUP(VALUE(J1372),'Site Info'!$A:$G,7,FALSE),"")</f>
        <v>4124944140</v>
      </c>
    </row>
    <row r="1373" spans="1:15" x14ac:dyDescent="0.45">
      <c r="A1373" t="s">
        <v>13928</v>
      </c>
      <c r="B1373" t="s">
        <v>13929</v>
      </c>
      <c r="C1373" t="s">
        <v>13930</v>
      </c>
      <c r="D1373" t="s">
        <v>10876</v>
      </c>
      <c r="E1373" s="1">
        <v>46153.185960648145</v>
      </c>
      <c r="F1373">
        <v>1547</v>
      </c>
      <c r="G1373" t="s">
        <v>13931</v>
      </c>
      <c r="H1373" t="s">
        <v>15</v>
      </c>
      <c r="I1373" t="s">
        <v>10878</v>
      </c>
      <c r="J1373" t="str">
        <f>RIGHT(D1373,4)</f>
        <v>6575</v>
      </c>
      <c r="K1373" t="str">
        <f>IFERROR(VLOOKUP(VALUE(J1373),'Site Info'!$A:$G,3,FALSE),"")</f>
        <v>249 SUMMIT PARK DR</v>
      </c>
      <c r="L1373" t="str">
        <f>IFERROR(VLOOKUP(VALUE(J1373),'Site Info'!$A:$G,4,FALSE),"")</f>
        <v>PITTSBURGH</v>
      </c>
      <c r="M1373" t="str">
        <f>IFERROR(VLOOKUP(VALUE(J1373),'Site Info'!$A:$G,5,FALSE),"")</f>
        <v>PA</v>
      </c>
      <c r="N1373" t="str">
        <f>IFERROR(VLOOKUP(VALUE(J1373),'Site Info'!$A:$G,6,FALSE),"")</f>
        <v>15275-1221</v>
      </c>
      <c r="O1373">
        <f>IFERROR(VLOOKUP(VALUE(J1373),'Site Info'!$A:$G,7,FALSE),"")</f>
        <v>4124944140</v>
      </c>
    </row>
    <row r="1374" spans="1:15" x14ac:dyDescent="0.45">
      <c r="A1374" t="s">
        <v>12228</v>
      </c>
      <c r="B1374" t="s">
        <v>12229</v>
      </c>
      <c r="C1374" t="s">
        <v>12230</v>
      </c>
      <c r="D1374" t="s">
        <v>10876</v>
      </c>
      <c r="E1374" s="1">
        <v>46153.362685185188</v>
      </c>
      <c r="F1374">
        <v>1547</v>
      </c>
      <c r="G1374" t="s">
        <v>12231</v>
      </c>
      <c r="H1374" t="s">
        <v>15</v>
      </c>
      <c r="I1374" t="s">
        <v>10878</v>
      </c>
      <c r="J1374" t="str">
        <f>RIGHT(D1374,4)</f>
        <v>6575</v>
      </c>
      <c r="K1374" t="str">
        <f>IFERROR(VLOOKUP(VALUE(J1374),'Site Info'!$A:$G,3,FALSE),"")</f>
        <v>249 SUMMIT PARK DR</v>
      </c>
      <c r="L1374" t="str">
        <f>IFERROR(VLOOKUP(VALUE(J1374),'Site Info'!$A:$G,4,FALSE),"")</f>
        <v>PITTSBURGH</v>
      </c>
      <c r="M1374" t="str">
        <f>IFERROR(VLOOKUP(VALUE(J1374),'Site Info'!$A:$G,5,FALSE),"")</f>
        <v>PA</v>
      </c>
      <c r="N1374" t="str">
        <f>IFERROR(VLOOKUP(VALUE(J1374),'Site Info'!$A:$G,6,FALSE),"")</f>
        <v>15275-1221</v>
      </c>
      <c r="O1374">
        <f>IFERROR(VLOOKUP(VALUE(J1374),'Site Info'!$A:$G,7,FALSE),"")</f>
        <v>4124944140</v>
      </c>
    </row>
    <row r="1375" spans="1:15" x14ac:dyDescent="0.45">
      <c r="A1375" t="s">
        <v>16949</v>
      </c>
      <c r="B1375" t="s">
        <v>16950</v>
      </c>
      <c r="C1375" t="s">
        <v>16951</v>
      </c>
      <c r="D1375" t="s">
        <v>10876</v>
      </c>
      <c r="E1375" s="1">
        <v>46153.147268518522</v>
      </c>
      <c r="F1375">
        <v>1481</v>
      </c>
      <c r="G1375" t="s">
        <v>16952</v>
      </c>
      <c r="H1375" t="s">
        <v>15</v>
      </c>
      <c r="I1375" t="s">
        <v>10878</v>
      </c>
      <c r="J1375" t="str">
        <f>RIGHT(D1375,4)</f>
        <v>6575</v>
      </c>
      <c r="K1375" t="str">
        <f>IFERROR(VLOOKUP(VALUE(J1375),'Site Info'!$A:$G,3,FALSE),"")</f>
        <v>249 SUMMIT PARK DR</v>
      </c>
      <c r="L1375" t="str">
        <f>IFERROR(VLOOKUP(VALUE(J1375),'Site Info'!$A:$G,4,FALSE),"")</f>
        <v>PITTSBURGH</v>
      </c>
      <c r="M1375" t="str">
        <f>IFERROR(VLOOKUP(VALUE(J1375),'Site Info'!$A:$G,5,FALSE),"")</f>
        <v>PA</v>
      </c>
      <c r="N1375" t="str">
        <f>IFERROR(VLOOKUP(VALUE(J1375),'Site Info'!$A:$G,6,FALSE),"")</f>
        <v>15275-1221</v>
      </c>
      <c r="O1375">
        <f>IFERROR(VLOOKUP(VALUE(J1375),'Site Info'!$A:$G,7,FALSE),"")</f>
        <v>4124944140</v>
      </c>
    </row>
    <row r="1376" spans="1:15" x14ac:dyDescent="0.45">
      <c r="A1376" t="s">
        <v>16953</v>
      </c>
      <c r="B1376" t="s">
        <v>16954</v>
      </c>
      <c r="C1376" t="s">
        <v>16955</v>
      </c>
      <c r="D1376" t="s">
        <v>10876</v>
      </c>
      <c r="E1376" s="1">
        <v>46153.369502314818</v>
      </c>
      <c r="F1376">
        <v>1481</v>
      </c>
      <c r="G1376" t="s">
        <v>16956</v>
      </c>
      <c r="H1376" t="s">
        <v>15</v>
      </c>
      <c r="I1376" t="s">
        <v>10878</v>
      </c>
      <c r="J1376" t="str">
        <f>RIGHT(D1376,4)</f>
        <v>6575</v>
      </c>
      <c r="K1376" t="str">
        <f>IFERROR(VLOOKUP(VALUE(J1376),'Site Info'!$A:$G,3,FALSE),"")</f>
        <v>249 SUMMIT PARK DR</v>
      </c>
      <c r="L1376" t="str">
        <f>IFERROR(VLOOKUP(VALUE(J1376),'Site Info'!$A:$G,4,FALSE),"")</f>
        <v>PITTSBURGH</v>
      </c>
      <c r="M1376" t="str">
        <f>IFERROR(VLOOKUP(VALUE(J1376),'Site Info'!$A:$G,5,FALSE),"")</f>
        <v>PA</v>
      </c>
      <c r="N1376" t="str">
        <f>IFERROR(VLOOKUP(VALUE(J1376),'Site Info'!$A:$G,6,FALSE),"")</f>
        <v>15275-1221</v>
      </c>
      <c r="O1376">
        <f>IFERROR(VLOOKUP(VALUE(J1376),'Site Info'!$A:$G,7,FALSE),"")</f>
        <v>4124944140</v>
      </c>
    </row>
    <row r="1377" spans="1:15" x14ac:dyDescent="0.45">
      <c r="A1377" t="s">
        <v>10164</v>
      </c>
      <c r="B1377" t="s">
        <v>10165</v>
      </c>
      <c r="C1377" t="s">
        <v>10166</v>
      </c>
      <c r="D1377" t="s">
        <v>1941</v>
      </c>
      <c r="E1377" s="1">
        <v>46152.797731481478</v>
      </c>
      <c r="F1377">
        <v>1547</v>
      </c>
      <c r="G1377" t="s">
        <v>10167</v>
      </c>
      <c r="H1377" t="s">
        <v>15</v>
      </c>
      <c r="I1377" t="s">
        <v>1943</v>
      </c>
      <c r="J1377" t="str">
        <f>RIGHT(D1377,4)</f>
        <v>6620</v>
      </c>
      <c r="K1377" t="str">
        <f>IFERROR(VLOOKUP(VALUE(J1377),'Site Info'!$A:$G,3,FALSE),"")</f>
        <v>2495 IRON PT RD 11</v>
      </c>
      <c r="L1377" t="str">
        <f>IFERROR(VLOOKUP(VALUE(J1377),'Site Info'!$A:$G,4,FALSE),"")</f>
        <v>FOLSOM</v>
      </c>
      <c r="M1377" t="str">
        <f>IFERROR(VLOOKUP(VALUE(J1377),'Site Info'!$A:$G,5,FALSE),"")</f>
        <v>CA</v>
      </c>
      <c r="N1377" t="str">
        <f>IFERROR(VLOOKUP(VALUE(J1377),'Site Info'!$A:$G,6,FALSE),"")</f>
        <v>95630-8710</v>
      </c>
      <c r="O1377">
        <f>IFERROR(VLOOKUP(VALUE(J1377),'Site Info'!$A:$G,7,FALSE),"")</f>
        <v>9168178965</v>
      </c>
    </row>
    <row r="1378" spans="1:15" x14ac:dyDescent="0.45">
      <c r="A1378" t="s">
        <v>10989</v>
      </c>
      <c r="B1378" t="s">
        <v>10990</v>
      </c>
      <c r="C1378" t="s">
        <v>10991</v>
      </c>
      <c r="D1378" t="s">
        <v>1941</v>
      </c>
      <c r="E1378" s="1">
        <v>46153.337129629632</v>
      </c>
      <c r="F1378">
        <v>1547</v>
      </c>
      <c r="G1378" t="s">
        <v>10992</v>
      </c>
      <c r="H1378" t="s">
        <v>15</v>
      </c>
      <c r="I1378" t="s">
        <v>1943</v>
      </c>
      <c r="J1378" t="str">
        <f>RIGHT(D1378,4)</f>
        <v>6620</v>
      </c>
      <c r="K1378" t="str">
        <f>IFERROR(VLOOKUP(VALUE(J1378),'Site Info'!$A:$G,3,FALSE),"")</f>
        <v>2495 IRON PT RD 11</v>
      </c>
      <c r="L1378" t="str">
        <f>IFERROR(VLOOKUP(VALUE(J1378),'Site Info'!$A:$G,4,FALSE),"")</f>
        <v>FOLSOM</v>
      </c>
      <c r="M1378" t="str">
        <f>IFERROR(VLOOKUP(VALUE(J1378),'Site Info'!$A:$G,5,FALSE),"")</f>
        <v>CA</v>
      </c>
      <c r="N1378" t="str">
        <f>IFERROR(VLOOKUP(VALUE(J1378),'Site Info'!$A:$G,6,FALSE),"")</f>
        <v>95630-8710</v>
      </c>
      <c r="O1378">
        <f>IFERROR(VLOOKUP(VALUE(J1378),'Site Info'!$A:$G,7,FALSE),"")</f>
        <v>9168178965</v>
      </c>
    </row>
    <row r="1379" spans="1:15" x14ac:dyDescent="0.45">
      <c r="A1379" t="s">
        <v>10312</v>
      </c>
      <c r="B1379" t="s">
        <v>10313</v>
      </c>
      <c r="C1379" t="s">
        <v>10314</v>
      </c>
      <c r="D1379" t="s">
        <v>1941</v>
      </c>
      <c r="E1379" s="1">
        <v>46153.341550925928</v>
      </c>
      <c r="F1379">
        <v>1547</v>
      </c>
      <c r="G1379" t="s">
        <v>10315</v>
      </c>
      <c r="H1379" t="s">
        <v>15</v>
      </c>
      <c r="I1379" t="s">
        <v>1943</v>
      </c>
      <c r="J1379" t="str">
        <f>RIGHT(D1379,4)</f>
        <v>6620</v>
      </c>
      <c r="K1379" t="str">
        <f>IFERROR(VLOOKUP(VALUE(J1379),'Site Info'!$A:$G,3,FALSE),"")</f>
        <v>2495 IRON PT RD 11</v>
      </c>
      <c r="L1379" t="str">
        <f>IFERROR(VLOOKUP(VALUE(J1379),'Site Info'!$A:$G,4,FALSE),"")</f>
        <v>FOLSOM</v>
      </c>
      <c r="M1379" t="str">
        <f>IFERROR(VLOOKUP(VALUE(J1379),'Site Info'!$A:$G,5,FALSE),"")</f>
        <v>CA</v>
      </c>
      <c r="N1379" t="str">
        <f>IFERROR(VLOOKUP(VALUE(J1379),'Site Info'!$A:$G,6,FALSE),"")</f>
        <v>95630-8710</v>
      </c>
      <c r="O1379">
        <f>IFERROR(VLOOKUP(VALUE(J1379),'Site Info'!$A:$G,7,FALSE),"")</f>
        <v>9168178965</v>
      </c>
    </row>
    <row r="1380" spans="1:15" x14ac:dyDescent="0.45">
      <c r="A1380" t="s">
        <v>1938</v>
      </c>
      <c r="B1380" t="s">
        <v>1939</v>
      </c>
      <c r="C1380" t="s">
        <v>1940</v>
      </c>
      <c r="D1380" t="s">
        <v>1941</v>
      </c>
      <c r="E1380" s="1">
        <v>46126.706261574072</v>
      </c>
      <c r="F1380">
        <v>1481</v>
      </c>
      <c r="G1380" t="s">
        <v>1942</v>
      </c>
      <c r="H1380" t="s">
        <v>15</v>
      </c>
      <c r="I1380" t="s">
        <v>1943</v>
      </c>
      <c r="J1380" t="str">
        <f>RIGHT(D1380,4)</f>
        <v>6620</v>
      </c>
      <c r="K1380" t="str">
        <f>IFERROR(VLOOKUP(VALUE(J1380),'Site Info'!$A:$G,3,FALSE),"")</f>
        <v>2495 IRON PT RD 11</v>
      </c>
      <c r="L1380" t="str">
        <f>IFERROR(VLOOKUP(VALUE(J1380),'Site Info'!$A:$G,4,FALSE),"")</f>
        <v>FOLSOM</v>
      </c>
      <c r="M1380" t="str">
        <f>IFERROR(VLOOKUP(VALUE(J1380),'Site Info'!$A:$G,5,FALSE),"")</f>
        <v>CA</v>
      </c>
      <c r="N1380" t="str">
        <f>IFERROR(VLOOKUP(VALUE(J1380),'Site Info'!$A:$G,6,FALSE),"")</f>
        <v>95630-8710</v>
      </c>
      <c r="O1380">
        <f>IFERROR(VLOOKUP(VALUE(J1380),'Site Info'!$A:$G,7,FALSE),"")</f>
        <v>9168178965</v>
      </c>
    </row>
    <row r="1381" spans="1:15" x14ac:dyDescent="0.45">
      <c r="A1381" t="s">
        <v>16427</v>
      </c>
      <c r="B1381" t="s">
        <v>16980</v>
      </c>
      <c r="C1381" s="4" t="s">
        <v>16981</v>
      </c>
      <c r="D1381" t="s">
        <v>1941</v>
      </c>
      <c r="E1381" s="1">
        <v>46152.793368055558</v>
      </c>
      <c r="F1381">
        <v>1628</v>
      </c>
      <c r="G1381" t="s">
        <v>16982</v>
      </c>
      <c r="H1381" t="s">
        <v>13988</v>
      </c>
      <c r="I1381" t="s">
        <v>1943</v>
      </c>
      <c r="J1381" t="str">
        <f>RIGHT(D1381,4)</f>
        <v>6620</v>
      </c>
      <c r="K1381" t="str">
        <f>IFERROR(VLOOKUP(VALUE(J1381),'Site Info'!$A:$G,3,FALSE),"")</f>
        <v>2495 IRON PT RD 11</v>
      </c>
      <c r="L1381" t="str">
        <f>IFERROR(VLOOKUP(VALUE(J1381),'Site Info'!$A:$G,4,FALSE),"")</f>
        <v>FOLSOM</v>
      </c>
      <c r="M1381" t="str">
        <f>IFERROR(VLOOKUP(VALUE(J1381),'Site Info'!$A:$G,5,FALSE),"")</f>
        <v>CA</v>
      </c>
      <c r="N1381" t="str">
        <f>IFERROR(VLOOKUP(VALUE(J1381),'Site Info'!$A:$G,6,FALSE),"")</f>
        <v>95630-8710</v>
      </c>
      <c r="O1381">
        <f>IFERROR(VLOOKUP(VALUE(J1381),'Site Info'!$A:$G,7,FALSE),"")</f>
        <v>9168178965</v>
      </c>
    </row>
    <row r="1382" spans="1:15" x14ac:dyDescent="0.45">
      <c r="A1382" t="s">
        <v>11762</v>
      </c>
      <c r="B1382" t="s">
        <v>11763</v>
      </c>
      <c r="C1382" t="s">
        <v>11764</v>
      </c>
      <c r="D1382" t="s">
        <v>1193</v>
      </c>
      <c r="E1382" s="1">
        <v>46151.476180555554</v>
      </c>
      <c r="F1382">
        <v>1547</v>
      </c>
      <c r="G1382" t="s">
        <v>11765</v>
      </c>
      <c r="H1382" t="s">
        <v>15</v>
      </c>
      <c r="I1382" t="s">
        <v>1195</v>
      </c>
      <c r="J1382" t="str">
        <f>RIGHT(D1382,4)</f>
        <v>6457</v>
      </c>
      <c r="K1382" t="str">
        <f>IFERROR(VLOOKUP(VALUE(J1382),'Site Info'!$A:$G,3,FALSE),"")</f>
        <v>2500 MOUNTAINEER BLVD</v>
      </c>
      <c r="L1382" t="str">
        <f>IFERROR(VLOOKUP(VALUE(J1382),'Site Info'!$A:$G,4,FALSE),"")</f>
        <v>SOUTH CHARLESTON</v>
      </c>
      <c r="M1382" t="str">
        <f>IFERROR(VLOOKUP(VALUE(J1382),'Site Info'!$A:$G,5,FALSE),"")</f>
        <v>WV</v>
      </c>
      <c r="N1382" t="str">
        <f>IFERROR(VLOOKUP(VALUE(J1382),'Site Info'!$A:$G,6,FALSE),"")</f>
        <v>25309-9438</v>
      </c>
      <c r="O1382">
        <f>IFERROR(VLOOKUP(VALUE(J1382),'Site Info'!$A:$G,7,FALSE),"")</f>
        <v>3047461700</v>
      </c>
    </row>
    <row r="1383" spans="1:15" x14ac:dyDescent="0.45">
      <c r="A1383" t="s">
        <v>7737</v>
      </c>
      <c r="B1383" t="s">
        <v>7738</v>
      </c>
      <c r="C1383" t="s">
        <v>7739</v>
      </c>
      <c r="D1383" t="s">
        <v>1193</v>
      </c>
      <c r="E1383" s="1">
        <v>46153.150891203702</v>
      </c>
      <c r="F1383">
        <v>1547</v>
      </c>
      <c r="G1383" t="s">
        <v>7740</v>
      </c>
      <c r="H1383" t="s">
        <v>15</v>
      </c>
      <c r="I1383" t="s">
        <v>1195</v>
      </c>
      <c r="J1383" t="str">
        <f>RIGHT(D1383,4)</f>
        <v>6457</v>
      </c>
      <c r="K1383" t="str">
        <f>IFERROR(VLOOKUP(VALUE(J1383),'Site Info'!$A:$G,3,FALSE),"")</f>
        <v>2500 MOUNTAINEER BLVD</v>
      </c>
      <c r="L1383" t="str">
        <f>IFERROR(VLOOKUP(VALUE(J1383),'Site Info'!$A:$G,4,FALSE),"")</f>
        <v>SOUTH CHARLESTON</v>
      </c>
      <c r="M1383" t="str">
        <f>IFERROR(VLOOKUP(VALUE(J1383),'Site Info'!$A:$G,5,FALSE),"")</f>
        <v>WV</v>
      </c>
      <c r="N1383" t="str">
        <f>IFERROR(VLOOKUP(VALUE(J1383),'Site Info'!$A:$G,6,FALSE),"")</f>
        <v>25309-9438</v>
      </c>
      <c r="O1383">
        <f>IFERROR(VLOOKUP(VALUE(J1383),'Site Info'!$A:$G,7,FALSE),"")</f>
        <v>3047461700</v>
      </c>
    </row>
    <row r="1384" spans="1:15" x14ac:dyDescent="0.45">
      <c r="A1384" t="s">
        <v>1190</v>
      </c>
      <c r="B1384" t="s">
        <v>1191</v>
      </c>
      <c r="C1384" t="s">
        <v>1192</v>
      </c>
      <c r="D1384" t="s">
        <v>1193</v>
      </c>
      <c r="E1384" s="1">
        <v>46152.42827546296</v>
      </c>
      <c r="F1384">
        <v>1481</v>
      </c>
      <c r="G1384" t="s">
        <v>1194</v>
      </c>
      <c r="H1384" t="s">
        <v>15</v>
      </c>
      <c r="I1384" t="s">
        <v>1195</v>
      </c>
      <c r="J1384" t="str">
        <f>RIGHT(D1384,4)</f>
        <v>6457</v>
      </c>
      <c r="K1384" t="str">
        <f>IFERROR(VLOOKUP(VALUE(J1384),'Site Info'!$A:$G,3,FALSE),"")</f>
        <v>2500 MOUNTAINEER BLVD</v>
      </c>
      <c r="L1384" t="str">
        <f>IFERROR(VLOOKUP(VALUE(J1384),'Site Info'!$A:$G,4,FALSE),"")</f>
        <v>SOUTH CHARLESTON</v>
      </c>
      <c r="M1384" t="str">
        <f>IFERROR(VLOOKUP(VALUE(J1384),'Site Info'!$A:$G,5,FALSE),"")</f>
        <v>WV</v>
      </c>
      <c r="N1384" t="str">
        <f>IFERROR(VLOOKUP(VALUE(J1384),'Site Info'!$A:$G,6,FALSE),"")</f>
        <v>25309-9438</v>
      </c>
      <c r="O1384">
        <f>IFERROR(VLOOKUP(VALUE(J1384),'Site Info'!$A:$G,7,FALSE),"")</f>
        <v>3047461700</v>
      </c>
    </row>
    <row r="1385" spans="1:15" x14ac:dyDescent="0.45">
      <c r="A1385" t="s">
        <v>3199</v>
      </c>
      <c r="B1385" t="s">
        <v>3200</v>
      </c>
      <c r="C1385" t="s">
        <v>3201</v>
      </c>
      <c r="D1385" t="s">
        <v>1193</v>
      </c>
      <c r="E1385" s="1">
        <v>46153.32540509259</v>
      </c>
      <c r="F1385">
        <v>1481</v>
      </c>
      <c r="G1385" t="s">
        <v>3202</v>
      </c>
      <c r="H1385" t="s">
        <v>15</v>
      </c>
      <c r="I1385" t="s">
        <v>1195</v>
      </c>
      <c r="J1385" t="str">
        <f>RIGHT(D1385,4)</f>
        <v>6457</v>
      </c>
      <c r="K1385" t="str">
        <f>IFERROR(VLOOKUP(VALUE(J1385),'Site Info'!$A:$G,3,FALSE),"")</f>
        <v>2500 MOUNTAINEER BLVD</v>
      </c>
      <c r="L1385" t="str">
        <f>IFERROR(VLOOKUP(VALUE(J1385),'Site Info'!$A:$G,4,FALSE),"")</f>
        <v>SOUTH CHARLESTON</v>
      </c>
      <c r="M1385" t="str">
        <f>IFERROR(VLOOKUP(VALUE(J1385),'Site Info'!$A:$G,5,FALSE),"")</f>
        <v>WV</v>
      </c>
      <c r="N1385" t="str">
        <f>IFERROR(VLOOKUP(VALUE(J1385),'Site Info'!$A:$G,6,FALSE),"")</f>
        <v>25309-9438</v>
      </c>
      <c r="O1385">
        <f>IFERROR(VLOOKUP(VALUE(J1385),'Site Info'!$A:$G,7,FALSE),"")</f>
        <v>3047461700</v>
      </c>
    </row>
    <row r="1386" spans="1:15" x14ac:dyDescent="0.45">
      <c r="A1386" t="s">
        <v>3215</v>
      </c>
      <c r="B1386" t="s">
        <v>3216</v>
      </c>
      <c r="C1386" t="s">
        <v>3217</v>
      </c>
      <c r="D1386" t="s">
        <v>1193</v>
      </c>
      <c r="E1386" s="1">
        <v>46153.362766203703</v>
      </c>
      <c r="F1386">
        <v>1481</v>
      </c>
      <c r="G1386" t="s">
        <v>3218</v>
      </c>
      <c r="H1386" t="s">
        <v>15</v>
      </c>
      <c r="I1386" t="s">
        <v>1195</v>
      </c>
      <c r="J1386" t="str">
        <f>RIGHT(D1386,4)</f>
        <v>6457</v>
      </c>
      <c r="K1386" t="str">
        <f>IFERROR(VLOOKUP(VALUE(J1386),'Site Info'!$A:$G,3,FALSE),"")</f>
        <v>2500 MOUNTAINEER BLVD</v>
      </c>
      <c r="L1386" t="str">
        <f>IFERROR(VLOOKUP(VALUE(J1386),'Site Info'!$A:$G,4,FALSE),"")</f>
        <v>SOUTH CHARLESTON</v>
      </c>
      <c r="M1386" t="str">
        <f>IFERROR(VLOOKUP(VALUE(J1386),'Site Info'!$A:$G,5,FALSE),"")</f>
        <v>WV</v>
      </c>
      <c r="N1386" t="str">
        <f>IFERROR(VLOOKUP(VALUE(J1386),'Site Info'!$A:$G,6,FALSE),"")</f>
        <v>25309-9438</v>
      </c>
      <c r="O1386">
        <f>IFERROR(VLOOKUP(VALUE(J1386),'Site Info'!$A:$G,7,FALSE),"")</f>
        <v>3047461700</v>
      </c>
    </row>
    <row r="1387" spans="1:15" x14ac:dyDescent="0.45">
      <c r="A1387" t="s">
        <v>14163</v>
      </c>
      <c r="B1387" t="s">
        <v>14164</v>
      </c>
      <c r="C1387" t="s">
        <v>14165</v>
      </c>
      <c r="D1387" t="s">
        <v>7271</v>
      </c>
      <c r="E1387" s="1">
        <v>46149.158136574071</v>
      </c>
      <c r="F1387">
        <v>1863</v>
      </c>
      <c r="G1387" t="s">
        <v>14166</v>
      </c>
      <c r="H1387" t="s">
        <v>136</v>
      </c>
      <c r="I1387" t="s">
        <v>7273</v>
      </c>
      <c r="J1387" t="str">
        <f>RIGHT(D1387,4)</f>
        <v>6460</v>
      </c>
      <c r="K1387" t="str">
        <f>IFERROR(VLOOKUP(VALUE(J1387),'Site Info'!$A:$G,3,FALSE),"")</f>
        <v>2500 PLANK ROAD COMMONS</v>
      </c>
      <c r="L1387" t="str">
        <f>IFERROR(VLOOKUP(VALUE(J1387),'Site Info'!$A:$G,4,FALSE),"")</f>
        <v>ALTOONA</v>
      </c>
      <c r="M1387" t="str">
        <f>IFERROR(VLOOKUP(VALUE(J1387),'Site Info'!$A:$G,5,FALSE),"")</f>
        <v>PA</v>
      </c>
      <c r="N1387" t="str">
        <f>IFERROR(VLOOKUP(VALUE(J1387),'Site Info'!$A:$G,6,FALSE),"")</f>
        <v>16601-9327</v>
      </c>
      <c r="O1387">
        <f>IFERROR(VLOOKUP(VALUE(J1387),'Site Info'!$A:$G,7,FALSE),"")</f>
        <v>8149498950</v>
      </c>
    </row>
    <row r="1388" spans="1:15" x14ac:dyDescent="0.45">
      <c r="A1388" t="s">
        <v>7357</v>
      </c>
      <c r="B1388" t="s">
        <v>7358</v>
      </c>
      <c r="C1388" t="s">
        <v>7359</v>
      </c>
      <c r="D1388" t="s">
        <v>7271</v>
      </c>
      <c r="E1388" s="1">
        <v>46153.357627314814</v>
      </c>
      <c r="F1388">
        <v>1547</v>
      </c>
      <c r="G1388" t="s">
        <v>7360</v>
      </c>
      <c r="H1388" t="s">
        <v>15</v>
      </c>
      <c r="I1388" t="s">
        <v>7273</v>
      </c>
      <c r="J1388" t="str">
        <f>RIGHT(D1388,4)</f>
        <v>6460</v>
      </c>
      <c r="K1388" t="str">
        <f>IFERROR(VLOOKUP(VALUE(J1388),'Site Info'!$A:$G,3,FALSE),"")</f>
        <v>2500 PLANK ROAD COMMONS</v>
      </c>
      <c r="L1388" t="str">
        <f>IFERROR(VLOOKUP(VALUE(J1388),'Site Info'!$A:$G,4,FALSE),"")</f>
        <v>ALTOONA</v>
      </c>
      <c r="M1388" t="str">
        <f>IFERROR(VLOOKUP(VALUE(J1388),'Site Info'!$A:$G,5,FALSE),"")</f>
        <v>PA</v>
      </c>
      <c r="N1388" t="str">
        <f>IFERROR(VLOOKUP(VALUE(J1388),'Site Info'!$A:$G,6,FALSE),"")</f>
        <v>16601-9327</v>
      </c>
      <c r="O1388">
        <f>IFERROR(VLOOKUP(VALUE(J1388),'Site Info'!$A:$G,7,FALSE),"")</f>
        <v>8149498950</v>
      </c>
    </row>
    <row r="1389" spans="1:15" x14ac:dyDescent="0.45">
      <c r="A1389" t="s">
        <v>7268</v>
      </c>
      <c r="B1389" t="s">
        <v>7269</v>
      </c>
      <c r="C1389" t="s">
        <v>7270</v>
      </c>
      <c r="D1389" t="s">
        <v>7271</v>
      </c>
      <c r="E1389" s="1">
        <v>46153.359814814816</v>
      </c>
      <c r="F1389">
        <v>1547</v>
      </c>
      <c r="G1389" t="s">
        <v>7272</v>
      </c>
      <c r="H1389" t="s">
        <v>15</v>
      </c>
      <c r="I1389" t="s">
        <v>7273</v>
      </c>
      <c r="J1389" t="str">
        <f>RIGHT(D1389,4)</f>
        <v>6460</v>
      </c>
      <c r="K1389" t="str">
        <f>IFERROR(VLOOKUP(VALUE(J1389),'Site Info'!$A:$G,3,FALSE),"")</f>
        <v>2500 PLANK ROAD COMMONS</v>
      </c>
      <c r="L1389" t="str">
        <f>IFERROR(VLOOKUP(VALUE(J1389),'Site Info'!$A:$G,4,FALSE),"")</f>
        <v>ALTOONA</v>
      </c>
      <c r="M1389" t="str">
        <f>IFERROR(VLOOKUP(VALUE(J1389),'Site Info'!$A:$G,5,FALSE),"")</f>
        <v>PA</v>
      </c>
      <c r="N1389" t="str">
        <f>IFERROR(VLOOKUP(VALUE(J1389),'Site Info'!$A:$G,6,FALSE),"")</f>
        <v>16601-9327</v>
      </c>
      <c r="O1389">
        <f>IFERROR(VLOOKUP(VALUE(J1389),'Site Info'!$A:$G,7,FALSE),"")</f>
        <v>8149498950</v>
      </c>
    </row>
    <row r="1390" spans="1:15" x14ac:dyDescent="0.45">
      <c r="A1390" t="s">
        <v>7907</v>
      </c>
      <c r="B1390" t="s">
        <v>7908</v>
      </c>
      <c r="C1390" t="s">
        <v>7909</v>
      </c>
      <c r="D1390" t="s">
        <v>7271</v>
      </c>
      <c r="E1390" s="1">
        <v>46153.372650462959</v>
      </c>
      <c r="F1390">
        <v>1547</v>
      </c>
      <c r="G1390" t="s">
        <v>7910</v>
      </c>
      <c r="H1390" t="s">
        <v>15</v>
      </c>
      <c r="I1390" t="s">
        <v>7273</v>
      </c>
      <c r="J1390" t="str">
        <f>RIGHT(D1390,4)</f>
        <v>6460</v>
      </c>
      <c r="K1390" t="str">
        <f>IFERROR(VLOOKUP(VALUE(J1390),'Site Info'!$A:$G,3,FALSE),"")</f>
        <v>2500 PLANK ROAD COMMONS</v>
      </c>
      <c r="L1390" t="str">
        <f>IFERROR(VLOOKUP(VALUE(J1390),'Site Info'!$A:$G,4,FALSE),"")</f>
        <v>ALTOONA</v>
      </c>
      <c r="M1390" t="str">
        <f>IFERROR(VLOOKUP(VALUE(J1390),'Site Info'!$A:$G,5,FALSE),"")</f>
        <v>PA</v>
      </c>
      <c r="N1390" t="str">
        <f>IFERROR(VLOOKUP(VALUE(J1390),'Site Info'!$A:$G,6,FALSE),"")</f>
        <v>16601-9327</v>
      </c>
      <c r="O1390">
        <f>IFERROR(VLOOKUP(VALUE(J1390),'Site Info'!$A:$G,7,FALSE),"")</f>
        <v>8149498950</v>
      </c>
    </row>
    <row r="1391" spans="1:15" x14ac:dyDescent="0.45">
      <c r="A1391" t="s">
        <v>10364</v>
      </c>
      <c r="B1391" t="s">
        <v>10365</v>
      </c>
      <c r="C1391" t="s">
        <v>10366</v>
      </c>
      <c r="D1391" t="s">
        <v>1799</v>
      </c>
      <c r="E1391" s="1">
        <v>46151.716469907406</v>
      </c>
      <c r="F1391">
        <v>1547</v>
      </c>
      <c r="G1391" t="s">
        <v>10367</v>
      </c>
      <c r="H1391" t="s">
        <v>15</v>
      </c>
      <c r="I1391" t="s">
        <v>1801</v>
      </c>
      <c r="J1391" t="str">
        <f>RIGHT(D1391,4)</f>
        <v>6385</v>
      </c>
      <c r="K1391" t="str">
        <f>IFERROR(VLOOKUP(VALUE(J1391),'Site Info'!$A:$G,3,FALSE),"")</f>
        <v>2501- 32ND AVE. SOUTH</v>
      </c>
      <c r="L1391" t="str">
        <f>IFERROR(VLOOKUP(VALUE(J1391),'Site Info'!$A:$G,4,FALSE),"")</f>
        <v>GRAND FORKS</v>
      </c>
      <c r="M1391" t="str">
        <f>IFERROR(VLOOKUP(VALUE(J1391),'Site Info'!$A:$G,5,FALSE),"")</f>
        <v>ND</v>
      </c>
      <c r="N1391" t="str">
        <f>IFERROR(VLOOKUP(VALUE(J1391),'Site Info'!$A:$G,6,FALSE),"")</f>
        <v>58201-6542</v>
      </c>
      <c r="O1391">
        <f>IFERROR(VLOOKUP(VALUE(J1391),'Site Info'!$A:$G,7,FALSE),"")</f>
        <v>7017959449</v>
      </c>
    </row>
    <row r="1392" spans="1:15" x14ac:dyDescent="0.45">
      <c r="A1392" t="s">
        <v>13151</v>
      </c>
      <c r="B1392" t="s">
        <v>13152</v>
      </c>
      <c r="C1392" t="s">
        <v>13153</v>
      </c>
      <c r="D1392" t="s">
        <v>1799</v>
      </c>
      <c r="E1392" s="1">
        <v>46152.863680555558</v>
      </c>
      <c r="F1392">
        <v>1547</v>
      </c>
      <c r="G1392" t="s">
        <v>13154</v>
      </c>
      <c r="H1392" t="s">
        <v>15</v>
      </c>
      <c r="I1392" t="s">
        <v>1801</v>
      </c>
      <c r="J1392" t="str">
        <f>RIGHT(D1392,4)</f>
        <v>6385</v>
      </c>
      <c r="K1392" t="str">
        <f>IFERROR(VLOOKUP(VALUE(J1392),'Site Info'!$A:$G,3,FALSE),"")</f>
        <v>2501- 32ND AVE. SOUTH</v>
      </c>
      <c r="L1392" t="str">
        <f>IFERROR(VLOOKUP(VALUE(J1392),'Site Info'!$A:$G,4,FALSE),"")</f>
        <v>GRAND FORKS</v>
      </c>
      <c r="M1392" t="str">
        <f>IFERROR(VLOOKUP(VALUE(J1392),'Site Info'!$A:$G,5,FALSE),"")</f>
        <v>ND</v>
      </c>
      <c r="N1392" t="str">
        <f>IFERROR(VLOOKUP(VALUE(J1392),'Site Info'!$A:$G,6,FALSE),"")</f>
        <v>58201-6542</v>
      </c>
      <c r="O1392">
        <f>IFERROR(VLOOKUP(VALUE(J1392),'Site Info'!$A:$G,7,FALSE),"")</f>
        <v>7017959449</v>
      </c>
    </row>
    <row r="1393" spans="1:15" x14ac:dyDescent="0.45">
      <c r="A1393" t="s">
        <v>9375</v>
      </c>
      <c r="B1393" t="s">
        <v>9376</v>
      </c>
      <c r="C1393" t="s">
        <v>9377</v>
      </c>
      <c r="D1393" t="s">
        <v>1799</v>
      </c>
      <c r="E1393" s="1">
        <v>46153.35261574074</v>
      </c>
      <c r="F1393">
        <v>1547</v>
      </c>
      <c r="G1393" t="s">
        <v>9378</v>
      </c>
      <c r="H1393" t="s">
        <v>15</v>
      </c>
      <c r="I1393" t="s">
        <v>1801</v>
      </c>
      <c r="J1393" t="str">
        <f>RIGHT(D1393,4)</f>
        <v>6385</v>
      </c>
      <c r="K1393" t="str">
        <f>IFERROR(VLOOKUP(VALUE(J1393),'Site Info'!$A:$G,3,FALSE),"")</f>
        <v>2501- 32ND AVE. SOUTH</v>
      </c>
      <c r="L1393" t="str">
        <f>IFERROR(VLOOKUP(VALUE(J1393),'Site Info'!$A:$G,4,FALSE),"")</f>
        <v>GRAND FORKS</v>
      </c>
      <c r="M1393" t="str">
        <f>IFERROR(VLOOKUP(VALUE(J1393),'Site Info'!$A:$G,5,FALSE),"")</f>
        <v>ND</v>
      </c>
      <c r="N1393" t="str">
        <f>IFERROR(VLOOKUP(VALUE(J1393),'Site Info'!$A:$G,6,FALSE),"")</f>
        <v>58201-6542</v>
      </c>
      <c r="O1393">
        <f>IFERROR(VLOOKUP(VALUE(J1393),'Site Info'!$A:$G,7,FALSE),"")</f>
        <v>7017959449</v>
      </c>
    </row>
    <row r="1394" spans="1:15" x14ac:dyDescent="0.45">
      <c r="A1394" t="s">
        <v>1796</v>
      </c>
      <c r="B1394" t="s">
        <v>1797</v>
      </c>
      <c r="C1394" t="s">
        <v>1798</v>
      </c>
      <c r="D1394" t="s">
        <v>1799</v>
      </c>
      <c r="E1394" s="1">
        <v>46148.403460648151</v>
      </c>
      <c r="F1394">
        <v>1481</v>
      </c>
      <c r="G1394" t="s">
        <v>1800</v>
      </c>
      <c r="H1394" t="s">
        <v>15</v>
      </c>
      <c r="I1394" t="s">
        <v>1801</v>
      </c>
      <c r="J1394" t="str">
        <f>RIGHT(D1394,4)</f>
        <v>6385</v>
      </c>
      <c r="K1394" t="str">
        <f>IFERROR(VLOOKUP(VALUE(J1394),'Site Info'!$A:$G,3,FALSE),"")</f>
        <v>2501- 32ND AVE. SOUTH</v>
      </c>
      <c r="L1394" t="str">
        <f>IFERROR(VLOOKUP(VALUE(J1394),'Site Info'!$A:$G,4,FALSE),"")</f>
        <v>GRAND FORKS</v>
      </c>
      <c r="M1394" t="str">
        <f>IFERROR(VLOOKUP(VALUE(J1394),'Site Info'!$A:$G,5,FALSE),"")</f>
        <v>ND</v>
      </c>
      <c r="N1394" t="str">
        <f>IFERROR(VLOOKUP(VALUE(J1394),'Site Info'!$A:$G,6,FALSE),"")</f>
        <v>58201-6542</v>
      </c>
      <c r="O1394">
        <f>IFERROR(VLOOKUP(VALUE(J1394),'Site Info'!$A:$G,7,FALSE),"")</f>
        <v>7017959449</v>
      </c>
    </row>
    <row r="1395" spans="1:15" x14ac:dyDescent="0.45">
      <c r="A1395" t="s">
        <v>3821</v>
      </c>
      <c r="B1395" t="s">
        <v>3822</v>
      </c>
      <c r="C1395" t="s">
        <v>3823</v>
      </c>
      <c r="D1395" t="s">
        <v>1799</v>
      </c>
      <c r="E1395" s="1">
        <v>46152.355046296296</v>
      </c>
      <c r="F1395">
        <v>1481</v>
      </c>
      <c r="G1395" t="s">
        <v>3824</v>
      </c>
      <c r="H1395" t="s">
        <v>15</v>
      </c>
      <c r="I1395" t="s">
        <v>1801</v>
      </c>
      <c r="J1395" t="str">
        <f>RIGHT(D1395,4)</f>
        <v>6385</v>
      </c>
      <c r="K1395" t="str">
        <f>IFERROR(VLOOKUP(VALUE(J1395),'Site Info'!$A:$G,3,FALSE),"")</f>
        <v>2501- 32ND AVE. SOUTH</v>
      </c>
      <c r="L1395" t="str">
        <f>IFERROR(VLOOKUP(VALUE(J1395),'Site Info'!$A:$G,4,FALSE),"")</f>
        <v>GRAND FORKS</v>
      </c>
      <c r="M1395" t="str">
        <f>IFERROR(VLOOKUP(VALUE(J1395),'Site Info'!$A:$G,5,FALSE),"")</f>
        <v>ND</v>
      </c>
      <c r="N1395" t="str">
        <f>IFERROR(VLOOKUP(VALUE(J1395),'Site Info'!$A:$G,6,FALSE),"")</f>
        <v>58201-6542</v>
      </c>
      <c r="O1395">
        <f>IFERROR(VLOOKUP(VALUE(J1395),'Site Info'!$A:$G,7,FALSE),"")</f>
        <v>7017959449</v>
      </c>
    </row>
    <row r="1396" spans="1:15" x14ac:dyDescent="0.45">
      <c r="A1396" t="s">
        <v>1818</v>
      </c>
      <c r="B1396" t="s">
        <v>1819</v>
      </c>
      <c r="C1396" t="s">
        <v>1820</v>
      </c>
      <c r="D1396" t="s">
        <v>1799</v>
      </c>
      <c r="E1396" s="1">
        <v>46153.346458333333</v>
      </c>
      <c r="F1396">
        <v>1481</v>
      </c>
      <c r="G1396" t="s">
        <v>1821</v>
      </c>
      <c r="H1396" t="s">
        <v>15</v>
      </c>
      <c r="I1396" t="s">
        <v>1801</v>
      </c>
      <c r="J1396" t="str">
        <f>RIGHT(D1396,4)</f>
        <v>6385</v>
      </c>
      <c r="K1396" t="str">
        <f>IFERROR(VLOOKUP(VALUE(J1396),'Site Info'!$A:$G,3,FALSE),"")</f>
        <v>2501- 32ND AVE. SOUTH</v>
      </c>
      <c r="L1396" t="str">
        <f>IFERROR(VLOOKUP(VALUE(J1396),'Site Info'!$A:$G,4,FALSE),"")</f>
        <v>GRAND FORKS</v>
      </c>
      <c r="M1396" t="str">
        <f>IFERROR(VLOOKUP(VALUE(J1396),'Site Info'!$A:$G,5,FALSE),"")</f>
        <v>ND</v>
      </c>
      <c r="N1396" t="str">
        <f>IFERROR(VLOOKUP(VALUE(J1396),'Site Info'!$A:$G,6,FALSE),"")</f>
        <v>58201-6542</v>
      </c>
      <c r="O1396">
        <f>IFERROR(VLOOKUP(VALUE(J1396),'Site Info'!$A:$G,7,FALSE),"")</f>
        <v>7017959449</v>
      </c>
    </row>
    <row r="1397" spans="1:15" x14ac:dyDescent="0.45">
      <c r="A1397" t="s">
        <v>16817</v>
      </c>
      <c r="B1397" t="s">
        <v>16818</v>
      </c>
      <c r="C1397" t="s">
        <v>16819</v>
      </c>
      <c r="D1397" t="s">
        <v>1799</v>
      </c>
      <c r="E1397" s="1">
        <v>46152.827870370369</v>
      </c>
      <c r="F1397">
        <v>1547</v>
      </c>
      <c r="G1397" t="s">
        <v>16820</v>
      </c>
      <c r="H1397" t="s">
        <v>15</v>
      </c>
      <c r="I1397" t="s">
        <v>1801</v>
      </c>
      <c r="J1397" t="str">
        <f>RIGHT(D1397,4)</f>
        <v>6385</v>
      </c>
      <c r="K1397" t="str">
        <f>IFERROR(VLOOKUP(VALUE(J1397),'Site Info'!$A:$G,3,FALSE),"")</f>
        <v>2501- 32ND AVE. SOUTH</v>
      </c>
      <c r="L1397" t="str">
        <f>IFERROR(VLOOKUP(VALUE(J1397),'Site Info'!$A:$G,4,FALSE),"")</f>
        <v>GRAND FORKS</v>
      </c>
      <c r="M1397" t="str">
        <f>IFERROR(VLOOKUP(VALUE(J1397),'Site Info'!$A:$G,5,FALSE),"")</f>
        <v>ND</v>
      </c>
      <c r="N1397" t="str">
        <f>IFERROR(VLOOKUP(VALUE(J1397),'Site Info'!$A:$G,6,FALSE),"")</f>
        <v>58201-6542</v>
      </c>
      <c r="O1397">
        <f>IFERROR(VLOOKUP(VALUE(J1397),'Site Info'!$A:$G,7,FALSE),"")</f>
        <v>7017959449</v>
      </c>
    </row>
    <row r="1398" spans="1:15" x14ac:dyDescent="0.45">
      <c r="A1398" t="s">
        <v>8489</v>
      </c>
      <c r="B1398" t="s">
        <v>8490</v>
      </c>
      <c r="C1398" t="s">
        <v>8491</v>
      </c>
      <c r="D1398" t="s">
        <v>3714</v>
      </c>
      <c r="E1398" s="1">
        <v>46150.533888888887</v>
      </c>
      <c r="F1398">
        <v>1547</v>
      </c>
      <c r="G1398" t="s">
        <v>8492</v>
      </c>
      <c r="H1398" t="s">
        <v>15</v>
      </c>
      <c r="I1398" t="s">
        <v>3716</v>
      </c>
      <c r="J1398" t="str">
        <f>RIGHT(D1398,4)</f>
        <v>8145</v>
      </c>
      <c r="K1398" t="str">
        <f>IFERROR(VLOOKUP(VALUE(J1398),'Site Info'!$A:$G,3,FALSE),"")</f>
        <v>2521 ROUTE 130 S</v>
      </c>
      <c r="L1398" t="str">
        <f>IFERROR(VLOOKUP(VALUE(J1398),'Site Info'!$A:$G,4,FALSE),"")</f>
        <v>CINNAMINSON</v>
      </c>
      <c r="M1398" t="str">
        <f>IFERROR(VLOOKUP(VALUE(J1398),'Site Info'!$A:$G,5,FALSE),"")</f>
        <v>NJ</v>
      </c>
      <c r="N1398" t="str">
        <f>IFERROR(VLOOKUP(VALUE(J1398),'Site Info'!$A:$G,6,FALSE),"")</f>
        <v>08077-3018</v>
      </c>
      <c r="O1398">
        <f>IFERROR(VLOOKUP(VALUE(J1398),'Site Info'!$A:$G,7,FALSE),"")</f>
        <v>8563032192</v>
      </c>
    </row>
    <row r="1399" spans="1:15" x14ac:dyDescent="0.45">
      <c r="A1399" t="s">
        <v>8599</v>
      </c>
      <c r="B1399" t="s">
        <v>8600</v>
      </c>
      <c r="C1399" t="s">
        <v>8601</v>
      </c>
      <c r="D1399" t="s">
        <v>3714</v>
      </c>
      <c r="E1399" s="1">
        <v>46151.220706018517</v>
      </c>
      <c r="F1399">
        <v>1547</v>
      </c>
      <c r="G1399" t="s">
        <v>8602</v>
      </c>
      <c r="H1399" t="s">
        <v>15</v>
      </c>
      <c r="I1399" t="s">
        <v>3716</v>
      </c>
      <c r="J1399" t="str">
        <f>RIGHT(D1399,4)</f>
        <v>8145</v>
      </c>
      <c r="K1399" t="str">
        <f>IFERROR(VLOOKUP(VALUE(J1399),'Site Info'!$A:$G,3,FALSE),"")</f>
        <v>2521 ROUTE 130 S</v>
      </c>
      <c r="L1399" t="str">
        <f>IFERROR(VLOOKUP(VALUE(J1399),'Site Info'!$A:$G,4,FALSE),"")</f>
        <v>CINNAMINSON</v>
      </c>
      <c r="M1399" t="str">
        <f>IFERROR(VLOOKUP(VALUE(J1399),'Site Info'!$A:$G,5,FALSE),"")</f>
        <v>NJ</v>
      </c>
      <c r="N1399" t="str">
        <f>IFERROR(VLOOKUP(VALUE(J1399),'Site Info'!$A:$G,6,FALSE),"")</f>
        <v>08077-3018</v>
      </c>
      <c r="O1399">
        <f>IFERROR(VLOOKUP(VALUE(J1399),'Site Info'!$A:$G,7,FALSE),"")</f>
        <v>8563032192</v>
      </c>
    </row>
    <row r="1400" spans="1:15" x14ac:dyDescent="0.45">
      <c r="A1400" t="s">
        <v>8801</v>
      </c>
      <c r="B1400" t="s">
        <v>8802</v>
      </c>
      <c r="C1400" t="s">
        <v>8803</v>
      </c>
      <c r="D1400" t="s">
        <v>3714</v>
      </c>
      <c r="E1400" s="1">
        <v>46151.768206018518</v>
      </c>
      <c r="F1400">
        <v>1547</v>
      </c>
      <c r="G1400" t="s">
        <v>8804</v>
      </c>
      <c r="H1400" t="s">
        <v>15</v>
      </c>
      <c r="I1400" t="s">
        <v>3716</v>
      </c>
      <c r="J1400" t="str">
        <f>RIGHT(D1400,4)</f>
        <v>8145</v>
      </c>
      <c r="K1400" t="str">
        <f>IFERROR(VLOOKUP(VALUE(J1400),'Site Info'!$A:$G,3,FALSE),"")</f>
        <v>2521 ROUTE 130 S</v>
      </c>
      <c r="L1400" t="str">
        <f>IFERROR(VLOOKUP(VALUE(J1400),'Site Info'!$A:$G,4,FALSE),"")</f>
        <v>CINNAMINSON</v>
      </c>
      <c r="M1400" t="str">
        <f>IFERROR(VLOOKUP(VALUE(J1400),'Site Info'!$A:$G,5,FALSE),"")</f>
        <v>NJ</v>
      </c>
      <c r="N1400" t="str">
        <f>IFERROR(VLOOKUP(VALUE(J1400),'Site Info'!$A:$G,6,FALSE),"")</f>
        <v>08077-3018</v>
      </c>
      <c r="O1400">
        <f>IFERROR(VLOOKUP(VALUE(J1400),'Site Info'!$A:$G,7,FALSE),"")</f>
        <v>8563032192</v>
      </c>
    </row>
    <row r="1401" spans="1:15" x14ac:dyDescent="0.45">
      <c r="A1401" t="s">
        <v>8643</v>
      </c>
      <c r="B1401" t="s">
        <v>8644</v>
      </c>
      <c r="C1401" t="s">
        <v>8645</v>
      </c>
      <c r="D1401" t="s">
        <v>3714</v>
      </c>
      <c r="E1401" s="1">
        <v>46152.409594907411</v>
      </c>
      <c r="F1401">
        <v>1547</v>
      </c>
      <c r="G1401" t="s">
        <v>8646</v>
      </c>
      <c r="H1401" t="s">
        <v>15</v>
      </c>
      <c r="I1401" t="s">
        <v>3716</v>
      </c>
      <c r="J1401" t="str">
        <f>RIGHT(D1401,4)</f>
        <v>8145</v>
      </c>
      <c r="K1401" t="str">
        <f>IFERROR(VLOOKUP(VALUE(J1401),'Site Info'!$A:$G,3,FALSE),"")</f>
        <v>2521 ROUTE 130 S</v>
      </c>
      <c r="L1401" t="str">
        <f>IFERROR(VLOOKUP(VALUE(J1401),'Site Info'!$A:$G,4,FALSE),"")</f>
        <v>CINNAMINSON</v>
      </c>
      <c r="M1401" t="str">
        <f>IFERROR(VLOOKUP(VALUE(J1401),'Site Info'!$A:$G,5,FALSE),"")</f>
        <v>NJ</v>
      </c>
      <c r="N1401" t="str">
        <f>IFERROR(VLOOKUP(VALUE(J1401),'Site Info'!$A:$G,6,FALSE),"")</f>
        <v>08077-3018</v>
      </c>
      <c r="O1401">
        <f>IFERROR(VLOOKUP(VALUE(J1401),'Site Info'!$A:$G,7,FALSE),"")</f>
        <v>8563032192</v>
      </c>
    </row>
    <row r="1402" spans="1:15" x14ac:dyDescent="0.45">
      <c r="A1402" t="s">
        <v>9193</v>
      </c>
      <c r="B1402" t="s">
        <v>9194</v>
      </c>
      <c r="C1402" t="s">
        <v>9195</v>
      </c>
      <c r="D1402" t="s">
        <v>3714</v>
      </c>
      <c r="E1402" s="1">
        <v>46153.132708333331</v>
      </c>
      <c r="F1402">
        <v>1547</v>
      </c>
      <c r="G1402" t="s">
        <v>9196</v>
      </c>
      <c r="H1402" t="s">
        <v>15</v>
      </c>
      <c r="I1402" t="s">
        <v>3716</v>
      </c>
      <c r="J1402" t="str">
        <f>RIGHT(D1402,4)</f>
        <v>8145</v>
      </c>
      <c r="K1402" t="str">
        <f>IFERROR(VLOOKUP(VALUE(J1402),'Site Info'!$A:$G,3,FALSE),"")</f>
        <v>2521 ROUTE 130 S</v>
      </c>
      <c r="L1402" t="str">
        <f>IFERROR(VLOOKUP(VALUE(J1402),'Site Info'!$A:$G,4,FALSE),"")</f>
        <v>CINNAMINSON</v>
      </c>
      <c r="M1402" t="str">
        <f>IFERROR(VLOOKUP(VALUE(J1402),'Site Info'!$A:$G,5,FALSE),"")</f>
        <v>NJ</v>
      </c>
      <c r="N1402" t="str">
        <f>IFERROR(VLOOKUP(VALUE(J1402),'Site Info'!$A:$G,6,FALSE),"")</f>
        <v>08077-3018</v>
      </c>
      <c r="O1402">
        <f>IFERROR(VLOOKUP(VALUE(J1402),'Site Info'!$A:$G,7,FALSE),"")</f>
        <v>8563032192</v>
      </c>
    </row>
    <row r="1403" spans="1:15" x14ac:dyDescent="0.45">
      <c r="A1403" t="s">
        <v>9145</v>
      </c>
      <c r="B1403" t="s">
        <v>9146</v>
      </c>
      <c r="C1403" t="s">
        <v>9147</v>
      </c>
      <c r="D1403" t="s">
        <v>3714</v>
      </c>
      <c r="E1403" s="1">
        <v>46153.334317129629</v>
      </c>
      <c r="F1403">
        <v>1547</v>
      </c>
      <c r="G1403" t="s">
        <v>9148</v>
      </c>
      <c r="H1403" t="s">
        <v>15</v>
      </c>
      <c r="I1403" t="s">
        <v>3716</v>
      </c>
      <c r="J1403" t="str">
        <f>RIGHT(D1403,4)</f>
        <v>8145</v>
      </c>
      <c r="K1403" t="str">
        <f>IFERROR(VLOOKUP(VALUE(J1403),'Site Info'!$A:$G,3,FALSE),"")</f>
        <v>2521 ROUTE 130 S</v>
      </c>
      <c r="L1403" t="str">
        <f>IFERROR(VLOOKUP(VALUE(J1403),'Site Info'!$A:$G,4,FALSE),"")</f>
        <v>CINNAMINSON</v>
      </c>
      <c r="M1403" t="str">
        <f>IFERROR(VLOOKUP(VALUE(J1403),'Site Info'!$A:$G,5,FALSE),"")</f>
        <v>NJ</v>
      </c>
      <c r="N1403" t="str">
        <f>IFERROR(VLOOKUP(VALUE(J1403),'Site Info'!$A:$G,6,FALSE),"")</f>
        <v>08077-3018</v>
      </c>
      <c r="O1403">
        <f>IFERROR(VLOOKUP(VALUE(J1403),'Site Info'!$A:$G,7,FALSE),"")</f>
        <v>8563032192</v>
      </c>
    </row>
    <row r="1404" spans="1:15" x14ac:dyDescent="0.45">
      <c r="A1404" t="s">
        <v>3711</v>
      </c>
      <c r="B1404" t="s">
        <v>3712</v>
      </c>
      <c r="C1404" t="s">
        <v>3713</v>
      </c>
      <c r="D1404" t="s">
        <v>3714</v>
      </c>
      <c r="E1404" s="1">
        <v>46152.408368055556</v>
      </c>
      <c r="F1404">
        <v>1481</v>
      </c>
      <c r="G1404" t="s">
        <v>3715</v>
      </c>
      <c r="H1404" t="s">
        <v>15</v>
      </c>
      <c r="I1404" t="s">
        <v>3716</v>
      </c>
      <c r="J1404" t="str">
        <f>RIGHT(D1404,4)</f>
        <v>8145</v>
      </c>
      <c r="K1404" t="str">
        <f>IFERROR(VLOOKUP(VALUE(J1404),'Site Info'!$A:$G,3,FALSE),"")</f>
        <v>2521 ROUTE 130 S</v>
      </c>
      <c r="L1404" t="str">
        <f>IFERROR(VLOOKUP(VALUE(J1404),'Site Info'!$A:$G,4,FALSE),"")</f>
        <v>CINNAMINSON</v>
      </c>
      <c r="M1404" t="str">
        <f>IFERROR(VLOOKUP(VALUE(J1404),'Site Info'!$A:$G,5,FALSE),"")</f>
        <v>NJ</v>
      </c>
      <c r="N1404" t="str">
        <f>IFERROR(VLOOKUP(VALUE(J1404),'Site Info'!$A:$G,6,FALSE),"")</f>
        <v>08077-3018</v>
      </c>
      <c r="O1404">
        <f>IFERROR(VLOOKUP(VALUE(J1404),'Site Info'!$A:$G,7,FALSE),"")</f>
        <v>8563032192</v>
      </c>
    </row>
    <row r="1405" spans="1:15" x14ac:dyDescent="0.45">
      <c r="A1405" t="s">
        <v>11138</v>
      </c>
      <c r="B1405" t="s">
        <v>11139</v>
      </c>
      <c r="C1405" t="s">
        <v>11140</v>
      </c>
      <c r="D1405" t="s">
        <v>4881</v>
      </c>
      <c r="E1405" s="1">
        <v>46093.326377314814</v>
      </c>
      <c r="F1405">
        <v>1547</v>
      </c>
      <c r="G1405" t="s">
        <v>11141</v>
      </c>
      <c r="H1405" t="s">
        <v>15</v>
      </c>
      <c r="I1405" t="s">
        <v>4883</v>
      </c>
      <c r="J1405" t="str">
        <f>RIGHT(D1405,4)</f>
        <v>4914</v>
      </c>
      <c r="K1405" t="str">
        <f>IFERROR(VLOOKUP(VALUE(J1405),'Site Info'!$A:$G,3,FALSE),"")</f>
        <v>2530 MARSHALL ROAD</v>
      </c>
      <c r="L1405" t="str">
        <f>IFERROR(VLOOKUP(VALUE(J1405),'Site Info'!$A:$G,4,FALSE),"")</f>
        <v>SAN ANTONIO</v>
      </c>
      <c r="M1405" t="str">
        <f>IFERROR(VLOOKUP(VALUE(J1405),'Site Info'!$A:$G,5,FALSE),"")</f>
        <v>TX</v>
      </c>
      <c r="N1405" t="str">
        <f>IFERROR(VLOOKUP(VALUE(J1405),'Site Info'!$A:$G,6,FALSE),"")</f>
        <v>78259-0000</v>
      </c>
      <c r="O1405">
        <f>IFERROR(VLOOKUP(VALUE(J1405),'Site Info'!$A:$G,7,FALSE),"")</f>
        <v>2108104368</v>
      </c>
    </row>
    <row r="1406" spans="1:15" x14ac:dyDescent="0.45">
      <c r="A1406" t="s">
        <v>4878</v>
      </c>
      <c r="B1406" t="s">
        <v>4879</v>
      </c>
      <c r="C1406" t="s">
        <v>4880</v>
      </c>
      <c r="D1406" t="s">
        <v>4881</v>
      </c>
      <c r="E1406" s="1">
        <v>46111.251388888886</v>
      </c>
      <c r="F1406">
        <v>1547</v>
      </c>
      <c r="G1406" t="s">
        <v>4882</v>
      </c>
      <c r="H1406" t="s">
        <v>15</v>
      </c>
      <c r="I1406" t="s">
        <v>4883</v>
      </c>
      <c r="J1406" t="str">
        <f>RIGHT(D1406,4)</f>
        <v>4914</v>
      </c>
      <c r="K1406" t="str">
        <f>IFERROR(VLOOKUP(VALUE(J1406),'Site Info'!$A:$G,3,FALSE),"")</f>
        <v>2530 MARSHALL ROAD</v>
      </c>
      <c r="L1406" t="str">
        <f>IFERROR(VLOOKUP(VALUE(J1406),'Site Info'!$A:$G,4,FALSE),"")</f>
        <v>SAN ANTONIO</v>
      </c>
      <c r="M1406" t="str">
        <f>IFERROR(VLOOKUP(VALUE(J1406),'Site Info'!$A:$G,5,FALSE),"")</f>
        <v>TX</v>
      </c>
      <c r="N1406" t="str">
        <f>IFERROR(VLOOKUP(VALUE(J1406),'Site Info'!$A:$G,6,FALSE),"")</f>
        <v>78259-0000</v>
      </c>
      <c r="O1406">
        <f>IFERROR(VLOOKUP(VALUE(J1406),'Site Info'!$A:$G,7,FALSE),"")</f>
        <v>2108104368</v>
      </c>
    </row>
    <row r="1407" spans="1:15" x14ac:dyDescent="0.45">
      <c r="A1407" t="s">
        <v>9325</v>
      </c>
      <c r="B1407" t="s">
        <v>9326</v>
      </c>
      <c r="C1407" t="s">
        <v>9327</v>
      </c>
      <c r="D1407" t="s">
        <v>4881</v>
      </c>
      <c r="E1407" s="1">
        <v>46152.639155092591</v>
      </c>
      <c r="F1407">
        <v>1547</v>
      </c>
      <c r="G1407" t="s">
        <v>9328</v>
      </c>
      <c r="H1407" t="s">
        <v>15</v>
      </c>
      <c r="I1407" t="s">
        <v>4883</v>
      </c>
      <c r="J1407" t="str">
        <f>RIGHT(D1407,4)</f>
        <v>4914</v>
      </c>
      <c r="K1407" t="str">
        <f>IFERROR(VLOOKUP(VALUE(J1407),'Site Info'!$A:$G,3,FALSE),"")</f>
        <v>2530 MARSHALL ROAD</v>
      </c>
      <c r="L1407" t="str">
        <f>IFERROR(VLOOKUP(VALUE(J1407),'Site Info'!$A:$G,4,FALSE),"")</f>
        <v>SAN ANTONIO</v>
      </c>
      <c r="M1407" t="str">
        <f>IFERROR(VLOOKUP(VALUE(J1407),'Site Info'!$A:$G,5,FALSE),"")</f>
        <v>TX</v>
      </c>
      <c r="N1407" t="str">
        <f>IFERROR(VLOOKUP(VALUE(J1407),'Site Info'!$A:$G,6,FALSE),"")</f>
        <v>78259-0000</v>
      </c>
      <c r="O1407">
        <f>IFERROR(VLOOKUP(VALUE(J1407),'Site Info'!$A:$G,7,FALSE),"")</f>
        <v>2108104368</v>
      </c>
    </row>
    <row r="1408" spans="1:15" x14ac:dyDescent="0.45">
      <c r="A1408" t="s">
        <v>6715</v>
      </c>
      <c r="B1408" t="s">
        <v>6716</v>
      </c>
      <c r="C1408" t="s">
        <v>6717</v>
      </c>
      <c r="D1408" t="s">
        <v>4881</v>
      </c>
      <c r="E1408" s="1">
        <v>46152.752754629626</v>
      </c>
      <c r="F1408">
        <v>1547</v>
      </c>
      <c r="G1408" t="s">
        <v>6718</v>
      </c>
      <c r="H1408" t="s">
        <v>15</v>
      </c>
      <c r="I1408" t="s">
        <v>4883</v>
      </c>
      <c r="J1408" t="str">
        <f>RIGHT(D1408,4)</f>
        <v>4914</v>
      </c>
      <c r="K1408" t="str">
        <f>IFERROR(VLOOKUP(VALUE(J1408),'Site Info'!$A:$G,3,FALSE),"")</f>
        <v>2530 MARSHALL ROAD</v>
      </c>
      <c r="L1408" t="str">
        <f>IFERROR(VLOOKUP(VALUE(J1408),'Site Info'!$A:$G,4,FALSE),"")</f>
        <v>SAN ANTONIO</v>
      </c>
      <c r="M1408" t="str">
        <f>IFERROR(VLOOKUP(VALUE(J1408),'Site Info'!$A:$G,5,FALSE),"")</f>
        <v>TX</v>
      </c>
      <c r="N1408" t="str">
        <f>IFERROR(VLOOKUP(VALUE(J1408),'Site Info'!$A:$G,6,FALSE),"")</f>
        <v>78259-0000</v>
      </c>
      <c r="O1408">
        <f>IFERROR(VLOOKUP(VALUE(J1408),'Site Info'!$A:$G,7,FALSE),"")</f>
        <v>2108104368</v>
      </c>
    </row>
    <row r="1409" spans="1:15" x14ac:dyDescent="0.45">
      <c r="A1409" t="s">
        <v>9836</v>
      </c>
      <c r="B1409" t="s">
        <v>9837</v>
      </c>
      <c r="C1409" t="s">
        <v>9838</v>
      </c>
      <c r="D1409" t="s">
        <v>4881</v>
      </c>
      <c r="E1409" s="1">
        <v>46153.004710648151</v>
      </c>
      <c r="F1409">
        <v>1547</v>
      </c>
      <c r="G1409" t="s">
        <v>9839</v>
      </c>
      <c r="H1409" t="s">
        <v>15</v>
      </c>
      <c r="I1409" t="s">
        <v>4883</v>
      </c>
      <c r="J1409" t="str">
        <f>RIGHT(D1409,4)</f>
        <v>4914</v>
      </c>
      <c r="K1409" t="str">
        <f>IFERROR(VLOOKUP(VALUE(J1409),'Site Info'!$A:$G,3,FALSE),"")</f>
        <v>2530 MARSHALL ROAD</v>
      </c>
      <c r="L1409" t="str">
        <f>IFERROR(VLOOKUP(VALUE(J1409),'Site Info'!$A:$G,4,FALSE),"")</f>
        <v>SAN ANTONIO</v>
      </c>
      <c r="M1409" t="str">
        <f>IFERROR(VLOOKUP(VALUE(J1409),'Site Info'!$A:$G,5,FALSE),"")</f>
        <v>TX</v>
      </c>
      <c r="N1409" t="str">
        <f>IFERROR(VLOOKUP(VALUE(J1409),'Site Info'!$A:$G,6,FALSE),"")</f>
        <v>78259-0000</v>
      </c>
      <c r="O1409">
        <f>IFERROR(VLOOKUP(VALUE(J1409),'Site Info'!$A:$G,7,FALSE),"")</f>
        <v>2108104368</v>
      </c>
    </row>
    <row r="1410" spans="1:15" x14ac:dyDescent="0.45">
      <c r="A1410" t="s">
        <v>6639</v>
      </c>
      <c r="B1410" t="s">
        <v>6640</v>
      </c>
      <c r="C1410" t="s">
        <v>6641</v>
      </c>
      <c r="D1410" t="s">
        <v>4881</v>
      </c>
      <c r="E1410" s="1">
        <v>46153.36383101852</v>
      </c>
      <c r="F1410">
        <v>1547</v>
      </c>
      <c r="G1410" t="s">
        <v>6642</v>
      </c>
      <c r="H1410" t="s">
        <v>15</v>
      </c>
      <c r="I1410" t="s">
        <v>4883</v>
      </c>
      <c r="J1410" t="str">
        <f>RIGHT(D1410,4)</f>
        <v>4914</v>
      </c>
      <c r="K1410" t="str">
        <f>IFERROR(VLOOKUP(VALUE(J1410),'Site Info'!$A:$G,3,FALSE),"")</f>
        <v>2530 MARSHALL ROAD</v>
      </c>
      <c r="L1410" t="str">
        <f>IFERROR(VLOOKUP(VALUE(J1410),'Site Info'!$A:$G,4,FALSE),"")</f>
        <v>SAN ANTONIO</v>
      </c>
      <c r="M1410" t="str">
        <f>IFERROR(VLOOKUP(VALUE(J1410),'Site Info'!$A:$G,5,FALSE),"")</f>
        <v>TX</v>
      </c>
      <c r="N1410" t="str">
        <f>IFERROR(VLOOKUP(VALUE(J1410),'Site Info'!$A:$G,6,FALSE),"")</f>
        <v>78259-0000</v>
      </c>
      <c r="O1410">
        <f>IFERROR(VLOOKUP(VALUE(J1410),'Site Info'!$A:$G,7,FALSE),"")</f>
        <v>2108104368</v>
      </c>
    </row>
    <row r="1411" spans="1:15" x14ac:dyDescent="0.45">
      <c r="A1411" t="s">
        <v>4508</v>
      </c>
      <c r="B1411" t="s">
        <v>4509</v>
      </c>
      <c r="C1411" t="s">
        <v>4510</v>
      </c>
      <c r="D1411" t="s">
        <v>1845</v>
      </c>
      <c r="E1411" s="1">
        <v>46152.483495370368</v>
      </c>
      <c r="F1411">
        <v>1547</v>
      </c>
      <c r="G1411" t="s">
        <v>4511</v>
      </c>
      <c r="H1411" t="s">
        <v>15</v>
      </c>
      <c r="I1411" t="s">
        <v>1847</v>
      </c>
      <c r="J1411" t="str">
        <f>RIGHT(D1411,4)</f>
        <v>8223</v>
      </c>
      <c r="K1411" t="str">
        <f>IFERROR(VLOOKUP(VALUE(J1411),'Site Info'!$A:$G,3,FALSE),"")</f>
        <v>2537 S SAUNDERS ST</v>
      </c>
      <c r="L1411" t="str">
        <f>IFERROR(VLOOKUP(VALUE(J1411),'Site Info'!$A:$G,4,FALSE),"")</f>
        <v>RALEIGH</v>
      </c>
      <c r="M1411" t="str">
        <f>IFERROR(VLOOKUP(VALUE(J1411),'Site Info'!$A:$G,5,FALSE),"")</f>
        <v>NC</v>
      </c>
      <c r="N1411" t="str">
        <f>IFERROR(VLOOKUP(VALUE(J1411),'Site Info'!$A:$G,6,FALSE),"")</f>
        <v>27603-2843</v>
      </c>
      <c r="O1411">
        <f>IFERROR(VLOOKUP(VALUE(J1411),'Site Info'!$A:$G,7,FALSE),"")</f>
        <v>9198391700</v>
      </c>
    </row>
    <row r="1412" spans="1:15" x14ac:dyDescent="0.45">
      <c r="A1412" t="s">
        <v>13848</v>
      </c>
      <c r="B1412" t="s">
        <v>13849</v>
      </c>
      <c r="C1412" t="s">
        <v>13850</v>
      </c>
      <c r="D1412" t="s">
        <v>1845</v>
      </c>
      <c r="E1412" s="1">
        <v>46153.319988425923</v>
      </c>
      <c r="F1412">
        <v>1547</v>
      </c>
      <c r="G1412" t="s">
        <v>13851</v>
      </c>
      <c r="H1412" t="s">
        <v>15</v>
      </c>
      <c r="I1412" t="s">
        <v>1847</v>
      </c>
      <c r="J1412" t="str">
        <f>RIGHT(D1412,4)</f>
        <v>8223</v>
      </c>
      <c r="K1412" t="str">
        <f>IFERROR(VLOOKUP(VALUE(J1412),'Site Info'!$A:$G,3,FALSE),"")</f>
        <v>2537 S SAUNDERS ST</v>
      </c>
      <c r="L1412" t="str">
        <f>IFERROR(VLOOKUP(VALUE(J1412),'Site Info'!$A:$G,4,FALSE),"")</f>
        <v>RALEIGH</v>
      </c>
      <c r="M1412" t="str">
        <f>IFERROR(VLOOKUP(VALUE(J1412),'Site Info'!$A:$G,5,FALSE),"")</f>
        <v>NC</v>
      </c>
      <c r="N1412" t="str">
        <f>IFERROR(VLOOKUP(VALUE(J1412),'Site Info'!$A:$G,6,FALSE),"")</f>
        <v>27603-2843</v>
      </c>
      <c r="O1412">
        <f>IFERROR(VLOOKUP(VALUE(J1412),'Site Info'!$A:$G,7,FALSE),"")</f>
        <v>9198391700</v>
      </c>
    </row>
    <row r="1413" spans="1:15" x14ac:dyDescent="0.45">
      <c r="A1413" t="s">
        <v>1842</v>
      </c>
      <c r="B1413" t="s">
        <v>1843</v>
      </c>
      <c r="C1413" t="s">
        <v>1844</v>
      </c>
      <c r="D1413" t="s">
        <v>1845</v>
      </c>
      <c r="E1413" s="1">
        <v>46147.321967592594</v>
      </c>
      <c r="F1413">
        <v>1481</v>
      </c>
      <c r="G1413" t="s">
        <v>1846</v>
      </c>
      <c r="H1413" t="s">
        <v>15</v>
      </c>
      <c r="I1413" t="s">
        <v>1847</v>
      </c>
      <c r="J1413" t="str">
        <f>RIGHT(D1413,4)</f>
        <v>8223</v>
      </c>
      <c r="K1413" t="str">
        <f>IFERROR(VLOOKUP(VALUE(J1413),'Site Info'!$A:$G,3,FALSE),"")</f>
        <v>2537 S SAUNDERS ST</v>
      </c>
      <c r="L1413" t="str">
        <f>IFERROR(VLOOKUP(VALUE(J1413),'Site Info'!$A:$G,4,FALSE),"")</f>
        <v>RALEIGH</v>
      </c>
      <c r="M1413" t="str">
        <f>IFERROR(VLOOKUP(VALUE(J1413),'Site Info'!$A:$G,5,FALSE),"")</f>
        <v>NC</v>
      </c>
      <c r="N1413" t="str">
        <f>IFERROR(VLOOKUP(VALUE(J1413),'Site Info'!$A:$G,6,FALSE),"")</f>
        <v>27603-2843</v>
      </c>
      <c r="O1413">
        <f>IFERROR(VLOOKUP(VALUE(J1413),'Site Info'!$A:$G,7,FALSE),"")</f>
        <v>9198391700</v>
      </c>
    </row>
    <row r="1414" spans="1:15" x14ac:dyDescent="0.45">
      <c r="A1414" t="s">
        <v>3487</v>
      </c>
      <c r="B1414" t="s">
        <v>3488</v>
      </c>
      <c r="C1414" t="s">
        <v>3489</v>
      </c>
      <c r="D1414" t="s">
        <v>1845</v>
      </c>
      <c r="E1414" s="1">
        <v>46153.294652777775</v>
      </c>
      <c r="F1414">
        <v>1481</v>
      </c>
      <c r="G1414" t="s">
        <v>3490</v>
      </c>
      <c r="H1414" t="s">
        <v>15</v>
      </c>
      <c r="I1414" t="s">
        <v>1847</v>
      </c>
      <c r="J1414" t="str">
        <f>RIGHT(D1414,4)</f>
        <v>8223</v>
      </c>
      <c r="K1414" t="str">
        <f>IFERROR(VLOOKUP(VALUE(J1414),'Site Info'!$A:$G,3,FALSE),"")</f>
        <v>2537 S SAUNDERS ST</v>
      </c>
      <c r="L1414" t="str">
        <f>IFERROR(VLOOKUP(VALUE(J1414),'Site Info'!$A:$G,4,FALSE),"")</f>
        <v>RALEIGH</v>
      </c>
      <c r="M1414" t="str">
        <f>IFERROR(VLOOKUP(VALUE(J1414),'Site Info'!$A:$G,5,FALSE),"")</f>
        <v>NC</v>
      </c>
      <c r="N1414" t="str">
        <f>IFERROR(VLOOKUP(VALUE(J1414),'Site Info'!$A:$G,6,FALSE),"")</f>
        <v>27603-2843</v>
      </c>
      <c r="O1414">
        <f>IFERROR(VLOOKUP(VALUE(J1414),'Site Info'!$A:$G,7,FALSE),"")</f>
        <v>9198391700</v>
      </c>
    </row>
    <row r="1415" spans="1:15" x14ac:dyDescent="0.45">
      <c r="A1415" t="s">
        <v>4492</v>
      </c>
      <c r="B1415" t="s">
        <v>4493</v>
      </c>
      <c r="C1415" t="s">
        <v>4494</v>
      </c>
      <c r="D1415" t="s">
        <v>745</v>
      </c>
      <c r="E1415" s="1">
        <v>46152.418981481482</v>
      </c>
      <c r="F1415">
        <v>1547</v>
      </c>
      <c r="G1415" t="s">
        <v>4495</v>
      </c>
      <c r="H1415" t="s">
        <v>15</v>
      </c>
      <c r="I1415" t="s">
        <v>747</v>
      </c>
      <c r="J1415" t="str">
        <f>RIGHT(D1415,4)</f>
        <v>6364</v>
      </c>
      <c r="K1415" t="str">
        <f>IFERROR(VLOOKUP(VALUE(J1415),'Site Info'!$A:$G,3,FALSE),"")</f>
        <v>2550 IMMOKALEE RD</v>
      </c>
      <c r="L1415" t="str">
        <f>IFERROR(VLOOKUP(VALUE(J1415),'Site Info'!$A:$G,4,FALSE),"")</f>
        <v>NAPLES</v>
      </c>
      <c r="M1415" t="str">
        <f>IFERROR(VLOOKUP(VALUE(J1415),'Site Info'!$A:$G,5,FALSE),"")</f>
        <v>FL</v>
      </c>
      <c r="N1415" t="str">
        <f>IFERROR(VLOOKUP(VALUE(J1415),'Site Info'!$A:$G,6,FALSE),"")</f>
        <v>34110-1410</v>
      </c>
      <c r="O1415">
        <f>IFERROR(VLOOKUP(VALUE(J1415),'Site Info'!$A:$G,7,FALSE),"")</f>
        <v>2395926670</v>
      </c>
    </row>
    <row r="1416" spans="1:15" x14ac:dyDescent="0.45">
      <c r="A1416" t="s">
        <v>12488</v>
      </c>
      <c r="B1416" t="s">
        <v>12489</v>
      </c>
      <c r="C1416" t="s">
        <v>12490</v>
      </c>
      <c r="D1416" t="s">
        <v>745</v>
      </c>
      <c r="E1416" s="1">
        <v>46152.617476851854</v>
      </c>
      <c r="F1416">
        <v>1547</v>
      </c>
      <c r="G1416" t="s">
        <v>12491</v>
      </c>
      <c r="H1416" t="s">
        <v>15</v>
      </c>
      <c r="I1416" t="s">
        <v>747</v>
      </c>
      <c r="J1416" t="str">
        <f>RIGHT(D1416,4)</f>
        <v>6364</v>
      </c>
      <c r="K1416" t="str">
        <f>IFERROR(VLOOKUP(VALUE(J1416),'Site Info'!$A:$G,3,FALSE),"")</f>
        <v>2550 IMMOKALEE RD</v>
      </c>
      <c r="L1416" t="str">
        <f>IFERROR(VLOOKUP(VALUE(J1416),'Site Info'!$A:$G,4,FALSE),"")</f>
        <v>NAPLES</v>
      </c>
      <c r="M1416" t="str">
        <f>IFERROR(VLOOKUP(VALUE(J1416),'Site Info'!$A:$G,5,FALSE),"")</f>
        <v>FL</v>
      </c>
      <c r="N1416" t="str">
        <f>IFERROR(VLOOKUP(VALUE(J1416),'Site Info'!$A:$G,6,FALSE),"")</f>
        <v>34110-1410</v>
      </c>
      <c r="O1416">
        <f>IFERROR(VLOOKUP(VALUE(J1416),'Site Info'!$A:$G,7,FALSE),"")</f>
        <v>2395926670</v>
      </c>
    </row>
    <row r="1417" spans="1:15" x14ac:dyDescent="0.45">
      <c r="A1417" t="s">
        <v>12830</v>
      </c>
      <c r="B1417" t="s">
        <v>12831</v>
      </c>
      <c r="C1417" t="s">
        <v>12832</v>
      </c>
      <c r="D1417" t="s">
        <v>745</v>
      </c>
      <c r="E1417" s="1">
        <v>46153.266875000001</v>
      </c>
      <c r="F1417">
        <v>1547</v>
      </c>
      <c r="G1417" t="s">
        <v>12833</v>
      </c>
      <c r="H1417" t="s">
        <v>15</v>
      </c>
      <c r="I1417" t="s">
        <v>747</v>
      </c>
      <c r="J1417" t="str">
        <f>RIGHT(D1417,4)</f>
        <v>6364</v>
      </c>
      <c r="K1417" t="str">
        <f>IFERROR(VLOOKUP(VALUE(J1417),'Site Info'!$A:$G,3,FALSE),"")</f>
        <v>2550 IMMOKALEE RD</v>
      </c>
      <c r="L1417" t="str">
        <f>IFERROR(VLOOKUP(VALUE(J1417),'Site Info'!$A:$G,4,FALSE),"")</f>
        <v>NAPLES</v>
      </c>
      <c r="M1417" t="str">
        <f>IFERROR(VLOOKUP(VALUE(J1417),'Site Info'!$A:$G,5,FALSE),"")</f>
        <v>FL</v>
      </c>
      <c r="N1417" t="str">
        <f>IFERROR(VLOOKUP(VALUE(J1417),'Site Info'!$A:$G,6,FALSE),"")</f>
        <v>34110-1410</v>
      </c>
      <c r="O1417">
        <f>IFERROR(VLOOKUP(VALUE(J1417),'Site Info'!$A:$G,7,FALSE),"")</f>
        <v>2395926670</v>
      </c>
    </row>
    <row r="1418" spans="1:15" x14ac:dyDescent="0.45">
      <c r="A1418" t="s">
        <v>12328</v>
      </c>
      <c r="B1418" t="s">
        <v>12329</v>
      </c>
      <c r="C1418" t="s">
        <v>12330</v>
      </c>
      <c r="D1418" t="s">
        <v>745</v>
      </c>
      <c r="E1418" s="1">
        <v>46153.32309027778</v>
      </c>
      <c r="F1418">
        <v>1547</v>
      </c>
      <c r="G1418" t="s">
        <v>12331</v>
      </c>
      <c r="H1418" t="s">
        <v>15</v>
      </c>
      <c r="I1418" t="s">
        <v>747</v>
      </c>
      <c r="J1418" t="str">
        <f>RIGHT(D1418,4)</f>
        <v>6364</v>
      </c>
      <c r="K1418" t="str">
        <f>IFERROR(VLOOKUP(VALUE(J1418),'Site Info'!$A:$G,3,FALSE),"")</f>
        <v>2550 IMMOKALEE RD</v>
      </c>
      <c r="L1418" t="str">
        <f>IFERROR(VLOOKUP(VALUE(J1418),'Site Info'!$A:$G,4,FALSE),"")</f>
        <v>NAPLES</v>
      </c>
      <c r="M1418" t="str">
        <f>IFERROR(VLOOKUP(VALUE(J1418),'Site Info'!$A:$G,5,FALSE),"")</f>
        <v>FL</v>
      </c>
      <c r="N1418" t="str">
        <f>IFERROR(VLOOKUP(VALUE(J1418),'Site Info'!$A:$G,6,FALSE),"")</f>
        <v>34110-1410</v>
      </c>
      <c r="O1418">
        <f>IFERROR(VLOOKUP(VALUE(J1418),'Site Info'!$A:$G,7,FALSE),"")</f>
        <v>2395926670</v>
      </c>
    </row>
    <row r="1419" spans="1:15" x14ac:dyDescent="0.45">
      <c r="A1419" t="s">
        <v>12200</v>
      </c>
      <c r="B1419" t="s">
        <v>12201</v>
      </c>
      <c r="C1419" t="s">
        <v>12202</v>
      </c>
      <c r="D1419" t="s">
        <v>745</v>
      </c>
      <c r="E1419" s="1">
        <v>46153.370335648149</v>
      </c>
      <c r="F1419">
        <v>1547</v>
      </c>
      <c r="G1419" t="s">
        <v>12203</v>
      </c>
      <c r="H1419" t="s">
        <v>15</v>
      </c>
      <c r="I1419" t="s">
        <v>747</v>
      </c>
      <c r="J1419" t="str">
        <f>RIGHT(D1419,4)</f>
        <v>6364</v>
      </c>
      <c r="K1419" t="str">
        <f>IFERROR(VLOOKUP(VALUE(J1419),'Site Info'!$A:$G,3,FALSE),"")</f>
        <v>2550 IMMOKALEE RD</v>
      </c>
      <c r="L1419" t="str">
        <f>IFERROR(VLOOKUP(VALUE(J1419),'Site Info'!$A:$G,4,FALSE),"")</f>
        <v>NAPLES</v>
      </c>
      <c r="M1419" t="str">
        <f>IFERROR(VLOOKUP(VALUE(J1419),'Site Info'!$A:$G,5,FALSE),"")</f>
        <v>FL</v>
      </c>
      <c r="N1419" t="str">
        <f>IFERROR(VLOOKUP(VALUE(J1419),'Site Info'!$A:$G,6,FALSE),"")</f>
        <v>34110-1410</v>
      </c>
      <c r="O1419">
        <f>IFERROR(VLOOKUP(VALUE(J1419),'Site Info'!$A:$G,7,FALSE),"")</f>
        <v>2395926670</v>
      </c>
    </row>
    <row r="1420" spans="1:15" x14ac:dyDescent="0.45">
      <c r="A1420" t="s">
        <v>3107</v>
      </c>
      <c r="B1420" t="s">
        <v>3108</v>
      </c>
      <c r="C1420" t="s">
        <v>3109</v>
      </c>
      <c r="D1420" t="s">
        <v>745</v>
      </c>
      <c r="E1420" s="1">
        <v>46152.503958333335</v>
      </c>
      <c r="F1420">
        <v>1481</v>
      </c>
      <c r="G1420" t="s">
        <v>3110</v>
      </c>
      <c r="H1420" t="s">
        <v>15</v>
      </c>
      <c r="I1420" t="s">
        <v>747</v>
      </c>
      <c r="J1420" t="str">
        <f>RIGHT(D1420,4)</f>
        <v>6364</v>
      </c>
      <c r="K1420" t="str">
        <f>IFERROR(VLOOKUP(VALUE(J1420),'Site Info'!$A:$G,3,FALSE),"")</f>
        <v>2550 IMMOKALEE RD</v>
      </c>
      <c r="L1420" t="str">
        <f>IFERROR(VLOOKUP(VALUE(J1420),'Site Info'!$A:$G,4,FALSE),"")</f>
        <v>NAPLES</v>
      </c>
      <c r="M1420" t="str">
        <f>IFERROR(VLOOKUP(VALUE(J1420),'Site Info'!$A:$G,5,FALSE),"")</f>
        <v>FL</v>
      </c>
      <c r="N1420" t="str">
        <f>IFERROR(VLOOKUP(VALUE(J1420),'Site Info'!$A:$G,6,FALSE),"")</f>
        <v>34110-1410</v>
      </c>
      <c r="O1420">
        <f>IFERROR(VLOOKUP(VALUE(J1420),'Site Info'!$A:$G,7,FALSE),"")</f>
        <v>2395926670</v>
      </c>
    </row>
    <row r="1421" spans="1:15" x14ac:dyDescent="0.45">
      <c r="A1421" t="s">
        <v>1240</v>
      </c>
      <c r="B1421" t="s">
        <v>1241</v>
      </c>
      <c r="C1421" t="s">
        <v>1242</v>
      </c>
      <c r="D1421" t="s">
        <v>745</v>
      </c>
      <c r="E1421" s="1">
        <v>46152.616423611114</v>
      </c>
      <c r="F1421">
        <v>1481</v>
      </c>
      <c r="G1421" t="s">
        <v>1243</v>
      </c>
      <c r="H1421" t="s">
        <v>15</v>
      </c>
      <c r="I1421" t="s">
        <v>747</v>
      </c>
      <c r="J1421" t="str">
        <f>RIGHT(D1421,4)</f>
        <v>6364</v>
      </c>
      <c r="K1421" t="str">
        <f>IFERROR(VLOOKUP(VALUE(J1421),'Site Info'!$A:$G,3,FALSE),"")</f>
        <v>2550 IMMOKALEE RD</v>
      </c>
      <c r="L1421" t="str">
        <f>IFERROR(VLOOKUP(VALUE(J1421),'Site Info'!$A:$G,4,FALSE),"")</f>
        <v>NAPLES</v>
      </c>
      <c r="M1421" t="str">
        <f>IFERROR(VLOOKUP(VALUE(J1421),'Site Info'!$A:$G,5,FALSE),"")</f>
        <v>FL</v>
      </c>
      <c r="N1421" t="str">
        <f>IFERROR(VLOOKUP(VALUE(J1421),'Site Info'!$A:$G,6,FALSE),"")</f>
        <v>34110-1410</v>
      </c>
      <c r="O1421">
        <f>IFERROR(VLOOKUP(VALUE(J1421),'Site Info'!$A:$G,7,FALSE),"")</f>
        <v>2395926670</v>
      </c>
    </row>
    <row r="1422" spans="1:15" x14ac:dyDescent="0.45">
      <c r="A1422" t="s">
        <v>742</v>
      </c>
      <c r="B1422" t="s">
        <v>743</v>
      </c>
      <c r="C1422" t="s">
        <v>744</v>
      </c>
      <c r="D1422" t="s">
        <v>745</v>
      </c>
      <c r="E1422" s="1">
        <v>46153.365543981483</v>
      </c>
      <c r="F1422">
        <v>1481</v>
      </c>
      <c r="G1422" t="s">
        <v>746</v>
      </c>
      <c r="H1422" t="s">
        <v>15</v>
      </c>
      <c r="I1422" t="s">
        <v>747</v>
      </c>
      <c r="J1422" t="str">
        <f>RIGHT(D1422,4)</f>
        <v>6364</v>
      </c>
      <c r="K1422" t="str">
        <f>IFERROR(VLOOKUP(VALUE(J1422),'Site Info'!$A:$G,3,FALSE),"")</f>
        <v>2550 IMMOKALEE RD</v>
      </c>
      <c r="L1422" t="str">
        <f>IFERROR(VLOOKUP(VALUE(J1422),'Site Info'!$A:$G,4,FALSE),"")</f>
        <v>NAPLES</v>
      </c>
      <c r="M1422" t="str">
        <f>IFERROR(VLOOKUP(VALUE(J1422),'Site Info'!$A:$G,5,FALSE),"")</f>
        <v>FL</v>
      </c>
      <c r="N1422" t="str">
        <f>IFERROR(VLOOKUP(VALUE(J1422),'Site Info'!$A:$G,6,FALSE),"")</f>
        <v>34110-1410</v>
      </c>
      <c r="O1422">
        <f>IFERROR(VLOOKUP(VALUE(J1422),'Site Info'!$A:$G,7,FALSE),"")</f>
        <v>2395926670</v>
      </c>
    </row>
    <row r="1423" spans="1:15" x14ac:dyDescent="0.45">
      <c r="A1423" t="s">
        <v>5128</v>
      </c>
      <c r="B1423" t="s">
        <v>5129</v>
      </c>
      <c r="C1423" t="s">
        <v>5130</v>
      </c>
      <c r="D1423" t="s">
        <v>5131</v>
      </c>
      <c r="E1423" s="1">
        <v>46153.347291666665</v>
      </c>
      <c r="F1423">
        <v>1547</v>
      </c>
      <c r="G1423" t="s">
        <v>5132</v>
      </c>
      <c r="H1423" t="s">
        <v>15</v>
      </c>
      <c r="I1423" t="s">
        <v>5133</v>
      </c>
      <c r="J1423" t="str">
        <f>RIGHT(D1423,4)</f>
        <v>6509</v>
      </c>
      <c r="K1423" t="str">
        <f>IFERROR(VLOOKUP(VALUE(J1423),'Site Info'!$A:$G,3,FALSE),"")</f>
        <v>2550 REDMOND CIR NW</v>
      </c>
      <c r="L1423" t="str">
        <f>IFERROR(VLOOKUP(VALUE(J1423),'Site Info'!$A:$G,4,FALSE),"")</f>
        <v>ROME</v>
      </c>
      <c r="M1423" t="str">
        <f>IFERROR(VLOOKUP(VALUE(J1423),'Site Info'!$A:$G,5,FALSE),"")</f>
        <v>GA</v>
      </c>
      <c r="N1423" t="str">
        <f>IFERROR(VLOOKUP(VALUE(J1423),'Site Info'!$A:$G,6,FALSE),"")</f>
        <v>30165-1913</v>
      </c>
      <c r="O1423">
        <f>IFERROR(VLOOKUP(VALUE(J1423),'Site Info'!$A:$G,7,FALSE),"")</f>
        <v>7062369765</v>
      </c>
    </row>
    <row r="1424" spans="1:15" x14ac:dyDescent="0.45">
      <c r="A1424" t="s">
        <v>5292</v>
      </c>
      <c r="B1424" t="s">
        <v>5293</v>
      </c>
      <c r="C1424" t="s">
        <v>5294</v>
      </c>
      <c r="D1424" t="s">
        <v>5131</v>
      </c>
      <c r="E1424" s="1">
        <v>46153.372939814813</v>
      </c>
      <c r="F1424">
        <v>1547</v>
      </c>
      <c r="G1424" t="s">
        <v>5295</v>
      </c>
      <c r="H1424" t="s">
        <v>15</v>
      </c>
      <c r="I1424" t="s">
        <v>5133</v>
      </c>
      <c r="J1424" t="str">
        <f>RIGHT(D1424,4)</f>
        <v>6509</v>
      </c>
      <c r="K1424" t="str">
        <f>IFERROR(VLOOKUP(VALUE(J1424),'Site Info'!$A:$G,3,FALSE),"")</f>
        <v>2550 REDMOND CIR NW</v>
      </c>
      <c r="L1424" t="str">
        <f>IFERROR(VLOOKUP(VALUE(J1424),'Site Info'!$A:$G,4,FALSE),"")</f>
        <v>ROME</v>
      </c>
      <c r="M1424" t="str">
        <f>IFERROR(VLOOKUP(VALUE(J1424),'Site Info'!$A:$G,5,FALSE),"")</f>
        <v>GA</v>
      </c>
      <c r="N1424" t="str">
        <f>IFERROR(VLOOKUP(VALUE(J1424),'Site Info'!$A:$G,6,FALSE),"")</f>
        <v>30165-1913</v>
      </c>
      <c r="O1424">
        <f>IFERROR(VLOOKUP(VALUE(J1424),'Site Info'!$A:$G,7,FALSE),"")</f>
        <v>7062369765</v>
      </c>
    </row>
    <row r="1425" spans="1:15" x14ac:dyDescent="0.45">
      <c r="A1425" t="s">
        <v>13475</v>
      </c>
      <c r="B1425" t="s">
        <v>13476</v>
      </c>
      <c r="C1425" t="s">
        <v>13477</v>
      </c>
      <c r="D1425" t="s">
        <v>149</v>
      </c>
      <c r="E1425" s="1">
        <v>46150.790393518517</v>
      </c>
      <c r="F1425">
        <v>1547</v>
      </c>
      <c r="G1425" t="s">
        <v>13478</v>
      </c>
      <c r="H1425" t="s">
        <v>15</v>
      </c>
      <c r="I1425" t="s">
        <v>151</v>
      </c>
      <c r="J1425" t="str">
        <f>RIGHT(D1425,4)</f>
        <v>8271</v>
      </c>
      <c r="K1425" t="str">
        <f>IFERROR(VLOOKUP(VALUE(J1425),'Site Info'!$A:$G,3,FALSE),"")</f>
        <v>257 GRANDVIEW BLVD</v>
      </c>
      <c r="L1425" t="str">
        <f>IFERROR(VLOOKUP(VALUE(J1425),'Site Info'!$A:$G,4,FALSE),"")</f>
        <v>MADISON</v>
      </c>
      <c r="M1425" t="str">
        <f>IFERROR(VLOOKUP(VALUE(J1425),'Site Info'!$A:$G,5,FALSE),"")</f>
        <v>MS</v>
      </c>
      <c r="N1425" t="str">
        <f>IFERROR(VLOOKUP(VALUE(J1425),'Site Info'!$A:$G,6,FALSE),"")</f>
        <v>39110-5514</v>
      </c>
      <c r="O1425">
        <f>IFERROR(VLOOKUP(VALUE(J1425),'Site Info'!$A:$G,7,FALSE),"")</f>
        <v>6019770139</v>
      </c>
    </row>
    <row r="1426" spans="1:15" x14ac:dyDescent="0.45">
      <c r="A1426" t="s">
        <v>12910</v>
      </c>
      <c r="B1426" t="s">
        <v>12911</v>
      </c>
      <c r="C1426" t="s">
        <v>12912</v>
      </c>
      <c r="D1426" t="s">
        <v>149</v>
      </c>
      <c r="E1426" s="1">
        <v>46152.062314814815</v>
      </c>
      <c r="F1426">
        <v>1547</v>
      </c>
      <c r="G1426" t="s">
        <v>12913</v>
      </c>
      <c r="H1426" t="s">
        <v>15</v>
      </c>
      <c r="I1426" t="s">
        <v>151</v>
      </c>
      <c r="J1426" t="str">
        <f>RIGHT(D1426,4)</f>
        <v>8271</v>
      </c>
      <c r="K1426" t="str">
        <f>IFERROR(VLOOKUP(VALUE(J1426),'Site Info'!$A:$G,3,FALSE),"")</f>
        <v>257 GRANDVIEW BLVD</v>
      </c>
      <c r="L1426" t="str">
        <f>IFERROR(VLOOKUP(VALUE(J1426),'Site Info'!$A:$G,4,FALSE),"")</f>
        <v>MADISON</v>
      </c>
      <c r="M1426" t="str">
        <f>IFERROR(VLOOKUP(VALUE(J1426),'Site Info'!$A:$G,5,FALSE),"")</f>
        <v>MS</v>
      </c>
      <c r="N1426" t="str">
        <f>IFERROR(VLOOKUP(VALUE(J1426),'Site Info'!$A:$G,6,FALSE),"")</f>
        <v>39110-5514</v>
      </c>
      <c r="O1426">
        <f>IFERROR(VLOOKUP(VALUE(J1426),'Site Info'!$A:$G,7,FALSE),"")</f>
        <v>6019770139</v>
      </c>
    </row>
    <row r="1427" spans="1:15" x14ac:dyDescent="0.45">
      <c r="A1427" t="s">
        <v>10710</v>
      </c>
      <c r="B1427" t="s">
        <v>10711</v>
      </c>
      <c r="C1427" t="s">
        <v>10712</v>
      </c>
      <c r="D1427" t="s">
        <v>149</v>
      </c>
      <c r="E1427" s="1">
        <v>46152.989212962966</v>
      </c>
      <c r="F1427">
        <v>1547</v>
      </c>
      <c r="G1427" t="s">
        <v>10713</v>
      </c>
      <c r="H1427" t="s">
        <v>15</v>
      </c>
      <c r="I1427" t="s">
        <v>151</v>
      </c>
      <c r="J1427" t="str">
        <f>RIGHT(D1427,4)</f>
        <v>8271</v>
      </c>
      <c r="K1427" t="str">
        <f>IFERROR(VLOOKUP(VALUE(J1427),'Site Info'!$A:$G,3,FALSE),"")</f>
        <v>257 GRANDVIEW BLVD</v>
      </c>
      <c r="L1427" t="str">
        <f>IFERROR(VLOOKUP(VALUE(J1427),'Site Info'!$A:$G,4,FALSE),"")</f>
        <v>MADISON</v>
      </c>
      <c r="M1427" t="str">
        <f>IFERROR(VLOOKUP(VALUE(J1427),'Site Info'!$A:$G,5,FALSE),"")</f>
        <v>MS</v>
      </c>
      <c r="N1427" t="str">
        <f>IFERROR(VLOOKUP(VALUE(J1427),'Site Info'!$A:$G,6,FALSE),"")</f>
        <v>39110-5514</v>
      </c>
      <c r="O1427">
        <f>IFERROR(VLOOKUP(VALUE(J1427),'Site Info'!$A:$G,7,FALSE),"")</f>
        <v>6019770139</v>
      </c>
    </row>
    <row r="1428" spans="1:15" x14ac:dyDescent="0.45">
      <c r="A1428" t="s">
        <v>12902</v>
      </c>
      <c r="B1428" t="s">
        <v>12903</v>
      </c>
      <c r="C1428" t="s">
        <v>12904</v>
      </c>
      <c r="D1428" t="s">
        <v>149</v>
      </c>
      <c r="E1428" s="1">
        <v>46153.35365740741</v>
      </c>
      <c r="F1428">
        <v>1547</v>
      </c>
      <c r="G1428" t="s">
        <v>12905</v>
      </c>
      <c r="H1428" t="s">
        <v>15</v>
      </c>
      <c r="I1428" t="s">
        <v>151</v>
      </c>
      <c r="J1428" t="str">
        <f>RIGHT(D1428,4)</f>
        <v>8271</v>
      </c>
      <c r="K1428" t="str">
        <f>IFERROR(VLOOKUP(VALUE(J1428),'Site Info'!$A:$G,3,FALSE),"")</f>
        <v>257 GRANDVIEW BLVD</v>
      </c>
      <c r="L1428" t="str">
        <f>IFERROR(VLOOKUP(VALUE(J1428),'Site Info'!$A:$G,4,FALSE),"")</f>
        <v>MADISON</v>
      </c>
      <c r="M1428" t="str">
        <f>IFERROR(VLOOKUP(VALUE(J1428),'Site Info'!$A:$G,5,FALSE),"")</f>
        <v>MS</v>
      </c>
      <c r="N1428" t="str">
        <f>IFERROR(VLOOKUP(VALUE(J1428),'Site Info'!$A:$G,6,FALSE),"")</f>
        <v>39110-5514</v>
      </c>
      <c r="O1428">
        <f>IFERROR(VLOOKUP(VALUE(J1428),'Site Info'!$A:$G,7,FALSE),"")</f>
        <v>6019770139</v>
      </c>
    </row>
    <row r="1429" spans="1:15" x14ac:dyDescent="0.45">
      <c r="A1429" t="s">
        <v>3427</v>
      </c>
      <c r="B1429" t="s">
        <v>3428</v>
      </c>
      <c r="C1429" t="s">
        <v>3429</v>
      </c>
      <c r="D1429" t="s">
        <v>149</v>
      </c>
      <c r="E1429" s="1">
        <v>46152.502303240741</v>
      </c>
      <c r="F1429">
        <v>1481</v>
      </c>
      <c r="G1429" t="s">
        <v>3430</v>
      </c>
      <c r="H1429" t="s">
        <v>15</v>
      </c>
      <c r="I1429" t="s">
        <v>151</v>
      </c>
      <c r="J1429" t="str">
        <f>RIGHT(D1429,4)</f>
        <v>8271</v>
      </c>
      <c r="K1429" t="str">
        <f>IFERROR(VLOOKUP(VALUE(J1429),'Site Info'!$A:$G,3,FALSE),"")</f>
        <v>257 GRANDVIEW BLVD</v>
      </c>
      <c r="L1429" t="str">
        <f>IFERROR(VLOOKUP(VALUE(J1429),'Site Info'!$A:$G,4,FALSE),"")</f>
        <v>MADISON</v>
      </c>
      <c r="M1429" t="str">
        <f>IFERROR(VLOOKUP(VALUE(J1429),'Site Info'!$A:$G,5,FALSE),"")</f>
        <v>MS</v>
      </c>
      <c r="N1429" t="str">
        <f>IFERROR(VLOOKUP(VALUE(J1429),'Site Info'!$A:$G,6,FALSE),"")</f>
        <v>39110-5514</v>
      </c>
      <c r="O1429">
        <f>IFERROR(VLOOKUP(VALUE(J1429),'Site Info'!$A:$G,7,FALSE),"")</f>
        <v>6019770139</v>
      </c>
    </row>
    <row r="1430" spans="1:15" x14ac:dyDescent="0.45">
      <c r="A1430" t="s">
        <v>96</v>
      </c>
      <c r="B1430" t="s">
        <v>147</v>
      </c>
      <c r="C1430" t="s">
        <v>148</v>
      </c>
      <c r="D1430" t="s">
        <v>149</v>
      </c>
      <c r="E1430" s="1">
        <v>46152.712256944447</v>
      </c>
      <c r="F1430">
        <v>1481</v>
      </c>
      <c r="G1430" t="s">
        <v>150</v>
      </c>
      <c r="H1430" t="s">
        <v>15</v>
      </c>
      <c r="I1430" t="s">
        <v>151</v>
      </c>
      <c r="J1430" t="str">
        <f>RIGHT(D1430,4)</f>
        <v>8271</v>
      </c>
      <c r="K1430" t="str">
        <f>IFERROR(VLOOKUP(VALUE(J1430),'Site Info'!$A:$G,3,FALSE),"")</f>
        <v>257 GRANDVIEW BLVD</v>
      </c>
      <c r="L1430" t="str">
        <f>IFERROR(VLOOKUP(VALUE(J1430),'Site Info'!$A:$G,4,FALSE),"")</f>
        <v>MADISON</v>
      </c>
      <c r="M1430" t="str">
        <f>IFERROR(VLOOKUP(VALUE(J1430),'Site Info'!$A:$G,5,FALSE),"")</f>
        <v>MS</v>
      </c>
      <c r="N1430" t="str">
        <f>IFERROR(VLOOKUP(VALUE(J1430),'Site Info'!$A:$G,6,FALSE),"")</f>
        <v>39110-5514</v>
      </c>
      <c r="O1430">
        <f>IFERROR(VLOOKUP(VALUE(J1430),'Site Info'!$A:$G,7,FALSE),"")</f>
        <v>6019770139</v>
      </c>
    </row>
    <row r="1431" spans="1:15" x14ac:dyDescent="0.45">
      <c r="A1431" t="s">
        <v>3275</v>
      </c>
      <c r="B1431" t="s">
        <v>3276</v>
      </c>
      <c r="C1431" t="s">
        <v>3277</v>
      </c>
      <c r="D1431" t="s">
        <v>149</v>
      </c>
      <c r="E1431" s="1">
        <v>46152.986388888887</v>
      </c>
      <c r="F1431">
        <v>1481</v>
      </c>
      <c r="G1431" t="s">
        <v>3278</v>
      </c>
      <c r="H1431" t="s">
        <v>15</v>
      </c>
      <c r="I1431" t="s">
        <v>151</v>
      </c>
      <c r="J1431" t="str">
        <f>RIGHT(D1431,4)</f>
        <v>8271</v>
      </c>
      <c r="K1431" t="str">
        <f>IFERROR(VLOOKUP(VALUE(J1431),'Site Info'!$A:$G,3,FALSE),"")</f>
        <v>257 GRANDVIEW BLVD</v>
      </c>
      <c r="L1431" t="str">
        <f>IFERROR(VLOOKUP(VALUE(J1431),'Site Info'!$A:$G,4,FALSE),"")</f>
        <v>MADISON</v>
      </c>
      <c r="M1431" t="str">
        <f>IFERROR(VLOOKUP(VALUE(J1431),'Site Info'!$A:$G,5,FALSE),"")</f>
        <v>MS</v>
      </c>
      <c r="N1431" t="str">
        <f>IFERROR(VLOOKUP(VALUE(J1431),'Site Info'!$A:$G,6,FALSE),"")</f>
        <v>39110-5514</v>
      </c>
      <c r="O1431">
        <f>IFERROR(VLOOKUP(VALUE(J1431),'Site Info'!$A:$G,7,FALSE),"")</f>
        <v>6019770139</v>
      </c>
    </row>
    <row r="1432" spans="1:15" x14ac:dyDescent="0.45">
      <c r="A1432" t="s">
        <v>2192</v>
      </c>
      <c r="B1432" t="s">
        <v>2193</v>
      </c>
      <c r="C1432" t="s">
        <v>2194</v>
      </c>
      <c r="D1432" t="s">
        <v>149</v>
      </c>
      <c r="E1432" s="1">
        <v>46153.197187500002</v>
      </c>
      <c r="F1432">
        <v>1481</v>
      </c>
      <c r="G1432" t="s">
        <v>2195</v>
      </c>
      <c r="H1432" t="s">
        <v>15</v>
      </c>
      <c r="I1432" t="s">
        <v>151</v>
      </c>
      <c r="J1432" t="str">
        <f>RIGHT(D1432,4)</f>
        <v>8271</v>
      </c>
      <c r="K1432" t="str">
        <f>IFERROR(VLOOKUP(VALUE(J1432),'Site Info'!$A:$G,3,FALSE),"")</f>
        <v>257 GRANDVIEW BLVD</v>
      </c>
      <c r="L1432" t="str">
        <f>IFERROR(VLOOKUP(VALUE(J1432),'Site Info'!$A:$G,4,FALSE),"")</f>
        <v>MADISON</v>
      </c>
      <c r="M1432" t="str">
        <f>IFERROR(VLOOKUP(VALUE(J1432),'Site Info'!$A:$G,5,FALSE),"")</f>
        <v>MS</v>
      </c>
      <c r="N1432" t="str">
        <f>IFERROR(VLOOKUP(VALUE(J1432),'Site Info'!$A:$G,6,FALSE),"")</f>
        <v>39110-5514</v>
      </c>
      <c r="O1432">
        <f>IFERROR(VLOOKUP(VALUE(J1432),'Site Info'!$A:$G,7,FALSE),"")</f>
        <v>6019770139</v>
      </c>
    </row>
    <row r="1433" spans="1:15" x14ac:dyDescent="0.45">
      <c r="A1433" t="s">
        <v>16500</v>
      </c>
      <c r="B1433" t="s">
        <v>17254</v>
      </c>
      <c r="C1433" t="s">
        <v>17255</v>
      </c>
      <c r="D1433" t="s">
        <v>149</v>
      </c>
      <c r="E1433" s="1">
        <v>46153.31821759259</v>
      </c>
      <c r="F1433">
        <v>1628</v>
      </c>
      <c r="G1433" t="s">
        <v>17256</v>
      </c>
      <c r="H1433" t="s">
        <v>13988</v>
      </c>
      <c r="I1433" t="s">
        <v>151</v>
      </c>
      <c r="J1433" t="str">
        <f>RIGHT(D1433,4)</f>
        <v>8271</v>
      </c>
      <c r="K1433" t="str">
        <f>IFERROR(VLOOKUP(VALUE(J1433),'Site Info'!$A:$G,3,FALSE),"")</f>
        <v>257 GRANDVIEW BLVD</v>
      </c>
      <c r="L1433" t="str">
        <f>IFERROR(VLOOKUP(VALUE(J1433),'Site Info'!$A:$G,4,FALSE),"")</f>
        <v>MADISON</v>
      </c>
      <c r="M1433" t="str">
        <f>IFERROR(VLOOKUP(VALUE(J1433),'Site Info'!$A:$G,5,FALSE),"")</f>
        <v>MS</v>
      </c>
      <c r="N1433" t="str">
        <f>IFERROR(VLOOKUP(VALUE(J1433),'Site Info'!$A:$G,6,FALSE),"")</f>
        <v>39110-5514</v>
      </c>
      <c r="O1433">
        <f>IFERROR(VLOOKUP(VALUE(J1433),'Site Info'!$A:$G,7,FALSE),"")</f>
        <v>6019770139</v>
      </c>
    </row>
    <row r="1434" spans="1:15" x14ac:dyDescent="0.45">
      <c r="A1434" t="s">
        <v>4758</v>
      </c>
      <c r="B1434" t="s">
        <v>4759</v>
      </c>
      <c r="C1434" t="s">
        <v>4760</v>
      </c>
      <c r="D1434" t="s">
        <v>367</v>
      </c>
      <c r="E1434" s="1">
        <v>46153.165833333333</v>
      </c>
      <c r="F1434">
        <v>1547</v>
      </c>
      <c r="G1434" t="s">
        <v>4761</v>
      </c>
      <c r="H1434" t="s">
        <v>15</v>
      </c>
      <c r="I1434" t="s">
        <v>369</v>
      </c>
      <c r="J1434" t="str">
        <f>RIGHT(D1434,4)</f>
        <v>6420</v>
      </c>
      <c r="K1434" t="str">
        <f>IFERROR(VLOOKUP(VALUE(J1434),'Site Info'!$A:$G,3,FALSE),"")</f>
        <v>2575 GULF TO BAY BLVD</v>
      </c>
      <c r="L1434" t="str">
        <f>IFERROR(VLOOKUP(VALUE(J1434),'Site Info'!$A:$G,4,FALSE),"")</f>
        <v>CLEARWATER</v>
      </c>
      <c r="M1434" t="str">
        <f>IFERROR(VLOOKUP(VALUE(J1434),'Site Info'!$A:$G,5,FALSE),"")</f>
        <v>FL</v>
      </c>
      <c r="N1434" t="str">
        <f>IFERROR(VLOOKUP(VALUE(J1434),'Site Info'!$A:$G,6,FALSE),"")</f>
        <v>33765-4433</v>
      </c>
      <c r="O1434">
        <f>IFERROR(VLOOKUP(VALUE(J1434),'Site Info'!$A:$G,7,FALSE),"")</f>
        <v>7277918081</v>
      </c>
    </row>
    <row r="1435" spans="1:15" x14ac:dyDescent="0.45">
      <c r="A1435" t="s">
        <v>4676</v>
      </c>
      <c r="B1435" t="s">
        <v>4677</v>
      </c>
      <c r="C1435" t="s">
        <v>4678</v>
      </c>
      <c r="D1435" t="s">
        <v>367</v>
      </c>
      <c r="E1435" s="1">
        <v>46153.369733796295</v>
      </c>
      <c r="F1435">
        <v>1547</v>
      </c>
      <c r="G1435" t="s">
        <v>4679</v>
      </c>
      <c r="H1435" t="s">
        <v>15</v>
      </c>
      <c r="I1435" t="s">
        <v>369</v>
      </c>
      <c r="J1435" t="str">
        <f>RIGHT(D1435,4)</f>
        <v>6420</v>
      </c>
      <c r="K1435" t="str">
        <f>IFERROR(VLOOKUP(VALUE(J1435),'Site Info'!$A:$G,3,FALSE),"")</f>
        <v>2575 GULF TO BAY BLVD</v>
      </c>
      <c r="L1435" t="str">
        <f>IFERROR(VLOOKUP(VALUE(J1435),'Site Info'!$A:$G,4,FALSE),"")</f>
        <v>CLEARWATER</v>
      </c>
      <c r="M1435" t="str">
        <f>IFERROR(VLOOKUP(VALUE(J1435),'Site Info'!$A:$G,5,FALSE),"")</f>
        <v>FL</v>
      </c>
      <c r="N1435" t="str">
        <f>IFERROR(VLOOKUP(VALUE(J1435),'Site Info'!$A:$G,6,FALSE),"")</f>
        <v>33765-4433</v>
      </c>
      <c r="O1435">
        <f>IFERROR(VLOOKUP(VALUE(J1435),'Site Info'!$A:$G,7,FALSE),"")</f>
        <v>7277918081</v>
      </c>
    </row>
    <row r="1436" spans="1:15" x14ac:dyDescent="0.45">
      <c r="A1436" t="s">
        <v>364</v>
      </c>
      <c r="B1436" t="s">
        <v>365</v>
      </c>
      <c r="C1436" t="s">
        <v>366</v>
      </c>
      <c r="D1436" t="s">
        <v>367</v>
      </c>
      <c r="E1436" s="1">
        <v>46152.919965277775</v>
      </c>
      <c r="F1436">
        <v>1481</v>
      </c>
      <c r="G1436" t="s">
        <v>368</v>
      </c>
      <c r="H1436" t="s">
        <v>15</v>
      </c>
      <c r="I1436" t="s">
        <v>369</v>
      </c>
      <c r="J1436" t="str">
        <f>RIGHT(D1436,4)</f>
        <v>6420</v>
      </c>
      <c r="K1436" t="str">
        <f>IFERROR(VLOOKUP(VALUE(J1436),'Site Info'!$A:$G,3,FALSE),"")</f>
        <v>2575 GULF TO BAY BLVD</v>
      </c>
      <c r="L1436" t="str">
        <f>IFERROR(VLOOKUP(VALUE(J1436),'Site Info'!$A:$G,4,FALSE),"")</f>
        <v>CLEARWATER</v>
      </c>
      <c r="M1436" t="str">
        <f>IFERROR(VLOOKUP(VALUE(J1436),'Site Info'!$A:$G,5,FALSE),"")</f>
        <v>FL</v>
      </c>
      <c r="N1436" t="str">
        <f>IFERROR(VLOOKUP(VALUE(J1436),'Site Info'!$A:$G,6,FALSE),"")</f>
        <v>33765-4433</v>
      </c>
      <c r="O1436">
        <f>IFERROR(VLOOKUP(VALUE(J1436),'Site Info'!$A:$G,7,FALSE),"")</f>
        <v>7277918081</v>
      </c>
    </row>
    <row r="1437" spans="1:15" x14ac:dyDescent="0.45">
      <c r="A1437" t="s">
        <v>16838</v>
      </c>
      <c r="B1437" t="s">
        <v>16839</v>
      </c>
      <c r="C1437" t="s">
        <v>16840</v>
      </c>
      <c r="D1437" t="s">
        <v>367</v>
      </c>
      <c r="E1437" s="1">
        <v>46151.725115740737</v>
      </c>
      <c r="F1437">
        <v>1547</v>
      </c>
      <c r="G1437" t="s">
        <v>16841</v>
      </c>
      <c r="H1437" t="s">
        <v>15</v>
      </c>
      <c r="I1437" t="s">
        <v>369</v>
      </c>
      <c r="J1437" t="str">
        <f>RIGHT(D1437,4)</f>
        <v>6420</v>
      </c>
      <c r="K1437" t="str">
        <f>IFERROR(VLOOKUP(VALUE(J1437),'Site Info'!$A:$G,3,FALSE),"")</f>
        <v>2575 GULF TO BAY BLVD</v>
      </c>
      <c r="L1437" t="str">
        <f>IFERROR(VLOOKUP(VALUE(J1437),'Site Info'!$A:$G,4,FALSE),"")</f>
        <v>CLEARWATER</v>
      </c>
      <c r="M1437" t="str">
        <f>IFERROR(VLOOKUP(VALUE(J1437),'Site Info'!$A:$G,5,FALSE),"")</f>
        <v>FL</v>
      </c>
      <c r="N1437" t="str">
        <f>IFERROR(VLOOKUP(VALUE(J1437),'Site Info'!$A:$G,6,FALSE),"")</f>
        <v>33765-4433</v>
      </c>
      <c r="O1437">
        <f>IFERROR(VLOOKUP(VALUE(J1437),'Site Info'!$A:$G,7,FALSE),"")</f>
        <v>7277918081</v>
      </c>
    </row>
    <row r="1438" spans="1:15" x14ac:dyDescent="0.45">
      <c r="A1438" t="s">
        <v>4680</v>
      </c>
      <c r="B1438" t="s">
        <v>4681</v>
      </c>
      <c r="C1438" t="s">
        <v>4682</v>
      </c>
      <c r="D1438" t="s">
        <v>4561</v>
      </c>
      <c r="E1438" s="1">
        <v>46151.352222222224</v>
      </c>
      <c r="F1438">
        <v>1547</v>
      </c>
      <c r="G1438" t="s">
        <v>4683</v>
      </c>
      <c r="H1438" t="s">
        <v>15</v>
      </c>
      <c r="I1438" t="s">
        <v>4563</v>
      </c>
      <c r="J1438" t="str">
        <f>RIGHT(D1438,4)</f>
        <v>6328</v>
      </c>
      <c r="K1438" t="str">
        <f>IFERROR(VLOOKUP(VALUE(J1438),'Site Info'!$A:$G,3,FALSE),"")</f>
        <v>2601 S CICERO AVE</v>
      </c>
      <c r="L1438" t="str">
        <f>IFERROR(VLOOKUP(VALUE(J1438),'Site Info'!$A:$G,4,FALSE),"")</f>
        <v>CICERO</v>
      </c>
      <c r="M1438" t="str">
        <f>IFERROR(VLOOKUP(VALUE(J1438),'Site Info'!$A:$G,5,FALSE),"")</f>
        <v>IL</v>
      </c>
      <c r="N1438" t="str">
        <f>IFERROR(VLOOKUP(VALUE(J1438),'Site Info'!$A:$G,6,FALSE),"")</f>
        <v>60804-3644</v>
      </c>
      <c r="O1438">
        <f>IFERROR(VLOOKUP(VALUE(J1438),'Site Info'!$A:$G,7,FALSE),"")</f>
        <v>7086566256</v>
      </c>
    </row>
    <row r="1439" spans="1:15" x14ac:dyDescent="0.45">
      <c r="A1439" t="s">
        <v>4558</v>
      </c>
      <c r="B1439" t="s">
        <v>4559</v>
      </c>
      <c r="C1439" t="s">
        <v>4560</v>
      </c>
      <c r="D1439" t="s">
        <v>4561</v>
      </c>
      <c r="E1439" s="1">
        <v>46151.629143518519</v>
      </c>
      <c r="F1439">
        <v>1547</v>
      </c>
      <c r="G1439" t="s">
        <v>4562</v>
      </c>
      <c r="H1439" t="s">
        <v>15</v>
      </c>
      <c r="I1439" t="s">
        <v>4563</v>
      </c>
      <c r="J1439" t="str">
        <f>RIGHT(D1439,4)</f>
        <v>6328</v>
      </c>
      <c r="K1439" t="str">
        <f>IFERROR(VLOOKUP(VALUE(J1439),'Site Info'!$A:$G,3,FALSE),"")</f>
        <v>2601 S CICERO AVE</v>
      </c>
      <c r="L1439" t="str">
        <f>IFERROR(VLOOKUP(VALUE(J1439),'Site Info'!$A:$G,4,FALSE),"")</f>
        <v>CICERO</v>
      </c>
      <c r="M1439" t="str">
        <f>IFERROR(VLOOKUP(VALUE(J1439),'Site Info'!$A:$G,5,FALSE),"")</f>
        <v>IL</v>
      </c>
      <c r="N1439" t="str">
        <f>IFERROR(VLOOKUP(VALUE(J1439),'Site Info'!$A:$G,6,FALSE),"")</f>
        <v>60804-3644</v>
      </c>
      <c r="O1439">
        <f>IFERROR(VLOOKUP(VALUE(J1439),'Site Info'!$A:$G,7,FALSE),"")</f>
        <v>7086566256</v>
      </c>
    </row>
    <row r="1440" spans="1:15" x14ac:dyDescent="0.45">
      <c r="A1440" t="s">
        <v>8717</v>
      </c>
      <c r="B1440" t="s">
        <v>8718</v>
      </c>
      <c r="C1440" t="s">
        <v>8719</v>
      </c>
      <c r="D1440" t="s">
        <v>4561</v>
      </c>
      <c r="E1440" s="1">
        <v>46152.383483796293</v>
      </c>
      <c r="F1440">
        <v>1547</v>
      </c>
      <c r="G1440" t="s">
        <v>8720</v>
      </c>
      <c r="H1440" t="s">
        <v>15</v>
      </c>
      <c r="I1440" t="s">
        <v>4563</v>
      </c>
      <c r="J1440" t="str">
        <f>RIGHT(D1440,4)</f>
        <v>6328</v>
      </c>
      <c r="K1440" t="str">
        <f>IFERROR(VLOOKUP(VALUE(J1440),'Site Info'!$A:$G,3,FALSE),"")</f>
        <v>2601 S CICERO AVE</v>
      </c>
      <c r="L1440" t="str">
        <f>IFERROR(VLOOKUP(VALUE(J1440),'Site Info'!$A:$G,4,FALSE),"")</f>
        <v>CICERO</v>
      </c>
      <c r="M1440" t="str">
        <f>IFERROR(VLOOKUP(VALUE(J1440),'Site Info'!$A:$G,5,FALSE),"")</f>
        <v>IL</v>
      </c>
      <c r="N1440" t="str">
        <f>IFERROR(VLOOKUP(VALUE(J1440),'Site Info'!$A:$G,6,FALSE),"")</f>
        <v>60804-3644</v>
      </c>
      <c r="O1440">
        <f>IFERROR(VLOOKUP(VALUE(J1440),'Site Info'!$A:$G,7,FALSE),"")</f>
        <v>7086566256</v>
      </c>
    </row>
    <row r="1441" spans="1:15" x14ac:dyDescent="0.45">
      <c r="A1441" t="s">
        <v>4596</v>
      </c>
      <c r="B1441" t="s">
        <v>4597</v>
      </c>
      <c r="C1441" t="s">
        <v>4598</v>
      </c>
      <c r="D1441" t="s">
        <v>4561</v>
      </c>
      <c r="E1441" s="1">
        <v>46153.359606481485</v>
      </c>
      <c r="F1441">
        <v>1547</v>
      </c>
      <c r="G1441" t="s">
        <v>4599</v>
      </c>
      <c r="H1441" t="s">
        <v>15</v>
      </c>
      <c r="I1441" t="s">
        <v>4563</v>
      </c>
      <c r="J1441" t="str">
        <f>RIGHT(D1441,4)</f>
        <v>6328</v>
      </c>
      <c r="K1441" t="str">
        <f>IFERROR(VLOOKUP(VALUE(J1441),'Site Info'!$A:$G,3,FALSE),"")</f>
        <v>2601 S CICERO AVE</v>
      </c>
      <c r="L1441" t="str">
        <f>IFERROR(VLOOKUP(VALUE(J1441),'Site Info'!$A:$G,4,FALSE),"")</f>
        <v>CICERO</v>
      </c>
      <c r="M1441" t="str">
        <f>IFERROR(VLOOKUP(VALUE(J1441),'Site Info'!$A:$G,5,FALSE),"")</f>
        <v>IL</v>
      </c>
      <c r="N1441" t="str">
        <f>IFERROR(VLOOKUP(VALUE(J1441),'Site Info'!$A:$G,6,FALSE),"")</f>
        <v>60804-3644</v>
      </c>
      <c r="O1441">
        <f>IFERROR(VLOOKUP(VALUE(J1441),'Site Info'!$A:$G,7,FALSE),"")</f>
        <v>7086566256</v>
      </c>
    </row>
    <row r="1442" spans="1:15" x14ac:dyDescent="0.45">
      <c r="A1442" t="s">
        <v>4572</v>
      </c>
      <c r="B1442" t="s">
        <v>4573</v>
      </c>
      <c r="C1442" t="s">
        <v>4574</v>
      </c>
      <c r="D1442" t="s">
        <v>4561</v>
      </c>
      <c r="E1442" s="1">
        <v>46153.364583333336</v>
      </c>
      <c r="F1442">
        <v>1547</v>
      </c>
      <c r="G1442" t="s">
        <v>4575</v>
      </c>
      <c r="H1442" t="s">
        <v>15</v>
      </c>
      <c r="I1442" t="s">
        <v>4563</v>
      </c>
      <c r="J1442" t="str">
        <f>RIGHT(D1442,4)</f>
        <v>6328</v>
      </c>
      <c r="K1442" t="str">
        <f>IFERROR(VLOOKUP(VALUE(J1442),'Site Info'!$A:$G,3,FALSE),"")</f>
        <v>2601 S CICERO AVE</v>
      </c>
      <c r="L1442" t="str">
        <f>IFERROR(VLOOKUP(VALUE(J1442),'Site Info'!$A:$G,4,FALSE),"")</f>
        <v>CICERO</v>
      </c>
      <c r="M1442" t="str">
        <f>IFERROR(VLOOKUP(VALUE(J1442),'Site Info'!$A:$G,5,FALSE),"")</f>
        <v>IL</v>
      </c>
      <c r="N1442" t="str">
        <f>IFERROR(VLOOKUP(VALUE(J1442),'Site Info'!$A:$G,6,FALSE),"")</f>
        <v>60804-3644</v>
      </c>
      <c r="O1442">
        <f>IFERROR(VLOOKUP(VALUE(J1442),'Site Info'!$A:$G,7,FALSE),"")</f>
        <v>7086566256</v>
      </c>
    </row>
    <row r="1443" spans="1:15" x14ac:dyDescent="0.45">
      <c r="A1443" t="s">
        <v>8545</v>
      </c>
      <c r="B1443" t="s">
        <v>8546</v>
      </c>
      <c r="C1443" t="s">
        <v>8547</v>
      </c>
      <c r="D1443" t="s">
        <v>4561</v>
      </c>
      <c r="E1443" s="1">
        <v>46153.371736111112</v>
      </c>
      <c r="F1443">
        <v>1547</v>
      </c>
      <c r="G1443" t="s">
        <v>8548</v>
      </c>
      <c r="H1443" t="s">
        <v>15</v>
      </c>
      <c r="I1443" t="s">
        <v>4563</v>
      </c>
      <c r="J1443" t="str">
        <f>RIGHT(D1443,4)</f>
        <v>6328</v>
      </c>
      <c r="K1443" t="str">
        <f>IFERROR(VLOOKUP(VALUE(J1443),'Site Info'!$A:$G,3,FALSE),"")</f>
        <v>2601 S CICERO AVE</v>
      </c>
      <c r="L1443" t="str">
        <f>IFERROR(VLOOKUP(VALUE(J1443),'Site Info'!$A:$G,4,FALSE),"")</f>
        <v>CICERO</v>
      </c>
      <c r="M1443" t="str">
        <f>IFERROR(VLOOKUP(VALUE(J1443),'Site Info'!$A:$G,5,FALSE),"")</f>
        <v>IL</v>
      </c>
      <c r="N1443" t="str">
        <f>IFERROR(VLOOKUP(VALUE(J1443),'Site Info'!$A:$G,6,FALSE),"")</f>
        <v>60804-3644</v>
      </c>
      <c r="O1443">
        <f>IFERROR(VLOOKUP(VALUE(J1443),'Site Info'!$A:$G,7,FALSE),"")</f>
        <v>7086566256</v>
      </c>
    </row>
    <row r="1444" spans="1:15" x14ac:dyDescent="0.45">
      <c r="A1444" t="s">
        <v>10388</v>
      </c>
      <c r="B1444" t="s">
        <v>10389</v>
      </c>
      <c r="C1444" t="s">
        <v>10390</v>
      </c>
      <c r="D1444" t="s">
        <v>9847</v>
      </c>
      <c r="E1444" s="1">
        <v>46148.853379629632</v>
      </c>
      <c r="F1444">
        <v>1547</v>
      </c>
      <c r="G1444" t="s">
        <v>10391</v>
      </c>
      <c r="H1444" t="s">
        <v>15</v>
      </c>
      <c r="I1444" t="s">
        <v>9849</v>
      </c>
      <c r="J1444" t="str">
        <f>RIGHT(D1444,4)</f>
        <v>6628</v>
      </c>
      <c r="K1444" t="str">
        <f>IFERROR(VLOOKUP(VALUE(J1444),'Site Info'!$A:$G,3,FALSE),"")</f>
        <v>2601 SKYPARK DR</v>
      </c>
      <c r="L1444" t="str">
        <f>IFERROR(VLOOKUP(VALUE(J1444),'Site Info'!$A:$G,4,FALSE),"")</f>
        <v>TORRANCE</v>
      </c>
      <c r="M1444" t="str">
        <f>IFERROR(VLOOKUP(VALUE(J1444),'Site Info'!$A:$G,5,FALSE),"")</f>
        <v>CA</v>
      </c>
      <c r="N1444" t="str">
        <f>IFERROR(VLOOKUP(VALUE(J1444),'Site Info'!$A:$G,6,FALSE),"")</f>
        <v>90505-5313</v>
      </c>
      <c r="O1444">
        <f>IFERROR(VLOOKUP(VALUE(J1444),'Site Info'!$A:$G,7,FALSE),"")</f>
        <v>3105340134</v>
      </c>
    </row>
    <row r="1445" spans="1:15" x14ac:dyDescent="0.45">
      <c r="A1445" t="s">
        <v>10282</v>
      </c>
      <c r="B1445" t="s">
        <v>10283</v>
      </c>
      <c r="C1445" t="s">
        <v>10284</v>
      </c>
      <c r="D1445" t="s">
        <v>9847</v>
      </c>
      <c r="E1445" s="1">
        <v>46151.502615740741</v>
      </c>
      <c r="F1445">
        <v>1547</v>
      </c>
      <c r="G1445" t="s">
        <v>10285</v>
      </c>
      <c r="H1445" t="s">
        <v>15</v>
      </c>
      <c r="I1445" t="s">
        <v>9849</v>
      </c>
      <c r="J1445" t="str">
        <f>RIGHT(D1445,4)</f>
        <v>6628</v>
      </c>
      <c r="K1445" t="str">
        <f>IFERROR(VLOOKUP(VALUE(J1445),'Site Info'!$A:$G,3,FALSE),"")</f>
        <v>2601 SKYPARK DR</v>
      </c>
      <c r="L1445" t="str">
        <f>IFERROR(VLOOKUP(VALUE(J1445),'Site Info'!$A:$G,4,FALSE),"")</f>
        <v>TORRANCE</v>
      </c>
      <c r="M1445" t="str">
        <f>IFERROR(VLOOKUP(VALUE(J1445),'Site Info'!$A:$G,5,FALSE),"")</f>
        <v>CA</v>
      </c>
      <c r="N1445" t="str">
        <f>IFERROR(VLOOKUP(VALUE(J1445),'Site Info'!$A:$G,6,FALSE),"")</f>
        <v>90505-5313</v>
      </c>
      <c r="O1445">
        <f>IFERROR(VLOOKUP(VALUE(J1445),'Site Info'!$A:$G,7,FALSE),"")</f>
        <v>3105340134</v>
      </c>
    </row>
    <row r="1446" spans="1:15" x14ac:dyDescent="0.45">
      <c r="A1446" t="s">
        <v>9844</v>
      </c>
      <c r="B1446" t="s">
        <v>9845</v>
      </c>
      <c r="C1446" t="s">
        <v>9846</v>
      </c>
      <c r="D1446" t="s">
        <v>9847</v>
      </c>
      <c r="E1446" s="1">
        <v>46152.750972222224</v>
      </c>
      <c r="F1446">
        <v>1547</v>
      </c>
      <c r="G1446" t="s">
        <v>9848</v>
      </c>
      <c r="H1446" t="s">
        <v>15</v>
      </c>
      <c r="I1446" t="s">
        <v>9849</v>
      </c>
      <c r="J1446" t="str">
        <f>RIGHT(D1446,4)</f>
        <v>6628</v>
      </c>
      <c r="K1446" t="str">
        <f>IFERROR(VLOOKUP(VALUE(J1446),'Site Info'!$A:$G,3,FALSE),"")</f>
        <v>2601 SKYPARK DR</v>
      </c>
      <c r="L1446" t="str">
        <f>IFERROR(VLOOKUP(VALUE(J1446),'Site Info'!$A:$G,4,FALSE),"")</f>
        <v>TORRANCE</v>
      </c>
      <c r="M1446" t="str">
        <f>IFERROR(VLOOKUP(VALUE(J1446),'Site Info'!$A:$G,5,FALSE),"")</f>
        <v>CA</v>
      </c>
      <c r="N1446" t="str">
        <f>IFERROR(VLOOKUP(VALUE(J1446),'Site Info'!$A:$G,6,FALSE),"")</f>
        <v>90505-5313</v>
      </c>
      <c r="O1446">
        <f>IFERROR(VLOOKUP(VALUE(J1446),'Site Info'!$A:$G,7,FALSE),"")</f>
        <v>3105340134</v>
      </c>
    </row>
    <row r="1447" spans="1:15" x14ac:dyDescent="0.45">
      <c r="A1447" t="s">
        <v>14199</v>
      </c>
      <c r="B1447" t="s">
        <v>14200</v>
      </c>
      <c r="C1447" t="s">
        <v>14201</v>
      </c>
      <c r="D1447" t="s">
        <v>2141</v>
      </c>
      <c r="E1447" s="1">
        <v>46152.602372685185</v>
      </c>
      <c r="F1447">
        <v>1863</v>
      </c>
      <c r="G1447" t="s">
        <v>14202</v>
      </c>
      <c r="H1447" t="s">
        <v>136</v>
      </c>
      <c r="I1447" t="s">
        <v>2143</v>
      </c>
      <c r="J1447" t="str">
        <f>RIGHT(D1447,4)</f>
        <v>8162</v>
      </c>
      <c r="K1447" t="str">
        <f>IFERROR(VLOOKUP(VALUE(J1447),'Site Info'!$A:$G,3,FALSE),"")</f>
        <v>2605 BLAIRS FERRY RD NE</v>
      </c>
      <c r="L1447" t="str">
        <f>IFERROR(VLOOKUP(VALUE(J1447),'Site Info'!$A:$G,4,FALSE),"")</f>
        <v>CEDAR RAPIDS</v>
      </c>
      <c r="M1447" t="str">
        <f>IFERROR(VLOOKUP(VALUE(J1447),'Site Info'!$A:$G,5,FALSE),"")</f>
        <v>IA</v>
      </c>
      <c r="N1447" t="str">
        <f>IFERROR(VLOOKUP(VALUE(J1447),'Site Info'!$A:$G,6,FALSE),"")</f>
        <v>52402-1802</v>
      </c>
      <c r="O1447">
        <f>IFERROR(VLOOKUP(VALUE(J1447),'Site Info'!$A:$G,7,FALSE),"")</f>
        <v>3193937746</v>
      </c>
    </row>
    <row r="1448" spans="1:15" x14ac:dyDescent="0.45">
      <c r="A1448" t="s">
        <v>12484</v>
      </c>
      <c r="B1448" t="s">
        <v>12485</v>
      </c>
      <c r="C1448" t="s">
        <v>12486</v>
      </c>
      <c r="D1448" t="s">
        <v>2141</v>
      </c>
      <c r="E1448" s="1">
        <v>46148.422766203701</v>
      </c>
      <c r="F1448">
        <v>1547</v>
      </c>
      <c r="G1448" t="s">
        <v>12487</v>
      </c>
      <c r="H1448" t="s">
        <v>15</v>
      </c>
      <c r="I1448" t="s">
        <v>2143</v>
      </c>
      <c r="J1448" t="str">
        <f>RIGHT(D1448,4)</f>
        <v>8162</v>
      </c>
      <c r="K1448" t="str">
        <f>IFERROR(VLOOKUP(VALUE(J1448),'Site Info'!$A:$G,3,FALSE),"")</f>
        <v>2605 BLAIRS FERRY RD NE</v>
      </c>
      <c r="L1448" t="str">
        <f>IFERROR(VLOOKUP(VALUE(J1448),'Site Info'!$A:$G,4,FALSE),"")</f>
        <v>CEDAR RAPIDS</v>
      </c>
      <c r="M1448" t="str">
        <f>IFERROR(VLOOKUP(VALUE(J1448),'Site Info'!$A:$G,5,FALSE),"")</f>
        <v>IA</v>
      </c>
      <c r="N1448" t="str">
        <f>IFERROR(VLOOKUP(VALUE(J1448),'Site Info'!$A:$G,6,FALSE),"")</f>
        <v>52402-1802</v>
      </c>
      <c r="O1448">
        <f>IFERROR(VLOOKUP(VALUE(J1448),'Site Info'!$A:$G,7,FALSE),"")</f>
        <v>3193937746</v>
      </c>
    </row>
    <row r="1449" spans="1:15" x14ac:dyDescent="0.45">
      <c r="A1449" t="s">
        <v>9737</v>
      </c>
      <c r="B1449" t="s">
        <v>9738</v>
      </c>
      <c r="C1449" t="s">
        <v>9739</v>
      </c>
      <c r="D1449" t="s">
        <v>2141</v>
      </c>
      <c r="E1449" s="1">
        <v>46151.668136574073</v>
      </c>
      <c r="F1449">
        <v>1547</v>
      </c>
      <c r="G1449" t="s">
        <v>9740</v>
      </c>
      <c r="H1449" t="s">
        <v>15</v>
      </c>
      <c r="I1449" t="s">
        <v>2143</v>
      </c>
      <c r="J1449" t="str">
        <f>RIGHT(D1449,4)</f>
        <v>8162</v>
      </c>
      <c r="K1449" t="str">
        <f>IFERROR(VLOOKUP(VALUE(J1449),'Site Info'!$A:$G,3,FALSE),"")</f>
        <v>2605 BLAIRS FERRY RD NE</v>
      </c>
      <c r="L1449" t="str">
        <f>IFERROR(VLOOKUP(VALUE(J1449),'Site Info'!$A:$G,4,FALSE),"")</f>
        <v>CEDAR RAPIDS</v>
      </c>
      <c r="M1449" t="str">
        <f>IFERROR(VLOOKUP(VALUE(J1449),'Site Info'!$A:$G,5,FALSE),"")</f>
        <v>IA</v>
      </c>
      <c r="N1449" t="str">
        <f>IFERROR(VLOOKUP(VALUE(J1449),'Site Info'!$A:$G,6,FALSE),"")</f>
        <v>52402-1802</v>
      </c>
      <c r="O1449">
        <f>IFERROR(VLOOKUP(VALUE(J1449),'Site Info'!$A:$G,7,FALSE),"")</f>
        <v>3193937746</v>
      </c>
    </row>
    <row r="1450" spans="1:15" x14ac:dyDescent="0.45">
      <c r="A1450" t="s">
        <v>9762</v>
      </c>
      <c r="B1450" t="s">
        <v>9763</v>
      </c>
      <c r="C1450" t="s">
        <v>9764</v>
      </c>
      <c r="D1450" t="s">
        <v>2141</v>
      </c>
      <c r="E1450" s="1">
        <v>46151.788402777776</v>
      </c>
      <c r="F1450">
        <v>1547</v>
      </c>
      <c r="G1450" t="s">
        <v>9765</v>
      </c>
      <c r="H1450" t="s">
        <v>15</v>
      </c>
      <c r="I1450" t="s">
        <v>2143</v>
      </c>
      <c r="J1450" t="str">
        <f>RIGHT(D1450,4)</f>
        <v>8162</v>
      </c>
      <c r="K1450" t="str">
        <f>IFERROR(VLOOKUP(VALUE(J1450),'Site Info'!$A:$G,3,FALSE),"")</f>
        <v>2605 BLAIRS FERRY RD NE</v>
      </c>
      <c r="L1450" t="str">
        <f>IFERROR(VLOOKUP(VALUE(J1450),'Site Info'!$A:$G,4,FALSE),"")</f>
        <v>CEDAR RAPIDS</v>
      </c>
      <c r="M1450" t="str">
        <f>IFERROR(VLOOKUP(VALUE(J1450),'Site Info'!$A:$G,5,FALSE),"")</f>
        <v>IA</v>
      </c>
      <c r="N1450" t="str">
        <f>IFERROR(VLOOKUP(VALUE(J1450),'Site Info'!$A:$G,6,FALSE),"")</f>
        <v>52402-1802</v>
      </c>
      <c r="O1450">
        <f>IFERROR(VLOOKUP(VALUE(J1450),'Site Info'!$A:$G,7,FALSE),"")</f>
        <v>3193937746</v>
      </c>
    </row>
    <row r="1451" spans="1:15" x14ac:dyDescent="0.45">
      <c r="A1451" t="s">
        <v>12144</v>
      </c>
      <c r="B1451" t="s">
        <v>12145</v>
      </c>
      <c r="C1451" t="s">
        <v>12146</v>
      </c>
      <c r="D1451" t="s">
        <v>2141</v>
      </c>
      <c r="E1451" s="1">
        <v>46153.298761574071</v>
      </c>
      <c r="F1451">
        <v>1547</v>
      </c>
      <c r="G1451" t="s">
        <v>12147</v>
      </c>
      <c r="H1451" t="s">
        <v>15</v>
      </c>
      <c r="I1451" t="s">
        <v>2143</v>
      </c>
      <c r="J1451" t="str">
        <f>RIGHT(D1451,4)</f>
        <v>8162</v>
      </c>
      <c r="K1451" t="str">
        <f>IFERROR(VLOOKUP(VALUE(J1451),'Site Info'!$A:$G,3,FALSE),"")</f>
        <v>2605 BLAIRS FERRY RD NE</v>
      </c>
      <c r="L1451" t="str">
        <f>IFERROR(VLOOKUP(VALUE(J1451),'Site Info'!$A:$G,4,FALSE),"")</f>
        <v>CEDAR RAPIDS</v>
      </c>
      <c r="M1451" t="str">
        <f>IFERROR(VLOOKUP(VALUE(J1451),'Site Info'!$A:$G,5,FALSE),"")</f>
        <v>IA</v>
      </c>
      <c r="N1451" t="str">
        <f>IFERROR(VLOOKUP(VALUE(J1451),'Site Info'!$A:$G,6,FALSE),"")</f>
        <v>52402-1802</v>
      </c>
      <c r="O1451">
        <f>IFERROR(VLOOKUP(VALUE(J1451),'Site Info'!$A:$G,7,FALSE),"")</f>
        <v>3193937746</v>
      </c>
    </row>
    <row r="1452" spans="1:15" x14ac:dyDescent="0.45">
      <c r="A1452" t="s">
        <v>2138</v>
      </c>
      <c r="B1452" t="s">
        <v>2139</v>
      </c>
      <c r="C1452" t="s">
        <v>2140</v>
      </c>
      <c r="D1452" t="s">
        <v>2141</v>
      </c>
      <c r="E1452" s="1">
        <v>46153.078877314816</v>
      </c>
      <c r="F1452">
        <v>1481</v>
      </c>
      <c r="G1452" t="s">
        <v>2142</v>
      </c>
      <c r="H1452" t="s">
        <v>15</v>
      </c>
      <c r="I1452" t="s">
        <v>2143</v>
      </c>
      <c r="J1452" t="str">
        <f>RIGHT(D1452,4)</f>
        <v>8162</v>
      </c>
      <c r="K1452" t="str">
        <f>IFERROR(VLOOKUP(VALUE(J1452),'Site Info'!$A:$G,3,FALSE),"")</f>
        <v>2605 BLAIRS FERRY RD NE</v>
      </c>
      <c r="L1452" t="str">
        <f>IFERROR(VLOOKUP(VALUE(J1452),'Site Info'!$A:$G,4,FALSE),"")</f>
        <v>CEDAR RAPIDS</v>
      </c>
      <c r="M1452" t="str">
        <f>IFERROR(VLOOKUP(VALUE(J1452),'Site Info'!$A:$G,5,FALSE),"")</f>
        <v>IA</v>
      </c>
      <c r="N1452" t="str">
        <f>IFERROR(VLOOKUP(VALUE(J1452),'Site Info'!$A:$G,6,FALSE),"")</f>
        <v>52402-1802</v>
      </c>
      <c r="O1452">
        <f>IFERROR(VLOOKUP(VALUE(J1452),'Site Info'!$A:$G,7,FALSE),"")</f>
        <v>3193937746</v>
      </c>
    </row>
    <row r="1453" spans="1:15" x14ac:dyDescent="0.45">
      <c r="A1453" t="s">
        <v>2943</v>
      </c>
      <c r="B1453" t="s">
        <v>2944</v>
      </c>
      <c r="C1453" t="s">
        <v>2945</v>
      </c>
      <c r="D1453" t="s">
        <v>2141</v>
      </c>
      <c r="E1453" s="1">
        <v>46153.17633101852</v>
      </c>
      <c r="F1453">
        <v>1481</v>
      </c>
      <c r="G1453" t="s">
        <v>2946</v>
      </c>
      <c r="H1453" t="s">
        <v>15</v>
      </c>
      <c r="I1453" t="s">
        <v>2143</v>
      </c>
      <c r="J1453" t="str">
        <f>RIGHT(D1453,4)</f>
        <v>8162</v>
      </c>
      <c r="K1453" t="str">
        <f>IFERROR(VLOOKUP(VALUE(J1453),'Site Info'!$A:$G,3,FALSE),"")</f>
        <v>2605 BLAIRS FERRY RD NE</v>
      </c>
      <c r="L1453" t="str">
        <f>IFERROR(VLOOKUP(VALUE(J1453),'Site Info'!$A:$G,4,FALSE),"")</f>
        <v>CEDAR RAPIDS</v>
      </c>
      <c r="M1453" t="str">
        <f>IFERROR(VLOOKUP(VALUE(J1453),'Site Info'!$A:$G,5,FALSE),"")</f>
        <v>IA</v>
      </c>
      <c r="N1453" t="str">
        <f>IFERROR(VLOOKUP(VALUE(J1453),'Site Info'!$A:$G,6,FALSE),"")</f>
        <v>52402-1802</v>
      </c>
      <c r="O1453">
        <f>IFERROR(VLOOKUP(VALUE(J1453),'Site Info'!$A:$G,7,FALSE),"")</f>
        <v>3193937746</v>
      </c>
    </row>
    <row r="1454" spans="1:15" x14ac:dyDescent="0.45">
      <c r="A1454" t="s">
        <v>4027</v>
      </c>
      <c r="B1454" t="s">
        <v>4028</v>
      </c>
      <c r="C1454" t="s">
        <v>4029</v>
      </c>
      <c r="D1454" t="s">
        <v>2141</v>
      </c>
      <c r="E1454" s="1">
        <v>46153.314016203702</v>
      </c>
      <c r="F1454">
        <v>1481</v>
      </c>
      <c r="G1454" t="s">
        <v>4030</v>
      </c>
      <c r="H1454" t="s">
        <v>15</v>
      </c>
      <c r="I1454" t="s">
        <v>2143</v>
      </c>
      <c r="J1454" t="str">
        <f>RIGHT(D1454,4)</f>
        <v>8162</v>
      </c>
      <c r="K1454" t="str">
        <f>IFERROR(VLOOKUP(VALUE(J1454),'Site Info'!$A:$G,3,FALSE),"")</f>
        <v>2605 BLAIRS FERRY RD NE</v>
      </c>
      <c r="L1454" t="str">
        <f>IFERROR(VLOOKUP(VALUE(J1454),'Site Info'!$A:$G,4,FALSE),"")</f>
        <v>CEDAR RAPIDS</v>
      </c>
      <c r="M1454" t="str">
        <f>IFERROR(VLOOKUP(VALUE(J1454),'Site Info'!$A:$G,5,FALSE),"")</f>
        <v>IA</v>
      </c>
      <c r="N1454" t="str">
        <f>IFERROR(VLOOKUP(VALUE(J1454),'Site Info'!$A:$G,6,FALSE),"")</f>
        <v>52402-1802</v>
      </c>
      <c r="O1454">
        <f>IFERROR(VLOOKUP(VALUE(J1454),'Site Info'!$A:$G,7,FALSE),"")</f>
        <v>3193937746</v>
      </c>
    </row>
    <row r="1455" spans="1:15" x14ac:dyDescent="0.45">
      <c r="A1455" t="s">
        <v>8631</v>
      </c>
      <c r="B1455" t="s">
        <v>8632</v>
      </c>
      <c r="C1455" t="s">
        <v>8633</v>
      </c>
      <c r="D1455" t="s">
        <v>1775</v>
      </c>
      <c r="E1455" s="1">
        <v>46152.83184027778</v>
      </c>
      <c r="F1455">
        <v>1547</v>
      </c>
      <c r="G1455" t="s">
        <v>8634</v>
      </c>
      <c r="H1455" t="s">
        <v>15</v>
      </c>
      <c r="I1455" t="s">
        <v>1777</v>
      </c>
      <c r="J1455" t="str">
        <f>RIGHT(D1455,4)</f>
        <v>4855</v>
      </c>
      <c r="K1455" t="str">
        <f>IFERROR(VLOOKUP(VALUE(J1455),'Site Info'!$A:$G,3,FALSE),"")</f>
        <v>261 WILSON AVE</v>
      </c>
      <c r="L1455" t="str">
        <f>IFERROR(VLOOKUP(VALUE(J1455),'Site Info'!$A:$G,4,FALSE),"")</f>
        <v>HANOVER</v>
      </c>
      <c r="M1455" t="str">
        <f>IFERROR(VLOOKUP(VALUE(J1455),'Site Info'!$A:$G,5,FALSE),"")</f>
        <v>PA</v>
      </c>
      <c r="N1455" t="str">
        <f>IFERROR(VLOOKUP(VALUE(J1455),'Site Info'!$A:$G,6,FALSE),"")</f>
        <v>17331-0000</v>
      </c>
      <c r="O1455">
        <f>IFERROR(VLOOKUP(VALUE(J1455),'Site Info'!$A:$G,7,FALSE),"")</f>
        <v>7179696021</v>
      </c>
    </row>
    <row r="1456" spans="1:15" x14ac:dyDescent="0.45">
      <c r="A1456" t="s">
        <v>7891</v>
      </c>
      <c r="B1456" t="s">
        <v>7892</v>
      </c>
      <c r="C1456" t="s">
        <v>7893</v>
      </c>
      <c r="D1456" t="s">
        <v>1775</v>
      </c>
      <c r="E1456" s="1">
        <v>46153.368148148147</v>
      </c>
      <c r="F1456">
        <v>1547</v>
      </c>
      <c r="G1456" t="s">
        <v>7894</v>
      </c>
      <c r="H1456" t="s">
        <v>15</v>
      </c>
      <c r="I1456" t="s">
        <v>1777</v>
      </c>
      <c r="J1456" t="str">
        <f>RIGHT(D1456,4)</f>
        <v>4855</v>
      </c>
      <c r="K1456" t="str">
        <f>IFERROR(VLOOKUP(VALUE(J1456),'Site Info'!$A:$G,3,FALSE),"")</f>
        <v>261 WILSON AVE</v>
      </c>
      <c r="L1456" t="str">
        <f>IFERROR(VLOOKUP(VALUE(J1456),'Site Info'!$A:$G,4,FALSE),"")</f>
        <v>HANOVER</v>
      </c>
      <c r="M1456" t="str">
        <f>IFERROR(VLOOKUP(VALUE(J1456),'Site Info'!$A:$G,5,FALSE),"")</f>
        <v>PA</v>
      </c>
      <c r="N1456" t="str">
        <f>IFERROR(VLOOKUP(VALUE(J1456),'Site Info'!$A:$G,6,FALSE),"")</f>
        <v>17331-0000</v>
      </c>
      <c r="O1456">
        <f>IFERROR(VLOOKUP(VALUE(J1456),'Site Info'!$A:$G,7,FALSE),"")</f>
        <v>7179696021</v>
      </c>
    </row>
    <row r="1457" spans="1:15" x14ac:dyDescent="0.45">
      <c r="A1457" t="s">
        <v>7485</v>
      </c>
      <c r="B1457" t="s">
        <v>7486</v>
      </c>
      <c r="C1457" t="s">
        <v>7487</v>
      </c>
      <c r="D1457" t="s">
        <v>1775</v>
      </c>
      <c r="E1457" s="1">
        <v>46153.373414351852</v>
      </c>
      <c r="F1457">
        <v>1547</v>
      </c>
      <c r="G1457" t="s">
        <v>7488</v>
      </c>
      <c r="H1457" t="s">
        <v>15</v>
      </c>
      <c r="I1457" t="s">
        <v>1777</v>
      </c>
      <c r="J1457" t="str">
        <f>RIGHT(D1457,4)</f>
        <v>4855</v>
      </c>
      <c r="K1457" t="str">
        <f>IFERROR(VLOOKUP(VALUE(J1457),'Site Info'!$A:$G,3,FALSE),"")</f>
        <v>261 WILSON AVE</v>
      </c>
      <c r="L1457" t="str">
        <f>IFERROR(VLOOKUP(VALUE(J1457),'Site Info'!$A:$G,4,FALSE),"")</f>
        <v>HANOVER</v>
      </c>
      <c r="M1457" t="str">
        <f>IFERROR(VLOOKUP(VALUE(J1457),'Site Info'!$A:$G,5,FALSE),"")</f>
        <v>PA</v>
      </c>
      <c r="N1457" t="str">
        <f>IFERROR(VLOOKUP(VALUE(J1457),'Site Info'!$A:$G,6,FALSE),"")</f>
        <v>17331-0000</v>
      </c>
      <c r="O1457">
        <f>IFERROR(VLOOKUP(VALUE(J1457),'Site Info'!$A:$G,7,FALSE),"")</f>
        <v>7179696021</v>
      </c>
    </row>
    <row r="1458" spans="1:15" x14ac:dyDescent="0.45">
      <c r="A1458" t="s">
        <v>1772</v>
      </c>
      <c r="B1458" t="s">
        <v>1773</v>
      </c>
      <c r="C1458" t="s">
        <v>1774</v>
      </c>
      <c r="D1458" t="s">
        <v>1775</v>
      </c>
      <c r="E1458" s="1">
        <v>46153.127430555556</v>
      </c>
      <c r="F1458">
        <v>1481</v>
      </c>
      <c r="G1458" t="s">
        <v>1776</v>
      </c>
      <c r="H1458" t="s">
        <v>15</v>
      </c>
      <c r="I1458" t="s">
        <v>1777</v>
      </c>
      <c r="J1458" t="str">
        <f>RIGHT(D1458,4)</f>
        <v>4855</v>
      </c>
      <c r="K1458" t="str">
        <f>IFERROR(VLOOKUP(VALUE(J1458),'Site Info'!$A:$G,3,FALSE),"")</f>
        <v>261 WILSON AVE</v>
      </c>
      <c r="L1458" t="str">
        <f>IFERROR(VLOOKUP(VALUE(J1458),'Site Info'!$A:$G,4,FALSE),"")</f>
        <v>HANOVER</v>
      </c>
      <c r="M1458" t="str">
        <f>IFERROR(VLOOKUP(VALUE(J1458),'Site Info'!$A:$G,5,FALSE),"")</f>
        <v>PA</v>
      </c>
      <c r="N1458" t="str">
        <f>IFERROR(VLOOKUP(VALUE(J1458),'Site Info'!$A:$G,6,FALSE),"")</f>
        <v>17331-0000</v>
      </c>
      <c r="O1458">
        <f>IFERROR(VLOOKUP(VALUE(J1458),'Site Info'!$A:$G,7,FALSE),"")</f>
        <v>7179696021</v>
      </c>
    </row>
    <row r="1459" spans="1:15" x14ac:dyDescent="0.45">
      <c r="A1459" t="s">
        <v>2124</v>
      </c>
      <c r="B1459" t="s">
        <v>2125</v>
      </c>
      <c r="C1459" t="s">
        <v>2126</v>
      </c>
      <c r="D1459" t="s">
        <v>1775</v>
      </c>
      <c r="E1459" s="1">
        <v>46153.366932870369</v>
      </c>
      <c r="F1459">
        <v>1481</v>
      </c>
      <c r="G1459" t="s">
        <v>2127</v>
      </c>
      <c r="H1459" t="s">
        <v>15</v>
      </c>
      <c r="I1459" t="s">
        <v>1777</v>
      </c>
      <c r="J1459" t="str">
        <f>RIGHT(D1459,4)</f>
        <v>4855</v>
      </c>
      <c r="K1459" t="str">
        <f>IFERROR(VLOOKUP(VALUE(J1459),'Site Info'!$A:$G,3,FALSE),"")</f>
        <v>261 WILSON AVE</v>
      </c>
      <c r="L1459" t="str">
        <f>IFERROR(VLOOKUP(VALUE(J1459),'Site Info'!$A:$G,4,FALSE),"")</f>
        <v>HANOVER</v>
      </c>
      <c r="M1459" t="str">
        <f>IFERROR(VLOOKUP(VALUE(J1459),'Site Info'!$A:$G,5,FALSE),"")</f>
        <v>PA</v>
      </c>
      <c r="N1459" t="str">
        <f>IFERROR(VLOOKUP(VALUE(J1459),'Site Info'!$A:$G,6,FALSE),"")</f>
        <v>17331-0000</v>
      </c>
      <c r="O1459">
        <f>IFERROR(VLOOKUP(VALUE(J1459),'Site Info'!$A:$G,7,FALSE),"")</f>
        <v>7179696021</v>
      </c>
    </row>
    <row r="1460" spans="1:15" x14ac:dyDescent="0.45">
      <c r="A1460" t="s">
        <v>7282</v>
      </c>
      <c r="B1460" t="s">
        <v>7283</v>
      </c>
      <c r="C1460" t="s">
        <v>7284</v>
      </c>
      <c r="D1460" t="s">
        <v>7285</v>
      </c>
      <c r="E1460" s="1">
        <v>46151.798668981479</v>
      </c>
      <c r="F1460">
        <v>1547</v>
      </c>
      <c r="G1460" t="s">
        <v>7286</v>
      </c>
      <c r="H1460" t="s">
        <v>15</v>
      </c>
      <c r="I1460" t="s">
        <v>7287</v>
      </c>
      <c r="J1460" t="str">
        <f>RIGHT(D1460,4)</f>
        <v>4829</v>
      </c>
      <c r="K1460" t="str">
        <f>IFERROR(VLOOKUP(VALUE(J1460),'Site Info'!$A:$G,3,FALSE),"")</f>
        <v>2621 S MARKET ST</v>
      </c>
      <c r="L1460" t="str">
        <f>IFERROR(VLOOKUP(VALUE(J1460),'Site Info'!$A:$G,4,FALSE),"")</f>
        <v>GILBERT</v>
      </c>
      <c r="M1460" t="str">
        <f>IFERROR(VLOOKUP(VALUE(J1460),'Site Info'!$A:$G,5,FALSE),"")</f>
        <v>AZ</v>
      </c>
      <c r="N1460" t="str">
        <f>IFERROR(VLOOKUP(VALUE(J1460),'Site Info'!$A:$G,6,FALSE),"")</f>
        <v>85295-1301</v>
      </c>
      <c r="O1460">
        <f>IFERROR(VLOOKUP(VALUE(J1460),'Site Info'!$A:$G,7,FALSE),"")</f>
        <v>4807221447</v>
      </c>
    </row>
    <row r="1461" spans="1:15" x14ac:dyDescent="0.45">
      <c r="A1461" t="s">
        <v>7769</v>
      </c>
      <c r="B1461" t="s">
        <v>7770</v>
      </c>
      <c r="C1461" t="s">
        <v>7771</v>
      </c>
      <c r="D1461" t="s">
        <v>7285</v>
      </c>
      <c r="E1461" s="1">
        <v>46152.546851851854</v>
      </c>
      <c r="F1461">
        <v>1547</v>
      </c>
      <c r="G1461" t="s">
        <v>7772</v>
      </c>
      <c r="H1461" t="s">
        <v>15</v>
      </c>
      <c r="I1461" t="s">
        <v>7287</v>
      </c>
      <c r="J1461" t="str">
        <f>RIGHT(D1461,4)</f>
        <v>4829</v>
      </c>
      <c r="K1461" t="str">
        <f>IFERROR(VLOOKUP(VALUE(J1461),'Site Info'!$A:$G,3,FALSE),"")</f>
        <v>2621 S MARKET ST</v>
      </c>
      <c r="L1461" t="str">
        <f>IFERROR(VLOOKUP(VALUE(J1461),'Site Info'!$A:$G,4,FALSE),"")</f>
        <v>GILBERT</v>
      </c>
      <c r="M1461" t="str">
        <f>IFERROR(VLOOKUP(VALUE(J1461),'Site Info'!$A:$G,5,FALSE),"")</f>
        <v>AZ</v>
      </c>
      <c r="N1461" t="str">
        <f>IFERROR(VLOOKUP(VALUE(J1461),'Site Info'!$A:$G,6,FALSE),"")</f>
        <v>85295-1301</v>
      </c>
      <c r="O1461">
        <f>IFERROR(VLOOKUP(VALUE(J1461),'Site Info'!$A:$G,7,FALSE),"")</f>
        <v>4807221447</v>
      </c>
    </row>
    <row r="1462" spans="1:15" x14ac:dyDescent="0.45">
      <c r="A1462" t="s">
        <v>7415</v>
      </c>
      <c r="B1462" t="s">
        <v>7416</v>
      </c>
      <c r="C1462" t="s">
        <v>7417</v>
      </c>
      <c r="D1462" t="s">
        <v>7285</v>
      </c>
      <c r="E1462" s="1">
        <v>46153.250324074077</v>
      </c>
      <c r="F1462">
        <v>1547</v>
      </c>
      <c r="G1462" t="s">
        <v>7418</v>
      </c>
      <c r="H1462" t="s">
        <v>15</v>
      </c>
      <c r="I1462" t="s">
        <v>7287</v>
      </c>
      <c r="J1462" t="str">
        <f>RIGHT(D1462,4)</f>
        <v>4829</v>
      </c>
      <c r="K1462" t="str">
        <f>IFERROR(VLOOKUP(VALUE(J1462),'Site Info'!$A:$G,3,FALSE),"")</f>
        <v>2621 S MARKET ST</v>
      </c>
      <c r="L1462" t="str">
        <f>IFERROR(VLOOKUP(VALUE(J1462),'Site Info'!$A:$G,4,FALSE),"")</f>
        <v>GILBERT</v>
      </c>
      <c r="M1462" t="str">
        <f>IFERROR(VLOOKUP(VALUE(J1462),'Site Info'!$A:$G,5,FALSE),"")</f>
        <v>AZ</v>
      </c>
      <c r="N1462" t="str">
        <f>IFERROR(VLOOKUP(VALUE(J1462),'Site Info'!$A:$G,6,FALSE),"")</f>
        <v>85295-1301</v>
      </c>
      <c r="O1462">
        <f>IFERROR(VLOOKUP(VALUE(J1462),'Site Info'!$A:$G,7,FALSE),"")</f>
        <v>4807221447</v>
      </c>
    </row>
    <row r="1463" spans="1:15" x14ac:dyDescent="0.45">
      <c r="A1463" t="s">
        <v>7669</v>
      </c>
      <c r="B1463" t="s">
        <v>7670</v>
      </c>
      <c r="C1463" t="s">
        <v>7671</v>
      </c>
      <c r="D1463" t="s">
        <v>7285</v>
      </c>
      <c r="E1463" s="1">
        <v>46153.372835648152</v>
      </c>
      <c r="F1463">
        <v>1547</v>
      </c>
      <c r="G1463" t="s">
        <v>7672</v>
      </c>
      <c r="H1463" t="s">
        <v>15</v>
      </c>
      <c r="I1463" t="s">
        <v>7287</v>
      </c>
      <c r="J1463" t="str">
        <f>RIGHT(D1463,4)</f>
        <v>4829</v>
      </c>
      <c r="K1463" t="str">
        <f>IFERROR(VLOOKUP(VALUE(J1463),'Site Info'!$A:$G,3,FALSE),"")</f>
        <v>2621 S MARKET ST</v>
      </c>
      <c r="L1463" t="str">
        <f>IFERROR(VLOOKUP(VALUE(J1463),'Site Info'!$A:$G,4,FALSE),"")</f>
        <v>GILBERT</v>
      </c>
      <c r="M1463" t="str">
        <f>IFERROR(VLOOKUP(VALUE(J1463),'Site Info'!$A:$G,5,FALSE),"")</f>
        <v>AZ</v>
      </c>
      <c r="N1463" t="str">
        <f>IFERROR(VLOOKUP(VALUE(J1463),'Site Info'!$A:$G,6,FALSE),"")</f>
        <v>85295-1301</v>
      </c>
      <c r="O1463">
        <f>IFERROR(VLOOKUP(VALUE(J1463),'Site Info'!$A:$G,7,FALSE),"")</f>
        <v>4807221447</v>
      </c>
    </row>
    <row r="1464" spans="1:15" x14ac:dyDescent="0.45">
      <c r="A1464" t="s">
        <v>14313</v>
      </c>
      <c r="B1464" t="s">
        <v>14314</v>
      </c>
      <c r="C1464" t="s">
        <v>14315</v>
      </c>
      <c r="D1464" t="s">
        <v>7285</v>
      </c>
      <c r="E1464" s="1">
        <v>46152.746655092589</v>
      </c>
      <c r="F1464">
        <v>1481</v>
      </c>
      <c r="G1464" t="s">
        <v>14316</v>
      </c>
      <c r="H1464" t="s">
        <v>15</v>
      </c>
      <c r="I1464" t="s">
        <v>7287</v>
      </c>
      <c r="J1464" t="str">
        <f>RIGHT(D1464,4)</f>
        <v>4829</v>
      </c>
      <c r="K1464" t="str">
        <f>IFERROR(VLOOKUP(VALUE(J1464),'Site Info'!$A:$G,3,FALSE),"")</f>
        <v>2621 S MARKET ST</v>
      </c>
      <c r="L1464" t="str">
        <f>IFERROR(VLOOKUP(VALUE(J1464),'Site Info'!$A:$G,4,FALSE),"")</f>
        <v>GILBERT</v>
      </c>
      <c r="M1464" t="str">
        <f>IFERROR(VLOOKUP(VALUE(J1464),'Site Info'!$A:$G,5,FALSE),"")</f>
        <v>AZ</v>
      </c>
      <c r="N1464" t="str">
        <f>IFERROR(VLOOKUP(VALUE(J1464),'Site Info'!$A:$G,6,FALSE),"")</f>
        <v>85295-1301</v>
      </c>
      <c r="O1464">
        <f>IFERROR(VLOOKUP(VALUE(J1464),'Site Info'!$A:$G,7,FALSE),"")</f>
        <v>4807221447</v>
      </c>
    </row>
    <row r="1465" spans="1:15" x14ac:dyDescent="0.45">
      <c r="A1465" t="s">
        <v>6392</v>
      </c>
      <c r="B1465" t="s">
        <v>6393</v>
      </c>
      <c r="C1465" t="s">
        <v>6394</v>
      </c>
      <c r="D1465" t="s">
        <v>1309</v>
      </c>
      <c r="E1465" s="1">
        <v>46151.762858796297</v>
      </c>
      <c r="F1465">
        <v>1547</v>
      </c>
      <c r="G1465" t="s">
        <v>6395</v>
      </c>
      <c r="H1465" t="s">
        <v>15</v>
      </c>
      <c r="I1465" t="s">
        <v>1311</v>
      </c>
      <c r="J1465" t="str">
        <f>RIGHT(D1465,4)</f>
        <v>4824</v>
      </c>
      <c r="K1465" t="str">
        <f>IFERROR(VLOOKUP(VALUE(J1465),'Site Info'!$A:$G,3,FALSE),"")</f>
        <v>26468 CARL BOYER DR</v>
      </c>
      <c r="L1465" t="str">
        <f>IFERROR(VLOOKUP(VALUE(J1465),'Site Info'!$A:$G,4,FALSE),"")</f>
        <v>SANTA CLARITA</v>
      </c>
      <c r="M1465" t="str">
        <f>IFERROR(VLOOKUP(VALUE(J1465),'Site Info'!$A:$G,5,FALSE),"")</f>
        <v>CA</v>
      </c>
      <c r="N1465" t="str">
        <f>IFERROR(VLOOKUP(VALUE(J1465),'Site Info'!$A:$G,6,FALSE),"")</f>
        <v>91350-2995</v>
      </c>
      <c r="O1465">
        <f>IFERROR(VLOOKUP(VALUE(J1465),'Site Info'!$A:$G,7,FALSE),"")</f>
        <v>6612227408</v>
      </c>
    </row>
    <row r="1466" spans="1:15" x14ac:dyDescent="0.45">
      <c r="A1466" t="s">
        <v>6082</v>
      </c>
      <c r="B1466" t="s">
        <v>6083</v>
      </c>
      <c r="C1466" t="s">
        <v>6084</v>
      </c>
      <c r="D1466" t="s">
        <v>1309</v>
      </c>
      <c r="E1466" s="1">
        <v>46152.645092592589</v>
      </c>
      <c r="F1466">
        <v>1547</v>
      </c>
      <c r="G1466" t="s">
        <v>6085</v>
      </c>
      <c r="H1466" t="s">
        <v>15</v>
      </c>
      <c r="I1466" t="s">
        <v>1311</v>
      </c>
      <c r="J1466" t="str">
        <f>RIGHT(D1466,4)</f>
        <v>4824</v>
      </c>
      <c r="K1466" t="str">
        <f>IFERROR(VLOOKUP(VALUE(J1466),'Site Info'!$A:$G,3,FALSE),"")</f>
        <v>26468 CARL BOYER DR</v>
      </c>
      <c r="L1466" t="str">
        <f>IFERROR(VLOOKUP(VALUE(J1466),'Site Info'!$A:$G,4,FALSE),"")</f>
        <v>SANTA CLARITA</v>
      </c>
      <c r="M1466" t="str">
        <f>IFERROR(VLOOKUP(VALUE(J1466),'Site Info'!$A:$G,5,FALSE),"")</f>
        <v>CA</v>
      </c>
      <c r="N1466" t="str">
        <f>IFERROR(VLOOKUP(VALUE(J1466),'Site Info'!$A:$G,6,FALSE),"")</f>
        <v>91350-2995</v>
      </c>
      <c r="O1466">
        <f>IFERROR(VLOOKUP(VALUE(J1466),'Site Info'!$A:$G,7,FALSE),"")</f>
        <v>6612227408</v>
      </c>
    </row>
    <row r="1467" spans="1:15" x14ac:dyDescent="0.45">
      <c r="A1467" t="s">
        <v>5942</v>
      </c>
      <c r="B1467" t="s">
        <v>5943</v>
      </c>
      <c r="C1467" t="s">
        <v>5944</v>
      </c>
      <c r="D1467" t="s">
        <v>1309</v>
      </c>
      <c r="E1467" s="1">
        <v>46153.333634259259</v>
      </c>
      <c r="F1467">
        <v>1547</v>
      </c>
      <c r="G1467" t="s">
        <v>5945</v>
      </c>
      <c r="H1467" t="s">
        <v>15</v>
      </c>
      <c r="I1467" t="s">
        <v>1311</v>
      </c>
      <c r="J1467" t="str">
        <f>RIGHT(D1467,4)</f>
        <v>4824</v>
      </c>
      <c r="K1467" t="str">
        <f>IFERROR(VLOOKUP(VALUE(J1467),'Site Info'!$A:$G,3,FALSE),"")</f>
        <v>26468 CARL BOYER DR</v>
      </c>
      <c r="L1467" t="str">
        <f>IFERROR(VLOOKUP(VALUE(J1467),'Site Info'!$A:$G,4,FALSE),"")</f>
        <v>SANTA CLARITA</v>
      </c>
      <c r="M1467" t="str">
        <f>IFERROR(VLOOKUP(VALUE(J1467),'Site Info'!$A:$G,5,FALSE),"")</f>
        <v>CA</v>
      </c>
      <c r="N1467" t="str">
        <f>IFERROR(VLOOKUP(VALUE(J1467),'Site Info'!$A:$G,6,FALSE),"")</f>
        <v>91350-2995</v>
      </c>
      <c r="O1467">
        <f>IFERROR(VLOOKUP(VALUE(J1467),'Site Info'!$A:$G,7,FALSE),"")</f>
        <v>6612227408</v>
      </c>
    </row>
    <row r="1468" spans="1:15" x14ac:dyDescent="0.45">
      <c r="A1468" t="s">
        <v>1306</v>
      </c>
      <c r="B1468" t="s">
        <v>1307</v>
      </c>
      <c r="C1468" t="s">
        <v>1308</v>
      </c>
      <c r="D1468" t="s">
        <v>1309</v>
      </c>
      <c r="E1468" s="1">
        <v>46152.968460648146</v>
      </c>
      <c r="F1468">
        <v>1481</v>
      </c>
      <c r="G1468" t="s">
        <v>1310</v>
      </c>
      <c r="H1468" t="s">
        <v>15</v>
      </c>
      <c r="I1468" t="s">
        <v>1311</v>
      </c>
      <c r="J1468" t="str">
        <f>RIGHT(D1468,4)</f>
        <v>4824</v>
      </c>
      <c r="K1468" t="str">
        <f>IFERROR(VLOOKUP(VALUE(J1468),'Site Info'!$A:$G,3,FALSE),"")</f>
        <v>26468 CARL BOYER DR</v>
      </c>
      <c r="L1468" t="str">
        <f>IFERROR(VLOOKUP(VALUE(J1468),'Site Info'!$A:$G,4,FALSE),"")</f>
        <v>SANTA CLARITA</v>
      </c>
      <c r="M1468" t="str">
        <f>IFERROR(VLOOKUP(VALUE(J1468),'Site Info'!$A:$G,5,FALSE),"")</f>
        <v>CA</v>
      </c>
      <c r="N1468" t="str">
        <f>IFERROR(VLOOKUP(VALUE(J1468),'Site Info'!$A:$G,6,FALSE),"")</f>
        <v>91350-2995</v>
      </c>
      <c r="O1468">
        <f>IFERROR(VLOOKUP(VALUE(J1468),'Site Info'!$A:$G,7,FALSE),"")</f>
        <v>6612227408</v>
      </c>
    </row>
    <row r="1469" spans="1:15" x14ac:dyDescent="0.45">
      <c r="A1469" t="s">
        <v>2707</v>
      </c>
      <c r="B1469" t="s">
        <v>2708</v>
      </c>
      <c r="C1469" t="s">
        <v>2709</v>
      </c>
      <c r="D1469" t="s">
        <v>1309</v>
      </c>
      <c r="E1469" s="1">
        <v>46153.303981481484</v>
      </c>
      <c r="F1469">
        <v>1481</v>
      </c>
      <c r="G1469" t="s">
        <v>2710</v>
      </c>
      <c r="H1469" t="s">
        <v>15</v>
      </c>
      <c r="I1469" t="s">
        <v>1311</v>
      </c>
      <c r="J1469" t="str">
        <f>RIGHT(D1469,4)</f>
        <v>4824</v>
      </c>
      <c r="K1469" t="str">
        <f>IFERROR(VLOOKUP(VALUE(J1469),'Site Info'!$A:$G,3,FALSE),"")</f>
        <v>26468 CARL BOYER DR</v>
      </c>
      <c r="L1469" t="str">
        <f>IFERROR(VLOOKUP(VALUE(J1469),'Site Info'!$A:$G,4,FALSE),"")</f>
        <v>SANTA CLARITA</v>
      </c>
      <c r="M1469" t="str">
        <f>IFERROR(VLOOKUP(VALUE(J1469),'Site Info'!$A:$G,5,FALSE),"")</f>
        <v>CA</v>
      </c>
      <c r="N1469" t="str">
        <f>IFERROR(VLOOKUP(VALUE(J1469),'Site Info'!$A:$G,6,FALSE),"")</f>
        <v>91350-2995</v>
      </c>
      <c r="O1469">
        <f>IFERROR(VLOOKUP(VALUE(J1469),'Site Info'!$A:$G,7,FALSE),"")</f>
        <v>6612227408</v>
      </c>
    </row>
    <row r="1470" spans="1:15" x14ac:dyDescent="0.45">
      <c r="A1470" t="s">
        <v>16473</v>
      </c>
      <c r="B1470" t="s">
        <v>16474</v>
      </c>
      <c r="C1470" t="s">
        <v>16475</v>
      </c>
      <c r="D1470" t="s">
        <v>1309</v>
      </c>
      <c r="E1470" s="1">
        <v>46146.644074074073</v>
      </c>
      <c r="F1470">
        <v>1863</v>
      </c>
      <c r="G1470" t="s">
        <v>16476</v>
      </c>
      <c r="H1470" t="s">
        <v>136</v>
      </c>
      <c r="I1470" t="s">
        <v>1311</v>
      </c>
      <c r="J1470" t="str">
        <f>RIGHT(D1470,4)</f>
        <v>4824</v>
      </c>
      <c r="K1470" t="str">
        <f>IFERROR(VLOOKUP(VALUE(J1470),'Site Info'!$A:$G,3,FALSE),"")</f>
        <v>26468 CARL BOYER DR</v>
      </c>
      <c r="L1470" t="str">
        <f>IFERROR(VLOOKUP(VALUE(J1470),'Site Info'!$A:$G,4,FALSE),"")</f>
        <v>SANTA CLARITA</v>
      </c>
      <c r="M1470" t="str">
        <f>IFERROR(VLOOKUP(VALUE(J1470),'Site Info'!$A:$G,5,FALSE),"")</f>
        <v>CA</v>
      </c>
      <c r="N1470" t="str">
        <f>IFERROR(VLOOKUP(VALUE(J1470),'Site Info'!$A:$G,6,FALSE),"")</f>
        <v>91350-2995</v>
      </c>
      <c r="O1470">
        <f>IFERROR(VLOOKUP(VALUE(J1470),'Site Info'!$A:$G,7,FALSE),"")</f>
        <v>6612227408</v>
      </c>
    </row>
    <row r="1471" spans="1:15" x14ac:dyDescent="0.45">
      <c r="A1471" t="s">
        <v>16477</v>
      </c>
      <c r="B1471" t="s">
        <v>16478</v>
      </c>
      <c r="C1471" t="s">
        <v>16479</v>
      </c>
      <c r="D1471" t="s">
        <v>1309</v>
      </c>
      <c r="E1471" s="1">
        <v>46153.248425925929</v>
      </c>
      <c r="F1471">
        <v>1547</v>
      </c>
      <c r="G1471" t="s">
        <v>16480</v>
      </c>
      <c r="H1471" t="s">
        <v>15</v>
      </c>
      <c r="I1471" t="s">
        <v>1311</v>
      </c>
      <c r="J1471" t="str">
        <f>RIGHT(D1471,4)</f>
        <v>4824</v>
      </c>
      <c r="K1471" t="str">
        <f>IFERROR(VLOOKUP(VALUE(J1471),'Site Info'!$A:$G,3,FALSE),"")</f>
        <v>26468 CARL BOYER DR</v>
      </c>
      <c r="L1471" t="str">
        <f>IFERROR(VLOOKUP(VALUE(J1471),'Site Info'!$A:$G,4,FALSE),"")</f>
        <v>SANTA CLARITA</v>
      </c>
      <c r="M1471" t="str">
        <f>IFERROR(VLOOKUP(VALUE(J1471),'Site Info'!$A:$G,5,FALSE),"")</f>
        <v>CA</v>
      </c>
      <c r="N1471" t="str">
        <f>IFERROR(VLOOKUP(VALUE(J1471),'Site Info'!$A:$G,6,FALSE),"")</f>
        <v>91350-2995</v>
      </c>
      <c r="O1471">
        <f>IFERROR(VLOOKUP(VALUE(J1471),'Site Info'!$A:$G,7,FALSE),"")</f>
        <v>6612227408</v>
      </c>
    </row>
    <row r="1472" spans="1:15" x14ac:dyDescent="0.45">
      <c r="A1472" t="s">
        <v>5254</v>
      </c>
      <c r="B1472" t="s">
        <v>5255</v>
      </c>
      <c r="C1472" t="s">
        <v>5256</v>
      </c>
      <c r="D1472" t="s">
        <v>5257</v>
      </c>
      <c r="E1472" s="1">
        <v>46151.501354166663</v>
      </c>
      <c r="F1472">
        <v>1548</v>
      </c>
      <c r="G1472" t="s">
        <v>5258</v>
      </c>
      <c r="H1472" t="s">
        <v>15</v>
      </c>
      <c r="I1472" t="s">
        <v>5259</v>
      </c>
      <c r="J1472" t="str">
        <f>RIGHT(D1472,4)</f>
        <v>4974</v>
      </c>
      <c r="K1472" t="str">
        <f>IFERROR(VLOOKUP(VALUE(J1472),'Site Info'!$A:$G,3,FALSE),"")</f>
        <v>2650 E CRAIG RD</v>
      </c>
      <c r="L1472" t="str">
        <f>IFERROR(VLOOKUP(VALUE(J1472),'Site Info'!$A:$G,4,FALSE),"")</f>
        <v>NORTH LAS VEGAS</v>
      </c>
      <c r="M1472" t="str">
        <f>IFERROR(VLOOKUP(VALUE(J1472),'Site Info'!$A:$G,5,FALSE),"")</f>
        <v>NV</v>
      </c>
      <c r="N1472" t="str">
        <f>IFERROR(VLOOKUP(VALUE(J1472),'Site Info'!$A:$G,6,FALSE),"")</f>
        <v>89030-3399</v>
      </c>
      <c r="O1472">
        <f>IFERROR(VLOOKUP(VALUE(J1472),'Site Info'!$A:$G,7,FALSE),"")</f>
        <v>7023999050</v>
      </c>
    </row>
    <row r="1473" spans="1:15" x14ac:dyDescent="0.45">
      <c r="A1473" t="s">
        <v>5672</v>
      </c>
      <c r="B1473" t="s">
        <v>5673</v>
      </c>
      <c r="C1473" t="s">
        <v>5674</v>
      </c>
      <c r="D1473" t="s">
        <v>5257</v>
      </c>
      <c r="E1473" s="1">
        <v>46152.538599537038</v>
      </c>
      <c r="F1473">
        <v>1547</v>
      </c>
      <c r="G1473" t="s">
        <v>5675</v>
      </c>
      <c r="H1473" t="s">
        <v>15</v>
      </c>
      <c r="I1473" t="s">
        <v>5259</v>
      </c>
      <c r="J1473" t="str">
        <f>RIGHT(D1473,4)</f>
        <v>4974</v>
      </c>
      <c r="K1473" t="str">
        <f>IFERROR(VLOOKUP(VALUE(J1473),'Site Info'!$A:$G,3,FALSE),"")</f>
        <v>2650 E CRAIG RD</v>
      </c>
      <c r="L1473" t="str">
        <f>IFERROR(VLOOKUP(VALUE(J1473),'Site Info'!$A:$G,4,FALSE),"")</f>
        <v>NORTH LAS VEGAS</v>
      </c>
      <c r="M1473" t="str">
        <f>IFERROR(VLOOKUP(VALUE(J1473),'Site Info'!$A:$G,5,FALSE),"")</f>
        <v>NV</v>
      </c>
      <c r="N1473" t="str">
        <f>IFERROR(VLOOKUP(VALUE(J1473),'Site Info'!$A:$G,6,FALSE),"")</f>
        <v>89030-3399</v>
      </c>
      <c r="O1473">
        <f>IFERROR(VLOOKUP(VALUE(J1473),'Site Info'!$A:$G,7,FALSE),"")</f>
        <v>7023999050</v>
      </c>
    </row>
    <row r="1474" spans="1:15" x14ac:dyDescent="0.45">
      <c r="A1474" t="s">
        <v>5332</v>
      </c>
      <c r="B1474" t="s">
        <v>5333</v>
      </c>
      <c r="C1474" t="s">
        <v>5334</v>
      </c>
      <c r="D1474" t="s">
        <v>5257</v>
      </c>
      <c r="E1474" s="1">
        <v>46152.789594907408</v>
      </c>
      <c r="F1474">
        <v>1547</v>
      </c>
      <c r="G1474" t="s">
        <v>5335</v>
      </c>
      <c r="H1474" t="s">
        <v>15</v>
      </c>
      <c r="I1474" t="s">
        <v>5259</v>
      </c>
      <c r="J1474" t="str">
        <f>RIGHT(D1474,4)</f>
        <v>4974</v>
      </c>
      <c r="K1474" t="str">
        <f>IFERROR(VLOOKUP(VALUE(J1474),'Site Info'!$A:$G,3,FALSE),"")</f>
        <v>2650 E CRAIG RD</v>
      </c>
      <c r="L1474" t="str">
        <f>IFERROR(VLOOKUP(VALUE(J1474),'Site Info'!$A:$G,4,FALSE),"")</f>
        <v>NORTH LAS VEGAS</v>
      </c>
      <c r="M1474" t="str">
        <f>IFERROR(VLOOKUP(VALUE(J1474),'Site Info'!$A:$G,5,FALSE),"")</f>
        <v>NV</v>
      </c>
      <c r="N1474" t="str">
        <f>IFERROR(VLOOKUP(VALUE(J1474),'Site Info'!$A:$G,6,FALSE),"")</f>
        <v>89030-3399</v>
      </c>
      <c r="O1474">
        <f>IFERROR(VLOOKUP(VALUE(J1474),'Site Info'!$A:$G,7,FALSE),"")</f>
        <v>7023999050</v>
      </c>
    </row>
    <row r="1475" spans="1:15" x14ac:dyDescent="0.45">
      <c r="A1475" t="s">
        <v>5544</v>
      </c>
      <c r="B1475" t="s">
        <v>5545</v>
      </c>
      <c r="C1475" t="s">
        <v>5546</v>
      </c>
      <c r="D1475" t="s">
        <v>5257</v>
      </c>
      <c r="E1475" s="1">
        <v>46153.327696759261</v>
      </c>
      <c r="F1475">
        <v>1547</v>
      </c>
      <c r="G1475" t="s">
        <v>5547</v>
      </c>
      <c r="H1475" t="s">
        <v>15</v>
      </c>
      <c r="I1475" t="s">
        <v>5259</v>
      </c>
      <c r="J1475" t="str">
        <f>RIGHT(D1475,4)</f>
        <v>4974</v>
      </c>
      <c r="K1475" t="str">
        <f>IFERROR(VLOOKUP(VALUE(J1475),'Site Info'!$A:$G,3,FALSE),"")</f>
        <v>2650 E CRAIG RD</v>
      </c>
      <c r="L1475" t="str">
        <f>IFERROR(VLOOKUP(VALUE(J1475),'Site Info'!$A:$G,4,FALSE),"")</f>
        <v>NORTH LAS VEGAS</v>
      </c>
      <c r="M1475" t="str">
        <f>IFERROR(VLOOKUP(VALUE(J1475),'Site Info'!$A:$G,5,FALSE),"")</f>
        <v>NV</v>
      </c>
      <c r="N1475" t="str">
        <f>IFERROR(VLOOKUP(VALUE(J1475),'Site Info'!$A:$G,6,FALSE),"")</f>
        <v>89030-3399</v>
      </c>
      <c r="O1475">
        <f>IFERROR(VLOOKUP(VALUE(J1475),'Site Info'!$A:$G,7,FALSE),"")</f>
        <v>7023999050</v>
      </c>
    </row>
    <row r="1476" spans="1:15" x14ac:dyDescent="0.45">
      <c r="A1476" t="s">
        <v>8527</v>
      </c>
      <c r="B1476" t="s">
        <v>8528</v>
      </c>
      <c r="C1476" t="s">
        <v>8529</v>
      </c>
      <c r="D1476" t="s">
        <v>6680</v>
      </c>
      <c r="E1476" s="1">
        <v>46151.707743055558</v>
      </c>
      <c r="F1476">
        <v>1547</v>
      </c>
      <c r="G1476" t="s">
        <v>8530</v>
      </c>
      <c r="H1476" t="s">
        <v>15</v>
      </c>
      <c r="I1476" t="s">
        <v>6682</v>
      </c>
      <c r="J1476" t="str">
        <f>RIGHT(D1476,4)</f>
        <v>6326</v>
      </c>
      <c r="K1476" t="str">
        <f>IFERROR(VLOOKUP(VALUE(J1476),'Site Info'!$A:$G,3,FALSE),"")</f>
        <v>2675 TAYLOR ROAD EXT</v>
      </c>
      <c r="L1476" t="str">
        <f>IFERROR(VLOOKUP(VALUE(J1476),'Site Info'!$A:$G,4,FALSE),"")</f>
        <v>REYNOLDSBURG</v>
      </c>
      <c r="M1476" t="str">
        <f>IFERROR(VLOOKUP(VALUE(J1476),'Site Info'!$A:$G,5,FALSE),"")</f>
        <v>OH</v>
      </c>
      <c r="N1476" t="str">
        <f>IFERROR(VLOOKUP(VALUE(J1476),'Site Info'!$A:$G,6,FALSE),"")</f>
        <v>43068-9543</v>
      </c>
      <c r="O1476">
        <f>IFERROR(VLOOKUP(VALUE(J1476),'Site Info'!$A:$G,7,FALSE),"")</f>
        <v>6148665369</v>
      </c>
    </row>
    <row r="1477" spans="1:15" x14ac:dyDescent="0.45">
      <c r="A1477" t="s">
        <v>7031</v>
      </c>
      <c r="B1477" t="s">
        <v>7032</v>
      </c>
      <c r="C1477" t="s">
        <v>7033</v>
      </c>
      <c r="D1477" t="s">
        <v>6680</v>
      </c>
      <c r="E1477" s="1">
        <v>46152.489224537036</v>
      </c>
      <c r="F1477">
        <v>1547</v>
      </c>
      <c r="G1477" t="s">
        <v>7034</v>
      </c>
      <c r="H1477" t="s">
        <v>15</v>
      </c>
      <c r="I1477" t="s">
        <v>6682</v>
      </c>
      <c r="J1477" t="str">
        <f>RIGHT(D1477,4)</f>
        <v>6326</v>
      </c>
      <c r="K1477" t="str">
        <f>IFERROR(VLOOKUP(VALUE(J1477),'Site Info'!$A:$G,3,FALSE),"")</f>
        <v>2675 TAYLOR ROAD EXT</v>
      </c>
      <c r="L1477" t="str">
        <f>IFERROR(VLOOKUP(VALUE(J1477),'Site Info'!$A:$G,4,FALSE),"")</f>
        <v>REYNOLDSBURG</v>
      </c>
      <c r="M1477" t="str">
        <f>IFERROR(VLOOKUP(VALUE(J1477),'Site Info'!$A:$G,5,FALSE),"")</f>
        <v>OH</v>
      </c>
      <c r="N1477" t="str">
        <f>IFERROR(VLOOKUP(VALUE(J1477),'Site Info'!$A:$G,6,FALSE),"")</f>
        <v>43068-9543</v>
      </c>
      <c r="O1477">
        <f>IFERROR(VLOOKUP(VALUE(J1477),'Site Info'!$A:$G,7,FALSE),"")</f>
        <v>6148665369</v>
      </c>
    </row>
    <row r="1478" spans="1:15" x14ac:dyDescent="0.45">
      <c r="A1478" t="s">
        <v>7493</v>
      </c>
      <c r="B1478" t="s">
        <v>7494</v>
      </c>
      <c r="C1478" t="s">
        <v>7495</v>
      </c>
      <c r="D1478" t="s">
        <v>6680</v>
      </c>
      <c r="E1478" s="1">
        <v>46153.137141203704</v>
      </c>
      <c r="F1478">
        <v>1547</v>
      </c>
      <c r="G1478" t="s">
        <v>7496</v>
      </c>
      <c r="H1478" t="s">
        <v>15</v>
      </c>
      <c r="I1478" t="s">
        <v>6682</v>
      </c>
      <c r="J1478" t="str">
        <f>RIGHT(D1478,4)</f>
        <v>6326</v>
      </c>
      <c r="K1478" t="str">
        <f>IFERROR(VLOOKUP(VALUE(J1478),'Site Info'!$A:$G,3,FALSE),"")</f>
        <v>2675 TAYLOR ROAD EXT</v>
      </c>
      <c r="L1478" t="str">
        <f>IFERROR(VLOOKUP(VALUE(J1478),'Site Info'!$A:$G,4,FALSE),"")</f>
        <v>REYNOLDSBURG</v>
      </c>
      <c r="M1478" t="str">
        <f>IFERROR(VLOOKUP(VALUE(J1478),'Site Info'!$A:$G,5,FALSE),"")</f>
        <v>OH</v>
      </c>
      <c r="N1478" t="str">
        <f>IFERROR(VLOOKUP(VALUE(J1478),'Site Info'!$A:$G,6,FALSE),"")</f>
        <v>43068-9543</v>
      </c>
      <c r="O1478">
        <f>IFERROR(VLOOKUP(VALUE(J1478),'Site Info'!$A:$G,7,FALSE),"")</f>
        <v>6148665369</v>
      </c>
    </row>
    <row r="1479" spans="1:15" x14ac:dyDescent="0.45">
      <c r="A1479" t="s">
        <v>6677</v>
      </c>
      <c r="B1479" t="s">
        <v>6678</v>
      </c>
      <c r="C1479" t="s">
        <v>6679</v>
      </c>
      <c r="D1479" t="s">
        <v>6680</v>
      </c>
      <c r="E1479" s="1">
        <v>46153.365474537037</v>
      </c>
      <c r="F1479">
        <v>1547</v>
      </c>
      <c r="G1479" t="s">
        <v>6681</v>
      </c>
      <c r="H1479" t="s">
        <v>15</v>
      </c>
      <c r="I1479" t="s">
        <v>6682</v>
      </c>
      <c r="J1479" t="str">
        <f>RIGHT(D1479,4)</f>
        <v>6326</v>
      </c>
      <c r="K1479" t="str">
        <f>IFERROR(VLOOKUP(VALUE(J1479),'Site Info'!$A:$G,3,FALSE),"")</f>
        <v>2675 TAYLOR ROAD EXT</v>
      </c>
      <c r="L1479" t="str">
        <f>IFERROR(VLOOKUP(VALUE(J1479),'Site Info'!$A:$G,4,FALSE),"")</f>
        <v>REYNOLDSBURG</v>
      </c>
      <c r="M1479" t="str">
        <f>IFERROR(VLOOKUP(VALUE(J1479),'Site Info'!$A:$G,5,FALSE),"")</f>
        <v>OH</v>
      </c>
      <c r="N1479" t="str">
        <f>IFERROR(VLOOKUP(VALUE(J1479),'Site Info'!$A:$G,6,FALSE),"")</f>
        <v>43068-9543</v>
      </c>
      <c r="O1479">
        <f>IFERROR(VLOOKUP(VALUE(J1479),'Site Info'!$A:$G,7,FALSE),"")</f>
        <v>6148665369</v>
      </c>
    </row>
    <row r="1480" spans="1:15" x14ac:dyDescent="0.45">
      <c r="A1480" t="s">
        <v>7899</v>
      </c>
      <c r="B1480" t="s">
        <v>7900</v>
      </c>
      <c r="C1480" t="s">
        <v>7901</v>
      </c>
      <c r="D1480" t="s">
        <v>6680</v>
      </c>
      <c r="E1480" s="1">
        <v>46153.370555555557</v>
      </c>
      <c r="F1480">
        <v>1547</v>
      </c>
      <c r="G1480" t="s">
        <v>7902</v>
      </c>
      <c r="H1480" t="s">
        <v>15</v>
      </c>
      <c r="I1480" t="s">
        <v>6682</v>
      </c>
      <c r="J1480" t="str">
        <f>RIGHT(D1480,4)</f>
        <v>6326</v>
      </c>
      <c r="K1480" t="str">
        <f>IFERROR(VLOOKUP(VALUE(J1480),'Site Info'!$A:$G,3,FALSE),"")</f>
        <v>2675 TAYLOR ROAD EXT</v>
      </c>
      <c r="L1480" t="str">
        <f>IFERROR(VLOOKUP(VALUE(J1480),'Site Info'!$A:$G,4,FALSE),"")</f>
        <v>REYNOLDSBURG</v>
      </c>
      <c r="M1480" t="str">
        <f>IFERROR(VLOOKUP(VALUE(J1480),'Site Info'!$A:$G,5,FALSE),"")</f>
        <v>OH</v>
      </c>
      <c r="N1480" t="str">
        <f>IFERROR(VLOOKUP(VALUE(J1480),'Site Info'!$A:$G,6,FALSE),"")</f>
        <v>43068-9543</v>
      </c>
      <c r="O1480">
        <f>IFERROR(VLOOKUP(VALUE(J1480),'Site Info'!$A:$G,7,FALSE),"")</f>
        <v>6148665369</v>
      </c>
    </row>
    <row r="1481" spans="1:15" x14ac:dyDescent="0.45">
      <c r="A1481" t="s">
        <v>14556</v>
      </c>
      <c r="B1481" t="s">
        <v>14557</v>
      </c>
      <c r="C1481" t="s">
        <v>14558</v>
      </c>
      <c r="D1481" t="s">
        <v>6680</v>
      </c>
      <c r="E1481" s="1">
        <v>46153.328599537039</v>
      </c>
      <c r="F1481">
        <v>1481</v>
      </c>
      <c r="G1481" t="s">
        <v>14559</v>
      </c>
      <c r="H1481" t="s">
        <v>15</v>
      </c>
      <c r="I1481" t="s">
        <v>6682</v>
      </c>
      <c r="J1481" t="str">
        <f>RIGHT(D1481,4)</f>
        <v>6326</v>
      </c>
      <c r="K1481" t="str">
        <f>IFERROR(VLOOKUP(VALUE(J1481),'Site Info'!$A:$G,3,FALSE),"")</f>
        <v>2675 TAYLOR ROAD EXT</v>
      </c>
      <c r="L1481" t="str">
        <f>IFERROR(VLOOKUP(VALUE(J1481),'Site Info'!$A:$G,4,FALSE),"")</f>
        <v>REYNOLDSBURG</v>
      </c>
      <c r="M1481" t="str">
        <f>IFERROR(VLOOKUP(VALUE(J1481),'Site Info'!$A:$G,5,FALSE),"")</f>
        <v>OH</v>
      </c>
      <c r="N1481" t="str">
        <f>IFERROR(VLOOKUP(VALUE(J1481),'Site Info'!$A:$G,6,FALSE),"")</f>
        <v>43068-9543</v>
      </c>
      <c r="O1481">
        <f>IFERROR(VLOOKUP(VALUE(J1481),'Site Info'!$A:$G,7,FALSE),"")</f>
        <v>6148665369</v>
      </c>
    </row>
    <row r="1482" spans="1:15" x14ac:dyDescent="0.45">
      <c r="A1482" t="s">
        <v>16606</v>
      </c>
      <c r="B1482" t="s">
        <v>16722</v>
      </c>
      <c r="C1482" t="s">
        <v>16723</v>
      </c>
      <c r="D1482" t="s">
        <v>6680</v>
      </c>
      <c r="E1482" s="1">
        <v>46153.363344907404</v>
      </c>
      <c r="F1482">
        <v>1481</v>
      </c>
      <c r="G1482" t="s">
        <v>16724</v>
      </c>
      <c r="H1482" t="s">
        <v>15</v>
      </c>
      <c r="I1482" t="s">
        <v>6682</v>
      </c>
      <c r="J1482" t="str">
        <f>RIGHT(D1482,4)</f>
        <v>6326</v>
      </c>
      <c r="K1482" t="str">
        <f>IFERROR(VLOOKUP(VALUE(J1482),'Site Info'!$A:$G,3,FALSE),"")</f>
        <v>2675 TAYLOR ROAD EXT</v>
      </c>
      <c r="L1482" t="str">
        <f>IFERROR(VLOOKUP(VALUE(J1482),'Site Info'!$A:$G,4,FALSE),"")</f>
        <v>REYNOLDSBURG</v>
      </c>
      <c r="M1482" t="str">
        <f>IFERROR(VLOOKUP(VALUE(J1482),'Site Info'!$A:$G,5,FALSE),"")</f>
        <v>OH</v>
      </c>
      <c r="N1482" t="str">
        <f>IFERROR(VLOOKUP(VALUE(J1482),'Site Info'!$A:$G,6,FALSE),"")</f>
        <v>43068-9543</v>
      </c>
      <c r="O1482">
        <f>IFERROR(VLOOKUP(VALUE(J1482),'Site Info'!$A:$G,7,FALSE),"")</f>
        <v>6148665369</v>
      </c>
    </row>
    <row r="1483" spans="1:15" x14ac:dyDescent="0.45">
      <c r="A1483" t="s">
        <v>8069</v>
      </c>
      <c r="B1483" t="s">
        <v>8070</v>
      </c>
      <c r="C1483" t="s">
        <v>8071</v>
      </c>
      <c r="D1483" t="s">
        <v>3190</v>
      </c>
      <c r="E1483" s="1">
        <v>46151.504201388889</v>
      </c>
      <c r="F1483">
        <v>1547</v>
      </c>
      <c r="G1483" t="s">
        <v>8072</v>
      </c>
      <c r="H1483" t="s">
        <v>15</v>
      </c>
      <c r="I1483" t="s">
        <v>3192</v>
      </c>
      <c r="J1483" t="str">
        <f>RIGHT(D1483,4)</f>
        <v>6383</v>
      </c>
      <c r="K1483" t="str">
        <f>IFERROR(VLOOKUP(VALUE(J1483),'Site Info'!$A:$G,3,FALSE),"")</f>
        <v>2700 N SALISBURY BLVD</v>
      </c>
      <c r="L1483" t="str">
        <f>IFERROR(VLOOKUP(VALUE(J1483),'Site Info'!$A:$G,4,FALSE),"")</f>
        <v>SALISBURY</v>
      </c>
      <c r="M1483" t="str">
        <f>IFERROR(VLOOKUP(VALUE(J1483),'Site Info'!$A:$G,5,FALSE),"")</f>
        <v>MD</v>
      </c>
      <c r="N1483" t="str">
        <f>IFERROR(VLOOKUP(VALUE(J1483),'Site Info'!$A:$G,6,FALSE),"")</f>
        <v>21801-2143</v>
      </c>
      <c r="O1483">
        <f>IFERROR(VLOOKUP(VALUE(J1483),'Site Info'!$A:$G,7,FALSE),"")</f>
        <v>4108608466</v>
      </c>
    </row>
    <row r="1484" spans="1:15" x14ac:dyDescent="0.45">
      <c r="A1484" t="s">
        <v>11073</v>
      </c>
      <c r="B1484" t="s">
        <v>11074</v>
      </c>
      <c r="C1484" t="s">
        <v>11075</v>
      </c>
      <c r="D1484" t="s">
        <v>3190</v>
      </c>
      <c r="E1484" s="1">
        <v>46151.682372685187</v>
      </c>
      <c r="F1484">
        <v>1547</v>
      </c>
      <c r="G1484" t="s">
        <v>11076</v>
      </c>
      <c r="H1484" t="s">
        <v>15</v>
      </c>
      <c r="I1484" t="s">
        <v>3192</v>
      </c>
      <c r="J1484" t="str">
        <f>RIGHT(D1484,4)</f>
        <v>6383</v>
      </c>
      <c r="K1484" t="str">
        <f>IFERROR(VLOOKUP(VALUE(J1484),'Site Info'!$A:$G,3,FALSE),"")</f>
        <v>2700 N SALISBURY BLVD</v>
      </c>
      <c r="L1484" t="str">
        <f>IFERROR(VLOOKUP(VALUE(J1484),'Site Info'!$A:$G,4,FALSE),"")</f>
        <v>SALISBURY</v>
      </c>
      <c r="M1484" t="str">
        <f>IFERROR(VLOOKUP(VALUE(J1484),'Site Info'!$A:$G,5,FALSE),"")</f>
        <v>MD</v>
      </c>
      <c r="N1484" t="str">
        <f>IFERROR(VLOOKUP(VALUE(J1484),'Site Info'!$A:$G,6,FALSE),"")</f>
        <v>21801-2143</v>
      </c>
      <c r="O1484">
        <f>IFERROR(VLOOKUP(VALUE(J1484),'Site Info'!$A:$G,7,FALSE),"")</f>
        <v>4108608466</v>
      </c>
    </row>
    <row r="1485" spans="1:15" x14ac:dyDescent="0.45">
      <c r="A1485" t="s">
        <v>9585</v>
      </c>
      <c r="B1485" t="s">
        <v>9586</v>
      </c>
      <c r="C1485" t="s">
        <v>9587</v>
      </c>
      <c r="D1485" t="s">
        <v>3190</v>
      </c>
      <c r="E1485" s="1">
        <v>46152.624398148146</v>
      </c>
      <c r="F1485">
        <v>1547</v>
      </c>
      <c r="G1485" t="s">
        <v>9588</v>
      </c>
      <c r="H1485" t="s">
        <v>15</v>
      </c>
      <c r="I1485" t="s">
        <v>3192</v>
      </c>
      <c r="J1485" t="str">
        <f>RIGHT(D1485,4)</f>
        <v>6383</v>
      </c>
      <c r="K1485" t="str">
        <f>IFERROR(VLOOKUP(VALUE(J1485),'Site Info'!$A:$G,3,FALSE),"")</f>
        <v>2700 N SALISBURY BLVD</v>
      </c>
      <c r="L1485" t="str">
        <f>IFERROR(VLOOKUP(VALUE(J1485),'Site Info'!$A:$G,4,FALSE),"")</f>
        <v>SALISBURY</v>
      </c>
      <c r="M1485" t="str">
        <f>IFERROR(VLOOKUP(VALUE(J1485),'Site Info'!$A:$G,5,FALSE),"")</f>
        <v>MD</v>
      </c>
      <c r="N1485" t="str">
        <f>IFERROR(VLOOKUP(VALUE(J1485),'Site Info'!$A:$G,6,FALSE),"")</f>
        <v>21801-2143</v>
      </c>
      <c r="O1485">
        <f>IFERROR(VLOOKUP(VALUE(J1485),'Site Info'!$A:$G,7,FALSE),"")</f>
        <v>4108608466</v>
      </c>
    </row>
    <row r="1486" spans="1:15" x14ac:dyDescent="0.45">
      <c r="A1486" t="s">
        <v>11045</v>
      </c>
      <c r="B1486" t="s">
        <v>11046</v>
      </c>
      <c r="C1486" t="s">
        <v>11047</v>
      </c>
      <c r="D1486" t="s">
        <v>3190</v>
      </c>
      <c r="E1486" s="1">
        <v>46153.260960648149</v>
      </c>
      <c r="F1486">
        <v>1547</v>
      </c>
      <c r="G1486" t="s">
        <v>11048</v>
      </c>
      <c r="H1486" t="s">
        <v>15</v>
      </c>
      <c r="I1486" t="s">
        <v>3192</v>
      </c>
      <c r="J1486" t="str">
        <f>RIGHT(D1486,4)</f>
        <v>6383</v>
      </c>
      <c r="K1486" t="str">
        <f>IFERROR(VLOOKUP(VALUE(J1486),'Site Info'!$A:$G,3,FALSE),"")</f>
        <v>2700 N SALISBURY BLVD</v>
      </c>
      <c r="L1486" t="str">
        <f>IFERROR(VLOOKUP(VALUE(J1486),'Site Info'!$A:$G,4,FALSE),"")</f>
        <v>SALISBURY</v>
      </c>
      <c r="M1486" t="str">
        <f>IFERROR(VLOOKUP(VALUE(J1486),'Site Info'!$A:$G,5,FALSE),"")</f>
        <v>MD</v>
      </c>
      <c r="N1486" t="str">
        <f>IFERROR(VLOOKUP(VALUE(J1486),'Site Info'!$A:$G,6,FALSE),"")</f>
        <v>21801-2143</v>
      </c>
      <c r="O1486">
        <f>IFERROR(VLOOKUP(VALUE(J1486),'Site Info'!$A:$G,7,FALSE),"")</f>
        <v>4108608466</v>
      </c>
    </row>
    <row r="1487" spans="1:15" x14ac:dyDescent="0.45">
      <c r="A1487" t="s">
        <v>11582</v>
      </c>
      <c r="B1487" t="s">
        <v>11583</v>
      </c>
      <c r="C1487" t="s">
        <v>11584</v>
      </c>
      <c r="D1487" t="s">
        <v>3190</v>
      </c>
      <c r="E1487" s="1">
        <v>46153.362743055557</v>
      </c>
      <c r="F1487">
        <v>1547</v>
      </c>
      <c r="G1487" t="s">
        <v>11585</v>
      </c>
      <c r="H1487" t="s">
        <v>15</v>
      </c>
      <c r="I1487" t="s">
        <v>3192</v>
      </c>
      <c r="J1487" t="str">
        <f>RIGHT(D1487,4)</f>
        <v>6383</v>
      </c>
      <c r="K1487" t="str">
        <f>IFERROR(VLOOKUP(VALUE(J1487),'Site Info'!$A:$G,3,FALSE),"")</f>
        <v>2700 N SALISBURY BLVD</v>
      </c>
      <c r="L1487" t="str">
        <f>IFERROR(VLOOKUP(VALUE(J1487),'Site Info'!$A:$G,4,FALSE),"")</f>
        <v>SALISBURY</v>
      </c>
      <c r="M1487" t="str">
        <f>IFERROR(VLOOKUP(VALUE(J1487),'Site Info'!$A:$G,5,FALSE),"")</f>
        <v>MD</v>
      </c>
      <c r="N1487" t="str">
        <f>IFERROR(VLOOKUP(VALUE(J1487),'Site Info'!$A:$G,6,FALSE),"")</f>
        <v>21801-2143</v>
      </c>
      <c r="O1487">
        <f>IFERROR(VLOOKUP(VALUE(J1487),'Site Info'!$A:$G,7,FALSE),"")</f>
        <v>4108608466</v>
      </c>
    </row>
    <row r="1488" spans="1:15" x14ac:dyDescent="0.45">
      <c r="A1488" t="s">
        <v>11534</v>
      </c>
      <c r="B1488" t="s">
        <v>11535</v>
      </c>
      <c r="C1488" t="s">
        <v>11536</v>
      </c>
      <c r="D1488" t="s">
        <v>3190</v>
      </c>
      <c r="E1488" s="1">
        <v>46153.363368055558</v>
      </c>
      <c r="F1488">
        <v>1547</v>
      </c>
      <c r="G1488" t="s">
        <v>11537</v>
      </c>
      <c r="H1488" t="s">
        <v>15</v>
      </c>
      <c r="I1488" t="s">
        <v>3192</v>
      </c>
      <c r="J1488" t="str">
        <f>RIGHT(D1488,4)</f>
        <v>6383</v>
      </c>
      <c r="K1488" t="str">
        <f>IFERROR(VLOOKUP(VALUE(J1488),'Site Info'!$A:$G,3,FALSE),"")</f>
        <v>2700 N SALISBURY BLVD</v>
      </c>
      <c r="L1488" t="str">
        <f>IFERROR(VLOOKUP(VALUE(J1488),'Site Info'!$A:$G,4,FALSE),"")</f>
        <v>SALISBURY</v>
      </c>
      <c r="M1488" t="str">
        <f>IFERROR(VLOOKUP(VALUE(J1488),'Site Info'!$A:$G,5,FALSE),"")</f>
        <v>MD</v>
      </c>
      <c r="N1488" t="str">
        <f>IFERROR(VLOOKUP(VALUE(J1488),'Site Info'!$A:$G,6,FALSE),"")</f>
        <v>21801-2143</v>
      </c>
      <c r="O1488">
        <f>IFERROR(VLOOKUP(VALUE(J1488),'Site Info'!$A:$G,7,FALSE),"")</f>
        <v>4108608466</v>
      </c>
    </row>
    <row r="1489" spans="1:15" x14ac:dyDescent="0.45">
      <c r="A1489" t="s">
        <v>11296</v>
      </c>
      <c r="B1489" t="s">
        <v>11297</v>
      </c>
      <c r="C1489" t="s">
        <v>11298</v>
      </c>
      <c r="D1489" t="s">
        <v>3190</v>
      </c>
      <c r="E1489" s="1">
        <v>46153.372164351851</v>
      </c>
      <c r="F1489">
        <v>1547</v>
      </c>
      <c r="G1489" t="s">
        <v>11299</v>
      </c>
      <c r="H1489" t="s">
        <v>15</v>
      </c>
      <c r="I1489" t="s">
        <v>3192</v>
      </c>
      <c r="J1489" t="str">
        <f>RIGHT(D1489,4)</f>
        <v>6383</v>
      </c>
      <c r="K1489" t="str">
        <f>IFERROR(VLOOKUP(VALUE(J1489),'Site Info'!$A:$G,3,FALSE),"")</f>
        <v>2700 N SALISBURY BLVD</v>
      </c>
      <c r="L1489" t="str">
        <f>IFERROR(VLOOKUP(VALUE(J1489),'Site Info'!$A:$G,4,FALSE),"")</f>
        <v>SALISBURY</v>
      </c>
      <c r="M1489" t="str">
        <f>IFERROR(VLOOKUP(VALUE(J1489),'Site Info'!$A:$G,5,FALSE),"")</f>
        <v>MD</v>
      </c>
      <c r="N1489" t="str">
        <f>IFERROR(VLOOKUP(VALUE(J1489),'Site Info'!$A:$G,6,FALSE),"")</f>
        <v>21801-2143</v>
      </c>
      <c r="O1489">
        <f>IFERROR(VLOOKUP(VALUE(J1489),'Site Info'!$A:$G,7,FALSE),"")</f>
        <v>4108608466</v>
      </c>
    </row>
    <row r="1490" spans="1:15" x14ac:dyDescent="0.45">
      <c r="A1490" t="s">
        <v>11244</v>
      </c>
      <c r="B1490" t="s">
        <v>11245</v>
      </c>
      <c r="C1490" t="s">
        <v>11246</v>
      </c>
      <c r="D1490" t="s">
        <v>3190</v>
      </c>
      <c r="E1490" s="1">
        <v>46153.37332175926</v>
      </c>
      <c r="F1490">
        <v>1547</v>
      </c>
      <c r="G1490" t="s">
        <v>11247</v>
      </c>
      <c r="H1490" t="s">
        <v>15</v>
      </c>
      <c r="I1490" t="s">
        <v>3192</v>
      </c>
      <c r="J1490" t="str">
        <f>RIGHT(D1490,4)</f>
        <v>6383</v>
      </c>
      <c r="K1490" t="str">
        <f>IFERROR(VLOOKUP(VALUE(J1490),'Site Info'!$A:$G,3,FALSE),"")</f>
        <v>2700 N SALISBURY BLVD</v>
      </c>
      <c r="L1490" t="str">
        <f>IFERROR(VLOOKUP(VALUE(J1490),'Site Info'!$A:$G,4,FALSE),"")</f>
        <v>SALISBURY</v>
      </c>
      <c r="M1490" t="str">
        <f>IFERROR(VLOOKUP(VALUE(J1490),'Site Info'!$A:$G,5,FALSE),"")</f>
        <v>MD</v>
      </c>
      <c r="N1490" t="str">
        <f>IFERROR(VLOOKUP(VALUE(J1490),'Site Info'!$A:$G,6,FALSE),"")</f>
        <v>21801-2143</v>
      </c>
      <c r="O1490">
        <f>IFERROR(VLOOKUP(VALUE(J1490),'Site Info'!$A:$G,7,FALSE),"")</f>
        <v>4108608466</v>
      </c>
    </row>
    <row r="1491" spans="1:15" x14ac:dyDescent="0.45">
      <c r="A1491" t="s">
        <v>3187</v>
      </c>
      <c r="B1491" t="s">
        <v>3188</v>
      </c>
      <c r="C1491" t="s">
        <v>3189</v>
      </c>
      <c r="D1491" t="s">
        <v>3190</v>
      </c>
      <c r="E1491" s="1">
        <v>46151.751273148147</v>
      </c>
      <c r="F1491">
        <v>1481</v>
      </c>
      <c r="G1491" t="s">
        <v>3191</v>
      </c>
      <c r="H1491" t="s">
        <v>15</v>
      </c>
      <c r="I1491" t="s">
        <v>3192</v>
      </c>
      <c r="J1491" t="str">
        <f>RIGHT(D1491,4)</f>
        <v>6383</v>
      </c>
      <c r="K1491" t="str">
        <f>IFERROR(VLOOKUP(VALUE(J1491),'Site Info'!$A:$G,3,FALSE),"")</f>
        <v>2700 N SALISBURY BLVD</v>
      </c>
      <c r="L1491" t="str">
        <f>IFERROR(VLOOKUP(VALUE(J1491),'Site Info'!$A:$G,4,FALSE),"")</f>
        <v>SALISBURY</v>
      </c>
      <c r="M1491" t="str">
        <f>IFERROR(VLOOKUP(VALUE(J1491),'Site Info'!$A:$G,5,FALSE),"")</f>
        <v>MD</v>
      </c>
      <c r="N1491" t="str">
        <f>IFERROR(VLOOKUP(VALUE(J1491),'Site Info'!$A:$G,6,FALSE),"")</f>
        <v>21801-2143</v>
      </c>
      <c r="O1491">
        <f>IFERROR(VLOOKUP(VALUE(J1491),'Site Info'!$A:$G,7,FALSE),"")</f>
        <v>4108608466</v>
      </c>
    </row>
    <row r="1492" spans="1:15" x14ac:dyDescent="0.45">
      <c r="A1492" t="s">
        <v>14225</v>
      </c>
      <c r="B1492" t="s">
        <v>14226</v>
      </c>
      <c r="C1492" t="s">
        <v>14227</v>
      </c>
      <c r="D1492" t="s">
        <v>2244</v>
      </c>
      <c r="E1492" s="1">
        <v>46153.34034722222</v>
      </c>
      <c r="F1492">
        <v>1863</v>
      </c>
      <c r="G1492" t="s">
        <v>14228</v>
      </c>
      <c r="H1492" t="s">
        <v>136</v>
      </c>
      <c r="I1492" t="s">
        <v>2246</v>
      </c>
      <c r="J1492" t="str">
        <f>RIGHT(D1492,4)</f>
        <v>8180</v>
      </c>
      <c r="K1492" t="str">
        <f>IFERROR(VLOOKUP(VALUE(J1492),'Site Info'!$A:$G,3,FALSE),"")</f>
        <v>2709 WALTON WAY</v>
      </c>
      <c r="L1492" t="str">
        <f>IFERROR(VLOOKUP(VALUE(J1492),'Site Info'!$A:$G,4,FALSE),"")</f>
        <v>MARION</v>
      </c>
      <c r="M1492" t="str">
        <f>IFERROR(VLOOKUP(VALUE(J1492),'Site Info'!$A:$G,5,FALSE),"")</f>
        <v>IL</v>
      </c>
      <c r="N1492" t="str">
        <f>IFERROR(VLOOKUP(VALUE(J1492),'Site Info'!$A:$G,6,FALSE),"")</f>
        <v>62959-4901</v>
      </c>
      <c r="O1492">
        <f>IFERROR(VLOOKUP(VALUE(J1492),'Site Info'!$A:$G,7,FALSE),"")</f>
        <v>6189935568</v>
      </c>
    </row>
    <row r="1493" spans="1:15" x14ac:dyDescent="0.45">
      <c r="A1493" t="s">
        <v>11726</v>
      </c>
      <c r="B1493" t="s">
        <v>11727</v>
      </c>
      <c r="C1493" t="s">
        <v>11728</v>
      </c>
      <c r="D1493" t="s">
        <v>2244</v>
      </c>
      <c r="E1493" s="1">
        <v>46151.582546296297</v>
      </c>
      <c r="F1493">
        <v>1548</v>
      </c>
      <c r="G1493" t="s">
        <v>11729</v>
      </c>
      <c r="H1493" t="s">
        <v>15</v>
      </c>
      <c r="I1493" t="s">
        <v>2246</v>
      </c>
      <c r="J1493" t="str">
        <f>RIGHT(D1493,4)</f>
        <v>8180</v>
      </c>
      <c r="K1493" t="str">
        <f>IFERROR(VLOOKUP(VALUE(J1493),'Site Info'!$A:$G,3,FALSE),"")</f>
        <v>2709 WALTON WAY</v>
      </c>
      <c r="L1493" t="str">
        <f>IFERROR(VLOOKUP(VALUE(J1493),'Site Info'!$A:$G,4,FALSE),"")</f>
        <v>MARION</v>
      </c>
      <c r="M1493" t="str">
        <f>IFERROR(VLOOKUP(VALUE(J1493),'Site Info'!$A:$G,5,FALSE),"")</f>
        <v>IL</v>
      </c>
      <c r="N1493" t="str">
        <f>IFERROR(VLOOKUP(VALUE(J1493),'Site Info'!$A:$G,6,FALSE),"")</f>
        <v>62959-4901</v>
      </c>
      <c r="O1493">
        <f>IFERROR(VLOOKUP(VALUE(J1493),'Site Info'!$A:$G,7,FALSE),"")</f>
        <v>6189935568</v>
      </c>
    </row>
    <row r="1494" spans="1:15" x14ac:dyDescent="0.45">
      <c r="A1494" t="s">
        <v>13147</v>
      </c>
      <c r="B1494" t="s">
        <v>13148</v>
      </c>
      <c r="C1494" t="s">
        <v>13149</v>
      </c>
      <c r="D1494" t="s">
        <v>2244</v>
      </c>
      <c r="E1494" s="1">
        <v>46150.525810185187</v>
      </c>
      <c r="F1494">
        <v>1547</v>
      </c>
      <c r="G1494" t="s">
        <v>13150</v>
      </c>
      <c r="H1494" t="s">
        <v>15</v>
      </c>
      <c r="I1494" t="s">
        <v>2246</v>
      </c>
      <c r="J1494" t="str">
        <f>RIGHT(D1494,4)</f>
        <v>8180</v>
      </c>
      <c r="K1494" t="str">
        <f>IFERROR(VLOOKUP(VALUE(J1494),'Site Info'!$A:$G,3,FALSE),"")</f>
        <v>2709 WALTON WAY</v>
      </c>
      <c r="L1494" t="str">
        <f>IFERROR(VLOOKUP(VALUE(J1494),'Site Info'!$A:$G,4,FALSE),"")</f>
        <v>MARION</v>
      </c>
      <c r="M1494" t="str">
        <f>IFERROR(VLOOKUP(VALUE(J1494),'Site Info'!$A:$G,5,FALSE),"")</f>
        <v>IL</v>
      </c>
      <c r="N1494" t="str">
        <f>IFERROR(VLOOKUP(VALUE(J1494),'Site Info'!$A:$G,6,FALSE),"")</f>
        <v>62959-4901</v>
      </c>
      <c r="O1494">
        <f>IFERROR(VLOOKUP(VALUE(J1494),'Site Info'!$A:$G,7,FALSE),"")</f>
        <v>6189935568</v>
      </c>
    </row>
    <row r="1495" spans="1:15" x14ac:dyDescent="0.45">
      <c r="A1495" t="s">
        <v>13203</v>
      </c>
      <c r="B1495" t="s">
        <v>13204</v>
      </c>
      <c r="C1495" t="s">
        <v>13205</v>
      </c>
      <c r="D1495" t="s">
        <v>2244</v>
      </c>
      <c r="E1495" s="1">
        <v>46153.246967592589</v>
      </c>
      <c r="F1495">
        <v>1547</v>
      </c>
      <c r="G1495" t="s">
        <v>13206</v>
      </c>
      <c r="H1495" t="s">
        <v>15</v>
      </c>
      <c r="I1495" t="s">
        <v>2246</v>
      </c>
      <c r="J1495" t="str">
        <f>RIGHT(D1495,4)</f>
        <v>8180</v>
      </c>
      <c r="K1495" t="str">
        <f>IFERROR(VLOOKUP(VALUE(J1495),'Site Info'!$A:$G,3,FALSE),"")</f>
        <v>2709 WALTON WAY</v>
      </c>
      <c r="L1495" t="str">
        <f>IFERROR(VLOOKUP(VALUE(J1495),'Site Info'!$A:$G,4,FALSE),"")</f>
        <v>MARION</v>
      </c>
      <c r="M1495" t="str">
        <f>IFERROR(VLOOKUP(VALUE(J1495),'Site Info'!$A:$G,5,FALSE),"")</f>
        <v>IL</v>
      </c>
      <c r="N1495" t="str">
        <f>IFERROR(VLOOKUP(VALUE(J1495),'Site Info'!$A:$G,6,FALSE),"")</f>
        <v>62959-4901</v>
      </c>
      <c r="O1495">
        <f>IFERROR(VLOOKUP(VALUE(J1495),'Site Info'!$A:$G,7,FALSE),"")</f>
        <v>6189935568</v>
      </c>
    </row>
    <row r="1496" spans="1:15" x14ac:dyDescent="0.45">
      <c r="A1496" t="s">
        <v>13375</v>
      </c>
      <c r="B1496" t="s">
        <v>13376</v>
      </c>
      <c r="C1496" t="s">
        <v>13377</v>
      </c>
      <c r="D1496" t="s">
        <v>2244</v>
      </c>
      <c r="E1496" s="1">
        <v>46153.350937499999</v>
      </c>
      <c r="F1496">
        <v>1547</v>
      </c>
      <c r="G1496" t="s">
        <v>13378</v>
      </c>
      <c r="H1496" t="s">
        <v>15</v>
      </c>
      <c r="I1496" t="s">
        <v>2246</v>
      </c>
      <c r="J1496" t="str">
        <f>RIGHT(D1496,4)</f>
        <v>8180</v>
      </c>
      <c r="K1496" t="str">
        <f>IFERROR(VLOOKUP(VALUE(J1496),'Site Info'!$A:$G,3,FALSE),"")</f>
        <v>2709 WALTON WAY</v>
      </c>
      <c r="L1496" t="str">
        <f>IFERROR(VLOOKUP(VALUE(J1496),'Site Info'!$A:$G,4,FALSE),"")</f>
        <v>MARION</v>
      </c>
      <c r="M1496" t="str">
        <f>IFERROR(VLOOKUP(VALUE(J1496),'Site Info'!$A:$G,5,FALSE),"")</f>
        <v>IL</v>
      </c>
      <c r="N1496" t="str">
        <f>IFERROR(VLOOKUP(VALUE(J1496),'Site Info'!$A:$G,6,FALSE),"")</f>
        <v>62959-4901</v>
      </c>
      <c r="O1496">
        <f>IFERROR(VLOOKUP(VALUE(J1496),'Site Info'!$A:$G,7,FALSE),"")</f>
        <v>6189935568</v>
      </c>
    </row>
    <row r="1497" spans="1:15" x14ac:dyDescent="0.45">
      <c r="A1497" t="s">
        <v>2241</v>
      </c>
      <c r="B1497" t="s">
        <v>2242</v>
      </c>
      <c r="C1497" t="s">
        <v>2243</v>
      </c>
      <c r="D1497" t="s">
        <v>2244</v>
      </c>
      <c r="E1497" s="1">
        <v>46152.978032407409</v>
      </c>
      <c r="F1497">
        <v>1481</v>
      </c>
      <c r="G1497" t="s">
        <v>2245</v>
      </c>
      <c r="H1497" t="s">
        <v>15</v>
      </c>
      <c r="I1497" t="s">
        <v>2246</v>
      </c>
      <c r="J1497" t="str">
        <f>RIGHT(D1497,4)</f>
        <v>8180</v>
      </c>
      <c r="K1497" t="str">
        <f>IFERROR(VLOOKUP(VALUE(J1497),'Site Info'!$A:$G,3,FALSE),"")</f>
        <v>2709 WALTON WAY</v>
      </c>
      <c r="L1497" t="str">
        <f>IFERROR(VLOOKUP(VALUE(J1497),'Site Info'!$A:$G,4,FALSE),"")</f>
        <v>MARION</v>
      </c>
      <c r="M1497" t="str">
        <f>IFERROR(VLOOKUP(VALUE(J1497),'Site Info'!$A:$G,5,FALSE),"")</f>
        <v>IL</v>
      </c>
      <c r="N1497" t="str">
        <f>IFERROR(VLOOKUP(VALUE(J1497),'Site Info'!$A:$G,6,FALSE),"")</f>
        <v>62959-4901</v>
      </c>
      <c r="O1497">
        <f>IFERROR(VLOOKUP(VALUE(J1497),'Site Info'!$A:$G,7,FALSE),"")</f>
        <v>6189935568</v>
      </c>
    </row>
    <row r="1498" spans="1:15" x14ac:dyDescent="0.45">
      <c r="A1498" t="s">
        <v>4280</v>
      </c>
      <c r="B1498" t="s">
        <v>4281</v>
      </c>
      <c r="C1498" t="s">
        <v>4282</v>
      </c>
      <c r="D1498" t="s">
        <v>165</v>
      </c>
      <c r="E1498" s="1">
        <v>46091.685659722221</v>
      </c>
      <c r="F1498">
        <v>1547</v>
      </c>
      <c r="G1498" t="s">
        <v>4283</v>
      </c>
      <c r="H1498" t="s">
        <v>15</v>
      </c>
      <c r="I1498" t="s">
        <v>167</v>
      </c>
      <c r="J1498" t="str">
        <f>RIGHT(D1498,4)</f>
        <v>4784</v>
      </c>
      <c r="K1498" t="str">
        <f>IFERROR(VLOOKUP(VALUE(J1498),'Site Info'!$A:$G,3,FALSE),"")</f>
        <v>2711 N TELSHOR BLVD</v>
      </c>
      <c r="L1498" t="str">
        <f>IFERROR(VLOOKUP(VALUE(J1498),'Site Info'!$A:$G,4,FALSE),"")</f>
        <v>LAS CRUCES</v>
      </c>
      <c r="M1498" t="str">
        <f>IFERROR(VLOOKUP(VALUE(J1498),'Site Info'!$A:$G,5,FALSE),"")</f>
        <v>NM</v>
      </c>
      <c r="N1498" t="str">
        <f>IFERROR(VLOOKUP(VALUE(J1498),'Site Info'!$A:$G,6,FALSE),"")</f>
        <v>88011-8202</v>
      </c>
      <c r="O1498">
        <f>IFERROR(VLOOKUP(VALUE(J1498),'Site Info'!$A:$G,7,FALSE),"")</f>
        <v>5755217858</v>
      </c>
    </row>
    <row r="1499" spans="1:15" x14ac:dyDescent="0.45">
      <c r="A1499" t="s">
        <v>4258</v>
      </c>
      <c r="B1499" t="s">
        <v>4259</v>
      </c>
      <c r="C1499" t="s">
        <v>4260</v>
      </c>
      <c r="D1499" t="s">
        <v>165</v>
      </c>
      <c r="E1499" s="1">
        <v>46152.510648148149</v>
      </c>
      <c r="F1499">
        <v>1547</v>
      </c>
      <c r="G1499" t="s">
        <v>4261</v>
      </c>
      <c r="H1499" t="s">
        <v>15</v>
      </c>
      <c r="I1499" t="s">
        <v>167</v>
      </c>
      <c r="J1499" t="str">
        <f>RIGHT(D1499,4)</f>
        <v>4784</v>
      </c>
      <c r="K1499" t="str">
        <f>IFERROR(VLOOKUP(VALUE(J1499),'Site Info'!$A:$G,3,FALSE),"")</f>
        <v>2711 N TELSHOR BLVD</v>
      </c>
      <c r="L1499" t="str">
        <f>IFERROR(VLOOKUP(VALUE(J1499),'Site Info'!$A:$G,4,FALSE),"")</f>
        <v>LAS CRUCES</v>
      </c>
      <c r="M1499" t="str">
        <f>IFERROR(VLOOKUP(VALUE(J1499),'Site Info'!$A:$G,5,FALSE),"")</f>
        <v>NM</v>
      </c>
      <c r="N1499" t="str">
        <f>IFERROR(VLOOKUP(VALUE(J1499),'Site Info'!$A:$G,6,FALSE),"")</f>
        <v>88011-8202</v>
      </c>
      <c r="O1499">
        <f>IFERROR(VLOOKUP(VALUE(J1499),'Site Info'!$A:$G,7,FALSE),"")</f>
        <v>5755217858</v>
      </c>
    </row>
    <row r="1500" spans="1:15" x14ac:dyDescent="0.45">
      <c r="A1500" t="s">
        <v>4196</v>
      </c>
      <c r="B1500" t="s">
        <v>4197</v>
      </c>
      <c r="C1500" t="s">
        <v>4198</v>
      </c>
      <c r="D1500" t="s">
        <v>165</v>
      </c>
      <c r="E1500" s="1">
        <v>46152.824004629627</v>
      </c>
      <c r="F1500">
        <v>1547</v>
      </c>
      <c r="G1500" t="s">
        <v>4199</v>
      </c>
      <c r="H1500" t="s">
        <v>15</v>
      </c>
      <c r="I1500" t="s">
        <v>167</v>
      </c>
      <c r="J1500" t="str">
        <f>RIGHT(D1500,4)</f>
        <v>4784</v>
      </c>
      <c r="K1500" t="str">
        <f>IFERROR(VLOOKUP(VALUE(J1500),'Site Info'!$A:$G,3,FALSE),"")</f>
        <v>2711 N TELSHOR BLVD</v>
      </c>
      <c r="L1500" t="str">
        <f>IFERROR(VLOOKUP(VALUE(J1500),'Site Info'!$A:$G,4,FALSE),"")</f>
        <v>LAS CRUCES</v>
      </c>
      <c r="M1500" t="str">
        <f>IFERROR(VLOOKUP(VALUE(J1500),'Site Info'!$A:$G,5,FALSE),"")</f>
        <v>NM</v>
      </c>
      <c r="N1500" t="str">
        <f>IFERROR(VLOOKUP(VALUE(J1500),'Site Info'!$A:$G,6,FALSE),"")</f>
        <v>88011-8202</v>
      </c>
      <c r="O1500">
        <f>IFERROR(VLOOKUP(VALUE(J1500),'Site Info'!$A:$G,7,FALSE),"")</f>
        <v>5755217858</v>
      </c>
    </row>
    <row r="1501" spans="1:15" x14ac:dyDescent="0.45">
      <c r="A1501" t="s">
        <v>2479</v>
      </c>
      <c r="B1501" t="s">
        <v>2480</v>
      </c>
      <c r="C1501" t="s">
        <v>2481</v>
      </c>
      <c r="D1501" t="s">
        <v>165</v>
      </c>
      <c r="E1501" s="1">
        <v>46152.520925925928</v>
      </c>
      <c r="F1501">
        <v>1481</v>
      </c>
      <c r="G1501" t="s">
        <v>2482</v>
      </c>
      <c r="H1501" t="s">
        <v>15</v>
      </c>
      <c r="I1501" t="s">
        <v>167</v>
      </c>
      <c r="J1501" t="str">
        <f>RIGHT(D1501,4)</f>
        <v>4784</v>
      </c>
      <c r="K1501" t="str">
        <f>IFERROR(VLOOKUP(VALUE(J1501),'Site Info'!$A:$G,3,FALSE),"")</f>
        <v>2711 N TELSHOR BLVD</v>
      </c>
      <c r="L1501" t="str">
        <f>IFERROR(VLOOKUP(VALUE(J1501),'Site Info'!$A:$G,4,FALSE),"")</f>
        <v>LAS CRUCES</v>
      </c>
      <c r="M1501" t="str">
        <f>IFERROR(VLOOKUP(VALUE(J1501),'Site Info'!$A:$G,5,FALSE),"")</f>
        <v>NM</v>
      </c>
      <c r="N1501" t="str">
        <f>IFERROR(VLOOKUP(VALUE(J1501),'Site Info'!$A:$G,6,FALSE),"")</f>
        <v>88011-8202</v>
      </c>
      <c r="O1501">
        <f>IFERROR(VLOOKUP(VALUE(J1501),'Site Info'!$A:$G,7,FALSE),"")</f>
        <v>5755217858</v>
      </c>
    </row>
    <row r="1502" spans="1:15" x14ac:dyDescent="0.45">
      <c r="A1502" t="s">
        <v>2451</v>
      </c>
      <c r="B1502" t="s">
        <v>2452</v>
      </c>
      <c r="C1502" t="s">
        <v>2453</v>
      </c>
      <c r="D1502" t="s">
        <v>165</v>
      </c>
      <c r="E1502" s="1">
        <v>46152.545104166667</v>
      </c>
      <c r="F1502">
        <v>1481</v>
      </c>
      <c r="G1502" t="s">
        <v>2454</v>
      </c>
      <c r="H1502" t="s">
        <v>15</v>
      </c>
      <c r="I1502" t="s">
        <v>167</v>
      </c>
      <c r="J1502" t="str">
        <f>RIGHT(D1502,4)</f>
        <v>4784</v>
      </c>
      <c r="K1502" t="str">
        <f>IFERROR(VLOOKUP(VALUE(J1502),'Site Info'!$A:$G,3,FALSE),"")</f>
        <v>2711 N TELSHOR BLVD</v>
      </c>
      <c r="L1502" t="str">
        <f>IFERROR(VLOOKUP(VALUE(J1502),'Site Info'!$A:$G,4,FALSE),"")</f>
        <v>LAS CRUCES</v>
      </c>
      <c r="M1502" t="str">
        <f>IFERROR(VLOOKUP(VALUE(J1502),'Site Info'!$A:$G,5,FALSE),"")</f>
        <v>NM</v>
      </c>
      <c r="N1502" t="str">
        <f>IFERROR(VLOOKUP(VALUE(J1502),'Site Info'!$A:$G,6,FALSE),"")</f>
        <v>88011-8202</v>
      </c>
      <c r="O1502">
        <f>IFERROR(VLOOKUP(VALUE(J1502),'Site Info'!$A:$G,7,FALSE),"")</f>
        <v>5755217858</v>
      </c>
    </row>
    <row r="1503" spans="1:15" x14ac:dyDescent="0.45">
      <c r="A1503" t="s">
        <v>2074</v>
      </c>
      <c r="B1503" t="s">
        <v>2075</v>
      </c>
      <c r="C1503" t="s">
        <v>2076</v>
      </c>
      <c r="D1503" t="s">
        <v>165</v>
      </c>
      <c r="E1503" s="1">
        <v>46152.897314814814</v>
      </c>
      <c r="F1503">
        <v>1481</v>
      </c>
      <c r="G1503" t="s">
        <v>2077</v>
      </c>
      <c r="H1503" t="s">
        <v>15</v>
      </c>
      <c r="I1503" t="s">
        <v>167</v>
      </c>
      <c r="J1503" t="str">
        <f>RIGHT(D1503,4)</f>
        <v>4784</v>
      </c>
      <c r="K1503" t="str">
        <f>IFERROR(VLOOKUP(VALUE(J1503),'Site Info'!$A:$G,3,FALSE),"")</f>
        <v>2711 N TELSHOR BLVD</v>
      </c>
      <c r="L1503" t="str">
        <f>IFERROR(VLOOKUP(VALUE(J1503),'Site Info'!$A:$G,4,FALSE),"")</f>
        <v>LAS CRUCES</v>
      </c>
      <c r="M1503" t="str">
        <f>IFERROR(VLOOKUP(VALUE(J1503),'Site Info'!$A:$G,5,FALSE),"")</f>
        <v>NM</v>
      </c>
      <c r="N1503" t="str">
        <f>IFERROR(VLOOKUP(VALUE(J1503),'Site Info'!$A:$G,6,FALSE),"")</f>
        <v>88011-8202</v>
      </c>
      <c r="O1503">
        <f>IFERROR(VLOOKUP(VALUE(J1503),'Site Info'!$A:$G,7,FALSE),"")</f>
        <v>5755217858</v>
      </c>
    </row>
    <row r="1504" spans="1:15" x14ac:dyDescent="0.45">
      <c r="A1504" t="s">
        <v>96</v>
      </c>
      <c r="B1504" t="s">
        <v>163</v>
      </c>
      <c r="C1504" t="s">
        <v>164</v>
      </c>
      <c r="D1504" t="s">
        <v>165</v>
      </c>
      <c r="E1504" s="1">
        <v>46153.369560185187</v>
      </c>
      <c r="F1504">
        <v>1481</v>
      </c>
      <c r="G1504" t="s">
        <v>166</v>
      </c>
      <c r="H1504" t="s">
        <v>15</v>
      </c>
      <c r="I1504" t="s">
        <v>167</v>
      </c>
      <c r="J1504" t="str">
        <f>RIGHT(D1504,4)</f>
        <v>4784</v>
      </c>
      <c r="K1504" t="str">
        <f>IFERROR(VLOOKUP(VALUE(J1504),'Site Info'!$A:$G,3,FALSE),"")</f>
        <v>2711 N TELSHOR BLVD</v>
      </c>
      <c r="L1504" t="str">
        <f>IFERROR(VLOOKUP(VALUE(J1504),'Site Info'!$A:$G,4,FALSE),"")</f>
        <v>LAS CRUCES</v>
      </c>
      <c r="M1504" t="str">
        <f>IFERROR(VLOOKUP(VALUE(J1504),'Site Info'!$A:$G,5,FALSE),"")</f>
        <v>NM</v>
      </c>
      <c r="N1504" t="str">
        <f>IFERROR(VLOOKUP(VALUE(J1504),'Site Info'!$A:$G,6,FALSE),"")</f>
        <v>88011-8202</v>
      </c>
      <c r="O1504">
        <f>IFERROR(VLOOKUP(VALUE(J1504),'Site Info'!$A:$G,7,FALSE),"")</f>
        <v>5755217858</v>
      </c>
    </row>
    <row r="1505" spans="1:15" x14ac:dyDescent="0.45">
      <c r="A1505" t="s">
        <v>2855</v>
      </c>
      <c r="B1505" t="s">
        <v>2856</v>
      </c>
      <c r="C1505" t="s">
        <v>2857</v>
      </c>
      <c r="D1505" t="s">
        <v>165</v>
      </c>
      <c r="E1505" s="1">
        <v>46153.37259259259</v>
      </c>
      <c r="F1505">
        <v>1481</v>
      </c>
      <c r="G1505" t="s">
        <v>2858</v>
      </c>
      <c r="H1505" t="s">
        <v>15</v>
      </c>
      <c r="I1505" t="s">
        <v>167</v>
      </c>
      <c r="J1505" t="str">
        <f>RIGHT(D1505,4)</f>
        <v>4784</v>
      </c>
      <c r="K1505" t="str">
        <f>IFERROR(VLOOKUP(VALUE(J1505),'Site Info'!$A:$G,3,FALSE),"")</f>
        <v>2711 N TELSHOR BLVD</v>
      </c>
      <c r="L1505" t="str">
        <f>IFERROR(VLOOKUP(VALUE(J1505),'Site Info'!$A:$G,4,FALSE),"")</f>
        <v>LAS CRUCES</v>
      </c>
      <c r="M1505" t="str">
        <f>IFERROR(VLOOKUP(VALUE(J1505),'Site Info'!$A:$G,5,FALSE),"")</f>
        <v>NM</v>
      </c>
      <c r="N1505" t="str">
        <f>IFERROR(VLOOKUP(VALUE(J1505),'Site Info'!$A:$G,6,FALSE),"")</f>
        <v>88011-8202</v>
      </c>
      <c r="O1505">
        <f>IFERROR(VLOOKUP(VALUE(J1505),'Site Info'!$A:$G,7,FALSE),"")</f>
        <v>5755217858</v>
      </c>
    </row>
    <row r="1506" spans="1:15" x14ac:dyDescent="0.45">
      <c r="A1506" t="s">
        <v>8901</v>
      </c>
      <c r="B1506" t="s">
        <v>8902</v>
      </c>
      <c r="C1506" t="s">
        <v>8903</v>
      </c>
      <c r="D1506" t="s">
        <v>5125</v>
      </c>
      <c r="E1506" s="1">
        <v>46085.202824074076</v>
      </c>
      <c r="F1506">
        <v>1547</v>
      </c>
      <c r="G1506" t="s">
        <v>8904</v>
      </c>
      <c r="H1506" t="s">
        <v>15</v>
      </c>
      <c r="I1506" t="s">
        <v>5127</v>
      </c>
      <c r="J1506" t="str">
        <f>RIGHT(D1506,4)</f>
        <v>4926</v>
      </c>
      <c r="K1506" t="str">
        <f>IFERROR(VLOOKUP(VALUE(J1506),'Site Info'!$A:$G,3,FALSE),"")</f>
        <v>2715 MERCHANT MILE</v>
      </c>
      <c r="L1506" t="str">
        <f>IFERROR(VLOOKUP(VALUE(J1506),'Site Info'!$A:$G,4,FALSE),"")</f>
        <v>COLUMBUS</v>
      </c>
      <c r="M1506" t="str">
        <f>IFERROR(VLOOKUP(VALUE(J1506),'Site Info'!$A:$G,5,FALSE),"")</f>
        <v>IN</v>
      </c>
      <c r="N1506" t="str">
        <f>IFERROR(VLOOKUP(VALUE(J1506),'Site Info'!$A:$G,6,FALSE),"")</f>
        <v>47201-1573</v>
      </c>
      <c r="O1506">
        <f>IFERROR(VLOOKUP(VALUE(J1506),'Site Info'!$A:$G,7,FALSE),"")</f>
        <v>8123739226</v>
      </c>
    </row>
    <row r="1507" spans="1:15" x14ac:dyDescent="0.45">
      <c r="A1507" t="s">
        <v>14387</v>
      </c>
      <c r="B1507" t="s">
        <v>14388</v>
      </c>
      <c r="C1507" t="s">
        <v>14389</v>
      </c>
      <c r="D1507" t="s">
        <v>5125</v>
      </c>
      <c r="E1507" s="1">
        <v>46153.297650462962</v>
      </c>
      <c r="F1507">
        <v>1547</v>
      </c>
      <c r="G1507" t="s">
        <v>14390</v>
      </c>
      <c r="H1507" t="s">
        <v>15</v>
      </c>
      <c r="I1507" t="s">
        <v>5127</v>
      </c>
      <c r="J1507" t="str">
        <f>RIGHT(D1507,4)</f>
        <v>4926</v>
      </c>
      <c r="K1507" t="str">
        <f>IFERROR(VLOOKUP(VALUE(J1507),'Site Info'!$A:$G,3,FALSE),"")</f>
        <v>2715 MERCHANT MILE</v>
      </c>
      <c r="L1507" t="str">
        <f>IFERROR(VLOOKUP(VALUE(J1507),'Site Info'!$A:$G,4,FALSE),"")</f>
        <v>COLUMBUS</v>
      </c>
      <c r="M1507" t="str">
        <f>IFERROR(VLOOKUP(VALUE(J1507),'Site Info'!$A:$G,5,FALSE),"")</f>
        <v>IN</v>
      </c>
      <c r="N1507" t="str">
        <f>IFERROR(VLOOKUP(VALUE(J1507),'Site Info'!$A:$G,6,FALSE),"")</f>
        <v>47201-1573</v>
      </c>
      <c r="O1507">
        <f>IFERROR(VLOOKUP(VALUE(J1507),'Site Info'!$A:$G,7,FALSE),"")</f>
        <v>8123739226</v>
      </c>
    </row>
    <row r="1508" spans="1:15" x14ac:dyDescent="0.45">
      <c r="A1508" t="s">
        <v>5432</v>
      </c>
      <c r="B1508" t="s">
        <v>5433</v>
      </c>
      <c r="C1508" t="s">
        <v>5434</v>
      </c>
      <c r="D1508" t="s">
        <v>5125</v>
      </c>
      <c r="E1508" s="1">
        <v>46153.364074074074</v>
      </c>
      <c r="F1508">
        <v>1547</v>
      </c>
      <c r="G1508" t="s">
        <v>5435</v>
      </c>
      <c r="H1508" t="s">
        <v>15</v>
      </c>
      <c r="I1508" t="s">
        <v>5127</v>
      </c>
      <c r="J1508" t="str">
        <f>RIGHT(D1508,4)</f>
        <v>4926</v>
      </c>
      <c r="K1508" t="str">
        <f>IFERROR(VLOOKUP(VALUE(J1508),'Site Info'!$A:$G,3,FALSE),"")</f>
        <v>2715 MERCHANT MILE</v>
      </c>
      <c r="L1508" t="str">
        <f>IFERROR(VLOOKUP(VALUE(J1508),'Site Info'!$A:$G,4,FALSE),"")</f>
        <v>COLUMBUS</v>
      </c>
      <c r="M1508" t="str">
        <f>IFERROR(VLOOKUP(VALUE(J1508),'Site Info'!$A:$G,5,FALSE),"")</f>
        <v>IN</v>
      </c>
      <c r="N1508" t="str">
        <f>IFERROR(VLOOKUP(VALUE(J1508),'Site Info'!$A:$G,6,FALSE),"")</f>
        <v>47201-1573</v>
      </c>
      <c r="O1508">
        <f>IFERROR(VLOOKUP(VALUE(J1508),'Site Info'!$A:$G,7,FALSE),"")</f>
        <v>8123739226</v>
      </c>
    </row>
    <row r="1509" spans="1:15" x14ac:dyDescent="0.45">
      <c r="A1509" t="s">
        <v>5122</v>
      </c>
      <c r="B1509" t="s">
        <v>5123</v>
      </c>
      <c r="C1509" t="s">
        <v>5124</v>
      </c>
      <c r="D1509" t="s">
        <v>5125</v>
      </c>
      <c r="E1509" s="1">
        <v>46153.373749999999</v>
      </c>
      <c r="F1509">
        <v>1547</v>
      </c>
      <c r="G1509" t="s">
        <v>5126</v>
      </c>
      <c r="H1509" t="s">
        <v>15</v>
      </c>
      <c r="I1509" t="s">
        <v>5127</v>
      </c>
      <c r="J1509" t="str">
        <f>RIGHT(D1509,4)</f>
        <v>4926</v>
      </c>
      <c r="K1509" t="str">
        <f>IFERROR(VLOOKUP(VALUE(J1509),'Site Info'!$A:$G,3,FALSE),"")</f>
        <v>2715 MERCHANT MILE</v>
      </c>
      <c r="L1509" t="str">
        <f>IFERROR(VLOOKUP(VALUE(J1509),'Site Info'!$A:$G,4,FALSE),"")</f>
        <v>COLUMBUS</v>
      </c>
      <c r="M1509" t="str">
        <f>IFERROR(VLOOKUP(VALUE(J1509),'Site Info'!$A:$G,5,FALSE),"")</f>
        <v>IN</v>
      </c>
      <c r="N1509" t="str">
        <f>IFERROR(VLOOKUP(VALUE(J1509),'Site Info'!$A:$G,6,FALSE),"")</f>
        <v>47201-1573</v>
      </c>
      <c r="O1509">
        <f>IFERROR(VLOOKUP(VALUE(J1509),'Site Info'!$A:$G,7,FALSE),"")</f>
        <v>8123739226</v>
      </c>
    </row>
    <row r="1510" spans="1:15" x14ac:dyDescent="0.45">
      <c r="A1510" t="s">
        <v>5224</v>
      </c>
      <c r="B1510" t="s">
        <v>5225</v>
      </c>
      <c r="C1510" t="s">
        <v>5226</v>
      </c>
      <c r="D1510" t="s">
        <v>5125</v>
      </c>
      <c r="E1510" s="1">
        <v>46153.374178240738</v>
      </c>
      <c r="F1510">
        <v>1547</v>
      </c>
      <c r="G1510" t="s">
        <v>5227</v>
      </c>
      <c r="H1510" t="s">
        <v>15</v>
      </c>
      <c r="I1510" t="s">
        <v>5127</v>
      </c>
      <c r="J1510" t="str">
        <f>RIGHT(D1510,4)</f>
        <v>4926</v>
      </c>
      <c r="K1510" t="str">
        <f>IFERROR(VLOOKUP(VALUE(J1510),'Site Info'!$A:$G,3,FALSE),"")</f>
        <v>2715 MERCHANT MILE</v>
      </c>
      <c r="L1510" t="str">
        <f>IFERROR(VLOOKUP(VALUE(J1510),'Site Info'!$A:$G,4,FALSE),"")</f>
        <v>COLUMBUS</v>
      </c>
      <c r="M1510" t="str">
        <f>IFERROR(VLOOKUP(VALUE(J1510),'Site Info'!$A:$G,5,FALSE),"")</f>
        <v>IN</v>
      </c>
      <c r="N1510" t="str">
        <f>IFERROR(VLOOKUP(VALUE(J1510),'Site Info'!$A:$G,6,FALSE),"")</f>
        <v>47201-1573</v>
      </c>
      <c r="O1510">
        <f>IFERROR(VLOOKUP(VALUE(J1510),'Site Info'!$A:$G,7,FALSE),"")</f>
        <v>8123739226</v>
      </c>
    </row>
    <row r="1511" spans="1:15" x14ac:dyDescent="0.45">
      <c r="A1511" t="s">
        <v>11496</v>
      </c>
      <c r="B1511" t="s">
        <v>11497</v>
      </c>
      <c r="C1511" t="s">
        <v>11498</v>
      </c>
      <c r="D1511" t="s">
        <v>1097</v>
      </c>
      <c r="E1511" s="1">
        <v>46090.53565972222</v>
      </c>
      <c r="F1511">
        <v>1547</v>
      </c>
      <c r="G1511" t="s">
        <v>11499</v>
      </c>
      <c r="H1511" t="s">
        <v>15</v>
      </c>
      <c r="I1511" t="s">
        <v>1099</v>
      </c>
      <c r="J1511" t="str">
        <f>RIGHT(D1511,4)</f>
        <v>6657</v>
      </c>
      <c r="K1511" t="str">
        <f>IFERROR(VLOOKUP(VALUE(J1511),'Site Info'!$A:$G,3,FALSE),"")</f>
        <v>27300 WIXOM RD</v>
      </c>
      <c r="L1511" t="str">
        <f>IFERROR(VLOOKUP(VALUE(J1511),'Site Info'!$A:$G,4,FALSE),"")</f>
        <v>NOVI</v>
      </c>
      <c r="M1511" t="str">
        <f>IFERROR(VLOOKUP(VALUE(J1511),'Site Info'!$A:$G,5,FALSE),"")</f>
        <v>MI</v>
      </c>
      <c r="N1511" t="str">
        <f>IFERROR(VLOOKUP(VALUE(J1511),'Site Info'!$A:$G,6,FALSE),"")</f>
        <v>48374-1120</v>
      </c>
      <c r="O1511">
        <f>IFERROR(VLOOKUP(VALUE(J1511),'Site Info'!$A:$G,7,FALSE),"")</f>
        <v>2483493057</v>
      </c>
    </row>
    <row r="1512" spans="1:15" x14ac:dyDescent="0.45">
      <c r="A1512" t="s">
        <v>11504</v>
      </c>
      <c r="B1512" t="s">
        <v>11505</v>
      </c>
      <c r="C1512" t="s">
        <v>11506</v>
      </c>
      <c r="D1512" t="s">
        <v>1097</v>
      </c>
      <c r="E1512" s="1">
        <v>46151.408888888887</v>
      </c>
      <c r="F1512">
        <v>1547</v>
      </c>
      <c r="G1512" t="s">
        <v>11507</v>
      </c>
      <c r="H1512" t="s">
        <v>15</v>
      </c>
      <c r="I1512" t="s">
        <v>1099</v>
      </c>
      <c r="J1512" t="str">
        <f>RIGHT(D1512,4)</f>
        <v>6657</v>
      </c>
      <c r="K1512" t="str">
        <f>IFERROR(VLOOKUP(VALUE(J1512),'Site Info'!$A:$G,3,FALSE),"")</f>
        <v>27300 WIXOM RD</v>
      </c>
      <c r="L1512" t="str">
        <f>IFERROR(VLOOKUP(VALUE(J1512),'Site Info'!$A:$G,4,FALSE),"")</f>
        <v>NOVI</v>
      </c>
      <c r="M1512" t="str">
        <f>IFERROR(VLOOKUP(VALUE(J1512),'Site Info'!$A:$G,5,FALSE),"")</f>
        <v>MI</v>
      </c>
      <c r="N1512" t="str">
        <f>IFERROR(VLOOKUP(VALUE(J1512),'Site Info'!$A:$G,6,FALSE),"")</f>
        <v>48374-1120</v>
      </c>
      <c r="O1512">
        <f>IFERROR(VLOOKUP(VALUE(J1512),'Site Info'!$A:$G,7,FALSE),"")</f>
        <v>2483493057</v>
      </c>
    </row>
    <row r="1513" spans="1:15" x14ac:dyDescent="0.45">
      <c r="A1513" t="s">
        <v>11384</v>
      </c>
      <c r="B1513" t="s">
        <v>11385</v>
      </c>
      <c r="C1513" t="s">
        <v>11386</v>
      </c>
      <c r="D1513" t="s">
        <v>1097</v>
      </c>
      <c r="E1513" s="1">
        <v>46152.904340277775</v>
      </c>
      <c r="F1513">
        <v>1547</v>
      </c>
      <c r="G1513" t="s">
        <v>11387</v>
      </c>
      <c r="H1513" t="s">
        <v>15</v>
      </c>
      <c r="I1513" t="s">
        <v>1099</v>
      </c>
      <c r="J1513" t="str">
        <f>RIGHT(D1513,4)</f>
        <v>6657</v>
      </c>
      <c r="K1513" t="str">
        <f>IFERROR(VLOOKUP(VALUE(J1513),'Site Info'!$A:$G,3,FALSE),"")</f>
        <v>27300 WIXOM RD</v>
      </c>
      <c r="L1513" t="str">
        <f>IFERROR(VLOOKUP(VALUE(J1513),'Site Info'!$A:$G,4,FALSE),"")</f>
        <v>NOVI</v>
      </c>
      <c r="M1513" t="str">
        <f>IFERROR(VLOOKUP(VALUE(J1513),'Site Info'!$A:$G,5,FALSE),"")</f>
        <v>MI</v>
      </c>
      <c r="N1513" t="str">
        <f>IFERROR(VLOOKUP(VALUE(J1513),'Site Info'!$A:$G,6,FALSE),"")</f>
        <v>48374-1120</v>
      </c>
      <c r="O1513">
        <f>IFERROR(VLOOKUP(VALUE(J1513),'Site Info'!$A:$G,7,FALSE),"")</f>
        <v>2483493057</v>
      </c>
    </row>
    <row r="1514" spans="1:15" x14ac:dyDescent="0.45">
      <c r="A1514" t="s">
        <v>11188</v>
      </c>
      <c r="B1514" t="s">
        <v>11189</v>
      </c>
      <c r="C1514" t="s">
        <v>11190</v>
      </c>
      <c r="D1514" t="s">
        <v>1097</v>
      </c>
      <c r="E1514" s="1">
        <v>46153.27511574074</v>
      </c>
      <c r="F1514">
        <v>1547</v>
      </c>
      <c r="G1514" t="s">
        <v>11191</v>
      </c>
      <c r="H1514" t="s">
        <v>15</v>
      </c>
      <c r="I1514" t="s">
        <v>1099</v>
      </c>
      <c r="J1514" t="str">
        <f>RIGHT(D1514,4)</f>
        <v>6657</v>
      </c>
      <c r="K1514" t="str">
        <f>IFERROR(VLOOKUP(VALUE(J1514),'Site Info'!$A:$G,3,FALSE),"")</f>
        <v>27300 WIXOM RD</v>
      </c>
      <c r="L1514" t="str">
        <f>IFERROR(VLOOKUP(VALUE(J1514),'Site Info'!$A:$G,4,FALSE),"")</f>
        <v>NOVI</v>
      </c>
      <c r="M1514" t="str">
        <f>IFERROR(VLOOKUP(VALUE(J1514),'Site Info'!$A:$G,5,FALSE),"")</f>
        <v>MI</v>
      </c>
      <c r="N1514" t="str">
        <f>IFERROR(VLOOKUP(VALUE(J1514),'Site Info'!$A:$G,6,FALSE),"")</f>
        <v>48374-1120</v>
      </c>
      <c r="O1514">
        <f>IFERROR(VLOOKUP(VALUE(J1514),'Site Info'!$A:$G,7,FALSE),"")</f>
        <v>2483493057</v>
      </c>
    </row>
    <row r="1515" spans="1:15" x14ac:dyDescent="0.45">
      <c r="A1515" t="s">
        <v>1236</v>
      </c>
      <c r="B1515" t="s">
        <v>1237</v>
      </c>
      <c r="C1515" t="s">
        <v>1238</v>
      </c>
      <c r="D1515" t="s">
        <v>1097</v>
      </c>
      <c r="E1515" s="1">
        <v>46150.49050925926</v>
      </c>
      <c r="F1515">
        <v>1481</v>
      </c>
      <c r="G1515" t="s">
        <v>1239</v>
      </c>
      <c r="H1515" t="s">
        <v>15</v>
      </c>
      <c r="I1515" t="s">
        <v>1099</v>
      </c>
      <c r="J1515" t="str">
        <f>RIGHT(D1515,4)</f>
        <v>6657</v>
      </c>
      <c r="K1515" t="str">
        <f>IFERROR(VLOOKUP(VALUE(J1515),'Site Info'!$A:$G,3,FALSE),"")</f>
        <v>27300 WIXOM RD</v>
      </c>
      <c r="L1515" t="str">
        <f>IFERROR(VLOOKUP(VALUE(J1515),'Site Info'!$A:$G,4,FALSE),"")</f>
        <v>NOVI</v>
      </c>
      <c r="M1515" t="str">
        <f>IFERROR(VLOOKUP(VALUE(J1515),'Site Info'!$A:$G,5,FALSE),"")</f>
        <v>MI</v>
      </c>
      <c r="N1515" t="str">
        <f>IFERROR(VLOOKUP(VALUE(J1515),'Site Info'!$A:$G,6,FALSE),"")</f>
        <v>48374-1120</v>
      </c>
      <c r="O1515">
        <f>IFERROR(VLOOKUP(VALUE(J1515),'Site Info'!$A:$G,7,FALSE),"")</f>
        <v>2483493057</v>
      </c>
    </row>
    <row r="1516" spans="1:15" x14ac:dyDescent="0.45">
      <c r="A1516" t="s">
        <v>1094</v>
      </c>
      <c r="B1516" t="s">
        <v>1095</v>
      </c>
      <c r="C1516" t="s">
        <v>1096</v>
      </c>
      <c r="D1516" t="s">
        <v>1097</v>
      </c>
      <c r="E1516" s="1">
        <v>46151.24417824074</v>
      </c>
      <c r="F1516">
        <v>1481</v>
      </c>
      <c r="G1516" t="s">
        <v>1098</v>
      </c>
      <c r="H1516" t="s">
        <v>15</v>
      </c>
      <c r="I1516" t="s">
        <v>1099</v>
      </c>
      <c r="J1516" t="str">
        <f>RIGHT(D1516,4)</f>
        <v>6657</v>
      </c>
      <c r="K1516" t="str">
        <f>IFERROR(VLOOKUP(VALUE(J1516),'Site Info'!$A:$G,3,FALSE),"")</f>
        <v>27300 WIXOM RD</v>
      </c>
      <c r="L1516" t="str">
        <f>IFERROR(VLOOKUP(VALUE(J1516),'Site Info'!$A:$G,4,FALSE),"")</f>
        <v>NOVI</v>
      </c>
      <c r="M1516" t="str">
        <f>IFERROR(VLOOKUP(VALUE(J1516),'Site Info'!$A:$G,5,FALSE),"")</f>
        <v>MI</v>
      </c>
      <c r="N1516" t="str">
        <f>IFERROR(VLOOKUP(VALUE(J1516),'Site Info'!$A:$G,6,FALSE),"")</f>
        <v>48374-1120</v>
      </c>
      <c r="O1516">
        <f>IFERROR(VLOOKUP(VALUE(J1516),'Site Info'!$A:$G,7,FALSE),"")</f>
        <v>2483493057</v>
      </c>
    </row>
    <row r="1517" spans="1:15" x14ac:dyDescent="0.45">
      <c r="A1517" t="s">
        <v>1620</v>
      </c>
      <c r="B1517" t="s">
        <v>1621</v>
      </c>
      <c r="C1517" t="s">
        <v>1622</v>
      </c>
      <c r="D1517" t="s">
        <v>1097</v>
      </c>
      <c r="E1517" s="1">
        <v>46151.244525462964</v>
      </c>
      <c r="F1517">
        <v>1481</v>
      </c>
      <c r="G1517" t="s">
        <v>1623</v>
      </c>
      <c r="H1517" t="s">
        <v>15</v>
      </c>
      <c r="I1517" t="s">
        <v>1099</v>
      </c>
      <c r="J1517" t="str">
        <f>RIGHT(D1517,4)</f>
        <v>6657</v>
      </c>
      <c r="K1517" t="str">
        <f>IFERROR(VLOOKUP(VALUE(J1517),'Site Info'!$A:$G,3,FALSE),"")</f>
        <v>27300 WIXOM RD</v>
      </c>
      <c r="L1517" t="str">
        <f>IFERROR(VLOOKUP(VALUE(J1517),'Site Info'!$A:$G,4,FALSE),"")</f>
        <v>NOVI</v>
      </c>
      <c r="M1517" t="str">
        <f>IFERROR(VLOOKUP(VALUE(J1517),'Site Info'!$A:$G,5,FALSE),"")</f>
        <v>MI</v>
      </c>
      <c r="N1517" t="str">
        <f>IFERROR(VLOOKUP(VALUE(J1517),'Site Info'!$A:$G,6,FALSE),"")</f>
        <v>48374-1120</v>
      </c>
      <c r="O1517">
        <f>IFERROR(VLOOKUP(VALUE(J1517),'Site Info'!$A:$G,7,FALSE),"")</f>
        <v>2483493057</v>
      </c>
    </row>
    <row r="1518" spans="1:15" x14ac:dyDescent="0.45">
      <c r="A1518" t="s">
        <v>1368</v>
      </c>
      <c r="B1518" t="s">
        <v>1369</v>
      </c>
      <c r="C1518" t="s">
        <v>1370</v>
      </c>
      <c r="D1518" t="s">
        <v>1097</v>
      </c>
      <c r="E1518" s="1">
        <v>46153.175706018519</v>
      </c>
      <c r="F1518">
        <v>1481</v>
      </c>
      <c r="G1518" t="s">
        <v>1371</v>
      </c>
      <c r="H1518" t="s">
        <v>15</v>
      </c>
      <c r="I1518" t="s">
        <v>1099</v>
      </c>
      <c r="J1518" t="str">
        <f>RIGHT(D1518,4)</f>
        <v>6657</v>
      </c>
      <c r="K1518" t="str">
        <f>IFERROR(VLOOKUP(VALUE(J1518),'Site Info'!$A:$G,3,FALSE),"")</f>
        <v>27300 WIXOM RD</v>
      </c>
      <c r="L1518" t="str">
        <f>IFERROR(VLOOKUP(VALUE(J1518),'Site Info'!$A:$G,4,FALSE),"")</f>
        <v>NOVI</v>
      </c>
      <c r="M1518" t="str">
        <f>IFERROR(VLOOKUP(VALUE(J1518),'Site Info'!$A:$G,5,FALSE),"")</f>
        <v>MI</v>
      </c>
      <c r="N1518" t="str">
        <f>IFERROR(VLOOKUP(VALUE(J1518),'Site Info'!$A:$G,6,FALSE),"")</f>
        <v>48374-1120</v>
      </c>
      <c r="O1518">
        <f>IFERROR(VLOOKUP(VALUE(J1518),'Site Info'!$A:$G,7,FALSE),"")</f>
        <v>2483493057</v>
      </c>
    </row>
    <row r="1519" spans="1:15" x14ac:dyDescent="0.45">
      <c r="A1519" t="s">
        <v>3579</v>
      </c>
      <c r="B1519" t="s">
        <v>3580</v>
      </c>
      <c r="C1519" t="s">
        <v>3581</v>
      </c>
      <c r="D1519" t="s">
        <v>1097</v>
      </c>
      <c r="E1519" s="1">
        <v>46153.310729166667</v>
      </c>
      <c r="F1519">
        <v>1481</v>
      </c>
      <c r="G1519" t="s">
        <v>3582</v>
      </c>
      <c r="H1519" t="s">
        <v>15</v>
      </c>
      <c r="I1519" t="s">
        <v>1099</v>
      </c>
      <c r="J1519" t="str">
        <f>RIGHT(D1519,4)</f>
        <v>6657</v>
      </c>
      <c r="K1519" t="str">
        <f>IFERROR(VLOOKUP(VALUE(J1519),'Site Info'!$A:$G,3,FALSE),"")</f>
        <v>27300 WIXOM RD</v>
      </c>
      <c r="L1519" t="str">
        <f>IFERROR(VLOOKUP(VALUE(J1519),'Site Info'!$A:$G,4,FALSE),"")</f>
        <v>NOVI</v>
      </c>
      <c r="M1519" t="str">
        <f>IFERROR(VLOOKUP(VALUE(J1519),'Site Info'!$A:$G,5,FALSE),"")</f>
        <v>MI</v>
      </c>
      <c r="N1519" t="str">
        <f>IFERROR(VLOOKUP(VALUE(J1519),'Site Info'!$A:$G,6,FALSE),"")</f>
        <v>48374-1120</v>
      </c>
      <c r="O1519">
        <f>IFERROR(VLOOKUP(VALUE(J1519),'Site Info'!$A:$G,7,FALSE),"")</f>
        <v>2483493057</v>
      </c>
    </row>
    <row r="1520" spans="1:15" x14ac:dyDescent="0.45">
      <c r="A1520" t="s">
        <v>16512</v>
      </c>
      <c r="B1520" t="s">
        <v>17019</v>
      </c>
      <c r="C1520" t="s">
        <v>17020</v>
      </c>
      <c r="D1520" t="s">
        <v>1097</v>
      </c>
      <c r="E1520" s="1">
        <v>46152.787847222222</v>
      </c>
      <c r="F1520">
        <v>1628</v>
      </c>
      <c r="G1520" t="s">
        <v>17021</v>
      </c>
      <c r="H1520" t="s">
        <v>13988</v>
      </c>
      <c r="I1520" t="s">
        <v>1099</v>
      </c>
      <c r="J1520" t="str">
        <f>RIGHT(D1520,4)</f>
        <v>6657</v>
      </c>
      <c r="K1520" t="str">
        <f>IFERROR(VLOOKUP(VALUE(J1520),'Site Info'!$A:$G,3,FALSE),"")</f>
        <v>27300 WIXOM RD</v>
      </c>
      <c r="L1520" t="str">
        <f>IFERROR(VLOOKUP(VALUE(J1520),'Site Info'!$A:$G,4,FALSE),"")</f>
        <v>NOVI</v>
      </c>
      <c r="M1520" t="str">
        <f>IFERROR(VLOOKUP(VALUE(J1520),'Site Info'!$A:$G,5,FALSE),"")</f>
        <v>MI</v>
      </c>
      <c r="N1520" t="str">
        <f>IFERROR(VLOOKUP(VALUE(J1520),'Site Info'!$A:$G,6,FALSE),"")</f>
        <v>48374-1120</v>
      </c>
      <c r="O1520">
        <f>IFERROR(VLOOKUP(VALUE(J1520),'Site Info'!$A:$G,7,FALSE),"")</f>
        <v>2483493057</v>
      </c>
    </row>
    <row r="1521" spans="1:15" x14ac:dyDescent="0.45">
      <c r="A1521" t="s">
        <v>16485</v>
      </c>
      <c r="B1521" t="s">
        <v>17022</v>
      </c>
      <c r="C1521" t="s">
        <v>17023</v>
      </c>
      <c r="D1521" t="s">
        <v>1097</v>
      </c>
      <c r="E1521" s="1">
        <v>46153.341319444444</v>
      </c>
      <c r="F1521">
        <v>1481</v>
      </c>
      <c r="G1521" t="s">
        <v>17024</v>
      </c>
      <c r="H1521" t="s">
        <v>15</v>
      </c>
      <c r="I1521" t="s">
        <v>1099</v>
      </c>
      <c r="J1521" t="str">
        <f>RIGHT(D1521,4)</f>
        <v>6657</v>
      </c>
      <c r="K1521" t="str">
        <f>IFERROR(VLOOKUP(VALUE(J1521),'Site Info'!$A:$G,3,FALSE),"")</f>
        <v>27300 WIXOM RD</v>
      </c>
      <c r="L1521" t="str">
        <f>IFERROR(VLOOKUP(VALUE(J1521),'Site Info'!$A:$G,4,FALSE),"")</f>
        <v>NOVI</v>
      </c>
      <c r="M1521" t="str">
        <f>IFERROR(VLOOKUP(VALUE(J1521),'Site Info'!$A:$G,5,FALSE),"")</f>
        <v>MI</v>
      </c>
      <c r="N1521" t="str">
        <f>IFERROR(VLOOKUP(VALUE(J1521),'Site Info'!$A:$G,6,FALSE),"")</f>
        <v>48374-1120</v>
      </c>
      <c r="O1521">
        <f>IFERROR(VLOOKUP(VALUE(J1521),'Site Info'!$A:$G,7,FALSE),"")</f>
        <v>2483493057</v>
      </c>
    </row>
    <row r="1522" spans="1:15" x14ac:dyDescent="0.45">
      <c r="A1522" t="s">
        <v>9896</v>
      </c>
      <c r="B1522" t="s">
        <v>9897</v>
      </c>
      <c r="C1522" t="s">
        <v>9898</v>
      </c>
      <c r="D1522" t="s">
        <v>224</v>
      </c>
      <c r="E1522" s="1">
        <v>46152.144907407404</v>
      </c>
      <c r="F1522">
        <v>1547</v>
      </c>
      <c r="G1522" t="s">
        <v>9899</v>
      </c>
      <c r="H1522" t="s">
        <v>15</v>
      </c>
      <c r="I1522" t="s">
        <v>226</v>
      </c>
      <c r="J1522" t="str">
        <f>RIGHT(D1522,4)</f>
        <v>4852</v>
      </c>
      <c r="K1522" t="str">
        <f>IFERROR(VLOOKUP(VALUE(J1522),'Site Info'!$A:$G,3,FALSE),"")</f>
        <v>27727 STATE ROAD 56</v>
      </c>
      <c r="L1522" t="str">
        <f>IFERROR(VLOOKUP(VALUE(J1522),'Site Info'!$A:$G,4,FALSE),"")</f>
        <v>WESLEY CHAPEL</v>
      </c>
      <c r="M1522" t="str">
        <f>IFERROR(VLOOKUP(VALUE(J1522),'Site Info'!$A:$G,5,FALSE),"")</f>
        <v>FL</v>
      </c>
      <c r="N1522" t="str">
        <f>IFERROR(VLOOKUP(VALUE(J1522),'Site Info'!$A:$G,6,FALSE),"")</f>
        <v>33544-8833</v>
      </c>
      <c r="O1522">
        <f>IFERROR(VLOOKUP(VALUE(J1522),'Site Info'!$A:$G,7,FALSE),"")</f>
        <v>8139297010</v>
      </c>
    </row>
    <row r="1523" spans="1:15" x14ac:dyDescent="0.45">
      <c r="A1523" t="s">
        <v>13187</v>
      </c>
      <c r="B1523" t="s">
        <v>13188</v>
      </c>
      <c r="C1523" t="s">
        <v>13189</v>
      </c>
      <c r="D1523" t="s">
        <v>224</v>
      </c>
      <c r="E1523" s="1">
        <v>46152.616064814814</v>
      </c>
      <c r="F1523">
        <v>1547</v>
      </c>
      <c r="G1523" t="s">
        <v>13190</v>
      </c>
      <c r="H1523" t="s">
        <v>15</v>
      </c>
      <c r="I1523" t="s">
        <v>226</v>
      </c>
      <c r="J1523" t="str">
        <f>RIGHT(D1523,4)</f>
        <v>4852</v>
      </c>
      <c r="K1523" t="str">
        <f>IFERROR(VLOOKUP(VALUE(J1523),'Site Info'!$A:$G,3,FALSE),"")</f>
        <v>27727 STATE ROAD 56</v>
      </c>
      <c r="L1523" t="str">
        <f>IFERROR(VLOOKUP(VALUE(J1523),'Site Info'!$A:$G,4,FALSE),"")</f>
        <v>WESLEY CHAPEL</v>
      </c>
      <c r="M1523" t="str">
        <f>IFERROR(VLOOKUP(VALUE(J1523),'Site Info'!$A:$G,5,FALSE),"")</f>
        <v>FL</v>
      </c>
      <c r="N1523" t="str">
        <f>IFERROR(VLOOKUP(VALUE(J1523),'Site Info'!$A:$G,6,FALSE),"")</f>
        <v>33544-8833</v>
      </c>
      <c r="O1523">
        <f>IFERROR(VLOOKUP(VALUE(J1523),'Site Info'!$A:$G,7,FALSE),"")</f>
        <v>8139297010</v>
      </c>
    </row>
    <row r="1524" spans="1:15" x14ac:dyDescent="0.45">
      <c r="A1524" t="s">
        <v>96</v>
      </c>
      <c r="B1524" t="s">
        <v>222</v>
      </c>
      <c r="C1524" t="s">
        <v>223</v>
      </c>
      <c r="D1524" t="s">
        <v>224</v>
      </c>
      <c r="E1524" s="1">
        <v>46150.596192129633</v>
      </c>
      <c r="F1524">
        <v>1481</v>
      </c>
      <c r="G1524" t="s">
        <v>225</v>
      </c>
      <c r="H1524" t="s">
        <v>15</v>
      </c>
      <c r="I1524" t="s">
        <v>226</v>
      </c>
      <c r="J1524" t="str">
        <f>RIGHT(D1524,4)</f>
        <v>4852</v>
      </c>
      <c r="K1524" t="str">
        <f>IFERROR(VLOOKUP(VALUE(J1524),'Site Info'!$A:$G,3,FALSE),"")</f>
        <v>27727 STATE ROAD 56</v>
      </c>
      <c r="L1524" t="str">
        <f>IFERROR(VLOOKUP(VALUE(J1524),'Site Info'!$A:$G,4,FALSE),"")</f>
        <v>WESLEY CHAPEL</v>
      </c>
      <c r="M1524" t="str">
        <f>IFERROR(VLOOKUP(VALUE(J1524),'Site Info'!$A:$G,5,FALSE),"")</f>
        <v>FL</v>
      </c>
      <c r="N1524" t="str">
        <f>IFERROR(VLOOKUP(VALUE(J1524),'Site Info'!$A:$G,6,FALSE),"")</f>
        <v>33544-8833</v>
      </c>
      <c r="O1524">
        <f>IFERROR(VLOOKUP(VALUE(J1524),'Site Info'!$A:$G,7,FALSE),"")</f>
        <v>8139297010</v>
      </c>
    </row>
    <row r="1525" spans="1:15" x14ac:dyDescent="0.45">
      <c r="A1525" t="s">
        <v>580</v>
      </c>
      <c r="B1525" t="s">
        <v>581</v>
      </c>
      <c r="C1525" t="s">
        <v>582</v>
      </c>
      <c r="D1525" t="s">
        <v>224</v>
      </c>
      <c r="E1525" s="1">
        <v>46152.460300925923</v>
      </c>
      <c r="F1525">
        <v>1481</v>
      </c>
      <c r="G1525" t="s">
        <v>583</v>
      </c>
      <c r="H1525" t="s">
        <v>15</v>
      </c>
      <c r="I1525" t="s">
        <v>226</v>
      </c>
      <c r="J1525" t="str">
        <f>RIGHT(D1525,4)</f>
        <v>4852</v>
      </c>
      <c r="K1525" t="str">
        <f>IFERROR(VLOOKUP(VALUE(J1525),'Site Info'!$A:$G,3,FALSE),"")</f>
        <v>27727 STATE ROAD 56</v>
      </c>
      <c r="L1525" t="str">
        <f>IFERROR(VLOOKUP(VALUE(J1525),'Site Info'!$A:$G,4,FALSE),"")</f>
        <v>WESLEY CHAPEL</v>
      </c>
      <c r="M1525" t="str">
        <f>IFERROR(VLOOKUP(VALUE(J1525),'Site Info'!$A:$G,5,FALSE),"")</f>
        <v>FL</v>
      </c>
      <c r="N1525" t="str">
        <f>IFERROR(VLOOKUP(VALUE(J1525),'Site Info'!$A:$G,6,FALSE),"")</f>
        <v>33544-8833</v>
      </c>
      <c r="O1525">
        <f>IFERROR(VLOOKUP(VALUE(J1525),'Site Info'!$A:$G,7,FALSE),"")</f>
        <v>8139297010</v>
      </c>
    </row>
    <row r="1526" spans="1:15" x14ac:dyDescent="0.45">
      <c r="A1526" t="s">
        <v>2491</v>
      </c>
      <c r="B1526" t="s">
        <v>2492</v>
      </c>
      <c r="C1526" t="s">
        <v>2493</v>
      </c>
      <c r="D1526" t="s">
        <v>224</v>
      </c>
      <c r="E1526" s="1">
        <v>46153.133530092593</v>
      </c>
      <c r="F1526">
        <v>1481</v>
      </c>
      <c r="G1526" t="s">
        <v>2494</v>
      </c>
      <c r="H1526" t="s">
        <v>15</v>
      </c>
      <c r="I1526" t="s">
        <v>226</v>
      </c>
      <c r="J1526" t="str">
        <f>RIGHT(D1526,4)</f>
        <v>4852</v>
      </c>
      <c r="K1526" t="str">
        <f>IFERROR(VLOOKUP(VALUE(J1526),'Site Info'!$A:$G,3,FALSE),"")</f>
        <v>27727 STATE ROAD 56</v>
      </c>
      <c r="L1526" t="str">
        <f>IFERROR(VLOOKUP(VALUE(J1526),'Site Info'!$A:$G,4,FALSE),"")</f>
        <v>WESLEY CHAPEL</v>
      </c>
      <c r="M1526" t="str">
        <f>IFERROR(VLOOKUP(VALUE(J1526),'Site Info'!$A:$G,5,FALSE),"")</f>
        <v>FL</v>
      </c>
      <c r="N1526" t="str">
        <f>IFERROR(VLOOKUP(VALUE(J1526),'Site Info'!$A:$G,6,FALSE),"")</f>
        <v>33544-8833</v>
      </c>
      <c r="O1526">
        <f>IFERROR(VLOOKUP(VALUE(J1526),'Site Info'!$A:$G,7,FALSE),"")</f>
        <v>8139297010</v>
      </c>
    </row>
    <row r="1527" spans="1:15" x14ac:dyDescent="0.45">
      <c r="A1527" t="s">
        <v>3479</v>
      </c>
      <c r="B1527" t="s">
        <v>3480</v>
      </c>
      <c r="C1527" t="s">
        <v>3481</v>
      </c>
      <c r="D1527" t="s">
        <v>224</v>
      </c>
      <c r="E1527" s="1">
        <v>46153.323263888888</v>
      </c>
      <c r="F1527">
        <v>1481</v>
      </c>
      <c r="G1527" t="s">
        <v>3482</v>
      </c>
      <c r="H1527" t="s">
        <v>15</v>
      </c>
      <c r="I1527" t="s">
        <v>226</v>
      </c>
      <c r="J1527" t="str">
        <f>RIGHT(D1527,4)</f>
        <v>4852</v>
      </c>
      <c r="K1527" t="str">
        <f>IFERROR(VLOOKUP(VALUE(J1527),'Site Info'!$A:$G,3,FALSE),"")</f>
        <v>27727 STATE ROAD 56</v>
      </c>
      <c r="L1527" t="str">
        <f>IFERROR(VLOOKUP(VALUE(J1527),'Site Info'!$A:$G,4,FALSE),"")</f>
        <v>WESLEY CHAPEL</v>
      </c>
      <c r="M1527" t="str">
        <f>IFERROR(VLOOKUP(VALUE(J1527),'Site Info'!$A:$G,5,FALSE),"")</f>
        <v>FL</v>
      </c>
      <c r="N1527" t="str">
        <f>IFERROR(VLOOKUP(VALUE(J1527),'Site Info'!$A:$G,6,FALSE),"")</f>
        <v>33544-8833</v>
      </c>
      <c r="O1527">
        <f>IFERROR(VLOOKUP(VALUE(J1527),'Site Info'!$A:$G,7,FALSE),"")</f>
        <v>8139297010</v>
      </c>
    </row>
    <row r="1528" spans="1:15" x14ac:dyDescent="0.45">
      <c r="A1528" t="s">
        <v>13997</v>
      </c>
      <c r="B1528" t="s">
        <v>13998</v>
      </c>
      <c r="C1528" t="s">
        <v>13999</v>
      </c>
      <c r="D1528" t="s">
        <v>1535</v>
      </c>
      <c r="E1528" s="1">
        <v>46152.408333333333</v>
      </c>
      <c r="F1528">
        <v>1547</v>
      </c>
      <c r="G1528" t="s">
        <v>14000</v>
      </c>
      <c r="H1528" t="s">
        <v>15</v>
      </c>
      <c r="I1528" t="s">
        <v>1537</v>
      </c>
      <c r="J1528" t="str">
        <f>RIGHT(D1528,4)</f>
        <v>8115</v>
      </c>
      <c r="K1528" t="str">
        <f>IFERROR(VLOOKUP(VALUE(J1528),'Site Info'!$A:$G,3,FALSE),"")</f>
        <v>280 BOBBY JONES EXPY</v>
      </c>
      <c r="L1528" t="str">
        <f>IFERROR(VLOOKUP(VALUE(J1528),'Site Info'!$A:$G,4,FALSE),"")</f>
        <v>AUGUSTA</v>
      </c>
      <c r="M1528" t="str">
        <f>IFERROR(VLOOKUP(VALUE(J1528),'Site Info'!$A:$G,5,FALSE),"")</f>
        <v>GA</v>
      </c>
      <c r="N1528" t="str">
        <f>IFERROR(VLOOKUP(VALUE(J1528),'Site Info'!$A:$G,6,FALSE),"")</f>
        <v>30907-2433</v>
      </c>
      <c r="O1528">
        <f>IFERROR(VLOOKUP(VALUE(J1528),'Site Info'!$A:$G,7,FALSE),"")</f>
        <v>7068637846</v>
      </c>
    </row>
    <row r="1529" spans="1:15" x14ac:dyDescent="0.45">
      <c r="A1529" t="s">
        <v>13735</v>
      </c>
      <c r="B1529" t="s">
        <v>13736</v>
      </c>
      <c r="C1529" t="s">
        <v>13737</v>
      </c>
      <c r="D1529" t="s">
        <v>1535</v>
      </c>
      <c r="E1529" s="1">
        <v>46152.835868055554</v>
      </c>
      <c r="F1529">
        <v>1547</v>
      </c>
      <c r="G1529" t="s">
        <v>13738</v>
      </c>
      <c r="H1529" t="s">
        <v>15</v>
      </c>
      <c r="I1529" t="s">
        <v>1537</v>
      </c>
      <c r="J1529" t="str">
        <f>RIGHT(D1529,4)</f>
        <v>8115</v>
      </c>
      <c r="K1529" t="str">
        <f>IFERROR(VLOOKUP(VALUE(J1529),'Site Info'!$A:$G,3,FALSE),"")</f>
        <v>280 BOBBY JONES EXPY</v>
      </c>
      <c r="L1529" t="str">
        <f>IFERROR(VLOOKUP(VALUE(J1529),'Site Info'!$A:$G,4,FALSE),"")</f>
        <v>AUGUSTA</v>
      </c>
      <c r="M1529" t="str">
        <f>IFERROR(VLOOKUP(VALUE(J1529),'Site Info'!$A:$G,5,FALSE),"")</f>
        <v>GA</v>
      </c>
      <c r="N1529" t="str">
        <f>IFERROR(VLOOKUP(VALUE(J1529),'Site Info'!$A:$G,6,FALSE),"")</f>
        <v>30907-2433</v>
      </c>
      <c r="O1529">
        <f>IFERROR(VLOOKUP(VALUE(J1529),'Site Info'!$A:$G,7,FALSE),"")</f>
        <v>7068637846</v>
      </c>
    </row>
    <row r="1530" spans="1:15" x14ac:dyDescent="0.45">
      <c r="A1530" t="s">
        <v>12672</v>
      </c>
      <c r="B1530" t="s">
        <v>12673</v>
      </c>
      <c r="C1530" t="s">
        <v>12674</v>
      </c>
      <c r="D1530" t="s">
        <v>1535</v>
      </c>
      <c r="E1530" s="1">
        <v>46153.131689814814</v>
      </c>
      <c r="F1530">
        <v>1547</v>
      </c>
      <c r="G1530" t="s">
        <v>12675</v>
      </c>
      <c r="H1530" t="s">
        <v>15</v>
      </c>
      <c r="I1530" t="s">
        <v>1537</v>
      </c>
      <c r="J1530" t="str">
        <f>RIGHT(D1530,4)</f>
        <v>8115</v>
      </c>
      <c r="K1530" t="str">
        <f>IFERROR(VLOOKUP(VALUE(J1530),'Site Info'!$A:$G,3,FALSE),"")</f>
        <v>280 BOBBY JONES EXPY</v>
      </c>
      <c r="L1530" t="str">
        <f>IFERROR(VLOOKUP(VALUE(J1530),'Site Info'!$A:$G,4,FALSE),"")</f>
        <v>AUGUSTA</v>
      </c>
      <c r="M1530" t="str">
        <f>IFERROR(VLOOKUP(VALUE(J1530),'Site Info'!$A:$G,5,FALSE),"")</f>
        <v>GA</v>
      </c>
      <c r="N1530" t="str">
        <f>IFERROR(VLOOKUP(VALUE(J1530),'Site Info'!$A:$G,6,FALSE),"")</f>
        <v>30907-2433</v>
      </c>
      <c r="O1530">
        <f>IFERROR(VLOOKUP(VALUE(J1530),'Site Info'!$A:$G,7,FALSE),"")</f>
        <v>7068637846</v>
      </c>
    </row>
    <row r="1531" spans="1:15" x14ac:dyDescent="0.45">
      <c r="A1531" t="s">
        <v>6943</v>
      </c>
      <c r="B1531" t="s">
        <v>6944</v>
      </c>
      <c r="C1531" t="s">
        <v>6945</v>
      </c>
      <c r="D1531" t="s">
        <v>1535</v>
      </c>
      <c r="E1531" s="1">
        <v>46153.252812500003</v>
      </c>
      <c r="F1531">
        <v>1547</v>
      </c>
      <c r="G1531" t="s">
        <v>6946</v>
      </c>
      <c r="H1531" t="s">
        <v>15</v>
      </c>
      <c r="I1531" t="s">
        <v>1537</v>
      </c>
      <c r="J1531" t="str">
        <f>RIGHT(D1531,4)</f>
        <v>8115</v>
      </c>
      <c r="K1531" t="str">
        <f>IFERROR(VLOOKUP(VALUE(J1531),'Site Info'!$A:$G,3,FALSE),"")</f>
        <v>280 BOBBY JONES EXPY</v>
      </c>
      <c r="L1531" t="str">
        <f>IFERROR(VLOOKUP(VALUE(J1531),'Site Info'!$A:$G,4,FALSE),"")</f>
        <v>AUGUSTA</v>
      </c>
      <c r="M1531" t="str">
        <f>IFERROR(VLOOKUP(VALUE(J1531),'Site Info'!$A:$G,5,FALSE),"")</f>
        <v>GA</v>
      </c>
      <c r="N1531" t="str">
        <f>IFERROR(VLOOKUP(VALUE(J1531),'Site Info'!$A:$G,6,FALSE),"")</f>
        <v>30907-2433</v>
      </c>
      <c r="O1531">
        <f>IFERROR(VLOOKUP(VALUE(J1531),'Site Info'!$A:$G,7,FALSE),"")</f>
        <v>7068637846</v>
      </c>
    </row>
    <row r="1532" spans="1:15" x14ac:dyDescent="0.45">
      <c r="A1532" t="s">
        <v>11796</v>
      </c>
      <c r="B1532" t="s">
        <v>11797</v>
      </c>
      <c r="C1532" t="s">
        <v>11798</v>
      </c>
      <c r="D1532" t="s">
        <v>1535</v>
      </c>
      <c r="E1532" s="1">
        <v>46153.364942129629</v>
      </c>
      <c r="F1532">
        <v>1547</v>
      </c>
      <c r="G1532" t="s">
        <v>11799</v>
      </c>
      <c r="H1532" t="s">
        <v>15</v>
      </c>
      <c r="I1532" t="s">
        <v>1537</v>
      </c>
      <c r="J1532" t="str">
        <f>RIGHT(D1532,4)</f>
        <v>8115</v>
      </c>
      <c r="K1532" t="str">
        <f>IFERROR(VLOOKUP(VALUE(J1532),'Site Info'!$A:$G,3,FALSE),"")</f>
        <v>280 BOBBY JONES EXPY</v>
      </c>
      <c r="L1532" t="str">
        <f>IFERROR(VLOOKUP(VALUE(J1532),'Site Info'!$A:$G,4,FALSE),"")</f>
        <v>AUGUSTA</v>
      </c>
      <c r="M1532" t="str">
        <f>IFERROR(VLOOKUP(VALUE(J1532),'Site Info'!$A:$G,5,FALSE),"")</f>
        <v>GA</v>
      </c>
      <c r="N1532" t="str">
        <f>IFERROR(VLOOKUP(VALUE(J1532),'Site Info'!$A:$G,6,FALSE),"")</f>
        <v>30907-2433</v>
      </c>
      <c r="O1532">
        <f>IFERROR(VLOOKUP(VALUE(J1532),'Site Info'!$A:$G,7,FALSE),"")</f>
        <v>7068637846</v>
      </c>
    </row>
    <row r="1533" spans="1:15" x14ac:dyDescent="0.45">
      <c r="A1533" t="s">
        <v>3261</v>
      </c>
      <c r="B1533" t="s">
        <v>3262</v>
      </c>
      <c r="C1533" t="s">
        <v>3263</v>
      </c>
      <c r="D1533" t="s">
        <v>1535</v>
      </c>
      <c r="E1533" s="1">
        <v>46114.439976851849</v>
      </c>
      <c r="F1533">
        <v>1481</v>
      </c>
      <c r="G1533" t="s">
        <v>3264</v>
      </c>
      <c r="H1533" t="s">
        <v>15</v>
      </c>
      <c r="I1533" t="s">
        <v>1537</v>
      </c>
      <c r="J1533" t="str">
        <f>RIGHT(D1533,4)</f>
        <v>8115</v>
      </c>
      <c r="K1533" t="str">
        <f>IFERROR(VLOOKUP(VALUE(J1533),'Site Info'!$A:$G,3,FALSE),"")</f>
        <v>280 BOBBY JONES EXPY</v>
      </c>
      <c r="L1533" t="str">
        <f>IFERROR(VLOOKUP(VALUE(J1533),'Site Info'!$A:$G,4,FALSE),"")</f>
        <v>AUGUSTA</v>
      </c>
      <c r="M1533" t="str">
        <f>IFERROR(VLOOKUP(VALUE(J1533),'Site Info'!$A:$G,5,FALSE),"")</f>
        <v>GA</v>
      </c>
      <c r="N1533" t="str">
        <f>IFERROR(VLOOKUP(VALUE(J1533),'Site Info'!$A:$G,6,FALSE),"")</f>
        <v>30907-2433</v>
      </c>
      <c r="O1533">
        <f>IFERROR(VLOOKUP(VALUE(J1533),'Site Info'!$A:$G,7,FALSE),"")</f>
        <v>7068637846</v>
      </c>
    </row>
    <row r="1534" spans="1:15" x14ac:dyDescent="0.45">
      <c r="A1534" t="s">
        <v>1684</v>
      </c>
      <c r="B1534" t="s">
        <v>1685</v>
      </c>
      <c r="C1534" t="s">
        <v>1686</v>
      </c>
      <c r="D1534" t="s">
        <v>1535</v>
      </c>
      <c r="E1534" s="1">
        <v>46153.266064814816</v>
      </c>
      <c r="F1534">
        <v>1481</v>
      </c>
      <c r="G1534" t="s">
        <v>1687</v>
      </c>
      <c r="H1534" t="s">
        <v>15</v>
      </c>
      <c r="I1534" t="s">
        <v>1537</v>
      </c>
      <c r="J1534" t="str">
        <f>RIGHT(D1534,4)</f>
        <v>8115</v>
      </c>
      <c r="K1534" t="str">
        <f>IFERROR(VLOOKUP(VALUE(J1534),'Site Info'!$A:$G,3,FALSE),"")</f>
        <v>280 BOBBY JONES EXPY</v>
      </c>
      <c r="L1534" t="str">
        <f>IFERROR(VLOOKUP(VALUE(J1534),'Site Info'!$A:$G,4,FALSE),"")</f>
        <v>AUGUSTA</v>
      </c>
      <c r="M1534" t="str">
        <f>IFERROR(VLOOKUP(VALUE(J1534),'Site Info'!$A:$G,5,FALSE),"")</f>
        <v>GA</v>
      </c>
      <c r="N1534" t="str">
        <f>IFERROR(VLOOKUP(VALUE(J1534),'Site Info'!$A:$G,6,FALSE),"")</f>
        <v>30907-2433</v>
      </c>
      <c r="O1534">
        <f>IFERROR(VLOOKUP(VALUE(J1534),'Site Info'!$A:$G,7,FALSE),"")</f>
        <v>7068637846</v>
      </c>
    </row>
    <row r="1535" spans="1:15" x14ac:dyDescent="0.45">
      <c r="A1535" t="s">
        <v>1532</v>
      </c>
      <c r="B1535" t="s">
        <v>1533</v>
      </c>
      <c r="C1535" t="s">
        <v>1534</v>
      </c>
      <c r="D1535" t="s">
        <v>1535</v>
      </c>
      <c r="E1535" s="1">
        <v>46153.295648148145</v>
      </c>
      <c r="F1535">
        <v>1481</v>
      </c>
      <c r="G1535" t="s">
        <v>1536</v>
      </c>
      <c r="H1535" t="s">
        <v>15</v>
      </c>
      <c r="I1535" t="s">
        <v>1537</v>
      </c>
      <c r="J1535" t="str">
        <f>RIGHT(D1535,4)</f>
        <v>8115</v>
      </c>
      <c r="K1535" t="str">
        <f>IFERROR(VLOOKUP(VALUE(J1535),'Site Info'!$A:$G,3,FALSE),"")</f>
        <v>280 BOBBY JONES EXPY</v>
      </c>
      <c r="L1535" t="str">
        <f>IFERROR(VLOOKUP(VALUE(J1535),'Site Info'!$A:$G,4,FALSE),"")</f>
        <v>AUGUSTA</v>
      </c>
      <c r="M1535" t="str">
        <f>IFERROR(VLOOKUP(VALUE(J1535),'Site Info'!$A:$G,5,FALSE),"")</f>
        <v>GA</v>
      </c>
      <c r="N1535" t="str">
        <f>IFERROR(VLOOKUP(VALUE(J1535),'Site Info'!$A:$G,6,FALSE),"")</f>
        <v>30907-2433</v>
      </c>
      <c r="O1535">
        <f>IFERROR(VLOOKUP(VALUE(J1535),'Site Info'!$A:$G,7,FALSE),"")</f>
        <v>7068637846</v>
      </c>
    </row>
    <row r="1536" spans="1:15" x14ac:dyDescent="0.45">
      <c r="A1536" t="s">
        <v>7379</v>
      </c>
      <c r="B1536" t="s">
        <v>7380</v>
      </c>
      <c r="C1536" t="s">
        <v>7381</v>
      </c>
      <c r="D1536" t="s">
        <v>7382</v>
      </c>
      <c r="E1536" s="1">
        <v>46150.463819444441</v>
      </c>
      <c r="F1536">
        <v>1547</v>
      </c>
      <c r="G1536" t="s">
        <v>7383</v>
      </c>
      <c r="H1536" t="s">
        <v>15</v>
      </c>
      <c r="I1536" t="s">
        <v>7384</v>
      </c>
      <c r="J1536" t="str">
        <f>RIGHT(D1536,4)</f>
        <v>8161</v>
      </c>
      <c r="K1536" t="str">
        <f>IFERROR(VLOOKUP(VALUE(J1536),'Site Info'!$A:$G,3,FALSE),"")</f>
        <v>2801 E MARKET ST</v>
      </c>
      <c r="L1536" t="str">
        <f>IFERROR(VLOOKUP(VALUE(J1536),'Site Info'!$A:$G,4,FALSE),"")</f>
        <v>YORK</v>
      </c>
      <c r="M1536" t="str">
        <f>IFERROR(VLOOKUP(VALUE(J1536),'Site Info'!$A:$G,5,FALSE),"")</f>
        <v>PA</v>
      </c>
      <c r="N1536" t="str">
        <f>IFERROR(VLOOKUP(VALUE(J1536),'Site Info'!$A:$G,6,FALSE),"")</f>
        <v>17402-2406</v>
      </c>
      <c r="O1536">
        <f>IFERROR(VLOOKUP(VALUE(J1536),'Site Info'!$A:$G,7,FALSE),"")</f>
        <v>7178400111</v>
      </c>
    </row>
    <row r="1537" spans="1:15" x14ac:dyDescent="0.45">
      <c r="A1537" t="s">
        <v>7689</v>
      </c>
      <c r="B1537" t="s">
        <v>7690</v>
      </c>
      <c r="C1537" t="s">
        <v>7691</v>
      </c>
      <c r="D1537" t="s">
        <v>7382</v>
      </c>
      <c r="E1537" s="1">
        <v>46151.651782407411</v>
      </c>
      <c r="F1537">
        <v>1547</v>
      </c>
      <c r="G1537" t="s">
        <v>7692</v>
      </c>
      <c r="H1537" t="s">
        <v>15</v>
      </c>
      <c r="I1537" t="s">
        <v>7384</v>
      </c>
      <c r="J1537" t="str">
        <f>RIGHT(D1537,4)</f>
        <v>8161</v>
      </c>
      <c r="K1537" t="str">
        <f>IFERROR(VLOOKUP(VALUE(J1537),'Site Info'!$A:$G,3,FALSE),"")</f>
        <v>2801 E MARKET ST</v>
      </c>
      <c r="L1537" t="str">
        <f>IFERROR(VLOOKUP(VALUE(J1537),'Site Info'!$A:$G,4,FALSE),"")</f>
        <v>YORK</v>
      </c>
      <c r="M1537" t="str">
        <f>IFERROR(VLOOKUP(VALUE(J1537),'Site Info'!$A:$G,5,FALSE),"")</f>
        <v>PA</v>
      </c>
      <c r="N1537" t="str">
        <f>IFERROR(VLOOKUP(VALUE(J1537),'Site Info'!$A:$G,6,FALSE),"")</f>
        <v>17402-2406</v>
      </c>
      <c r="O1537">
        <f>IFERROR(VLOOKUP(VALUE(J1537),'Site Info'!$A:$G,7,FALSE),"")</f>
        <v>7178400111</v>
      </c>
    </row>
    <row r="1538" spans="1:15" x14ac:dyDescent="0.45">
      <c r="A1538" t="s">
        <v>8441</v>
      </c>
      <c r="B1538" t="s">
        <v>8442</v>
      </c>
      <c r="C1538" t="s">
        <v>8443</v>
      </c>
      <c r="D1538" t="s">
        <v>7382</v>
      </c>
      <c r="E1538" s="1">
        <v>46152.352002314816</v>
      </c>
      <c r="F1538">
        <v>1547</v>
      </c>
      <c r="G1538" t="s">
        <v>8444</v>
      </c>
      <c r="H1538" t="s">
        <v>15</v>
      </c>
      <c r="I1538" t="s">
        <v>7384</v>
      </c>
      <c r="J1538" t="str">
        <f>RIGHT(D1538,4)</f>
        <v>8161</v>
      </c>
      <c r="K1538" t="str">
        <f>IFERROR(VLOOKUP(VALUE(J1538),'Site Info'!$A:$G,3,FALSE),"")</f>
        <v>2801 E MARKET ST</v>
      </c>
      <c r="L1538" t="str">
        <f>IFERROR(VLOOKUP(VALUE(J1538),'Site Info'!$A:$G,4,FALSE),"")</f>
        <v>YORK</v>
      </c>
      <c r="M1538" t="str">
        <f>IFERROR(VLOOKUP(VALUE(J1538),'Site Info'!$A:$G,5,FALSE),"")</f>
        <v>PA</v>
      </c>
      <c r="N1538" t="str">
        <f>IFERROR(VLOOKUP(VALUE(J1538),'Site Info'!$A:$G,6,FALSE),"")</f>
        <v>17402-2406</v>
      </c>
      <c r="O1538">
        <f>IFERROR(VLOOKUP(VALUE(J1538),'Site Info'!$A:$G,7,FALSE),"")</f>
        <v>7178400111</v>
      </c>
    </row>
    <row r="1539" spans="1:15" x14ac:dyDescent="0.45">
      <c r="A1539" t="s">
        <v>7389</v>
      </c>
      <c r="B1539" t="s">
        <v>7390</v>
      </c>
      <c r="C1539" t="s">
        <v>7391</v>
      </c>
      <c r="D1539" t="s">
        <v>7382</v>
      </c>
      <c r="E1539" s="1">
        <v>46153.227233796293</v>
      </c>
      <c r="F1539">
        <v>1547</v>
      </c>
      <c r="G1539" t="s">
        <v>7392</v>
      </c>
      <c r="H1539" t="s">
        <v>15</v>
      </c>
      <c r="I1539" t="s">
        <v>7384</v>
      </c>
      <c r="J1539" t="str">
        <f>RIGHT(D1539,4)</f>
        <v>8161</v>
      </c>
      <c r="K1539" t="str">
        <f>IFERROR(VLOOKUP(VALUE(J1539),'Site Info'!$A:$G,3,FALSE),"")</f>
        <v>2801 E MARKET ST</v>
      </c>
      <c r="L1539" t="str">
        <f>IFERROR(VLOOKUP(VALUE(J1539),'Site Info'!$A:$G,4,FALSE),"")</f>
        <v>YORK</v>
      </c>
      <c r="M1539" t="str">
        <f>IFERROR(VLOOKUP(VALUE(J1539),'Site Info'!$A:$G,5,FALSE),"")</f>
        <v>PA</v>
      </c>
      <c r="N1539" t="str">
        <f>IFERROR(VLOOKUP(VALUE(J1539),'Site Info'!$A:$G,6,FALSE),"")</f>
        <v>17402-2406</v>
      </c>
      <c r="O1539">
        <f>IFERROR(VLOOKUP(VALUE(J1539),'Site Info'!$A:$G,7,FALSE),"")</f>
        <v>7178400111</v>
      </c>
    </row>
    <row r="1540" spans="1:15" x14ac:dyDescent="0.45">
      <c r="A1540" t="s">
        <v>7535</v>
      </c>
      <c r="B1540" t="s">
        <v>7536</v>
      </c>
      <c r="C1540" t="s">
        <v>7537</v>
      </c>
      <c r="D1540" t="s">
        <v>7382</v>
      </c>
      <c r="E1540" s="1">
        <v>46153.348124999997</v>
      </c>
      <c r="F1540">
        <v>1547</v>
      </c>
      <c r="G1540" t="s">
        <v>7538</v>
      </c>
      <c r="H1540" t="s">
        <v>15</v>
      </c>
      <c r="I1540" t="s">
        <v>7384</v>
      </c>
      <c r="J1540" t="str">
        <f>RIGHT(D1540,4)</f>
        <v>8161</v>
      </c>
      <c r="K1540" t="str">
        <f>IFERROR(VLOOKUP(VALUE(J1540),'Site Info'!$A:$G,3,FALSE),"")</f>
        <v>2801 E MARKET ST</v>
      </c>
      <c r="L1540" t="str">
        <f>IFERROR(VLOOKUP(VALUE(J1540),'Site Info'!$A:$G,4,FALSE),"")</f>
        <v>YORK</v>
      </c>
      <c r="M1540" t="str">
        <f>IFERROR(VLOOKUP(VALUE(J1540),'Site Info'!$A:$G,5,FALSE),"")</f>
        <v>PA</v>
      </c>
      <c r="N1540" t="str">
        <f>IFERROR(VLOOKUP(VALUE(J1540),'Site Info'!$A:$G,6,FALSE),"")</f>
        <v>17402-2406</v>
      </c>
      <c r="O1540">
        <f>IFERROR(VLOOKUP(VALUE(J1540),'Site Info'!$A:$G,7,FALSE),"")</f>
        <v>7178400111</v>
      </c>
    </row>
    <row r="1541" spans="1:15" x14ac:dyDescent="0.45">
      <c r="A1541" t="s">
        <v>16500</v>
      </c>
      <c r="B1541" t="s">
        <v>17128</v>
      </c>
      <c r="C1541" t="s">
        <v>17129</v>
      </c>
      <c r="D1541" t="s">
        <v>7382</v>
      </c>
      <c r="E1541" s="1">
        <v>46153.294432870367</v>
      </c>
      <c r="F1541">
        <v>1628</v>
      </c>
      <c r="G1541" t="s">
        <v>17130</v>
      </c>
      <c r="H1541" t="s">
        <v>13988</v>
      </c>
      <c r="I1541" t="s">
        <v>7384</v>
      </c>
      <c r="J1541" t="str">
        <f>RIGHT(D1541,4)</f>
        <v>8161</v>
      </c>
      <c r="K1541" t="str">
        <f>IFERROR(VLOOKUP(VALUE(J1541),'Site Info'!$A:$G,3,FALSE),"")</f>
        <v>2801 E MARKET ST</v>
      </c>
      <c r="L1541" t="str">
        <f>IFERROR(VLOOKUP(VALUE(J1541),'Site Info'!$A:$G,4,FALSE),"")</f>
        <v>YORK</v>
      </c>
      <c r="M1541" t="str">
        <f>IFERROR(VLOOKUP(VALUE(J1541),'Site Info'!$A:$G,5,FALSE),"")</f>
        <v>PA</v>
      </c>
      <c r="N1541" t="str">
        <f>IFERROR(VLOOKUP(VALUE(J1541),'Site Info'!$A:$G,6,FALSE),"")</f>
        <v>17402-2406</v>
      </c>
      <c r="O1541">
        <f>IFERROR(VLOOKUP(VALUE(J1541),'Site Info'!$A:$G,7,FALSE),"")</f>
        <v>7178400111</v>
      </c>
    </row>
    <row r="1542" spans="1:15" x14ac:dyDescent="0.45">
      <c r="A1542" t="s">
        <v>5680</v>
      </c>
      <c r="B1542" t="s">
        <v>5681</v>
      </c>
      <c r="C1542" t="s">
        <v>5682</v>
      </c>
      <c r="D1542" t="s">
        <v>3268</v>
      </c>
      <c r="E1542" s="1">
        <v>46153.342499999999</v>
      </c>
      <c r="F1542">
        <v>1547</v>
      </c>
      <c r="G1542" t="s">
        <v>5683</v>
      </c>
      <c r="H1542" t="s">
        <v>15</v>
      </c>
      <c r="I1542" t="s">
        <v>3270</v>
      </c>
      <c r="J1542" t="str">
        <f>RIGHT(D1542,4)</f>
        <v>6443</v>
      </c>
      <c r="K1542" t="str">
        <f>IFERROR(VLOOKUP(VALUE(J1542),'Site Info'!$A:$G,3,FALSE),"")</f>
        <v>2811 N PARK DR</v>
      </c>
      <c r="L1542" t="str">
        <f>IFERROR(VLOOKUP(VALUE(J1542),'Site Info'!$A:$G,4,FALSE),"")</f>
        <v>GOLDSBORO</v>
      </c>
      <c r="M1542" t="str">
        <f>IFERROR(VLOOKUP(VALUE(J1542),'Site Info'!$A:$G,5,FALSE),"")</f>
        <v>NC</v>
      </c>
      <c r="N1542" t="str">
        <f>IFERROR(VLOOKUP(VALUE(J1542),'Site Info'!$A:$G,6,FALSE),"")</f>
        <v>27534-7485</v>
      </c>
      <c r="O1542">
        <f>IFERROR(VLOOKUP(VALUE(J1542),'Site Info'!$A:$G,7,FALSE),"")</f>
        <v>9197789775</v>
      </c>
    </row>
    <row r="1543" spans="1:15" x14ac:dyDescent="0.45">
      <c r="A1543" t="s">
        <v>5756</v>
      </c>
      <c r="B1543" t="s">
        <v>5757</v>
      </c>
      <c r="C1543" t="s">
        <v>5758</v>
      </c>
      <c r="D1543" t="s">
        <v>3268</v>
      </c>
      <c r="E1543" s="1">
        <v>46153.370219907411</v>
      </c>
      <c r="F1543">
        <v>1547</v>
      </c>
      <c r="G1543" t="s">
        <v>5759</v>
      </c>
      <c r="H1543" t="s">
        <v>15</v>
      </c>
      <c r="I1543" t="s">
        <v>3270</v>
      </c>
      <c r="J1543" t="str">
        <f>RIGHT(D1543,4)</f>
        <v>6443</v>
      </c>
      <c r="K1543" t="str">
        <f>IFERROR(VLOOKUP(VALUE(J1543),'Site Info'!$A:$G,3,FALSE),"")</f>
        <v>2811 N PARK DR</v>
      </c>
      <c r="L1543" t="str">
        <f>IFERROR(VLOOKUP(VALUE(J1543),'Site Info'!$A:$G,4,FALSE),"")</f>
        <v>GOLDSBORO</v>
      </c>
      <c r="M1543" t="str">
        <f>IFERROR(VLOOKUP(VALUE(J1543),'Site Info'!$A:$G,5,FALSE),"")</f>
        <v>NC</v>
      </c>
      <c r="N1543" t="str">
        <f>IFERROR(VLOOKUP(VALUE(J1543),'Site Info'!$A:$G,6,FALSE),"")</f>
        <v>27534-7485</v>
      </c>
      <c r="O1543">
        <f>IFERROR(VLOOKUP(VALUE(J1543),'Site Info'!$A:$G,7,FALSE),"")</f>
        <v>9197789775</v>
      </c>
    </row>
    <row r="1544" spans="1:15" x14ac:dyDescent="0.45">
      <c r="A1544" t="s">
        <v>3405</v>
      </c>
      <c r="B1544" t="s">
        <v>3406</v>
      </c>
      <c r="C1544" t="s">
        <v>3407</v>
      </c>
      <c r="D1544" t="s">
        <v>3268</v>
      </c>
      <c r="E1544" s="1">
        <v>46152.83148148148</v>
      </c>
      <c r="F1544">
        <v>1481</v>
      </c>
      <c r="G1544" t="s">
        <v>3408</v>
      </c>
      <c r="H1544" t="s">
        <v>15</v>
      </c>
      <c r="I1544" t="s">
        <v>3270</v>
      </c>
      <c r="J1544" t="str">
        <f>RIGHT(D1544,4)</f>
        <v>6443</v>
      </c>
      <c r="K1544" t="str">
        <f>IFERROR(VLOOKUP(VALUE(J1544),'Site Info'!$A:$G,3,FALSE),"")</f>
        <v>2811 N PARK DR</v>
      </c>
      <c r="L1544" t="str">
        <f>IFERROR(VLOOKUP(VALUE(J1544),'Site Info'!$A:$G,4,FALSE),"")</f>
        <v>GOLDSBORO</v>
      </c>
      <c r="M1544" t="str">
        <f>IFERROR(VLOOKUP(VALUE(J1544),'Site Info'!$A:$G,5,FALSE),"")</f>
        <v>NC</v>
      </c>
      <c r="N1544" t="str">
        <f>IFERROR(VLOOKUP(VALUE(J1544),'Site Info'!$A:$G,6,FALSE),"")</f>
        <v>27534-7485</v>
      </c>
      <c r="O1544">
        <f>IFERROR(VLOOKUP(VALUE(J1544),'Site Info'!$A:$G,7,FALSE),"")</f>
        <v>9197789775</v>
      </c>
    </row>
    <row r="1545" spans="1:15" x14ac:dyDescent="0.45">
      <c r="A1545" t="s">
        <v>3265</v>
      </c>
      <c r="B1545" t="s">
        <v>3266</v>
      </c>
      <c r="C1545" t="s">
        <v>3267</v>
      </c>
      <c r="D1545" t="s">
        <v>3268</v>
      </c>
      <c r="E1545" s="1">
        <v>46153.194374999999</v>
      </c>
      <c r="F1545">
        <v>1481</v>
      </c>
      <c r="G1545" t="s">
        <v>3269</v>
      </c>
      <c r="H1545" t="s">
        <v>15</v>
      </c>
      <c r="I1545" t="s">
        <v>3270</v>
      </c>
      <c r="J1545" t="str">
        <f>RIGHT(D1545,4)</f>
        <v>6443</v>
      </c>
      <c r="K1545" t="str">
        <f>IFERROR(VLOOKUP(VALUE(J1545),'Site Info'!$A:$G,3,FALSE),"")</f>
        <v>2811 N PARK DR</v>
      </c>
      <c r="L1545" t="str">
        <f>IFERROR(VLOOKUP(VALUE(J1545),'Site Info'!$A:$G,4,FALSE),"")</f>
        <v>GOLDSBORO</v>
      </c>
      <c r="M1545" t="str">
        <f>IFERROR(VLOOKUP(VALUE(J1545),'Site Info'!$A:$G,5,FALSE),"")</f>
        <v>NC</v>
      </c>
      <c r="N1545" t="str">
        <f>IFERROR(VLOOKUP(VALUE(J1545),'Site Info'!$A:$G,6,FALSE),"")</f>
        <v>27534-7485</v>
      </c>
      <c r="O1545">
        <f>IFERROR(VLOOKUP(VALUE(J1545),'Site Info'!$A:$G,7,FALSE),"")</f>
        <v>9197789775</v>
      </c>
    </row>
    <row r="1546" spans="1:15" x14ac:dyDescent="0.45">
      <c r="A1546" t="s">
        <v>16882</v>
      </c>
      <c r="B1546" t="s">
        <v>16883</v>
      </c>
      <c r="C1546" t="s">
        <v>16884</v>
      </c>
      <c r="D1546" t="s">
        <v>3268</v>
      </c>
      <c r="E1546" s="1">
        <v>46150.869606481479</v>
      </c>
      <c r="F1546">
        <v>1481</v>
      </c>
      <c r="G1546" t="s">
        <v>16885</v>
      </c>
      <c r="H1546" t="s">
        <v>15</v>
      </c>
      <c r="I1546" t="s">
        <v>3270</v>
      </c>
      <c r="J1546" t="str">
        <f>RIGHT(D1546,4)</f>
        <v>6443</v>
      </c>
      <c r="K1546" t="str">
        <f>IFERROR(VLOOKUP(VALUE(J1546),'Site Info'!$A:$G,3,FALSE),"")</f>
        <v>2811 N PARK DR</v>
      </c>
      <c r="L1546" t="str">
        <f>IFERROR(VLOOKUP(VALUE(J1546),'Site Info'!$A:$G,4,FALSE),"")</f>
        <v>GOLDSBORO</v>
      </c>
      <c r="M1546" t="str">
        <f>IFERROR(VLOOKUP(VALUE(J1546),'Site Info'!$A:$G,5,FALSE),"")</f>
        <v>NC</v>
      </c>
      <c r="N1546" t="str">
        <f>IFERROR(VLOOKUP(VALUE(J1546),'Site Info'!$A:$G,6,FALSE),"")</f>
        <v>27534-7485</v>
      </c>
      <c r="O1546">
        <f>IFERROR(VLOOKUP(VALUE(J1546),'Site Info'!$A:$G,7,FALSE),"")</f>
        <v>9197789775</v>
      </c>
    </row>
    <row r="1547" spans="1:15" x14ac:dyDescent="0.45">
      <c r="A1547" t="s">
        <v>8445</v>
      </c>
      <c r="B1547" t="s">
        <v>8446</v>
      </c>
      <c r="C1547" t="s">
        <v>8447</v>
      </c>
      <c r="D1547" t="s">
        <v>7482</v>
      </c>
      <c r="E1547" s="1">
        <v>46151.757071759261</v>
      </c>
      <c r="F1547">
        <v>1547</v>
      </c>
      <c r="G1547" t="s">
        <v>8448</v>
      </c>
      <c r="H1547" t="s">
        <v>15</v>
      </c>
      <c r="I1547" t="s">
        <v>7484</v>
      </c>
      <c r="J1547" t="str">
        <f>RIGHT(D1547,4)</f>
        <v>4933</v>
      </c>
      <c r="K1547" t="str">
        <f>IFERROR(VLOOKUP(VALUE(J1547),'Site Info'!$A:$G,3,FALSE),"")</f>
        <v>2821 ROCK ISLAND PL</v>
      </c>
      <c r="L1547" t="str">
        <f>IFERROR(VLOOKUP(VALUE(J1547),'Site Info'!$A:$G,4,FALSE),"")</f>
        <v>BISMARCK</v>
      </c>
      <c r="M1547" t="str">
        <f>IFERROR(VLOOKUP(VALUE(J1547),'Site Info'!$A:$G,5,FALSE),"")</f>
        <v>ND</v>
      </c>
      <c r="N1547" t="str">
        <f>IFERROR(VLOOKUP(VALUE(J1547),'Site Info'!$A:$G,6,FALSE),"")</f>
        <v>58504-7720</v>
      </c>
      <c r="O1547">
        <f>IFERROR(VLOOKUP(VALUE(J1547),'Site Info'!$A:$G,7,FALSE),"")</f>
        <v>7012221101</v>
      </c>
    </row>
    <row r="1548" spans="1:15" x14ac:dyDescent="0.45">
      <c r="A1548" t="s">
        <v>7527</v>
      </c>
      <c r="B1548" t="s">
        <v>7528</v>
      </c>
      <c r="C1548" t="s">
        <v>7529</v>
      </c>
      <c r="D1548" t="s">
        <v>7482</v>
      </c>
      <c r="E1548" s="1">
        <v>46152.405266203707</v>
      </c>
      <c r="F1548">
        <v>1547</v>
      </c>
      <c r="G1548" t="s">
        <v>7530</v>
      </c>
      <c r="H1548" t="s">
        <v>15</v>
      </c>
      <c r="I1548" t="s">
        <v>7484</v>
      </c>
      <c r="J1548" t="str">
        <f>RIGHT(D1548,4)</f>
        <v>4933</v>
      </c>
      <c r="K1548" t="str">
        <f>IFERROR(VLOOKUP(VALUE(J1548),'Site Info'!$A:$G,3,FALSE),"")</f>
        <v>2821 ROCK ISLAND PL</v>
      </c>
      <c r="L1548" t="str">
        <f>IFERROR(VLOOKUP(VALUE(J1548),'Site Info'!$A:$G,4,FALSE),"")</f>
        <v>BISMARCK</v>
      </c>
      <c r="M1548" t="str">
        <f>IFERROR(VLOOKUP(VALUE(J1548),'Site Info'!$A:$G,5,FALSE),"")</f>
        <v>ND</v>
      </c>
      <c r="N1548" t="str">
        <f>IFERROR(VLOOKUP(VALUE(J1548),'Site Info'!$A:$G,6,FALSE),"")</f>
        <v>58504-7720</v>
      </c>
      <c r="O1548">
        <f>IFERROR(VLOOKUP(VALUE(J1548),'Site Info'!$A:$G,7,FALSE),"")</f>
        <v>7012221101</v>
      </c>
    </row>
    <row r="1549" spans="1:15" x14ac:dyDescent="0.45">
      <c r="A1549" t="s">
        <v>7649</v>
      </c>
      <c r="B1549" t="s">
        <v>7650</v>
      </c>
      <c r="C1549" t="s">
        <v>7651</v>
      </c>
      <c r="D1549" t="s">
        <v>7482</v>
      </c>
      <c r="E1549" s="1">
        <v>46152.632268518515</v>
      </c>
      <c r="F1549">
        <v>1547</v>
      </c>
      <c r="G1549" t="s">
        <v>7652</v>
      </c>
      <c r="H1549" t="s">
        <v>15</v>
      </c>
      <c r="I1549" t="s">
        <v>7484</v>
      </c>
      <c r="J1549" t="str">
        <f>RIGHT(D1549,4)</f>
        <v>4933</v>
      </c>
      <c r="K1549" t="str">
        <f>IFERROR(VLOOKUP(VALUE(J1549),'Site Info'!$A:$G,3,FALSE),"")</f>
        <v>2821 ROCK ISLAND PL</v>
      </c>
      <c r="L1549" t="str">
        <f>IFERROR(VLOOKUP(VALUE(J1549),'Site Info'!$A:$G,4,FALSE),"")</f>
        <v>BISMARCK</v>
      </c>
      <c r="M1549" t="str">
        <f>IFERROR(VLOOKUP(VALUE(J1549),'Site Info'!$A:$G,5,FALSE),"")</f>
        <v>ND</v>
      </c>
      <c r="N1549" t="str">
        <f>IFERROR(VLOOKUP(VALUE(J1549),'Site Info'!$A:$G,6,FALSE),"")</f>
        <v>58504-7720</v>
      </c>
      <c r="O1549">
        <f>IFERROR(VLOOKUP(VALUE(J1549),'Site Info'!$A:$G,7,FALSE),"")</f>
        <v>7012221101</v>
      </c>
    </row>
    <row r="1550" spans="1:15" x14ac:dyDescent="0.45">
      <c r="A1550" t="s">
        <v>7479</v>
      </c>
      <c r="B1550" t="s">
        <v>7480</v>
      </c>
      <c r="C1550" t="s">
        <v>7481</v>
      </c>
      <c r="D1550" t="s">
        <v>7482</v>
      </c>
      <c r="E1550" s="1">
        <v>46153.303969907407</v>
      </c>
      <c r="F1550">
        <v>1547</v>
      </c>
      <c r="G1550" t="s">
        <v>7483</v>
      </c>
      <c r="H1550" t="s">
        <v>15</v>
      </c>
      <c r="I1550" t="s">
        <v>7484</v>
      </c>
      <c r="J1550" t="str">
        <f>RIGHT(D1550,4)</f>
        <v>4933</v>
      </c>
      <c r="K1550" t="str">
        <f>IFERROR(VLOOKUP(VALUE(J1550),'Site Info'!$A:$G,3,FALSE),"")</f>
        <v>2821 ROCK ISLAND PL</v>
      </c>
      <c r="L1550" t="str">
        <f>IFERROR(VLOOKUP(VALUE(J1550),'Site Info'!$A:$G,4,FALSE),"")</f>
        <v>BISMARCK</v>
      </c>
      <c r="M1550" t="str">
        <f>IFERROR(VLOOKUP(VALUE(J1550),'Site Info'!$A:$G,5,FALSE),"")</f>
        <v>ND</v>
      </c>
      <c r="N1550" t="str">
        <f>IFERROR(VLOOKUP(VALUE(J1550),'Site Info'!$A:$G,6,FALSE),"")</f>
        <v>58504-7720</v>
      </c>
      <c r="O1550">
        <f>IFERROR(VLOOKUP(VALUE(J1550),'Site Info'!$A:$G,7,FALSE),"")</f>
        <v>7012221101</v>
      </c>
    </row>
    <row r="1551" spans="1:15" x14ac:dyDescent="0.45">
      <c r="A1551" t="s">
        <v>16536</v>
      </c>
      <c r="B1551" t="s">
        <v>16537</v>
      </c>
      <c r="C1551" t="s">
        <v>16538</v>
      </c>
      <c r="D1551" t="s">
        <v>7482</v>
      </c>
      <c r="E1551" s="1">
        <v>46153.319363425922</v>
      </c>
      <c r="F1551">
        <v>1547</v>
      </c>
      <c r="G1551" t="s">
        <v>16539</v>
      </c>
      <c r="H1551" t="s">
        <v>15</v>
      </c>
      <c r="I1551" t="s">
        <v>7484</v>
      </c>
      <c r="J1551" t="str">
        <f>RIGHT(D1551,4)</f>
        <v>4933</v>
      </c>
      <c r="K1551" t="str">
        <f>IFERROR(VLOOKUP(VALUE(J1551),'Site Info'!$A:$G,3,FALSE),"")</f>
        <v>2821 ROCK ISLAND PL</v>
      </c>
      <c r="L1551" t="str">
        <f>IFERROR(VLOOKUP(VALUE(J1551),'Site Info'!$A:$G,4,FALSE),"")</f>
        <v>BISMARCK</v>
      </c>
      <c r="M1551" t="str">
        <f>IFERROR(VLOOKUP(VALUE(J1551),'Site Info'!$A:$G,5,FALSE),"")</f>
        <v>ND</v>
      </c>
      <c r="N1551" t="str">
        <f>IFERROR(VLOOKUP(VALUE(J1551),'Site Info'!$A:$G,6,FALSE),"")</f>
        <v>58504-7720</v>
      </c>
      <c r="O1551">
        <f>IFERROR(VLOOKUP(VALUE(J1551),'Site Info'!$A:$G,7,FALSE),"")</f>
        <v>7012221101</v>
      </c>
    </row>
    <row r="1552" spans="1:15" x14ac:dyDescent="0.45">
      <c r="A1552" t="s">
        <v>11240</v>
      </c>
      <c r="B1552" t="s">
        <v>11241</v>
      </c>
      <c r="C1552" t="s">
        <v>11242</v>
      </c>
      <c r="D1552" t="s">
        <v>1645</v>
      </c>
      <c r="E1552" s="1">
        <v>46151.743460648147</v>
      </c>
      <c r="F1552">
        <v>1547</v>
      </c>
      <c r="G1552" t="s">
        <v>11243</v>
      </c>
      <c r="H1552" t="s">
        <v>15</v>
      </c>
      <c r="I1552" t="s">
        <v>1647</v>
      </c>
      <c r="J1552" t="str">
        <f>RIGHT(D1552,4)</f>
        <v>4798</v>
      </c>
      <c r="K1552" t="str">
        <f>IFERROR(VLOOKUP(VALUE(J1552),'Site Info'!$A:$G,3,FALSE),"")</f>
        <v>284 SUMMIT SQUARE BLVD</v>
      </c>
      <c r="L1552" t="str">
        <f>IFERROR(VLOOKUP(VALUE(J1552),'Site Info'!$A:$G,4,FALSE),"")</f>
        <v>WINSTON SALEM</v>
      </c>
      <c r="M1552" t="str">
        <f>IFERROR(VLOOKUP(VALUE(J1552),'Site Info'!$A:$G,5,FALSE),"")</f>
        <v>NC</v>
      </c>
      <c r="N1552" t="str">
        <f>IFERROR(VLOOKUP(VALUE(J1552),'Site Info'!$A:$G,6,FALSE),"")</f>
        <v>27105-1461</v>
      </c>
      <c r="O1552">
        <f>IFERROR(VLOOKUP(VALUE(J1552),'Site Info'!$A:$G,7,FALSE),"")</f>
        <v>3363772820</v>
      </c>
    </row>
    <row r="1553" spans="1:15" x14ac:dyDescent="0.45">
      <c r="A1553" t="s">
        <v>11316</v>
      </c>
      <c r="B1553" t="s">
        <v>11317</v>
      </c>
      <c r="C1553" t="s">
        <v>11318</v>
      </c>
      <c r="D1553" t="s">
        <v>1645</v>
      </c>
      <c r="E1553" s="1">
        <v>46153.318229166667</v>
      </c>
      <c r="F1553">
        <v>1547</v>
      </c>
      <c r="G1553" t="s">
        <v>11319</v>
      </c>
      <c r="H1553" t="s">
        <v>15</v>
      </c>
      <c r="I1553" t="s">
        <v>1647</v>
      </c>
      <c r="J1553" t="str">
        <f>RIGHT(D1553,4)</f>
        <v>4798</v>
      </c>
      <c r="K1553" t="str">
        <f>IFERROR(VLOOKUP(VALUE(J1553),'Site Info'!$A:$G,3,FALSE),"")</f>
        <v>284 SUMMIT SQUARE BLVD</v>
      </c>
      <c r="L1553" t="str">
        <f>IFERROR(VLOOKUP(VALUE(J1553),'Site Info'!$A:$G,4,FALSE),"")</f>
        <v>WINSTON SALEM</v>
      </c>
      <c r="M1553" t="str">
        <f>IFERROR(VLOOKUP(VALUE(J1553),'Site Info'!$A:$G,5,FALSE),"")</f>
        <v>NC</v>
      </c>
      <c r="N1553" t="str">
        <f>IFERROR(VLOOKUP(VALUE(J1553),'Site Info'!$A:$G,6,FALSE),"")</f>
        <v>27105-1461</v>
      </c>
      <c r="O1553">
        <f>IFERROR(VLOOKUP(VALUE(J1553),'Site Info'!$A:$G,7,FALSE),"")</f>
        <v>3363772820</v>
      </c>
    </row>
    <row r="1554" spans="1:15" x14ac:dyDescent="0.45">
      <c r="A1554" t="s">
        <v>11468</v>
      </c>
      <c r="B1554" t="s">
        <v>11469</v>
      </c>
      <c r="C1554" t="s">
        <v>11470</v>
      </c>
      <c r="D1554" t="s">
        <v>1645</v>
      </c>
      <c r="E1554" s="1">
        <v>46153.345972222225</v>
      </c>
      <c r="F1554">
        <v>1547</v>
      </c>
      <c r="G1554" t="s">
        <v>11471</v>
      </c>
      <c r="H1554" t="s">
        <v>15</v>
      </c>
      <c r="I1554" t="s">
        <v>1647</v>
      </c>
      <c r="J1554" t="str">
        <f>RIGHT(D1554,4)</f>
        <v>4798</v>
      </c>
      <c r="K1554" t="str">
        <f>IFERROR(VLOOKUP(VALUE(J1554),'Site Info'!$A:$G,3,FALSE),"")</f>
        <v>284 SUMMIT SQUARE BLVD</v>
      </c>
      <c r="L1554" t="str">
        <f>IFERROR(VLOOKUP(VALUE(J1554),'Site Info'!$A:$G,4,FALSE),"")</f>
        <v>WINSTON SALEM</v>
      </c>
      <c r="M1554" t="str">
        <f>IFERROR(VLOOKUP(VALUE(J1554),'Site Info'!$A:$G,5,FALSE),"")</f>
        <v>NC</v>
      </c>
      <c r="N1554" t="str">
        <f>IFERROR(VLOOKUP(VALUE(J1554),'Site Info'!$A:$G,6,FALSE),"")</f>
        <v>27105-1461</v>
      </c>
      <c r="O1554">
        <f>IFERROR(VLOOKUP(VALUE(J1554),'Site Info'!$A:$G,7,FALSE),"")</f>
        <v>3363772820</v>
      </c>
    </row>
    <row r="1555" spans="1:15" x14ac:dyDescent="0.45">
      <c r="A1555" t="s">
        <v>2495</v>
      </c>
      <c r="B1555" t="s">
        <v>2496</v>
      </c>
      <c r="C1555" t="s">
        <v>2497</v>
      </c>
      <c r="D1555" t="s">
        <v>1645</v>
      </c>
      <c r="E1555" s="1">
        <v>46148.714131944442</v>
      </c>
      <c r="F1555">
        <v>1481</v>
      </c>
      <c r="G1555" t="s">
        <v>2498</v>
      </c>
      <c r="H1555" t="s">
        <v>15</v>
      </c>
      <c r="I1555" t="s">
        <v>1647</v>
      </c>
      <c r="J1555" t="str">
        <f>RIGHT(D1555,4)</f>
        <v>4798</v>
      </c>
      <c r="K1555" t="str">
        <f>IFERROR(VLOOKUP(VALUE(J1555),'Site Info'!$A:$G,3,FALSE),"")</f>
        <v>284 SUMMIT SQUARE BLVD</v>
      </c>
      <c r="L1555" t="str">
        <f>IFERROR(VLOOKUP(VALUE(J1555),'Site Info'!$A:$G,4,FALSE),"")</f>
        <v>WINSTON SALEM</v>
      </c>
      <c r="M1555" t="str">
        <f>IFERROR(VLOOKUP(VALUE(J1555),'Site Info'!$A:$G,5,FALSE),"")</f>
        <v>NC</v>
      </c>
      <c r="N1555" t="str">
        <f>IFERROR(VLOOKUP(VALUE(J1555),'Site Info'!$A:$G,6,FALSE),"")</f>
        <v>27105-1461</v>
      </c>
      <c r="O1555">
        <f>IFERROR(VLOOKUP(VALUE(J1555),'Site Info'!$A:$G,7,FALSE),"")</f>
        <v>3363772820</v>
      </c>
    </row>
    <row r="1556" spans="1:15" x14ac:dyDescent="0.45">
      <c r="A1556" t="s">
        <v>1642</v>
      </c>
      <c r="B1556" t="s">
        <v>1643</v>
      </c>
      <c r="C1556" t="s">
        <v>1644</v>
      </c>
      <c r="D1556" t="s">
        <v>1645</v>
      </c>
      <c r="E1556" s="1">
        <v>46151.84783564815</v>
      </c>
      <c r="F1556">
        <v>1481</v>
      </c>
      <c r="G1556" t="s">
        <v>1646</v>
      </c>
      <c r="H1556" t="s">
        <v>15</v>
      </c>
      <c r="I1556" t="s">
        <v>1647</v>
      </c>
      <c r="J1556" t="str">
        <f>RIGHT(D1556,4)</f>
        <v>4798</v>
      </c>
      <c r="K1556" t="str">
        <f>IFERROR(VLOOKUP(VALUE(J1556),'Site Info'!$A:$G,3,FALSE),"")</f>
        <v>284 SUMMIT SQUARE BLVD</v>
      </c>
      <c r="L1556" t="str">
        <f>IFERROR(VLOOKUP(VALUE(J1556),'Site Info'!$A:$G,4,FALSE),"")</f>
        <v>WINSTON SALEM</v>
      </c>
      <c r="M1556" t="str">
        <f>IFERROR(VLOOKUP(VALUE(J1556),'Site Info'!$A:$G,5,FALSE),"")</f>
        <v>NC</v>
      </c>
      <c r="N1556" t="str">
        <f>IFERROR(VLOOKUP(VALUE(J1556),'Site Info'!$A:$G,6,FALSE),"")</f>
        <v>27105-1461</v>
      </c>
      <c r="O1556">
        <f>IFERROR(VLOOKUP(VALUE(J1556),'Site Info'!$A:$G,7,FALSE),"")</f>
        <v>3363772820</v>
      </c>
    </row>
    <row r="1557" spans="1:15" x14ac:dyDescent="0.45">
      <c r="A1557" t="s">
        <v>3397</v>
      </c>
      <c r="B1557" t="s">
        <v>3398</v>
      </c>
      <c r="C1557" t="s">
        <v>3399</v>
      </c>
      <c r="D1557" t="s">
        <v>1645</v>
      </c>
      <c r="E1557" s="1">
        <v>46152.199756944443</v>
      </c>
      <c r="F1557">
        <v>1481</v>
      </c>
      <c r="G1557" t="s">
        <v>3400</v>
      </c>
      <c r="H1557" t="s">
        <v>15</v>
      </c>
      <c r="I1557" t="s">
        <v>1647</v>
      </c>
      <c r="J1557" t="str">
        <f>RIGHT(D1557,4)</f>
        <v>4798</v>
      </c>
      <c r="K1557" t="str">
        <f>IFERROR(VLOOKUP(VALUE(J1557),'Site Info'!$A:$G,3,FALSE),"")</f>
        <v>284 SUMMIT SQUARE BLVD</v>
      </c>
      <c r="L1557" t="str">
        <f>IFERROR(VLOOKUP(VALUE(J1557),'Site Info'!$A:$G,4,FALSE),"")</f>
        <v>WINSTON SALEM</v>
      </c>
      <c r="M1557" t="str">
        <f>IFERROR(VLOOKUP(VALUE(J1557),'Site Info'!$A:$G,5,FALSE),"")</f>
        <v>NC</v>
      </c>
      <c r="N1557" t="str">
        <f>IFERROR(VLOOKUP(VALUE(J1557),'Site Info'!$A:$G,6,FALSE),"")</f>
        <v>27105-1461</v>
      </c>
      <c r="O1557">
        <f>IFERROR(VLOOKUP(VALUE(J1557),'Site Info'!$A:$G,7,FALSE),"")</f>
        <v>3363772820</v>
      </c>
    </row>
    <row r="1558" spans="1:15" x14ac:dyDescent="0.45">
      <c r="A1558" t="s">
        <v>2012</v>
      </c>
      <c r="B1558" t="s">
        <v>2013</v>
      </c>
      <c r="C1558" t="s">
        <v>2014</v>
      </c>
      <c r="D1558" t="s">
        <v>1645</v>
      </c>
      <c r="E1558" s="1">
        <v>46153.235462962963</v>
      </c>
      <c r="F1558">
        <v>1481</v>
      </c>
      <c r="G1558" t="s">
        <v>2015</v>
      </c>
      <c r="H1558" t="s">
        <v>15</v>
      </c>
      <c r="I1558" t="s">
        <v>1647</v>
      </c>
      <c r="J1558" t="str">
        <f>RIGHT(D1558,4)</f>
        <v>4798</v>
      </c>
      <c r="K1558" t="str">
        <f>IFERROR(VLOOKUP(VALUE(J1558),'Site Info'!$A:$G,3,FALSE),"")</f>
        <v>284 SUMMIT SQUARE BLVD</v>
      </c>
      <c r="L1558" t="str">
        <f>IFERROR(VLOOKUP(VALUE(J1558),'Site Info'!$A:$G,4,FALSE),"")</f>
        <v>WINSTON SALEM</v>
      </c>
      <c r="M1558" t="str">
        <f>IFERROR(VLOOKUP(VALUE(J1558),'Site Info'!$A:$G,5,FALSE),"")</f>
        <v>NC</v>
      </c>
      <c r="N1558" t="str">
        <f>IFERROR(VLOOKUP(VALUE(J1558),'Site Info'!$A:$G,6,FALSE),"")</f>
        <v>27105-1461</v>
      </c>
      <c r="O1558">
        <f>IFERROR(VLOOKUP(VALUE(J1558),'Site Info'!$A:$G,7,FALSE),"")</f>
        <v>3363772820</v>
      </c>
    </row>
    <row r="1559" spans="1:15" x14ac:dyDescent="0.45">
      <c r="A1559" t="s">
        <v>3165</v>
      </c>
      <c r="B1559" t="s">
        <v>3166</v>
      </c>
      <c r="C1559" t="s">
        <v>3167</v>
      </c>
      <c r="D1559" t="s">
        <v>1645</v>
      </c>
      <c r="E1559" s="1">
        <v>46153.323298611111</v>
      </c>
      <c r="F1559">
        <v>1481</v>
      </c>
      <c r="G1559" t="s">
        <v>3168</v>
      </c>
      <c r="H1559" t="s">
        <v>15</v>
      </c>
      <c r="I1559" t="s">
        <v>1647</v>
      </c>
      <c r="J1559" t="str">
        <f>RIGHT(D1559,4)</f>
        <v>4798</v>
      </c>
      <c r="K1559" t="str">
        <f>IFERROR(VLOOKUP(VALUE(J1559),'Site Info'!$A:$G,3,FALSE),"")</f>
        <v>284 SUMMIT SQUARE BLVD</v>
      </c>
      <c r="L1559" t="str">
        <f>IFERROR(VLOOKUP(VALUE(J1559),'Site Info'!$A:$G,4,FALSE),"")</f>
        <v>WINSTON SALEM</v>
      </c>
      <c r="M1559" t="str">
        <f>IFERROR(VLOOKUP(VALUE(J1559),'Site Info'!$A:$G,5,FALSE),"")</f>
        <v>NC</v>
      </c>
      <c r="N1559" t="str">
        <f>IFERROR(VLOOKUP(VALUE(J1559),'Site Info'!$A:$G,6,FALSE),"")</f>
        <v>27105-1461</v>
      </c>
      <c r="O1559">
        <f>IFERROR(VLOOKUP(VALUE(J1559),'Site Info'!$A:$G,7,FALSE),"")</f>
        <v>3363772820</v>
      </c>
    </row>
    <row r="1560" spans="1:15" x14ac:dyDescent="0.45">
      <c r="A1560" t="s">
        <v>10833</v>
      </c>
      <c r="B1560" t="s">
        <v>10834</v>
      </c>
      <c r="C1560" t="s">
        <v>10835</v>
      </c>
      <c r="D1560" t="s">
        <v>1645</v>
      </c>
      <c r="E1560" s="1">
        <v>46153.018645833334</v>
      </c>
      <c r="F1560">
        <v>1581</v>
      </c>
      <c r="G1560" t="s">
        <v>10836</v>
      </c>
      <c r="H1560" t="s">
        <v>15</v>
      </c>
      <c r="I1560" t="s">
        <v>1647</v>
      </c>
      <c r="J1560" t="str">
        <f>RIGHT(D1560,4)</f>
        <v>4798</v>
      </c>
      <c r="K1560" t="str">
        <f>IFERROR(VLOOKUP(VALUE(J1560),'Site Info'!$A:$G,3,FALSE),"")</f>
        <v>284 SUMMIT SQUARE BLVD</v>
      </c>
      <c r="L1560" t="str">
        <f>IFERROR(VLOOKUP(VALUE(J1560),'Site Info'!$A:$G,4,FALSE),"")</f>
        <v>WINSTON SALEM</v>
      </c>
      <c r="M1560" t="str">
        <f>IFERROR(VLOOKUP(VALUE(J1560),'Site Info'!$A:$G,5,FALSE),"")</f>
        <v>NC</v>
      </c>
      <c r="N1560" t="str">
        <f>IFERROR(VLOOKUP(VALUE(J1560),'Site Info'!$A:$G,6,FALSE),"")</f>
        <v>27105-1461</v>
      </c>
      <c r="O1560">
        <f>IFERROR(VLOOKUP(VALUE(J1560),'Site Info'!$A:$G,7,FALSE),"")</f>
        <v>3363772820</v>
      </c>
    </row>
    <row r="1561" spans="1:15" x14ac:dyDescent="0.45">
      <c r="A1561" t="s">
        <v>16420</v>
      </c>
      <c r="B1561" t="s">
        <v>16451</v>
      </c>
      <c r="C1561" t="s">
        <v>16452</v>
      </c>
      <c r="D1561" t="s">
        <v>1645</v>
      </c>
      <c r="E1561" s="1">
        <v>46152.833553240744</v>
      </c>
      <c r="F1561">
        <v>1628</v>
      </c>
      <c r="G1561" t="s">
        <v>16453</v>
      </c>
      <c r="H1561" t="s">
        <v>13988</v>
      </c>
      <c r="I1561" t="s">
        <v>1647</v>
      </c>
      <c r="J1561" t="str">
        <f>RIGHT(D1561,4)</f>
        <v>4798</v>
      </c>
      <c r="K1561" t="str">
        <f>IFERROR(VLOOKUP(VALUE(J1561),'Site Info'!$A:$G,3,FALSE),"")</f>
        <v>284 SUMMIT SQUARE BLVD</v>
      </c>
      <c r="L1561" t="str">
        <f>IFERROR(VLOOKUP(VALUE(J1561),'Site Info'!$A:$G,4,FALSE),"")</f>
        <v>WINSTON SALEM</v>
      </c>
      <c r="M1561" t="str">
        <f>IFERROR(VLOOKUP(VALUE(J1561),'Site Info'!$A:$G,5,FALSE),"")</f>
        <v>NC</v>
      </c>
      <c r="N1561" t="str">
        <f>IFERROR(VLOOKUP(VALUE(J1561),'Site Info'!$A:$G,6,FALSE),"")</f>
        <v>27105-1461</v>
      </c>
      <c r="O1561">
        <f>IFERROR(VLOOKUP(VALUE(J1561),'Site Info'!$A:$G,7,FALSE),"")</f>
        <v>3363772820</v>
      </c>
    </row>
    <row r="1562" spans="1:15" x14ac:dyDescent="0.45">
      <c r="A1562" t="s">
        <v>13391</v>
      </c>
      <c r="B1562" t="s">
        <v>13392</v>
      </c>
      <c r="C1562" t="s">
        <v>13393</v>
      </c>
      <c r="D1562" t="s">
        <v>1781</v>
      </c>
      <c r="E1562" s="1">
        <v>46151.73709490741</v>
      </c>
      <c r="F1562">
        <v>1547</v>
      </c>
      <c r="G1562" t="s">
        <v>13394</v>
      </c>
      <c r="H1562" t="s">
        <v>15</v>
      </c>
      <c r="I1562" t="s">
        <v>1783</v>
      </c>
      <c r="J1562" t="str">
        <f>RIGHT(D1562,4)</f>
        <v>4905</v>
      </c>
      <c r="K1562" t="str">
        <f>IFERROR(VLOOKUP(VALUE(J1562),'Site Info'!$A:$G,3,FALSE),"")</f>
        <v>2850 W UNIVERSITY DR</v>
      </c>
      <c r="L1562" t="str">
        <f>IFERROR(VLOOKUP(VALUE(J1562),'Site Info'!$A:$G,4,FALSE),"")</f>
        <v>DENTON</v>
      </c>
      <c r="M1562" t="str">
        <f>IFERROR(VLOOKUP(VALUE(J1562),'Site Info'!$A:$G,5,FALSE),"")</f>
        <v>TX</v>
      </c>
      <c r="N1562" t="str">
        <f>IFERROR(VLOOKUP(VALUE(J1562),'Site Info'!$A:$G,6,FALSE),"")</f>
        <v>76201-1601</v>
      </c>
      <c r="O1562">
        <f>IFERROR(VLOOKUP(VALUE(J1562),'Site Info'!$A:$G,7,FALSE),"")</f>
        <v>9408981529</v>
      </c>
    </row>
    <row r="1563" spans="1:15" x14ac:dyDescent="0.45">
      <c r="A1563" t="s">
        <v>10588</v>
      </c>
      <c r="B1563" t="s">
        <v>10589</v>
      </c>
      <c r="C1563" t="s">
        <v>10590</v>
      </c>
      <c r="D1563" t="s">
        <v>1781</v>
      </c>
      <c r="E1563" s="1">
        <v>46152.499398148146</v>
      </c>
      <c r="F1563">
        <v>1547</v>
      </c>
      <c r="G1563" t="s">
        <v>10591</v>
      </c>
      <c r="H1563" t="s">
        <v>15</v>
      </c>
      <c r="I1563" t="s">
        <v>1783</v>
      </c>
      <c r="J1563" t="str">
        <f>RIGHT(D1563,4)</f>
        <v>4905</v>
      </c>
      <c r="K1563" t="str">
        <f>IFERROR(VLOOKUP(VALUE(J1563),'Site Info'!$A:$G,3,FALSE),"")</f>
        <v>2850 W UNIVERSITY DR</v>
      </c>
      <c r="L1563" t="str">
        <f>IFERROR(VLOOKUP(VALUE(J1563),'Site Info'!$A:$G,4,FALSE),"")</f>
        <v>DENTON</v>
      </c>
      <c r="M1563" t="str">
        <f>IFERROR(VLOOKUP(VALUE(J1563),'Site Info'!$A:$G,5,FALSE),"")</f>
        <v>TX</v>
      </c>
      <c r="N1563" t="str">
        <f>IFERROR(VLOOKUP(VALUE(J1563),'Site Info'!$A:$G,6,FALSE),"")</f>
        <v>76201-1601</v>
      </c>
      <c r="O1563">
        <f>IFERROR(VLOOKUP(VALUE(J1563),'Site Info'!$A:$G,7,FALSE),"")</f>
        <v>9408981529</v>
      </c>
    </row>
    <row r="1564" spans="1:15" x14ac:dyDescent="0.45">
      <c r="A1564" t="s">
        <v>4916</v>
      </c>
      <c r="B1564" t="s">
        <v>4917</v>
      </c>
      <c r="C1564" t="s">
        <v>4918</v>
      </c>
      <c r="D1564" t="s">
        <v>1781</v>
      </c>
      <c r="E1564" s="1">
        <v>46152.717013888891</v>
      </c>
      <c r="F1564">
        <v>1547</v>
      </c>
      <c r="G1564" t="s">
        <v>4919</v>
      </c>
      <c r="H1564" t="s">
        <v>15</v>
      </c>
      <c r="I1564" t="s">
        <v>1783</v>
      </c>
      <c r="J1564" t="str">
        <f>RIGHT(D1564,4)</f>
        <v>4905</v>
      </c>
      <c r="K1564" t="str">
        <f>IFERROR(VLOOKUP(VALUE(J1564),'Site Info'!$A:$G,3,FALSE),"")</f>
        <v>2850 W UNIVERSITY DR</v>
      </c>
      <c r="L1564" t="str">
        <f>IFERROR(VLOOKUP(VALUE(J1564),'Site Info'!$A:$G,4,FALSE),"")</f>
        <v>DENTON</v>
      </c>
      <c r="M1564" t="str">
        <f>IFERROR(VLOOKUP(VALUE(J1564),'Site Info'!$A:$G,5,FALSE),"")</f>
        <v>TX</v>
      </c>
      <c r="N1564" t="str">
        <f>IFERROR(VLOOKUP(VALUE(J1564),'Site Info'!$A:$G,6,FALSE),"")</f>
        <v>76201-1601</v>
      </c>
      <c r="O1564">
        <f>IFERROR(VLOOKUP(VALUE(J1564),'Site Info'!$A:$G,7,FALSE),"")</f>
        <v>9408981529</v>
      </c>
    </row>
    <row r="1565" spans="1:15" x14ac:dyDescent="0.45">
      <c r="A1565" t="s">
        <v>12024</v>
      </c>
      <c r="B1565" t="s">
        <v>12025</v>
      </c>
      <c r="C1565" t="s">
        <v>12026</v>
      </c>
      <c r="D1565" t="s">
        <v>1781</v>
      </c>
      <c r="E1565" s="1">
        <v>46152.860069444447</v>
      </c>
      <c r="F1565">
        <v>1547</v>
      </c>
      <c r="G1565" t="s">
        <v>12027</v>
      </c>
      <c r="H1565" t="s">
        <v>15</v>
      </c>
      <c r="I1565" t="s">
        <v>1783</v>
      </c>
      <c r="J1565" t="str">
        <f>RIGHT(D1565,4)</f>
        <v>4905</v>
      </c>
      <c r="K1565" t="str">
        <f>IFERROR(VLOOKUP(VALUE(J1565),'Site Info'!$A:$G,3,FALSE),"")</f>
        <v>2850 W UNIVERSITY DR</v>
      </c>
      <c r="L1565" t="str">
        <f>IFERROR(VLOOKUP(VALUE(J1565),'Site Info'!$A:$G,4,FALSE),"")</f>
        <v>DENTON</v>
      </c>
      <c r="M1565" t="str">
        <f>IFERROR(VLOOKUP(VALUE(J1565),'Site Info'!$A:$G,5,FALSE),"")</f>
        <v>TX</v>
      </c>
      <c r="N1565" t="str">
        <f>IFERROR(VLOOKUP(VALUE(J1565),'Site Info'!$A:$G,6,FALSE),"")</f>
        <v>76201-1601</v>
      </c>
      <c r="O1565">
        <f>IFERROR(VLOOKUP(VALUE(J1565),'Site Info'!$A:$G,7,FALSE),"")</f>
        <v>9408981529</v>
      </c>
    </row>
    <row r="1566" spans="1:15" x14ac:dyDescent="0.45">
      <c r="A1566" t="s">
        <v>12008</v>
      </c>
      <c r="B1566" t="s">
        <v>12009</v>
      </c>
      <c r="C1566" t="s">
        <v>12010</v>
      </c>
      <c r="D1566" t="s">
        <v>1781</v>
      </c>
      <c r="E1566" s="1">
        <v>46153.371412037035</v>
      </c>
      <c r="F1566">
        <v>1547</v>
      </c>
      <c r="G1566" t="s">
        <v>12011</v>
      </c>
      <c r="H1566" t="s">
        <v>15</v>
      </c>
      <c r="I1566" t="s">
        <v>1783</v>
      </c>
      <c r="J1566" t="str">
        <f>RIGHT(D1566,4)</f>
        <v>4905</v>
      </c>
      <c r="K1566" t="str">
        <f>IFERROR(VLOOKUP(VALUE(J1566),'Site Info'!$A:$G,3,FALSE),"")</f>
        <v>2850 W UNIVERSITY DR</v>
      </c>
      <c r="L1566" t="str">
        <f>IFERROR(VLOOKUP(VALUE(J1566),'Site Info'!$A:$G,4,FALSE),"")</f>
        <v>DENTON</v>
      </c>
      <c r="M1566" t="str">
        <f>IFERROR(VLOOKUP(VALUE(J1566),'Site Info'!$A:$G,5,FALSE),"")</f>
        <v>TX</v>
      </c>
      <c r="N1566" t="str">
        <f>IFERROR(VLOOKUP(VALUE(J1566),'Site Info'!$A:$G,6,FALSE),"")</f>
        <v>76201-1601</v>
      </c>
      <c r="O1566">
        <f>IFERROR(VLOOKUP(VALUE(J1566),'Site Info'!$A:$G,7,FALSE),"")</f>
        <v>9408981529</v>
      </c>
    </row>
    <row r="1567" spans="1:15" x14ac:dyDescent="0.45">
      <c r="A1567" t="s">
        <v>1778</v>
      </c>
      <c r="B1567" t="s">
        <v>1779</v>
      </c>
      <c r="C1567" t="s">
        <v>1780</v>
      </c>
      <c r="D1567" t="s">
        <v>1781</v>
      </c>
      <c r="E1567" s="1">
        <v>46153.338564814818</v>
      </c>
      <c r="F1567">
        <v>1481</v>
      </c>
      <c r="G1567" t="s">
        <v>1782</v>
      </c>
      <c r="H1567" t="s">
        <v>15</v>
      </c>
      <c r="I1567" t="s">
        <v>1783</v>
      </c>
      <c r="J1567" t="str">
        <f>RIGHT(D1567,4)</f>
        <v>4905</v>
      </c>
      <c r="K1567" t="str">
        <f>IFERROR(VLOOKUP(VALUE(J1567),'Site Info'!$A:$G,3,FALSE),"")</f>
        <v>2850 W UNIVERSITY DR</v>
      </c>
      <c r="L1567" t="str">
        <f>IFERROR(VLOOKUP(VALUE(J1567),'Site Info'!$A:$G,4,FALSE),"")</f>
        <v>DENTON</v>
      </c>
      <c r="M1567" t="str">
        <f>IFERROR(VLOOKUP(VALUE(J1567),'Site Info'!$A:$G,5,FALSE),"")</f>
        <v>TX</v>
      </c>
      <c r="N1567" t="str">
        <f>IFERROR(VLOOKUP(VALUE(J1567),'Site Info'!$A:$G,6,FALSE),"")</f>
        <v>76201-1601</v>
      </c>
      <c r="O1567">
        <f>IFERROR(VLOOKUP(VALUE(J1567),'Site Info'!$A:$G,7,FALSE),"")</f>
        <v>9408981529</v>
      </c>
    </row>
    <row r="1568" spans="1:15" x14ac:dyDescent="0.45">
      <c r="A1568" t="s">
        <v>14217</v>
      </c>
      <c r="B1568" t="s">
        <v>14218</v>
      </c>
      <c r="C1568" t="s">
        <v>14219</v>
      </c>
      <c r="D1568" t="s">
        <v>232</v>
      </c>
      <c r="E1568" s="1">
        <v>46153.274942129632</v>
      </c>
      <c r="F1568">
        <v>1863</v>
      </c>
      <c r="G1568" t="s">
        <v>14220</v>
      </c>
      <c r="H1568" t="s">
        <v>136</v>
      </c>
      <c r="I1568" t="s">
        <v>233</v>
      </c>
      <c r="J1568" t="str">
        <f>RIGHT(D1568,4)</f>
        <v>8251</v>
      </c>
      <c r="K1568" t="str">
        <f>IFERROR(VLOOKUP(VALUE(J1568),'Site Info'!$A:$G,3,FALSE),"")</f>
        <v>2855 VETERANS MEMORIAL PKWY</v>
      </c>
      <c r="L1568" t="str">
        <f>IFERROR(VLOOKUP(VALUE(J1568),'Site Info'!$A:$G,4,FALSE),"")</f>
        <v>SAINT CHARLES</v>
      </c>
      <c r="M1568" t="str">
        <f>IFERROR(VLOOKUP(VALUE(J1568),'Site Info'!$A:$G,5,FALSE),"")</f>
        <v>MO</v>
      </c>
      <c r="N1568" t="str">
        <f>IFERROR(VLOOKUP(VALUE(J1568),'Site Info'!$A:$G,6,FALSE),"")</f>
        <v>63303-3526</v>
      </c>
      <c r="O1568">
        <f>IFERROR(VLOOKUP(VALUE(J1568),'Site Info'!$A:$G,7,FALSE),"")</f>
        <v>6369467002</v>
      </c>
    </row>
    <row r="1569" spans="1:15" x14ac:dyDescent="0.45">
      <c r="A1569" t="s">
        <v>10556</v>
      </c>
      <c r="B1569" t="s">
        <v>10557</v>
      </c>
      <c r="C1569" t="s">
        <v>10558</v>
      </c>
      <c r="D1569" t="s">
        <v>232</v>
      </c>
      <c r="E1569" s="1">
        <v>46152.310023148151</v>
      </c>
      <c r="F1569">
        <v>1547</v>
      </c>
      <c r="G1569" t="s">
        <v>10559</v>
      </c>
      <c r="H1569" t="s">
        <v>15</v>
      </c>
      <c r="I1569" t="s">
        <v>233</v>
      </c>
      <c r="J1569" t="str">
        <f>RIGHT(D1569,4)</f>
        <v>8251</v>
      </c>
      <c r="K1569" t="str">
        <f>IFERROR(VLOOKUP(VALUE(J1569),'Site Info'!$A:$G,3,FALSE),"")</f>
        <v>2855 VETERANS MEMORIAL PKWY</v>
      </c>
      <c r="L1569" t="str">
        <f>IFERROR(VLOOKUP(VALUE(J1569),'Site Info'!$A:$G,4,FALSE),"")</f>
        <v>SAINT CHARLES</v>
      </c>
      <c r="M1569" t="str">
        <f>IFERROR(VLOOKUP(VALUE(J1569),'Site Info'!$A:$G,5,FALSE),"")</f>
        <v>MO</v>
      </c>
      <c r="N1569" t="str">
        <f>IFERROR(VLOOKUP(VALUE(J1569),'Site Info'!$A:$G,6,FALSE),"")</f>
        <v>63303-3526</v>
      </c>
      <c r="O1569">
        <f>IFERROR(VLOOKUP(VALUE(J1569),'Site Info'!$A:$G,7,FALSE),"")</f>
        <v>6369467002</v>
      </c>
    </row>
    <row r="1570" spans="1:15" x14ac:dyDescent="0.45">
      <c r="A1570" t="s">
        <v>9725</v>
      </c>
      <c r="B1570" t="s">
        <v>9726</v>
      </c>
      <c r="C1570" t="s">
        <v>9727</v>
      </c>
      <c r="D1570" t="s">
        <v>232</v>
      </c>
      <c r="E1570" s="1">
        <v>46153.324814814812</v>
      </c>
      <c r="F1570">
        <v>1547</v>
      </c>
      <c r="G1570" t="s">
        <v>9728</v>
      </c>
      <c r="H1570" t="s">
        <v>15</v>
      </c>
      <c r="I1570" t="s">
        <v>233</v>
      </c>
      <c r="J1570" t="str">
        <f>RIGHT(D1570,4)</f>
        <v>8251</v>
      </c>
      <c r="K1570" t="str">
        <f>IFERROR(VLOOKUP(VALUE(J1570),'Site Info'!$A:$G,3,FALSE),"")</f>
        <v>2855 VETERANS MEMORIAL PKWY</v>
      </c>
      <c r="L1570" t="str">
        <f>IFERROR(VLOOKUP(VALUE(J1570),'Site Info'!$A:$G,4,FALSE),"")</f>
        <v>SAINT CHARLES</v>
      </c>
      <c r="M1570" t="str">
        <f>IFERROR(VLOOKUP(VALUE(J1570),'Site Info'!$A:$G,5,FALSE),"")</f>
        <v>MO</v>
      </c>
      <c r="N1570" t="str">
        <f>IFERROR(VLOOKUP(VALUE(J1570),'Site Info'!$A:$G,6,FALSE),"")</f>
        <v>63303-3526</v>
      </c>
      <c r="O1570">
        <f>IFERROR(VLOOKUP(VALUE(J1570),'Site Info'!$A:$G,7,FALSE),"")</f>
        <v>6369467002</v>
      </c>
    </row>
    <row r="1571" spans="1:15" x14ac:dyDescent="0.45">
      <c r="A1571" t="s">
        <v>16512</v>
      </c>
      <c r="B1571" t="s">
        <v>17216</v>
      </c>
      <c r="C1571" t="s">
        <v>17217</v>
      </c>
      <c r="D1571" t="s">
        <v>232</v>
      </c>
      <c r="E1571" s="1">
        <v>46119.502268518518</v>
      </c>
      <c r="F1571">
        <v>1628</v>
      </c>
      <c r="G1571" t="s">
        <v>17218</v>
      </c>
      <c r="H1571" t="s">
        <v>13988</v>
      </c>
      <c r="I1571" t="s">
        <v>233</v>
      </c>
      <c r="J1571" t="str">
        <f>RIGHT(D1571,4)</f>
        <v>8251</v>
      </c>
      <c r="K1571" t="str">
        <f>IFERROR(VLOOKUP(VALUE(J1571),'Site Info'!$A:$G,3,FALSE),"")</f>
        <v>2855 VETERANS MEMORIAL PKWY</v>
      </c>
      <c r="L1571" t="str">
        <f>IFERROR(VLOOKUP(VALUE(J1571),'Site Info'!$A:$G,4,FALSE),"")</f>
        <v>SAINT CHARLES</v>
      </c>
      <c r="M1571" t="str">
        <f>IFERROR(VLOOKUP(VALUE(J1571),'Site Info'!$A:$G,5,FALSE),"")</f>
        <v>MO</v>
      </c>
      <c r="N1571" t="str">
        <f>IFERROR(VLOOKUP(VALUE(J1571),'Site Info'!$A:$G,6,FALSE),"")</f>
        <v>63303-3526</v>
      </c>
      <c r="O1571">
        <f>IFERROR(VLOOKUP(VALUE(J1571),'Site Info'!$A:$G,7,FALSE),"")</f>
        <v>6369467002</v>
      </c>
    </row>
    <row r="1572" spans="1:15" x14ac:dyDescent="0.45">
      <c r="A1572" t="s">
        <v>17219</v>
      </c>
      <c r="B1572" t="s">
        <v>17220</v>
      </c>
      <c r="C1572" t="s">
        <v>17221</v>
      </c>
      <c r="D1572" t="s">
        <v>232</v>
      </c>
      <c r="E1572" s="1">
        <v>46153.282719907409</v>
      </c>
      <c r="F1572">
        <v>1547</v>
      </c>
      <c r="G1572" t="s">
        <v>17222</v>
      </c>
      <c r="H1572" t="s">
        <v>15</v>
      </c>
      <c r="I1572" t="s">
        <v>233</v>
      </c>
      <c r="J1572" t="str">
        <f>RIGHT(D1572,4)</f>
        <v>8251</v>
      </c>
      <c r="K1572" t="str">
        <f>IFERROR(VLOOKUP(VALUE(J1572),'Site Info'!$A:$G,3,FALSE),"")</f>
        <v>2855 VETERANS MEMORIAL PKWY</v>
      </c>
      <c r="L1572" t="str">
        <f>IFERROR(VLOOKUP(VALUE(J1572),'Site Info'!$A:$G,4,FALSE),"")</f>
        <v>SAINT CHARLES</v>
      </c>
      <c r="M1572" t="str">
        <f>IFERROR(VLOOKUP(VALUE(J1572),'Site Info'!$A:$G,5,FALSE),"")</f>
        <v>MO</v>
      </c>
      <c r="N1572" t="str">
        <f>IFERROR(VLOOKUP(VALUE(J1572),'Site Info'!$A:$G,6,FALSE),"")</f>
        <v>63303-3526</v>
      </c>
      <c r="O1572">
        <f>IFERROR(VLOOKUP(VALUE(J1572),'Site Info'!$A:$G,7,FALSE),"")</f>
        <v>6369467002</v>
      </c>
    </row>
    <row r="1573" spans="1:15" x14ac:dyDescent="0.45">
      <c r="A1573" t="s">
        <v>8277</v>
      </c>
      <c r="B1573" t="s">
        <v>8278</v>
      </c>
      <c r="C1573" t="s">
        <v>8279</v>
      </c>
      <c r="D1573" t="s">
        <v>4038</v>
      </c>
      <c r="E1573" s="1">
        <v>46151.547986111109</v>
      </c>
      <c r="F1573">
        <v>1547</v>
      </c>
      <c r="G1573" t="s">
        <v>8280</v>
      </c>
      <c r="H1573" t="s">
        <v>15</v>
      </c>
      <c r="I1573" t="s">
        <v>4040</v>
      </c>
      <c r="J1573" t="str">
        <f>RIGHT(D1573,4)</f>
        <v>4109</v>
      </c>
      <c r="K1573" t="str">
        <f>IFERROR(VLOOKUP(VALUE(J1573),'Site Info'!$A:$G,3,FALSE),"")</f>
        <v>2861 BEENE BLVD</v>
      </c>
      <c r="L1573" t="str">
        <f>IFERROR(VLOOKUP(VALUE(J1573),'Site Info'!$A:$G,4,FALSE),"")</f>
        <v>BOSSIER CITY</v>
      </c>
      <c r="M1573" t="str">
        <f>IFERROR(VLOOKUP(VALUE(J1573),'Site Info'!$A:$G,5,FALSE),"")</f>
        <v>LA</v>
      </c>
      <c r="N1573" t="str">
        <f>IFERROR(VLOOKUP(VALUE(J1573),'Site Info'!$A:$G,6,FALSE),"")</f>
        <v>71111-0000</v>
      </c>
      <c r="O1573">
        <f>IFERROR(VLOOKUP(VALUE(J1573),'Site Info'!$A:$G,7,FALSE),"")</f>
        <v>3186066004</v>
      </c>
    </row>
    <row r="1574" spans="1:15" x14ac:dyDescent="0.45">
      <c r="A1574" t="s">
        <v>8829</v>
      </c>
      <c r="B1574" t="s">
        <v>8830</v>
      </c>
      <c r="C1574" t="s">
        <v>8831</v>
      </c>
      <c r="D1574" t="s">
        <v>4038</v>
      </c>
      <c r="E1574" s="1">
        <v>46151.744976851849</v>
      </c>
      <c r="F1574">
        <v>1547</v>
      </c>
      <c r="G1574" t="s">
        <v>8832</v>
      </c>
      <c r="H1574" t="s">
        <v>15</v>
      </c>
      <c r="I1574" t="s">
        <v>4040</v>
      </c>
      <c r="J1574" t="str">
        <f>RIGHT(D1574,4)</f>
        <v>4109</v>
      </c>
      <c r="K1574" t="str">
        <f>IFERROR(VLOOKUP(VALUE(J1574),'Site Info'!$A:$G,3,FALSE),"")</f>
        <v>2861 BEENE BLVD</v>
      </c>
      <c r="L1574" t="str">
        <f>IFERROR(VLOOKUP(VALUE(J1574),'Site Info'!$A:$G,4,FALSE),"")</f>
        <v>BOSSIER CITY</v>
      </c>
      <c r="M1574" t="str">
        <f>IFERROR(VLOOKUP(VALUE(J1574),'Site Info'!$A:$G,5,FALSE),"")</f>
        <v>LA</v>
      </c>
      <c r="N1574" t="str">
        <f>IFERROR(VLOOKUP(VALUE(J1574),'Site Info'!$A:$G,6,FALSE),"")</f>
        <v>71111-0000</v>
      </c>
      <c r="O1574">
        <f>IFERROR(VLOOKUP(VALUE(J1574),'Site Info'!$A:$G,7,FALSE),"")</f>
        <v>3186066004</v>
      </c>
    </row>
    <row r="1575" spans="1:15" x14ac:dyDescent="0.45">
      <c r="A1575" t="s">
        <v>7043</v>
      </c>
      <c r="B1575" t="s">
        <v>7044</v>
      </c>
      <c r="C1575" t="s">
        <v>7045</v>
      </c>
      <c r="D1575" t="s">
        <v>4038</v>
      </c>
      <c r="E1575" s="1">
        <v>46152.571585648147</v>
      </c>
      <c r="F1575">
        <v>1547</v>
      </c>
      <c r="G1575" t="s">
        <v>7046</v>
      </c>
      <c r="H1575" t="s">
        <v>15</v>
      </c>
      <c r="I1575" t="s">
        <v>4040</v>
      </c>
      <c r="J1575" t="str">
        <f>RIGHT(D1575,4)</f>
        <v>4109</v>
      </c>
      <c r="K1575" t="str">
        <f>IFERROR(VLOOKUP(VALUE(J1575),'Site Info'!$A:$G,3,FALSE),"")</f>
        <v>2861 BEENE BLVD</v>
      </c>
      <c r="L1575" t="str">
        <f>IFERROR(VLOOKUP(VALUE(J1575),'Site Info'!$A:$G,4,FALSE),"")</f>
        <v>BOSSIER CITY</v>
      </c>
      <c r="M1575" t="str">
        <f>IFERROR(VLOOKUP(VALUE(J1575),'Site Info'!$A:$G,5,FALSE),"")</f>
        <v>LA</v>
      </c>
      <c r="N1575" t="str">
        <f>IFERROR(VLOOKUP(VALUE(J1575),'Site Info'!$A:$G,6,FALSE),"")</f>
        <v>71111-0000</v>
      </c>
      <c r="O1575">
        <f>IFERROR(VLOOKUP(VALUE(J1575),'Site Info'!$A:$G,7,FALSE),"")</f>
        <v>3186066004</v>
      </c>
    </row>
    <row r="1576" spans="1:15" x14ac:dyDescent="0.45">
      <c r="A1576" t="s">
        <v>8509</v>
      </c>
      <c r="B1576" t="s">
        <v>8510</v>
      </c>
      <c r="C1576" t="s">
        <v>8511</v>
      </c>
      <c r="D1576" t="s">
        <v>4038</v>
      </c>
      <c r="E1576" s="1">
        <v>46153.344293981485</v>
      </c>
      <c r="F1576">
        <v>1547</v>
      </c>
      <c r="G1576" t="s">
        <v>8512</v>
      </c>
      <c r="H1576" t="s">
        <v>15</v>
      </c>
      <c r="I1576" t="s">
        <v>4040</v>
      </c>
      <c r="J1576" t="str">
        <f>RIGHT(D1576,4)</f>
        <v>4109</v>
      </c>
      <c r="K1576" t="str">
        <f>IFERROR(VLOOKUP(VALUE(J1576),'Site Info'!$A:$G,3,FALSE),"")</f>
        <v>2861 BEENE BLVD</v>
      </c>
      <c r="L1576" t="str">
        <f>IFERROR(VLOOKUP(VALUE(J1576),'Site Info'!$A:$G,4,FALSE),"")</f>
        <v>BOSSIER CITY</v>
      </c>
      <c r="M1576" t="str">
        <f>IFERROR(VLOOKUP(VALUE(J1576),'Site Info'!$A:$G,5,FALSE),"")</f>
        <v>LA</v>
      </c>
      <c r="N1576" t="str">
        <f>IFERROR(VLOOKUP(VALUE(J1576),'Site Info'!$A:$G,6,FALSE),"")</f>
        <v>71111-0000</v>
      </c>
      <c r="O1576">
        <f>IFERROR(VLOOKUP(VALUE(J1576),'Site Info'!$A:$G,7,FALSE),"")</f>
        <v>3186066004</v>
      </c>
    </row>
    <row r="1577" spans="1:15" x14ac:dyDescent="0.45">
      <c r="A1577" t="s">
        <v>7625</v>
      </c>
      <c r="B1577" t="s">
        <v>7626</v>
      </c>
      <c r="C1577" t="s">
        <v>7627</v>
      </c>
      <c r="D1577" t="s">
        <v>4038</v>
      </c>
      <c r="E1577" s="1">
        <v>46153.365787037037</v>
      </c>
      <c r="F1577">
        <v>1547</v>
      </c>
      <c r="G1577" t="s">
        <v>7628</v>
      </c>
      <c r="H1577" t="s">
        <v>15</v>
      </c>
      <c r="I1577" t="s">
        <v>4040</v>
      </c>
      <c r="J1577" t="str">
        <f>RIGHT(D1577,4)</f>
        <v>4109</v>
      </c>
      <c r="K1577" t="str">
        <f>IFERROR(VLOOKUP(VALUE(J1577),'Site Info'!$A:$G,3,FALSE),"")</f>
        <v>2861 BEENE BLVD</v>
      </c>
      <c r="L1577" t="str">
        <f>IFERROR(VLOOKUP(VALUE(J1577),'Site Info'!$A:$G,4,FALSE),"")</f>
        <v>BOSSIER CITY</v>
      </c>
      <c r="M1577" t="str">
        <f>IFERROR(VLOOKUP(VALUE(J1577),'Site Info'!$A:$G,5,FALSE),"")</f>
        <v>LA</v>
      </c>
      <c r="N1577" t="str">
        <f>IFERROR(VLOOKUP(VALUE(J1577),'Site Info'!$A:$G,6,FALSE),"")</f>
        <v>71111-0000</v>
      </c>
      <c r="O1577">
        <f>IFERROR(VLOOKUP(VALUE(J1577),'Site Info'!$A:$G,7,FALSE),"")</f>
        <v>3186066004</v>
      </c>
    </row>
    <row r="1578" spans="1:15" x14ac:dyDescent="0.45">
      <c r="A1578" t="s">
        <v>4035</v>
      </c>
      <c r="B1578" t="s">
        <v>4036</v>
      </c>
      <c r="C1578" t="s">
        <v>4037</v>
      </c>
      <c r="D1578" t="s">
        <v>4038</v>
      </c>
      <c r="E1578" s="1">
        <v>46083.779513888891</v>
      </c>
      <c r="F1578">
        <v>1481</v>
      </c>
      <c r="G1578" t="s">
        <v>4039</v>
      </c>
      <c r="H1578" t="s">
        <v>15</v>
      </c>
      <c r="I1578" t="s">
        <v>4040</v>
      </c>
      <c r="J1578" t="str">
        <f>RIGHT(D1578,4)</f>
        <v>4109</v>
      </c>
      <c r="K1578" t="str">
        <f>IFERROR(VLOOKUP(VALUE(J1578),'Site Info'!$A:$G,3,FALSE),"")</f>
        <v>2861 BEENE BLVD</v>
      </c>
      <c r="L1578" t="str">
        <f>IFERROR(VLOOKUP(VALUE(J1578),'Site Info'!$A:$G,4,FALSE),"")</f>
        <v>BOSSIER CITY</v>
      </c>
      <c r="M1578" t="str">
        <f>IFERROR(VLOOKUP(VALUE(J1578),'Site Info'!$A:$G,5,FALSE),"")</f>
        <v>LA</v>
      </c>
      <c r="N1578" t="str">
        <f>IFERROR(VLOOKUP(VALUE(J1578),'Site Info'!$A:$G,6,FALSE),"")</f>
        <v>71111-0000</v>
      </c>
      <c r="O1578">
        <f>IFERROR(VLOOKUP(VALUE(J1578),'Site Info'!$A:$G,7,FALSE),"")</f>
        <v>3186066004</v>
      </c>
    </row>
    <row r="1579" spans="1:15" x14ac:dyDescent="0.45">
      <c r="A1579" t="s">
        <v>6200</v>
      </c>
      <c r="B1579" t="s">
        <v>6201</v>
      </c>
      <c r="C1579" t="s">
        <v>6202</v>
      </c>
      <c r="D1579" t="s">
        <v>2524</v>
      </c>
      <c r="E1579" s="1">
        <v>46153.346354166664</v>
      </c>
      <c r="F1579">
        <v>1548</v>
      </c>
      <c r="G1579" t="s">
        <v>6203</v>
      </c>
      <c r="H1579" t="s">
        <v>15</v>
      </c>
      <c r="I1579" t="s">
        <v>2526</v>
      </c>
      <c r="J1579" t="str">
        <f>RIGHT(D1579,4)</f>
        <v>6678</v>
      </c>
      <c r="K1579" t="str">
        <f>IFERROR(VLOOKUP(VALUE(J1579),'Site Info'!$A:$G,3,FALSE),"")</f>
        <v>289 MT. NEBO POINT DRIVE</v>
      </c>
      <c r="L1579" t="str">
        <f>IFERROR(VLOOKUP(VALUE(J1579),'Site Info'!$A:$G,4,FALSE),"")</f>
        <v>PITTSBURGH</v>
      </c>
      <c r="M1579" t="str">
        <f>IFERROR(VLOOKUP(VALUE(J1579),'Site Info'!$A:$G,5,FALSE),"")</f>
        <v>PA</v>
      </c>
      <c r="N1579" t="str">
        <f>IFERROR(VLOOKUP(VALUE(J1579),'Site Info'!$A:$G,6,FALSE),"")</f>
        <v>15237-1313</v>
      </c>
      <c r="O1579">
        <f>IFERROR(VLOOKUP(VALUE(J1579),'Site Info'!$A:$G,7,FALSE),"")</f>
        <v>4123641572</v>
      </c>
    </row>
    <row r="1580" spans="1:15" x14ac:dyDescent="0.45">
      <c r="A1580" t="s">
        <v>9870</v>
      </c>
      <c r="B1580" t="s">
        <v>9871</v>
      </c>
      <c r="C1580" t="s">
        <v>9872</v>
      </c>
      <c r="D1580" t="s">
        <v>2524</v>
      </c>
      <c r="E1580" s="1">
        <v>46152.419479166667</v>
      </c>
      <c r="F1580">
        <v>1547</v>
      </c>
      <c r="G1580" t="s">
        <v>9873</v>
      </c>
      <c r="H1580" t="s">
        <v>15</v>
      </c>
      <c r="I1580" t="s">
        <v>2526</v>
      </c>
      <c r="J1580" t="str">
        <f>RIGHT(D1580,4)</f>
        <v>6678</v>
      </c>
      <c r="K1580" t="str">
        <f>IFERROR(VLOOKUP(VALUE(J1580),'Site Info'!$A:$G,3,FALSE),"")</f>
        <v>289 MT. NEBO POINT DRIVE</v>
      </c>
      <c r="L1580" t="str">
        <f>IFERROR(VLOOKUP(VALUE(J1580),'Site Info'!$A:$G,4,FALSE),"")</f>
        <v>PITTSBURGH</v>
      </c>
      <c r="M1580" t="str">
        <f>IFERROR(VLOOKUP(VALUE(J1580),'Site Info'!$A:$G,5,FALSE),"")</f>
        <v>PA</v>
      </c>
      <c r="N1580" t="str">
        <f>IFERROR(VLOOKUP(VALUE(J1580),'Site Info'!$A:$G,6,FALSE),"")</f>
        <v>15237-1313</v>
      </c>
      <c r="O1580">
        <f>IFERROR(VLOOKUP(VALUE(J1580),'Site Info'!$A:$G,7,FALSE),"")</f>
        <v>4123641572</v>
      </c>
    </row>
    <row r="1581" spans="1:15" x14ac:dyDescent="0.45">
      <c r="A1581" t="s">
        <v>9926</v>
      </c>
      <c r="B1581" t="s">
        <v>9927</v>
      </c>
      <c r="C1581" t="s">
        <v>9928</v>
      </c>
      <c r="D1581" t="s">
        <v>2524</v>
      </c>
      <c r="E1581" s="1">
        <v>46152.50104166667</v>
      </c>
      <c r="F1581">
        <v>1547</v>
      </c>
      <c r="G1581" t="s">
        <v>9929</v>
      </c>
      <c r="H1581" t="s">
        <v>15</v>
      </c>
      <c r="I1581" t="s">
        <v>2526</v>
      </c>
      <c r="J1581" t="str">
        <f>RIGHT(D1581,4)</f>
        <v>6678</v>
      </c>
      <c r="K1581" t="str">
        <f>IFERROR(VLOOKUP(VALUE(J1581),'Site Info'!$A:$G,3,FALSE),"")</f>
        <v>289 MT. NEBO POINT DRIVE</v>
      </c>
      <c r="L1581" t="str">
        <f>IFERROR(VLOOKUP(VALUE(J1581),'Site Info'!$A:$G,4,FALSE),"")</f>
        <v>PITTSBURGH</v>
      </c>
      <c r="M1581" t="str">
        <f>IFERROR(VLOOKUP(VALUE(J1581),'Site Info'!$A:$G,5,FALSE),"")</f>
        <v>PA</v>
      </c>
      <c r="N1581" t="str">
        <f>IFERROR(VLOOKUP(VALUE(J1581),'Site Info'!$A:$G,6,FALSE),"")</f>
        <v>15237-1313</v>
      </c>
      <c r="O1581">
        <f>IFERROR(VLOOKUP(VALUE(J1581),'Site Info'!$A:$G,7,FALSE),"")</f>
        <v>4123641572</v>
      </c>
    </row>
    <row r="1582" spans="1:15" x14ac:dyDescent="0.45">
      <c r="A1582" t="s">
        <v>9828</v>
      </c>
      <c r="B1582" t="s">
        <v>9829</v>
      </c>
      <c r="C1582" t="s">
        <v>9830</v>
      </c>
      <c r="D1582" t="s">
        <v>2524</v>
      </c>
      <c r="E1582" s="1">
        <v>46152.630532407406</v>
      </c>
      <c r="F1582">
        <v>1547</v>
      </c>
      <c r="G1582" t="s">
        <v>9831</v>
      </c>
      <c r="H1582" t="s">
        <v>15</v>
      </c>
      <c r="I1582" t="s">
        <v>2526</v>
      </c>
      <c r="J1582" t="str">
        <f>RIGHT(D1582,4)</f>
        <v>6678</v>
      </c>
      <c r="K1582" t="str">
        <f>IFERROR(VLOOKUP(VALUE(J1582),'Site Info'!$A:$G,3,FALSE),"")</f>
        <v>289 MT. NEBO POINT DRIVE</v>
      </c>
      <c r="L1582" t="str">
        <f>IFERROR(VLOOKUP(VALUE(J1582),'Site Info'!$A:$G,4,FALSE),"")</f>
        <v>PITTSBURGH</v>
      </c>
      <c r="M1582" t="str">
        <f>IFERROR(VLOOKUP(VALUE(J1582),'Site Info'!$A:$G,5,FALSE),"")</f>
        <v>PA</v>
      </c>
      <c r="N1582" t="str">
        <f>IFERROR(VLOOKUP(VALUE(J1582),'Site Info'!$A:$G,6,FALSE),"")</f>
        <v>15237-1313</v>
      </c>
      <c r="O1582">
        <f>IFERROR(VLOOKUP(VALUE(J1582),'Site Info'!$A:$G,7,FALSE),"")</f>
        <v>4123641572</v>
      </c>
    </row>
    <row r="1583" spans="1:15" x14ac:dyDescent="0.45">
      <c r="A1583" t="s">
        <v>2521</v>
      </c>
      <c r="B1583" t="s">
        <v>2522</v>
      </c>
      <c r="C1583" t="s">
        <v>2523</v>
      </c>
      <c r="D1583" t="s">
        <v>2524</v>
      </c>
      <c r="E1583" s="1">
        <v>46153.344548611109</v>
      </c>
      <c r="F1583">
        <v>1481</v>
      </c>
      <c r="G1583" t="s">
        <v>2525</v>
      </c>
      <c r="H1583" t="s">
        <v>15</v>
      </c>
      <c r="I1583" t="s">
        <v>2526</v>
      </c>
      <c r="J1583" t="str">
        <f>RIGHT(D1583,4)</f>
        <v>6678</v>
      </c>
      <c r="K1583" t="str">
        <f>IFERROR(VLOOKUP(VALUE(J1583),'Site Info'!$A:$G,3,FALSE),"")</f>
        <v>289 MT. NEBO POINT DRIVE</v>
      </c>
      <c r="L1583" t="str">
        <f>IFERROR(VLOOKUP(VALUE(J1583),'Site Info'!$A:$G,4,FALSE),"")</f>
        <v>PITTSBURGH</v>
      </c>
      <c r="M1583" t="str">
        <f>IFERROR(VLOOKUP(VALUE(J1583),'Site Info'!$A:$G,5,FALSE),"")</f>
        <v>PA</v>
      </c>
      <c r="N1583" t="str">
        <f>IFERROR(VLOOKUP(VALUE(J1583),'Site Info'!$A:$G,6,FALSE),"")</f>
        <v>15237-1313</v>
      </c>
      <c r="O1583">
        <f>IFERROR(VLOOKUP(VALUE(J1583),'Site Info'!$A:$G,7,FALSE),"")</f>
        <v>4123641572</v>
      </c>
    </row>
    <row r="1584" spans="1:15" x14ac:dyDescent="0.45">
      <c r="A1584" t="s">
        <v>6953</v>
      </c>
      <c r="B1584" t="s">
        <v>6954</v>
      </c>
      <c r="C1584" t="s">
        <v>6955</v>
      </c>
      <c r="D1584" t="s">
        <v>727</v>
      </c>
      <c r="E1584" s="1">
        <v>46153.141944444447</v>
      </c>
      <c r="F1584">
        <v>1547</v>
      </c>
      <c r="G1584" t="s">
        <v>6956</v>
      </c>
      <c r="H1584" t="s">
        <v>15</v>
      </c>
      <c r="I1584" t="s">
        <v>729</v>
      </c>
      <c r="J1584" t="str">
        <f>RIGHT(D1584,4)</f>
        <v>8282</v>
      </c>
      <c r="K1584" t="str">
        <f>IFERROR(VLOOKUP(VALUE(J1584),'Site Info'!$A:$G,3,FALSE),"")</f>
        <v>2900 W WHEATLAND RD</v>
      </c>
      <c r="L1584" t="str">
        <f>IFERROR(VLOOKUP(VALUE(J1584),'Site Info'!$A:$G,4,FALSE),"")</f>
        <v>DALLAS</v>
      </c>
      <c r="M1584" t="str">
        <f>IFERROR(VLOOKUP(VALUE(J1584),'Site Info'!$A:$G,5,FALSE),"")</f>
        <v>TX</v>
      </c>
      <c r="N1584" t="str">
        <f>IFERROR(VLOOKUP(VALUE(J1584),'Site Info'!$A:$G,6,FALSE),"")</f>
        <v>75237-3535</v>
      </c>
      <c r="O1584">
        <f>IFERROR(VLOOKUP(VALUE(J1584),'Site Info'!$A:$G,7,FALSE),"")</f>
        <v>9722831704</v>
      </c>
    </row>
    <row r="1585" spans="1:15" x14ac:dyDescent="0.45">
      <c r="A1585" t="s">
        <v>4618</v>
      </c>
      <c r="B1585" t="s">
        <v>4619</v>
      </c>
      <c r="C1585" t="s">
        <v>4620</v>
      </c>
      <c r="D1585" t="s">
        <v>727</v>
      </c>
      <c r="E1585" s="1">
        <v>46153.231469907405</v>
      </c>
      <c r="F1585">
        <v>1547</v>
      </c>
      <c r="G1585" t="s">
        <v>4621</v>
      </c>
      <c r="H1585" t="s">
        <v>15</v>
      </c>
      <c r="I1585" t="s">
        <v>729</v>
      </c>
      <c r="J1585" t="str">
        <f>RIGHT(D1585,4)</f>
        <v>8282</v>
      </c>
      <c r="K1585" t="str">
        <f>IFERROR(VLOOKUP(VALUE(J1585),'Site Info'!$A:$G,3,FALSE),"")</f>
        <v>2900 W WHEATLAND RD</v>
      </c>
      <c r="L1585" t="str">
        <f>IFERROR(VLOOKUP(VALUE(J1585),'Site Info'!$A:$G,4,FALSE),"")</f>
        <v>DALLAS</v>
      </c>
      <c r="M1585" t="str">
        <f>IFERROR(VLOOKUP(VALUE(J1585),'Site Info'!$A:$G,5,FALSE),"")</f>
        <v>TX</v>
      </c>
      <c r="N1585" t="str">
        <f>IFERROR(VLOOKUP(VALUE(J1585),'Site Info'!$A:$G,6,FALSE),"")</f>
        <v>75237-3535</v>
      </c>
      <c r="O1585">
        <f>IFERROR(VLOOKUP(VALUE(J1585),'Site Info'!$A:$G,7,FALSE),"")</f>
        <v>9722831704</v>
      </c>
    </row>
    <row r="1586" spans="1:15" x14ac:dyDescent="0.45">
      <c r="A1586" t="s">
        <v>6557</v>
      </c>
      <c r="B1586" t="s">
        <v>6558</v>
      </c>
      <c r="C1586" t="s">
        <v>6559</v>
      </c>
      <c r="D1586" t="s">
        <v>727</v>
      </c>
      <c r="E1586" s="1">
        <v>46153.332905092589</v>
      </c>
      <c r="F1586">
        <v>1547</v>
      </c>
      <c r="G1586" t="s">
        <v>6560</v>
      </c>
      <c r="H1586" t="s">
        <v>15</v>
      </c>
      <c r="I1586" t="s">
        <v>729</v>
      </c>
      <c r="J1586" t="str">
        <f>RIGHT(D1586,4)</f>
        <v>8282</v>
      </c>
      <c r="K1586" t="str">
        <f>IFERROR(VLOOKUP(VALUE(J1586),'Site Info'!$A:$G,3,FALSE),"")</f>
        <v>2900 W WHEATLAND RD</v>
      </c>
      <c r="L1586" t="str">
        <f>IFERROR(VLOOKUP(VALUE(J1586),'Site Info'!$A:$G,4,FALSE),"")</f>
        <v>DALLAS</v>
      </c>
      <c r="M1586" t="str">
        <f>IFERROR(VLOOKUP(VALUE(J1586),'Site Info'!$A:$G,5,FALSE),"")</f>
        <v>TX</v>
      </c>
      <c r="N1586" t="str">
        <f>IFERROR(VLOOKUP(VALUE(J1586),'Site Info'!$A:$G,6,FALSE),"")</f>
        <v>75237-3535</v>
      </c>
      <c r="O1586">
        <f>IFERROR(VLOOKUP(VALUE(J1586),'Site Info'!$A:$G,7,FALSE),"")</f>
        <v>9722831704</v>
      </c>
    </row>
    <row r="1587" spans="1:15" x14ac:dyDescent="0.45">
      <c r="A1587" t="s">
        <v>1500</v>
      </c>
      <c r="B1587" t="s">
        <v>1501</v>
      </c>
      <c r="C1587" t="s">
        <v>1502</v>
      </c>
      <c r="D1587" t="s">
        <v>727</v>
      </c>
      <c r="E1587" s="1">
        <v>46151.712754629632</v>
      </c>
      <c r="F1587">
        <v>1481</v>
      </c>
      <c r="G1587" t="s">
        <v>1503</v>
      </c>
      <c r="H1587" t="s">
        <v>15</v>
      </c>
      <c r="I1587" t="s">
        <v>729</v>
      </c>
      <c r="J1587" t="str">
        <f>RIGHT(D1587,4)</f>
        <v>8282</v>
      </c>
      <c r="K1587" t="str">
        <f>IFERROR(VLOOKUP(VALUE(J1587),'Site Info'!$A:$G,3,FALSE),"")</f>
        <v>2900 W WHEATLAND RD</v>
      </c>
      <c r="L1587" t="str">
        <f>IFERROR(VLOOKUP(VALUE(J1587),'Site Info'!$A:$G,4,FALSE),"")</f>
        <v>DALLAS</v>
      </c>
      <c r="M1587" t="str">
        <f>IFERROR(VLOOKUP(VALUE(J1587),'Site Info'!$A:$G,5,FALSE),"")</f>
        <v>TX</v>
      </c>
      <c r="N1587" t="str">
        <f>IFERROR(VLOOKUP(VALUE(J1587),'Site Info'!$A:$G,6,FALSE),"")</f>
        <v>75237-3535</v>
      </c>
      <c r="O1587">
        <f>IFERROR(VLOOKUP(VALUE(J1587),'Site Info'!$A:$G,7,FALSE),"")</f>
        <v>9722831704</v>
      </c>
    </row>
    <row r="1588" spans="1:15" x14ac:dyDescent="0.45">
      <c r="A1588" t="s">
        <v>724</v>
      </c>
      <c r="B1588" t="s">
        <v>725</v>
      </c>
      <c r="C1588" t="s">
        <v>726</v>
      </c>
      <c r="D1588" t="s">
        <v>727</v>
      </c>
      <c r="E1588" s="1">
        <v>46153.369490740741</v>
      </c>
      <c r="F1588">
        <v>1481</v>
      </c>
      <c r="G1588" t="s">
        <v>728</v>
      </c>
      <c r="H1588" t="s">
        <v>15</v>
      </c>
      <c r="I1588" t="s">
        <v>729</v>
      </c>
      <c r="J1588" t="str">
        <f>RIGHT(D1588,4)</f>
        <v>8282</v>
      </c>
      <c r="K1588" t="str">
        <f>IFERROR(VLOOKUP(VALUE(J1588),'Site Info'!$A:$G,3,FALSE),"")</f>
        <v>2900 W WHEATLAND RD</v>
      </c>
      <c r="L1588" t="str">
        <f>IFERROR(VLOOKUP(VALUE(J1588),'Site Info'!$A:$G,4,FALSE),"")</f>
        <v>DALLAS</v>
      </c>
      <c r="M1588" t="str">
        <f>IFERROR(VLOOKUP(VALUE(J1588),'Site Info'!$A:$G,5,FALSE),"")</f>
        <v>TX</v>
      </c>
      <c r="N1588" t="str">
        <f>IFERROR(VLOOKUP(VALUE(J1588),'Site Info'!$A:$G,6,FALSE),"")</f>
        <v>75237-3535</v>
      </c>
      <c r="O1588">
        <f>IFERROR(VLOOKUP(VALUE(J1588),'Site Info'!$A:$G,7,FALSE),"")</f>
        <v>9722831704</v>
      </c>
    </row>
    <row r="1589" spans="1:15" x14ac:dyDescent="0.45">
      <c r="A1589" t="s">
        <v>1424</v>
      </c>
      <c r="B1589" t="s">
        <v>1425</v>
      </c>
      <c r="C1589" t="s">
        <v>1426</v>
      </c>
      <c r="D1589" t="s">
        <v>727</v>
      </c>
      <c r="E1589" s="1">
        <v>46153.371342592596</v>
      </c>
      <c r="F1589">
        <v>1481</v>
      </c>
      <c r="G1589" t="s">
        <v>1427</v>
      </c>
      <c r="H1589" t="s">
        <v>15</v>
      </c>
      <c r="I1589" t="s">
        <v>729</v>
      </c>
      <c r="J1589" t="str">
        <f>RIGHT(D1589,4)</f>
        <v>8282</v>
      </c>
      <c r="K1589" t="str">
        <f>IFERROR(VLOOKUP(VALUE(J1589),'Site Info'!$A:$G,3,FALSE),"")</f>
        <v>2900 W WHEATLAND RD</v>
      </c>
      <c r="L1589" t="str">
        <f>IFERROR(VLOOKUP(VALUE(J1589),'Site Info'!$A:$G,4,FALSE),"")</f>
        <v>DALLAS</v>
      </c>
      <c r="M1589" t="str">
        <f>IFERROR(VLOOKUP(VALUE(J1589),'Site Info'!$A:$G,5,FALSE),"")</f>
        <v>TX</v>
      </c>
      <c r="N1589" t="str">
        <f>IFERROR(VLOOKUP(VALUE(J1589),'Site Info'!$A:$G,6,FALSE),"")</f>
        <v>75237-3535</v>
      </c>
      <c r="O1589">
        <f>IFERROR(VLOOKUP(VALUE(J1589),'Site Info'!$A:$G,7,FALSE),"")</f>
        <v>9722831704</v>
      </c>
    </row>
    <row r="1590" spans="1:15" x14ac:dyDescent="0.45">
      <c r="A1590" t="s">
        <v>17282</v>
      </c>
      <c r="B1590" t="s">
        <v>17283</v>
      </c>
      <c r="C1590" t="s">
        <v>17284</v>
      </c>
      <c r="D1590" t="s">
        <v>727</v>
      </c>
      <c r="E1590" s="1">
        <v>46152.676006944443</v>
      </c>
      <c r="F1590">
        <v>1547</v>
      </c>
      <c r="G1590" t="s">
        <v>17285</v>
      </c>
      <c r="H1590" t="s">
        <v>15</v>
      </c>
      <c r="I1590" t="s">
        <v>729</v>
      </c>
      <c r="J1590" t="str">
        <f>RIGHT(D1590,4)</f>
        <v>8282</v>
      </c>
      <c r="K1590" t="str">
        <f>IFERROR(VLOOKUP(VALUE(J1590),'Site Info'!$A:$G,3,FALSE),"")</f>
        <v>2900 W WHEATLAND RD</v>
      </c>
      <c r="L1590" t="str">
        <f>IFERROR(VLOOKUP(VALUE(J1590),'Site Info'!$A:$G,4,FALSE),"")</f>
        <v>DALLAS</v>
      </c>
      <c r="M1590" t="str">
        <f>IFERROR(VLOOKUP(VALUE(J1590),'Site Info'!$A:$G,5,FALSE),"")</f>
        <v>TX</v>
      </c>
      <c r="N1590" t="str">
        <f>IFERROR(VLOOKUP(VALUE(J1590),'Site Info'!$A:$G,6,FALSE),"")</f>
        <v>75237-3535</v>
      </c>
      <c r="O1590">
        <f>IFERROR(VLOOKUP(VALUE(J1590),'Site Info'!$A:$G,7,FALSE),"")</f>
        <v>9722831704</v>
      </c>
    </row>
    <row r="1591" spans="1:15" x14ac:dyDescent="0.45">
      <c r="A1591" t="s">
        <v>17286</v>
      </c>
      <c r="B1591" t="s">
        <v>17287</v>
      </c>
      <c r="C1591" t="s">
        <v>17288</v>
      </c>
      <c r="D1591" t="s">
        <v>727</v>
      </c>
      <c r="E1591" s="1">
        <v>46153.0934837963</v>
      </c>
      <c r="F1591">
        <v>1547</v>
      </c>
      <c r="G1591" t="s">
        <v>17289</v>
      </c>
      <c r="H1591" t="s">
        <v>15</v>
      </c>
      <c r="I1591" t="s">
        <v>729</v>
      </c>
      <c r="J1591" t="str">
        <f>RIGHT(D1591,4)</f>
        <v>8282</v>
      </c>
      <c r="K1591" t="str">
        <f>IFERROR(VLOOKUP(VALUE(J1591),'Site Info'!$A:$G,3,FALSE),"")</f>
        <v>2900 W WHEATLAND RD</v>
      </c>
      <c r="L1591" t="str">
        <f>IFERROR(VLOOKUP(VALUE(J1591),'Site Info'!$A:$G,4,FALSE),"")</f>
        <v>DALLAS</v>
      </c>
      <c r="M1591" t="str">
        <f>IFERROR(VLOOKUP(VALUE(J1591),'Site Info'!$A:$G,5,FALSE),"")</f>
        <v>TX</v>
      </c>
      <c r="N1591" t="str">
        <f>IFERROR(VLOOKUP(VALUE(J1591),'Site Info'!$A:$G,6,FALSE),"")</f>
        <v>75237-3535</v>
      </c>
      <c r="O1591">
        <f>IFERROR(VLOOKUP(VALUE(J1591),'Site Info'!$A:$G,7,FALSE),"")</f>
        <v>9722831704</v>
      </c>
    </row>
    <row r="1592" spans="1:15" x14ac:dyDescent="0.45">
      <c r="A1592" t="s">
        <v>11988</v>
      </c>
      <c r="B1592" t="s">
        <v>11989</v>
      </c>
      <c r="C1592" t="s">
        <v>11990</v>
      </c>
      <c r="D1592" t="s">
        <v>577</v>
      </c>
      <c r="E1592" s="1">
        <v>46150.405428240738</v>
      </c>
      <c r="F1592">
        <v>1547</v>
      </c>
      <c r="G1592" t="s">
        <v>11991</v>
      </c>
      <c r="H1592" t="s">
        <v>15</v>
      </c>
      <c r="I1592" t="s">
        <v>579</v>
      </c>
      <c r="J1592" t="str">
        <f>RIGHT(D1592,4)</f>
        <v>6643</v>
      </c>
      <c r="K1592" t="str">
        <f>IFERROR(VLOOKUP(VALUE(J1592),'Site Info'!$A:$G,3,FALSE),"")</f>
        <v>2901 CLAIRMONT RD NE</v>
      </c>
      <c r="L1592" t="str">
        <f>IFERROR(VLOOKUP(VALUE(J1592),'Site Info'!$A:$G,4,FALSE),"")</f>
        <v>ATLANTA</v>
      </c>
      <c r="M1592" t="str">
        <f>IFERROR(VLOOKUP(VALUE(J1592),'Site Info'!$A:$G,5,FALSE),"")</f>
        <v>GA</v>
      </c>
      <c r="N1592" t="str">
        <f>IFERROR(VLOOKUP(VALUE(J1592),'Site Info'!$A:$G,6,FALSE),"")</f>
        <v>30329-1639</v>
      </c>
      <c r="O1592">
        <f>IFERROR(VLOOKUP(VALUE(J1592),'Site Info'!$A:$G,7,FALSE),"")</f>
        <v>4043254000</v>
      </c>
    </row>
    <row r="1593" spans="1:15" x14ac:dyDescent="0.45">
      <c r="A1593" t="s">
        <v>12048</v>
      </c>
      <c r="B1593" t="s">
        <v>12049</v>
      </c>
      <c r="C1593" t="s">
        <v>12050</v>
      </c>
      <c r="D1593" t="s">
        <v>577</v>
      </c>
      <c r="E1593" s="1">
        <v>46152.627824074072</v>
      </c>
      <c r="F1593">
        <v>1547</v>
      </c>
      <c r="G1593" t="s">
        <v>12051</v>
      </c>
      <c r="H1593" t="s">
        <v>15</v>
      </c>
      <c r="I1593" t="s">
        <v>579</v>
      </c>
      <c r="J1593" t="str">
        <f>RIGHT(D1593,4)</f>
        <v>6643</v>
      </c>
      <c r="K1593" t="str">
        <f>IFERROR(VLOOKUP(VALUE(J1593),'Site Info'!$A:$G,3,FALSE),"")</f>
        <v>2901 CLAIRMONT RD NE</v>
      </c>
      <c r="L1593" t="str">
        <f>IFERROR(VLOOKUP(VALUE(J1593),'Site Info'!$A:$G,4,FALSE),"")</f>
        <v>ATLANTA</v>
      </c>
      <c r="M1593" t="str">
        <f>IFERROR(VLOOKUP(VALUE(J1593),'Site Info'!$A:$G,5,FALSE),"")</f>
        <v>GA</v>
      </c>
      <c r="N1593" t="str">
        <f>IFERROR(VLOOKUP(VALUE(J1593),'Site Info'!$A:$G,6,FALSE),"")</f>
        <v>30329-1639</v>
      </c>
      <c r="O1593">
        <f>IFERROR(VLOOKUP(VALUE(J1593),'Site Info'!$A:$G,7,FALSE),"")</f>
        <v>4043254000</v>
      </c>
    </row>
    <row r="1594" spans="1:15" x14ac:dyDescent="0.45">
      <c r="A1594" t="s">
        <v>11984</v>
      </c>
      <c r="B1594" t="s">
        <v>11985</v>
      </c>
      <c r="C1594" t="s">
        <v>11986</v>
      </c>
      <c r="D1594" t="s">
        <v>577</v>
      </c>
      <c r="E1594" s="1">
        <v>46153.294861111113</v>
      </c>
      <c r="F1594">
        <v>1547</v>
      </c>
      <c r="G1594" t="s">
        <v>11987</v>
      </c>
      <c r="H1594" t="s">
        <v>15</v>
      </c>
      <c r="I1594" t="s">
        <v>579</v>
      </c>
      <c r="J1594" t="str">
        <f>RIGHT(D1594,4)</f>
        <v>6643</v>
      </c>
      <c r="K1594" t="str">
        <f>IFERROR(VLOOKUP(VALUE(J1594),'Site Info'!$A:$G,3,FALSE),"")</f>
        <v>2901 CLAIRMONT RD NE</v>
      </c>
      <c r="L1594" t="str">
        <f>IFERROR(VLOOKUP(VALUE(J1594),'Site Info'!$A:$G,4,FALSE),"")</f>
        <v>ATLANTA</v>
      </c>
      <c r="M1594" t="str">
        <f>IFERROR(VLOOKUP(VALUE(J1594),'Site Info'!$A:$G,5,FALSE),"")</f>
        <v>GA</v>
      </c>
      <c r="N1594" t="str">
        <f>IFERROR(VLOOKUP(VALUE(J1594),'Site Info'!$A:$G,6,FALSE),"")</f>
        <v>30329-1639</v>
      </c>
      <c r="O1594">
        <f>IFERROR(VLOOKUP(VALUE(J1594),'Site Info'!$A:$G,7,FALSE),"")</f>
        <v>4043254000</v>
      </c>
    </row>
    <row r="1595" spans="1:15" x14ac:dyDescent="0.45">
      <c r="A1595" t="s">
        <v>3483</v>
      </c>
      <c r="B1595" t="s">
        <v>3484</v>
      </c>
      <c r="C1595" t="s">
        <v>3485</v>
      </c>
      <c r="D1595" t="s">
        <v>577</v>
      </c>
      <c r="E1595" s="1">
        <v>46153.30364583333</v>
      </c>
      <c r="F1595">
        <v>1481</v>
      </c>
      <c r="G1595" t="s">
        <v>3486</v>
      </c>
      <c r="H1595" t="s">
        <v>15</v>
      </c>
      <c r="I1595" t="s">
        <v>579</v>
      </c>
      <c r="J1595" t="str">
        <f>RIGHT(D1595,4)</f>
        <v>6643</v>
      </c>
      <c r="K1595" t="str">
        <f>IFERROR(VLOOKUP(VALUE(J1595),'Site Info'!$A:$G,3,FALSE),"")</f>
        <v>2901 CLAIRMONT RD NE</v>
      </c>
      <c r="L1595" t="str">
        <f>IFERROR(VLOOKUP(VALUE(J1595),'Site Info'!$A:$G,4,FALSE),"")</f>
        <v>ATLANTA</v>
      </c>
      <c r="M1595" t="str">
        <f>IFERROR(VLOOKUP(VALUE(J1595),'Site Info'!$A:$G,5,FALSE),"")</f>
        <v>GA</v>
      </c>
      <c r="N1595" t="str">
        <f>IFERROR(VLOOKUP(VALUE(J1595),'Site Info'!$A:$G,6,FALSE),"")</f>
        <v>30329-1639</v>
      </c>
      <c r="O1595">
        <f>IFERROR(VLOOKUP(VALUE(J1595),'Site Info'!$A:$G,7,FALSE),"")</f>
        <v>4043254000</v>
      </c>
    </row>
    <row r="1596" spans="1:15" x14ac:dyDescent="0.45">
      <c r="A1596" t="s">
        <v>574</v>
      </c>
      <c r="B1596" t="s">
        <v>575</v>
      </c>
      <c r="C1596" t="s">
        <v>576</v>
      </c>
      <c r="D1596" t="s">
        <v>577</v>
      </c>
      <c r="E1596" s="1">
        <v>46153.358124999999</v>
      </c>
      <c r="F1596">
        <v>1481</v>
      </c>
      <c r="G1596" t="s">
        <v>578</v>
      </c>
      <c r="H1596" t="s">
        <v>15</v>
      </c>
      <c r="I1596" t="s">
        <v>579</v>
      </c>
      <c r="J1596" t="str">
        <f>RIGHT(D1596,4)</f>
        <v>6643</v>
      </c>
      <c r="K1596" t="str">
        <f>IFERROR(VLOOKUP(VALUE(J1596),'Site Info'!$A:$G,3,FALSE),"")</f>
        <v>2901 CLAIRMONT RD NE</v>
      </c>
      <c r="L1596" t="str">
        <f>IFERROR(VLOOKUP(VALUE(J1596),'Site Info'!$A:$G,4,FALSE),"")</f>
        <v>ATLANTA</v>
      </c>
      <c r="M1596" t="str">
        <f>IFERROR(VLOOKUP(VALUE(J1596),'Site Info'!$A:$G,5,FALSE),"")</f>
        <v>GA</v>
      </c>
      <c r="N1596" t="str">
        <f>IFERROR(VLOOKUP(VALUE(J1596),'Site Info'!$A:$G,6,FALSE),"")</f>
        <v>30329-1639</v>
      </c>
      <c r="O1596">
        <f>IFERROR(VLOOKUP(VALUE(J1596),'Site Info'!$A:$G,7,FALSE),"")</f>
        <v>4043254000</v>
      </c>
    </row>
    <row r="1597" spans="1:15" x14ac:dyDescent="0.45">
      <c r="A1597" t="s">
        <v>16996</v>
      </c>
      <c r="B1597" t="s">
        <v>16997</v>
      </c>
      <c r="C1597" t="s">
        <v>16998</v>
      </c>
      <c r="D1597" t="s">
        <v>577</v>
      </c>
      <c r="E1597" s="1">
        <v>46153.223124999997</v>
      </c>
      <c r="F1597">
        <v>1628</v>
      </c>
      <c r="G1597" t="s">
        <v>16999</v>
      </c>
      <c r="H1597" t="s">
        <v>13988</v>
      </c>
      <c r="I1597" t="s">
        <v>579</v>
      </c>
      <c r="J1597" t="str">
        <f>RIGHT(D1597,4)</f>
        <v>6643</v>
      </c>
      <c r="K1597" t="str">
        <f>IFERROR(VLOOKUP(VALUE(J1597),'Site Info'!$A:$G,3,FALSE),"")</f>
        <v>2901 CLAIRMONT RD NE</v>
      </c>
      <c r="L1597" t="str">
        <f>IFERROR(VLOOKUP(VALUE(J1597),'Site Info'!$A:$G,4,FALSE),"")</f>
        <v>ATLANTA</v>
      </c>
      <c r="M1597" t="str">
        <f>IFERROR(VLOOKUP(VALUE(J1597),'Site Info'!$A:$G,5,FALSE),"")</f>
        <v>GA</v>
      </c>
      <c r="N1597" t="str">
        <f>IFERROR(VLOOKUP(VALUE(J1597),'Site Info'!$A:$G,6,FALSE),"")</f>
        <v>30329-1639</v>
      </c>
      <c r="O1597">
        <f>IFERROR(VLOOKUP(VALUE(J1597),'Site Info'!$A:$G,7,FALSE),"")</f>
        <v>4043254000</v>
      </c>
    </row>
    <row r="1598" spans="1:15" x14ac:dyDescent="0.45">
      <c r="A1598" t="s">
        <v>17000</v>
      </c>
      <c r="B1598" t="s">
        <v>17001</v>
      </c>
      <c r="C1598" t="s">
        <v>17002</v>
      </c>
      <c r="D1598" t="s">
        <v>577</v>
      </c>
      <c r="E1598" s="1">
        <v>46153.369525462964</v>
      </c>
      <c r="F1598">
        <v>1547</v>
      </c>
      <c r="G1598" t="s">
        <v>17003</v>
      </c>
      <c r="H1598" t="s">
        <v>15</v>
      </c>
      <c r="I1598" t="s">
        <v>579</v>
      </c>
      <c r="J1598" t="str">
        <f>RIGHT(D1598,4)</f>
        <v>6643</v>
      </c>
      <c r="K1598" t="str">
        <f>IFERROR(VLOOKUP(VALUE(J1598),'Site Info'!$A:$G,3,FALSE),"")</f>
        <v>2901 CLAIRMONT RD NE</v>
      </c>
      <c r="L1598" t="str">
        <f>IFERROR(VLOOKUP(VALUE(J1598),'Site Info'!$A:$G,4,FALSE),"")</f>
        <v>ATLANTA</v>
      </c>
      <c r="M1598" t="str">
        <f>IFERROR(VLOOKUP(VALUE(J1598),'Site Info'!$A:$G,5,FALSE),"")</f>
        <v>GA</v>
      </c>
      <c r="N1598" t="str">
        <f>IFERROR(VLOOKUP(VALUE(J1598),'Site Info'!$A:$G,6,FALSE),"")</f>
        <v>30329-1639</v>
      </c>
      <c r="O1598">
        <f>IFERROR(VLOOKUP(VALUE(J1598),'Site Info'!$A:$G,7,FALSE),"")</f>
        <v>4043254000</v>
      </c>
    </row>
    <row r="1599" spans="1:15" x14ac:dyDescent="0.45">
      <c r="A1599" t="s">
        <v>10352</v>
      </c>
      <c r="B1599" t="s">
        <v>10353</v>
      </c>
      <c r="C1599" t="s">
        <v>10354</v>
      </c>
      <c r="D1599" t="s">
        <v>154</v>
      </c>
      <c r="E1599" s="1">
        <v>46152.552395833336</v>
      </c>
      <c r="F1599">
        <v>1547</v>
      </c>
      <c r="G1599" t="s">
        <v>10355</v>
      </c>
      <c r="H1599" t="s">
        <v>15</v>
      </c>
      <c r="I1599" t="s">
        <v>155</v>
      </c>
      <c r="J1599" t="str">
        <f>RIGHT(D1599,4)</f>
        <v>6426</v>
      </c>
      <c r="K1599" t="str">
        <f>IFERROR(VLOOKUP(VALUE(J1599),'Site Info'!$A:$G,3,FALSE),"")</f>
        <v>2919 MARKET PL</v>
      </c>
      <c r="L1599" t="str">
        <f>IFERROR(VLOOKUP(VALUE(J1599),'Site Info'!$A:$G,4,FALSE),"")</f>
        <v>SALINA</v>
      </c>
      <c r="M1599" t="str">
        <f>IFERROR(VLOOKUP(VALUE(J1599),'Site Info'!$A:$G,5,FALSE),"")</f>
        <v>KS</v>
      </c>
      <c r="N1599" t="str">
        <f>IFERROR(VLOOKUP(VALUE(J1599),'Site Info'!$A:$G,6,FALSE),"")</f>
        <v>67401-8598</v>
      </c>
      <c r="O1599">
        <f>IFERROR(VLOOKUP(VALUE(J1599),'Site Info'!$A:$G,7,FALSE),"")</f>
        <v>7858252229</v>
      </c>
    </row>
    <row r="1600" spans="1:15" x14ac:dyDescent="0.45">
      <c r="A1600" t="s">
        <v>10440</v>
      </c>
      <c r="B1600" t="s">
        <v>10441</v>
      </c>
      <c r="C1600" t="s">
        <v>10442</v>
      </c>
      <c r="D1600" t="s">
        <v>154</v>
      </c>
      <c r="E1600" s="1">
        <v>46153.331805555557</v>
      </c>
      <c r="F1600">
        <v>1547</v>
      </c>
      <c r="G1600" t="s">
        <v>10443</v>
      </c>
      <c r="H1600" t="s">
        <v>15</v>
      </c>
      <c r="I1600" t="s">
        <v>155</v>
      </c>
      <c r="J1600" t="str">
        <f>RIGHT(D1600,4)</f>
        <v>6426</v>
      </c>
      <c r="K1600" t="str">
        <f>IFERROR(VLOOKUP(VALUE(J1600),'Site Info'!$A:$G,3,FALSE),"")</f>
        <v>2919 MARKET PL</v>
      </c>
      <c r="L1600" t="str">
        <f>IFERROR(VLOOKUP(VALUE(J1600),'Site Info'!$A:$G,4,FALSE),"")</f>
        <v>SALINA</v>
      </c>
      <c r="M1600" t="str">
        <f>IFERROR(VLOOKUP(VALUE(J1600),'Site Info'!$A:$G,5,FALSE),"")</f>
        <v>KS</v>
      </c>
      <c r="N1600" t="str">
        <f>IFERROR(VLOOKUP(VALUE(J1600),'Site Info'!$A:$G,6,FALSE),"")</f>
        <v>67401-8598</v>
      </c>
      <c r="O1600">
        <f>IFERROR(VLOOKUP(VALUE(J1600),'Site Info'!$A:$G,7,FALSE),"")</f>
        <v>7858252229</v>
      </c>
    </row>
    <row r="1601" spans="1:15" x14ac:dyDescent="0.45">
      <c r="A1601" t="s">
        <v>13307</v>
      </c>
      <c r="B1601" t="s">
        <v>13308</v>
      </c>
      <c r="C1601" t="s">
        <v>13309</v>
      </c>
      <c r="D1601" t="s">
        <v>6960</v>
      </c>
      <c r="E1601" s="1">
        <v>46152.806296296294</v>
      </c>
      <c r="F1601">
        <v>1547</v>
      </c>
      <c r="G1601" t="s">
        <v>13310</v>
      </c>
      <c r="H1601" t="s">
        <v>15</v>
      </c>
      <c r="I1601" t="s">
        <v>6962</v>
      </c>
      <c r="J1601" t="str">
        <f>RIGHT(D1601,4)</f>
        <v>6572</v>
      </c>
      <c r="K1601" t="str">
        <f>IFERROR(VLOOKUP(VALUE(J1601),'Site Info'!$A:$G,3,FALSE),"")</f>
        <v>2920 KNOXVILLE CENTER DR</v>
      </c>
      <c r="L1601" t="str">
        <f>IFERROR(VLOOKUP(VALUE(J1601),'Site Info'!$A:$G,4,FALSE),"")</f>
        <v>KNOXVILLE</v>
      </c>
      <c r="M1601" t="str">
        <f>IFERROR(VLOOKUP(VALUE(J1601),'Site Info'!$A:$G,5,FALSE),"")</f>
        <v>TN</v>
      </c>
      <c r="N1601" t="str">
        <f>IFERROR(VLOOKUP(VALUE(J1601),'Site Info'!$A:$G,6,FALSE),"")</f>
        <v>37924-2013</v>
      </c>
      <c r="O1601">
        <f>IFERROR(VLOOKUP(VALUE(J1601),'Site Info'!$A:$G,7,FALSE),"")</f>
        <v>8656372582</v>
      </c>
    </row>
    <row r="1602" spans="1:15" x14ac:dyDescent="0.45">
      <c r="A1602" t="s">
        <v>12384</v>
      </c>
      <c r="B1602" t="s">
        <v>12385</v>
      </c>
      <c r="C1602" t="s">
        <v>12386</v>
      </c>
      <c r="D1602" t="s">
        <v>6960</v>
      </c>
      <c r="E1602" s="1">
        <v>46153.313969907409</v>
      </c>
      <c r="F1602">
        <v>1547</v>
      </c>
      <c r="G1602" t="s">
        <v>12387</v>
      </c>
      <c r="H1602" t="s">
        <v>15</v>
      </c>
      <c r="I1602" t="s">
        <v>6962</v>
      </c>
      <c r="J1602" t="str">
        <f>RIGHT(D1602,4)</f>
        <v>6572</v>
      </c>
      <c r="K1602" t="str">
        <f>IFERROR(VLOOKUP(VALUE(J1602),'Site Info'!$A:$G,3,FALSE),"")</f>
        <v>2920 KNOXVILLE CENTER DR</v>
      </c>
      <c r="L1602" t="str">
        <f>IFERROR(VLOOKUP(VALUE(J1602),'Site Info'!$A:$G,4,FALSE),"")</f>
        <v>KNOXVILLE</v>
      </c>
      <c r="M1602" t="str">
        <f>IFERROR(VLOOKUP(VALUE(J1602),'Site Info'!$A:$G,5,FALSE),"")</f>
        <v>TN</v>
      </c>
      <c r="N1602" t="str">
        <f>IFERROR(VLOOKUP(VALUE(J1602),'Site Info'!$A:$G,6,FALSE),"")</f>
        <v>37924-2013</v>
      </c>
      <c r="O1602">
        <f>IFERROR(VLOOKUP(VALUE(J1602),'Site Info'!$A:$G,7,FALSE),"")</f>
        <v>8656372582</v>
      </c>
    </row>
    <row r="1603" spans="1:15" x14ac:dyDescent="0.45">
      <c r="A1603" t="s">
        <v>13058</v>
      </c>
      <c r="B1603" t="s">
        <v>13059</v>
      </c>
      <c r="C1603" t="s">
        <v>13060</v>
      </c>
      <c r="D1603" t="s">
        <v>6960</v>
      </c>
      <c r="E1603" s="1">
        <v>46153.343726851854</v>
      </c>
      <c r="F1603">
        <v>1547</v>
      </c>
      <c r="G1603" t="s">
        <v>13061</v>
      </c>
      <c r="H1603" t="s">
        <v>15</v>
      </c>
      <c r="I1603" t="s">
        <v>6962</v>
      </c>
      <c r="J1603" t="str">
        <f>RIGHT(D1603,4)</f>
        <v>6572</v>
      </c>
      <c r="K1603" t="str">
        <f>IFERROR(VLOOKUP(VALUE(J1603),'Site Info'!$A:$G,3,FALSE),"")</f>
        <v>2920 KNOXVILLE CENTER DR</v>
      </c>
      <c r="L1603" t="str">
        <f>IFERROR(VLOOKUP(VALUE(J1603),'Site Info'!$A:$G,4,FALSE),"")</f>
        <v>KNOXVILLE</v>
      </c>
      <c r="M1603" t="str">
        <f>IFERROR(VLOOKUP(VALUE(J1603),'Site Info'!$A:$G,5,FALSE),"")</f>
        <v>TN</v>
      </c>
      <c r="N1603" t="str">
        <f>IFERROR(VLOOKUP(VALUE(J1603),'Site Info'!$A:$G,6,FALSE),"")</f>
        <v>37924-2013</v>
      </c>
      <c r="O1603">
        <f>IFERROR(VLOOKUP(VALUE(J1603),'Site Info'!$A:$G,7,FALSE),"")</f>
        <v>8656372582</v>
      </c>
    </row>
    <row r="1604" spans="1:15" x14ac:dyDescent="0.45">
      <c r="A1604" t="s">
        <v>6957</v>
      </c>
      <c r="B1604" t="s">
        <v>6958</v>
      </c>
      <c r="C1604" t="s">
        <v>6959</v>
      </c>
      <c r="D1604" t="s">
        <v>6960</v>
      </c>
      <c r="E1604" s="1">
        <v>46153.355405092596</v>
      </c>
      <c r="F1604">
        <v>1547</v>
      </c>
      <c r="G1604" t="s">
        <v>6961</v>
      </c>
      <c r="H1604" t="s">
        <v>15</v>
      </c>
      <c r="I1604" t="s">
        <v>6962</v>
      </c>
      <c r="J1604" t="str">
        <f>RIGHT(D1604,4)</f>
        <v>6572</v>
      </c>
      <c r="K1604" t="str">
        <f>IFERROR(VLOOKUP(VALUE(J1604),'Site Info'!$A:$G,3,FALSE),"")</f>
        <v>2920 KNOXVILLE CENTER DR</v>
      </c>
      <c r="L1604" t="str">
        <f>IFERROR(VLOOKUP(VALUE(J1604),'Site Info'!$A:$G,4,FALSE),"")</f>
        <v>KNOXVILLE</v>
      </c>
      <c r="M1604" t="str">
        <f>IFERROR(VLOOKUP(VALUE(J1604),'Site Info'!$A:$G,5,FALSE),"")</f>
        <v>TN</v>
      </c>
      <c r="N1604" t="str">
        <f>IFERROR(VLOOKUP(VALUE(J1604),'Site Info'!$A:$G,6,FALSE),"")</f>
        <v>37924-2013</v>
      </c>
      <c r="O1604">
        <f>IFERROR(VLOOKUP(VALUE(J1604),'Site Info'!$A:$G,7,FALSE),"")</f>
        <v>8656372582</v>
      </c>
    </row>
    <row r="1605" spans="1:15" x14ac:dyDescent="0.45">
      <c r="A1605" t="s">
        <v>11932</v>
      </c>
      <c r="B1605" t="s">
        <v>11933</v>
      </c>
      <c r="C1605" t="s">
        <v>11934</v>
      </c>
      <c r="D1605" t="s">
        <v>6960</v>
      </c>
      <c r="E1605" s="1">
        <v>46153.357893518521</v>
      </c>
      <c r="F1605">
        <v>1547</v>
      </c>
      <c r="G1605" t="s">
        <v>11935</v>
      </c>
      <c r="H1605" t="s">
        <v>15</v>
      </c>
      <c r="I1605" t="s">
        <v>6962</v>
      </c>
      <c r="J1605" t="str">
        <f>RIGHT(D1605,4)</f>
        <v>6572</v>
      </c>
      <c r="K1605" t="str">
        <f>IFERROR(VLOOKUP(VALUE(J1605),'Site Info'!$A:$G,3,FALSE),"")</f>
        <v>2920 KNOXVILLE CENTER DR</v>
      </c>
      <c r="L1605" t="str">
        <f>IFERROR(VLOOKUP(VALUE(J1605),'Site Info'!$A:$G,4,FALSE),"")</f>
        <v>KNOXVILLE</v>
      </c>
      <c r="M1605" t="str">
        <f>IFERROR(VLOOKUP(VALUE(J1605),'Site Info'!$A:$G,5,FALSE),"")</f>
        <v>TN</v>
      </c>
      <c r="N1605" t="str">
        <f>IFERROR(VLOOKUP(VALUE(J1605),'Site Info'!$A:$G,6,FALSE),"")</f>
        <v>37924-2013</v>
      </c>
      <c r="O1605">
        <f>IFERROR(VLOOKUP(VALUE(J1605),'Site Info'!$A:$G,7,FALSE),"")</f>
        <v>8656372582</v>
      </c>
    </row>
    <row r="1606" spans="1:15" x14ac:dyDescent="0.45">
      <c r="A1606" t="s">
        <v>13275</v>
      </c>
      <c r="B1606" t="s">
        <v>13276</v>
      </c>
      <c r="C1606" t="s">
        <v>13277</v>
      </c>
      <c r="D1606" t="s">
        <v>6960</v>
      </c>
      <c r="E1606" s="1">
        <v>46153.365081018521</v>
      </c>
      <c r="F1606">
        <v>1547</v>
      </c>
      <c r="G1606" t="s">
        <v>13278</v>
      </c>
      <c r="H1606" t="s">
        <v>15</v>
      </c>
      <c r="I1606" t="s">
        <v>6962</v>
      </c>
      <c r="J1606" t="str">
        <f>RIGHT(D1606,4)</f>
        <v>6572</v>
      </c>
      <c r="K1606" t="str">
        <f>IFERROR(VLOOKUP(VALUE(J1606),'Site Info'!$A:$G,3,FALSE),"")</f>
        <v>2920 KNOXVILLE CENTER DR</v>
      </c>
      <c r="L1606" t="str">
        <f>IFERROR(VLOOKUP(VALUE(J1606),'Site Info'!$A:$G,4,FALSE),"")</f>
        <v>KNOXVILLE</v>
      </c>
      <c r="M1606" t="str">
        <f>IFERROR(VLOOKUP(VALUE(J1606),'Site Info'!$A:$G,5,FALSE),"")</f>
        <v>TN</v>
      </c>
      <c r="N1606" t="str">
        <f>IFERROR(VLOOKUP(VALUE(J1606),'Site Info'!$A:$G,6,FALSE),"")</f>
        <v>37924-2013</v>
      </c>
      <c r="O1606">
        <f>IFERROR(VLOOKUP(VALUE(J1606),'Site Info'!$A:$G,7,FALSE),"")</f>
        <v>8656372582</v>
      </c>
    </row>
    <row r="1607" spans="1:15" x14ac:dyDescent="0.45">
      <c r="A1607" t="s">
        <v>11061</v>
      </c>
      <c r="B1607" t="s">
        <v>11062</v>
      </c>
      <c r="C1607" t="s">
        <v>11063</v>
      </c>
      <c r="D1607" t="s">
        <v>6960</v>
      </c>
      <c r="E1607" s="1">
        <v>46153.373298611114</v>
      </c>
      <c r="F1607">
        <v>1547</v>
      </c>
      <c r="G1607" t="s">
        <v>11064</v>
      </c>
      <c r="H1607" t="s">
        <v>15</v>
      </c>
      <c r="I1607" t="s">
        <v>6962</v>
      </c>
      <c r="J1607" t="str">
        <f>RIGHT(D1607,4)</f>
        <v>6572</v>
      </c>
      <c r="K1607" t="str">
        <f>IFERROR(VLOOKUP(VALUE(J1607),'Site Info'!$A:$G,3,FALSE),"")</f>
        <v>2920 KNOXVILLE CENTER DR</v>
      </c>
      <c r="L1607" t="str">
        <f>IFERROR(VLOOKUP(VALUE(J1607),'Site Info'!$A:$G,4,FALSE),"")</f>
        <v>KNOXVILLE</v>
      </c>
      <c r="M1607" t="str">
        <f>IFERROR(VLOOKUP(VALUE(J1607),'Site Info'!$A:$G,5,FALSE),"")</f>
        <v>TN</v>
      </c>
      <c r="N1607" t="str">
        <f>IFERROR(VLOOKUP(VALUE(J1607),'Site Info'!$A:$G,6,FALSE),"")</f>
        <v>37924-2013</v>
      </c>
      <c r="O1607">
        <f>IFERROR(VLOOKUP(VALUE(J1607),'Site Info'!$A:$G,7,FALSE),"")</f>
        <v>8656372582</v>
      </c>
    </row>
    <row r="1608" spans="1:15" x14ac:dyDescent="0.45">
      <c r="A1608" t="s">
        <v>9565</v>
      </c>
      <c r="B1608" t="s">
        <v>9566</v>
      </c>
      <c r="C1608" t="s">
        <v>9567</v>
      </c>
      <c r="D1608" t="s">
        <v>9470</v>
      </c>
      <c r="E1608" s="1">
        <v>46152.508831018517</v>
      </c>
      <c r="F1608">
        <v>1547</v>
      </c>
      <c r="G1608" t="s">
        <v>9568</v>
      </c>
      <c r="H1608" t="s">
        <v>15</v>
      </c>
      <c r="I1608" t="s">
        <v>9472</v>
      </c>
      <c r="J1608" t="str">
        <f>RIGHT(D1608,4)</f>
        <v>4781</v>
      </c>
      <c r="K1608" t="str">
        <f>IFERROR(VLOOKUP(VALUE(J1608),'Site Info'!$A:$G,3,FALSE),"")</f>
        <v>2925 TOWNE CENTRE BLVD</v>
      </c>
      <c r="L1608" t="str">
        <f>IFERROR(VLOOKUP(VALUE(J1608),'Site Info'!$A:$G,4,FALSE),"")</f>
        <v>LANSING</v>
      </c>
      <c r="M1608" t="str">
        <f>IFERROR(VLOOKUP(VALUE(J1608),'Site Info'!$A:$G,5,FALSE),"")</f>
        <v>MI</v>
      </c>
      <c r="N1608" t="str">
        <f>IFERROR(VLOOKUP(VALUE(J1608),'Site Info'!$A:$G,6,FALSE),"")</f>
        <v>48912-5650</v>
      </c>
      <c r="O1608">
        <f>IFERROR(VLOOKUP(VALUE(J1608),'Site Info'!$A:$G,7,FALSE),"")</f>
        <v>5174829149</v>
      </c>
    </row>
    <row r="1609" spans="1:15" x14ac:dyDescent="0.45">
      <c r="A1609" t="s">
        <v>14471</v>
      </c>
      <c r="B1609" t="s">
        <v>14472</v>
      </c>
      <c r="C1609" t="s">
        <v>14473</v>
      </c>
      <c r="D1609" t="s">
        <v>9470</v>
      </c>
      <c r="E1609" s="1">
        <v>46153.171423611115</v>
      </c>
      <c r="F1609">
        <v>1547</v>
      </c>
      <c r="G1609" t="s">
        <v>14474</v>
      </c>
      <c r="H1609" t="s">
        <v>15</v>
      </c>
      <c r="I1609" t="s">
        <v>9472</v>
      </c>
      <c r="J1609" t="str">
        <f>RIGHT(D1609,4)</f>
        <v>4781</v>
      </c>
      <c r="K1609" t="str">
        <f>IFERROR(VLOOKUP(VALUE(J1609),'Site Info'!$A:$G,3,FALSE),"")</f>
        <v>2925 TOWNE CENTRE BLVD</v>
      </c>
      <c r="L1609" t="str">
        <f>IFERROR(VLOOKUP(VALUE(J1609),'Site Info'!$A:$G,4,FALSE),"")</f>
        <v>LANSING</v>
      </c>
      <c r="M1609" t="str">
        <f>IFERROR(VLOOKUP(VALUE(J1609),'Site Info'!$A:$G,5,FALSE),"")</f>
        <v>MI</v>
      </c>
      <c r="N1609" t="str">
        <f>IFERROR(VLOOKUP(VALUE(J1609),'Site Info'!$A:$G,6,FALSE),"")</f>
        <v>48912-5650</v>
      </c>
      <c r="O1609">
        <f>IFERROR(VLOOKUP(VALUE(J1609),'Site Info'!$A:$G,7,FALSE),"")</f>
        <v>5174829149</v>
      </c>
    </row>
    <row r="1610" spans="1:15" x14ac:dyDescent="0.45">
      <c r="A1610" t="s">
        <v>10801</v>
      </c>
      <c r="B1610" t="s">
        <v>10802</v>
      </c>
      <c r="C1610" t="s">
        <v>10803</v>
      </c>
      <c r="D1610" t="s">
        <v>9470</v>
      </c>
      <c r="E1610" s="1">
        <v>46153.321608796294</v>
      </c>
      <c r="F1610">
        <v>1547</v>
      </c>
      <c r="G1610" t="s">
        <v>10804</v>
      </c>
      <c r="H1610" t="s">
        <v>15</v>
      </c>
      <c r="I1610" t="s">
        <v>9472</v>
      </c>
      <c r="J1610" t="str">
        <f>RIGHT(D1610,4)</f>
        <v>4781</v>
      </c>
      <c r="K1610" t="str">
        <f>IFERROR(VLOOKUP(VALUE(J1610),'Site Info'!$A:$G,3,FALSE),"")</f>
        <v>2925 TOWNE CENTRE BLVD</v>
      </c>
      <c r="L1610" t="str">
        <f>IFERROR(VLOOKUP(VALUE(J1610),'Site Info'!$A:$G,4,FALSE),"")</f>
        <v>LANSING</v>
      </c>
      <c r="M1610" t="str">
        <f>IFERROR(VLOOKUP(VALUE(J1610),'Site Info'!$A:$G,5,FALSE),"")</f>
        <v>MI</v>
      </c>
      <c r="N1610" t="str">
        <f>IFERROR(VLOOKUP(VALUE(J1610),'Site Info'!$A:$G,6,FALSE),"")</f>
        <v>48912-5650</v>
      </c>
      <c r="O1610">
        <f>IFERROR(VLOOKUP(VALUE(J1610),'Site Info'!$A:$G,7,FALSE),"")</f>
        <v>5174829149</v>
      </c>
    </row>
    <row r="1611" spans="1:15" x14ac:dyDescent="0.45">
      <c r="A1611" t="s">
        <v>9467</v>
      </c>
      <c r="B1611" t="s">
        <v>9468</v>
      </c>
      <c r="C1611" t="s">
        <v>9469</v>
      </c>
      <c r="D1611" t="s">
        <v>9470</v>
      </c>
      <c r="E1611" s="1">
        <v>46153.371655092589</v>
      </c>
      <c r="F1611">
        <v>1547</v>
      </c>
      <c r="G1611" t="s">
        <v>9471</v>
      </c>
      <c r="H1611" t="s">
        <v>15</v>
      </c>
      <c r="I1611" t="s">
        <v>9472</v>
      </c>
      <c r="J1611" t="str">
        <f>RIGHT(D1611,4)</f>
        <v>4781</v>
      </c>
      <c r="K1611" t="str">
        <f>IFERROR(VLOOKUP(VALUE(J1611),'Site Info'!$A:$G,3,FALSE),"")</f>
        <v>2925 TOWNE CENTRE BLVD</v>
      </c>
      <c r="L1611" t="str">
        <f>IFERROR(VLOOKUP(VALUE(J1611),'Site Info'!$A:$G,4,FALSE),"")</f>
        <v>LANSING</v>
      </c>
      <c r="M1611" t="str">
        <f>IFERROR(VLOOKUP(VALUE(J1611),'Site Info'!$A:$G,5,FALSE),"")</f>
        <v>MI</v>
      </c>
      <c r="N1611" t="str">
        <f>IFERROR(VLOOKUP(VALUE(J1611),'Site Info'!$A:$G,6,FALSE),"")</f>
        <v>48912-5650</v>
      </c>
      <c r="O1611">
        <f>IFERROR(VLOOKUP(VALUE(J1611),'Site Info'!$A:$G,7,FALSE),"")</f>
        <v>5174829149</v>
      </c>
    </row>
    <row r="1612" spans="1:15" x14ac:dyDescent="0.45">
      <c r="A1612" t="s">
        <v>9657</v>
      </c>
      <c r="B1612" t="s">
        <v>9658</v>
      </c>
      <c r="C1612" t="s">
        <v>9659</v>
      </c>
      <c r="D1612" t="s">
        <v>9470</v>
      </c>
      <c r="E1612" s="1">
        <v>46153.373726851853</v>
      </c>
      <c r="F1612">
        <v>1547</v>
      </c>
      <c r="G1612" t="s">
        <v>9660</v>
      </c>
      <c r="H1612" t="s">
        <v>15</v>
      </c>
      <c r="I1612" t="s">
        <v>9472</v>
      </c>
      <c r="J1612" t="str">
        <f>RIGHT(D1612,4)</f>
        <v>4781</v>
      </c>
      <c r="K1612" t="str">
        <f>IFERROR(VLOOKUP(VALUE(J1612),'Site Info'!$A:$G,3,FALSE),"")</f>
        <v>2925 TOWNE CENTRE BLVD</v>
      </c>
      <c r="L1612" t="str">
        <f>IFERROR(VLOOKUP(VALUE(J1612),'Site Info'!$A:$G,4,FALSE),"")</f>
        <v>LANSING</v>
      </c>
      <c r="M1612" t="str">
        <f>IFERROR(VLOOKUP(VALUE(J1612),'Site Info'!$A:$G,5,FALSE),"")</f>
        <v>MI</v>
      </c>
      <c r="N1612" t="str">
        <f>IFERROR(VLOOKUP(VALUE(J1612),'Site Info'!$A:$G,6,FALSE),"")</f>
        <v>48912-5650</v>
      </c>
      <c r="O1612">
        <f>IFERROR(VLOOKUP(VALUE(J1612),'Site Info'!$A:$G,7,FALSE),"")</f>
        <v>5174829149</v>
      </c>
    </row>
    <row r="1613" spans="1:15" x14ac:dyDescent="0.45">
      <c r="A1613" t="s">
        <v>14305</v>
      </c>
      <c r="B1613" t="s">
        <v>14306</v>
      </c>
      <c r="C1613" t="s">
        <v>14307</v>
      </c>
      <c r="D1613" t="s">
        <v>9470</v>
      </c>
      <c r="E1613" s="1">
        <v>46152.576550925929</v>
      </c>
      <c r="F1613">
        <v>1481</v>
      </c>
      <c r="G1613" t="s">
        <v>14308</v>
      </c>
      <c r="H1613" t="s">
        <v>15</v>
      </c>
      <c r="I1613" t="s">
        <v>9472</v>
      </c>
      <c r="J1613" t="str">
        <f>RIGHT(D1613,4)</f>
        <v>4781</v>
      </c>
      <c r="K1613" t="str">
        <f>IFERROR(VLOOKUP(VALUE(J1613),'Site Info'!$A:$G,3,FALSE),"")</f>
        <v>2925 TOWNE CENTRE BLVD</v>
      </c>
      <c r="L1613" t="str">
        <f>IFERROR(VLOOKUP(VALUE(J1613),'Site Info'!$A:$G,4,FALSE),"")</f>
        <v>LANSING</v>
      </c>
      <c r="M1613" t="str">
        <f>IFERROR(VLOOKUP(VALUE(J1613),'Site Info'!$A:$G,5,FALSE),"")</f>
        <v>MI</v>
      </c>
      <c r="N1613" t="str">
        <f>IFERROR(VLOOKUP(VALUE(J1613),'Site Info'!$A:$G,6,FALSE),"")</f>
        <v>48912-5650</v>
      </c>
      <c r="O1613">
        <f>IFERROR(VLOOKUP(VALUE(J1613),'Site Info'!$A:$G,7,FALSE),"")</f>
        <v>5174829149</v>
      </c>
    </row>
    <row r="1614" spans="1:15" x14ac:dyDescent="0.45">
      <c r="A1614" t="s">
        <v>14335</v>
      </c>
      <c r="B1614" t="s">
        <v>14336</v>
      </c>
      <c r="C1614" t="s">
        <v>14337</v>
      </c>
      <c r="D1614" t="s">
        <v>9470</v>
      </c>
      <c r="E1614" s="1">
        <v>46153.389305555553</v>
      </c>
      <c r="F1614">
        <v>1481</v>
      </c>
      <c r="G1614" t="s">
        <v>14338</v>
      </c>
      <c r="H1614" t="s">
        <v>15</v>
      </c>
      <c r="I1614" t="s">
        <v>9472</v>
      </c>
      <c r="J1614" t="str">
        <f>RIGHT(D1614,4)</f>
        <v>4781</v>
      </c>
      <c r="K1614" t="str">
        <f>IFERROR(VLOOKUP(VALUE(J1614),'Site Info'!$A:$G,3,FALSE),"")</f>
        <v>2925 TOWNE CENTRE BLVD</v>
      </c>
      <c r="L1614" t="str">
        <f>IFERROR(VLOOKUP(VALUE(J1614),'Site Info'!$A:$G,4,FALSE),"")</f>
        <v>LANSING</v>
      </c>
      <c r="M1614" t="str">
        <f>IFERROR(VLOOKUP(VALUE(J1614),'Site Info'!$A:$G,5,FALSE),"")</f>
        <v>MI</v>
      </c>
      <c r="N1614" t="str">
        <f>IFERROR(VLOOKUP(VALUE(J1614),'Site Info'!$A:$G,6,FALSE),"")</f>
        <v>48912-5650</v>
      </c>
      <c r="O1614">
        <f>IFERROR(VLOOKUP(VALUE(J1614),'Site Info'!$A:$G,7,FALSE),"")</f>
        <v>5174829149</v>
      </c>
    </row>
    <row r="1615" spans="1:15" x14ac:dyDescent="0.45">
      <c r="A1615" t="s">
        <v>9978</v>
      </c>
      <c r="B1615" t="s">
        <v>9979</v>
      </c>
      <c r="C1615" t="s">
        <v>9980</v>
      </c>
      <c r="D1615" t="s">
        <v>2306</v>
      </c>
      <c r="E1615" s="1">
        <v>46151.685358796298</v>
      </c>
      <c r="F1615">
        <v>1547</v>
      </c>
      <c r="G1615" t="s">
        <v>9981</v>
      </c>
      <c r="H1615" t="s">
        <v>15</v>
      </c>
      <c r="I1615" t="s">
        <v>2308</v>
      </c>
      <c r="J1615" t="str">
        <f>RIGHT(D1615,4)</f>
        <v>6428</v>
      </c>
      <c r="K1615" t="str">
        <f>IFERROR(VLOOKUP(VALUE(J1615),'Site Info'!$A:$G,3,FALSE),"")</f>
        <v>2950 HORSEBLOCK RD</v>
      </c>
      <c r="L1615" t="str">
        <f>IFERROR(VLOOKUP(VALUE(J1615),'Site Info'!$A:$G,4,FALSE),"")</f>
        <v>MEDFORD</v>
      </c>
      <c r="M1615" t="str">
        <f>IFERROR(VLOOKUP(VALUE(J1615),'Site Info'!$A:$G,5,FALSE),"")</f>
        <v>NY</v>
      </c>
      <c r="N1615" t="str">
        <f>IFERROR(VLOOKUP(VALUE(J1615),'Site Info'!$A:$G,6,FALSE),"")</f>
        <v>11763-2525</v>
      </c>
      <c r="O1615">
        <f>IFERROR(VLOOKUP(VALUE(J1615),'Site Info'!$A:$G,7,FALSE),"")</f>
        <v>6314470227</v>
      </c>
    </row>
    <row r="1616" spans="1:15" x14ac:dyDescent="0.45">
      <c r="A1616" t="s">
        <v>10180</v>
      </c>
      <c r="B1616" t="s">
        <v>10181</v>
      </c>
      <c r="C1616" t="s">
        <v>10182</v>
      </c>
      <c r="D1616" t="s">
        <v>2306</v>
      </c>
      <c r="E1616" s="1">
        <v>46152.746724537035</v>
      </c>
      <c r="F1616">
        <v>1547</v>
      </c>
      <c r="G1616" t="s">
        <v>10183</v>
      </c>
      <c r="H1616" t="s">
        <v>15</v>
      </c>
      <c r="I1616" t="s">
        <v>2308</v>
      </c>
      <c r="J1616" t="str">
        <f>RIGHT(D1616,4)</f>
        <v>6428</v>
      </c>
      <c r="K1616" t="str">
        <f>IFERROR(VLOOKUP(VALUE(J1616),'Site Info'!$A:$G,3,FALSE),"")</f>
        <v>2950 HORSEBLOCK RD</v>
      </c>
      <c r="L1616" t="str">
        <f>IFERROR(VLOOKUP(VALUE(J1616),'Site Info'!$A:$G,4,FALSE),"")</f>
        <v>MEDFORD</v>
      </c>
      <c r="M1616" t="str">
        <f>IFERROR(VLOOKUP(VALUE(J1616),'Site Info'!$A:$G,5,FALSE),"")</f>
        <v>NY</v>
      </c>
      <c r="N1616" t="str">
        <f>IFERROR(VLOOKUP(VALUE(J1616),'Site Info'!$A:$G,6,FALSE),"")</f>
        <v>11763-2525</v>
      </c>
      <c r="O1616">
        <f>IFERROR(VLOOKUP(VALUE(J1616),'Site Info'!$A:$G,7,FALSE),"")</f>
        <v>6314470227</v>
      </c>
    </row>
    <row r="1617" spans="1:15" x14ac:dyDescent="0.45">
      <c r="A1617" t="s">
        <v>13495</v>
      </c>
      <c r="B1617" t="s">
        <v>13496</v>
      </c>
      <c r="C1617" t="s">
        <v>13497</v>
      </c>
      <c r="D1617" t="s">
        <v>2306</v>
      </c>
      <c r="E1617" s="1">
        <v>46153.171516203707</v>
      </c>
      <c r="F1617">
        <v>1547</v>
      </c>
      <c r="G1617" t="s">
        <v>13498</v>
      </c>
      <c r="H1617" t="s">
        <v>15</v>
      </c>
      <c r="I1617" t="s">
        <v>2308</v>
      </c>
      <c r="J1617" t="str">
        <f>RIGHT(D1617,4)</f>
        <v>6428</v>
      </c>
      <c r="K1617" t="str">
        <f>IFERROR(VLOOKUP(VALUE(J1617),'Site Info'!$A:$G,3,FALSE),"")</f>
        <v>2950 HORSEBLOCK RD</v>
      </c>
      <c r="L1617" t="str">
        <f>IFERROR(VLOOKUP(VALUE(J1617),'Site Info'!$A:$G,4,FALSE),"")</f>
        <v>MEDFORD</v>
      </c>
      <c r="M1617" t="str">
        <f>IFERROR(VLOOKUP(VALUE(J1617),'Site Info'!$A:$G,5,FALSE),"")</f>
        <v>NY</v>
      </c>
      <c r="N1617" t="str">
        <f>IFERROR(VLOOKUP(VALUE(J1617),'Site Info'!$A:$G,6,FALSE),"")</f>
        <v>11763-2525</v>
      </c>
      <c r="O1617">
        <f>IFERROR(VLOOKUP(VALUE(J1617),'Site Info'!$A:$G,7,FALSE),"")</f>
        <v>6314470227</v>
      </c>
    </row>
    <row r="1618" spans="1:15" x14ac:dyDescent="0.45">
      <c r="A1618" t="s">
        <v>13615</v>
      </c>
      <c r="B1618" t="s">
        <v>13616</v>
      </c>
      <c r="C1618" t="s">
        <v>13617</v>
      </c>
      <c r="D1618" t="s">
        <v>2306</v>
      </c>
      <c r="E1618" s="1">
        <v>46153.280613425923</v>
      </c>
      <c r="F1618">
        <v>1547</v>
      </c>
      <c r="G1618" t="s">
        <v>13618</v>
      </c>
      <c r="H1618" t="s">
        <v>15</v>
      </c>
      <c r="I1618" t="s">
        <v>2308</v>
      </c>
      <c r="J1618" t="str">
        <f>RIGHT(D1618,4)</f>
        <v>6428</v>
      </c>
      <c r="K1618" t="str">
        <f>IFERROR(VLOOKUP(VALUE(J1618),'Site Info'!$A:$G,3,FALSE),"")</f>
        <v>2950 HORSEBLOCK RD</v>
      </c>
      <c r="L1618" t="str">
        <f>IFERROR(VLOOKUP(VALUE(J1618),'Site Info'!$A:$G,4,FALSE),"")</f>
        <v>MEDFORD</v>
      </c>
      <c r="M1618" t="str">
        <f>IFERROR(VLOOKUP(VALUE(J1618),'Site Info'!$A:$G,5,FALSE),"")</f>
        <v>NY</v>
      </c>
      <c r="N1618" t="str">
        <f>IFERROR(VLOOKUP(VALUE(J1618),'Site Info'!$A:$G,6,FALSE),"")</f>
        <v>11763-2525</v>
      </c>
      <c r="O1618">
        <f>IFERROR(VLOOKUP(VALUE(J1618),'Site Info'!$A:$G,7,FALSE),"")</f>
        <v>6314470227</v>
      </c>
    </row>
    <row r="1619" spans="1:15" x14ac:dyDescent="0.45">
      <c r="A1619" t="s">
        <v>6204</v>
      </c>
      <c r="B1619" t="s">
        <v>6205</v>
      </c>
      <c r="C1619" t="s">
        <v>6206</v>
      </c>
      <c r="D1619" t="s">
        <v>2306</v>
      </c>
      <c r="E1619" s="1">
        <v>46153.304560185185</v>
      </c>
      <c r="F1619">
        <v>1547</v>
      </c>
      <c r="G1619" t="s">
        <v>6207</v>
      </c>
      <c r="H1619" t="s">
        <v>15</v>
      </c>
      <c r="I1619" t="s">
        <v>2308</v>
      </c>
      <c r="J1619" t="str">
        <f>RIGHT(D1619,4)</f>
        <v>6428</v>
      </c>
      <c r="K1619" t="str">
        <f>IFERROR(VLOOKUP(VALUE(J1619),'Site Info'!$A:$G,3,FALSE),"")</f>
        <v>2950 HORSEBLOCK RD</v>
      </c>
      <c r="L1619" t="str">
        <f>IFERROR(VLOOKUP(VALUE(J1619),'Site Info'!$A:$G,4,FALSE),"")</f>
        <v>MEDFORD</v>
      </c>
      <c r="M1619" t="str">
        <f>IFERROR(VLOOKUP(VALUE(J1619),'Site Info'!$A:$G,5,FALSE),"")</f>
        <v>NY</v>
      </c>
      <c r="N1619" t="str">
        <f>IFERROR(VLOOKUP(VALUE(J1619),'Site Info'!$A:$G,6,FALSE),"")</f>
        <v>11763-2525</v>
      </c>
      <c r="O1619">
        <f>IFERROR(VLOOKUP(VALUE(J1619),'Site Info'!$A:$G,7,FALSE),"")</f>
        <v>6314470227</v>
      </c>
    </row>
    <row r="1620" spans="1:15" x14ac:dyDescent="0.45">
      <c r="A1620" t="s">
        <v>13519</v>
      </c>
      <c r="B1620" t="s">
        <v>13520</v>
      </c>
      <c r="C1620" t="s">
        <v>13521</v>
      </c>
      <c r="D1620" t="s">
        <v>2306</v>
      </c>
      <c r="E1620" s="1">
        <v>46153.365497685183</v>
      </c>
      <c r="F1620">
        <v>1547</v>
      </c>
      <c r="G1620" t="s">
        <v>13522</v>
      </c>
      <c r="H1620" t="s">
        <v>15</v>
      </c>
      <c r="I1620" t="s">
        <v>2308</v>
      </c>
      <c r="J1620" t="str">
        <f>RIGHT(D1620,4)</f>
        <v>6428</v>
      </c>
      <c r="K1620" t="str">
        <f>IFERROR(VLOOKUP(VALUE(J1620),'Site Info'!$A:$G,3,FALSE),"")</f>
        <v>2950 HORSEBLOCK RD</v>
      </c>
      <c r="L1620" t="str">
        <f>IFERROR(VLOOKUP(VALUE(J1620),'Site Info'!$A:$G,4,FALSE),"")</f>
        <v>MEDFORD</v>
      </c>
      <c r="M1620" t="str">
        <f>IFERROR(VLOOKUP(VALUE(J1620),'Site Info'!$A:$G,5,FALSE),"")</f>
        <v>NY</v>
      </c>
      <c r="N1620" t="str">
        <f>IFERROR(VLOOKUP(VALUE(J1620),'Site Info'!$A:$G,6,FALSE),"")</f>
        <v>11763-2525</v>
      </c>
      <c r="O1620">
        <f>IFERROR(VLOOKUP(VALUE(J1620),'Site Info'!$A:$G,7,FALSE),"")</f>
        <v>6314470227</v>
      </c>
    </row>
    <row r="1621" spans="1:15" x14ac:dyDescent="0.45">
      <c r="A1621" t="s">
        <v>2303</v>
      </c>
      <c r="B1621" t="s">
        <v>2304</v>
      </c>
      <c r="C1621" t="s">
        <v>2305</v>
      </c>
      <c r="D1621" t="s">
        <v>2306</v>
      </c>
      <c r="E1621" s="1">
        <v>46152.844965277778</v>
      </c>
      <c r="F1621">
        <v>1481</v>
      </c>
      <c r="G1621" t="s">
        <v>2307</v>
      </c>
      <c r="H1621" t="s">
        <v>15</v>
      </c>
      <c r="I1621" t="s">
        <v>2308</v>
      </c>
      <c r="J1621" t="str">
        <f>RIGHT(D1621,4)</f>
        <v>6428</v>
      </c>
      <c r="K1621" t="str">
        <f>IFERROR(VLOOKUP(VALUE(J1621),'Site Info'!$A:$G,3,FALSE),"")</f>
        <v>2950 HORSEBLOCK RD</v>
      </c>
      <c r="L1621" t="str">
        <f>IFERROR(VLOOKUP(VALUE(J1621),'Site Info'!$A:$G,4,FALSE),"")</f>
        <v>MEDFORD</v>
      </c>
      <c r="M1621" t="str">
        <f>IFERROR(VLOOKUP(VALUE(J1621),'Site Info'!$A:$G,5,FALSE),"")</f>
        <v>NY</v>
      </c>
      <c r="N1621" t="str">
        <f>IFERROR(VLOOKUP(VALUE(J1621),'Site Info'!$A:$G,6,FALSE),"")</f>
        <v>11763-2525</v>
      </c>
      <c r="O1621">
        <f>IFERROR(VLOOKUP(VALUE(J1621),'Site Info'!$A:$G,7,FALSE),"")</f>
        <v>6314470227</v>
      </c>
    </row>
    <row r="1622" spans="1:15" x14ac:dyDescent="0.45">
      <c r="A1622" t="s">
        <v>96</v>
      </c>
      <c r="B1622" t="s">
        <v>252</v>
      </c>
      <c r="C1622" t="s">
        <v>253</v>
      </c>
      <c r="D1622" t="s">
        <v>254</v>
      </c>
      <c r="E1622" s="1">
        <v>46147.865497685183</v>
      </c>
      <c r="F1622">
        <v>1547</v>
      </c>
      <c r="G1622" t="s">
        <v>255</v>
      </c>
      <c r="H1622" t="s">
        <v>15</v>
      </c>
      <c r="I1622" t="s">
        <v>256</v>
      </c>
      <c r="J1622" t="str">
        <f>RIGHT(D1622,4)</f>
        <v>4990</v>
      </c>
      <c r="K1622" t="str">
        <f>IFERROR(VLOOKUP(VALUE(J1622),'Site Info'!$A:$G,3,FALSE),"")</f>
        <v>29683 FREDERICK BLVD</v>
      </c>
      <c r="L1622" t="str">
        <f>IFERROR(VLOOKUP(VALUE(J1622),'Site Info'!$A:$G,4,FALSE),"")</f>
        <v>DAPHNE</v>
      </c>
      <c r="M1622" t="str">
        <f>IFERROR(VLOOKUP(VALUE(J1622),'Site Info'!$A:$G,5,FALSE),"")</f>
        <v>AL</v>
      </c>
      <c r="N1622" t="str">
        <f>IFERROR(VLOOKUP(VALUE(J1622),'Site Info'!$A:$G,6,FALSE),"")</f>
        <v>36526-9571</v>
      </c>
      <c r="O1622">
        <f>IFERROR(VLOOKUP(VALUE(J1622),'Site Info'!$A:$G,7,FALSE),"")</f>
        <v>2516266909</v>
      </c>
    </row>
    <row r="1623" spans="1:15" x14ac:dyDescent="0.45">
      <c r="A1623" t="s">
        <v>9493</v>
      </c>
      <c r="B1623" t="s">
        <v>9494</v>
      </c>
      <c r="C1623" t="s">
        <v>9495</v>
      </c>
      <c r="D1623" t="s">
        <v>254</v>
      </c>
      <c r="E1623" s="1">
        <v>46151.411377314813</v>
      </c>
      <c r="F1623">
        <v>1547</v>
      </c>
      <c r="G1623" t="s">
        <v>9496</v>
      </c>
      <c r="H1623" t="s">
        <v>15</v>
      </c>
      <c r="I1623" t="s">
        <v>256</v>
      </c>
      <c r="J1623" t="str">
        <f>RIGHT(D1623,4)</f>
        <v>4990</v>
      </c>
      <c r="K1623" t="str">
        <f>IFERROR(VLOOKUP(VALUE(J1623),'Site Info'!$A:$G,3,FALSE),"")</f>
        <v>29683 FREDERICK BLVD</v>
      </c>
      <c r="L1623" t="str">
        <f>IFERROR(VLOOKUP(VALUE(J1623),'Site Info'!$A:$G,4,FALSE),"")</f>
        <v>DAPHNE</v>
      </c>
      <c r="M1623" t="str">
        <f>IFERROR(VLOOKUP(VALUE(J1623),'Site Info'!$A:$G,5,FALSE),"")</f>
        <v>AL</v>
      </c>
      <c r="N1623" t="str">
        <f>IFERROR(VLOOKUP(VALUE(J1623),'Site Info'!$A:$G,6,FALSE),"")</f>
        <v>36526-9571</v>
      </c>
      <c r="O1623">
        <f>IFERROR(VLOOKUP(VALUE(J1623),'Site Info'!$A:$G,7,FALSE),"")</f>
        <v>2516266909</v>
      </c>
    </row>
    <row r="1624" spans="1:15" x14ac:dyDescent="0.45">
      <c r="A1624" t="s">
        <v>11420</v>
      </c>
      <c r="B1624" t="s">
        <v>11421</v>
      </c>
      <c r="C1624" t="s">
        <v>11422</v>
      </c>
      <c r="D1624" t="s">
        <v>254</v>
      </c>
      <c r="E1624" s="1">
        <v>46151.733182870368</v>
      </c>
      <c r="F1624">
        <v>1547</v>
      </c>
      <c r="G1624" t="s">
        <v>11423</v>
      </c>
      <c r="H1624" t="s">
        <v>15</v>
      </c>
      <c r="I1624" t="s">
        <v>256</v>
      </c>
      <c r="J1624" t="str">
        <f>RIGHT(D1624,4)</f>
        <v>4990</v>
      </c>
      <c r="K1624" t="str">
        <f>IFERROR(VLOOKUP(VALUE(J1624),'Site Info'!$A:$G,3,FALSE),"")</f>
        <v>29683 FREDERICK BLVD</v>
      </c>
      <c r="L1624" t="str">
        <f>IFERROR(VLOOKUP(VALUE(J1624),'Site Info'!$A:$G,4,FALSE),"")</f>
        <v>DAPHNE</v>
      </c>
      <c r="M1624" t="str">
        <f>IFERROR(VLOOKUP(VALUE(J1624),'Site Info'!$A:$G,5,FALSE),"")</f>
        <v>AL</v>
      </c>
      <c r="N1624" t="str">
        <f>IFERROR(VLOOKUP(VALUE(J1624),'Site Info'!$A:$G,6,FALSE),"")</f>
        <v>36526-9571</v>
      </c>
      <c r="O1624">
        <f>IFERROR(VLOOKUP(VALUE(J1624),'Site Info'!$A:$G,7,FALSE),"")</f>
        <v>2516266909</v>
      </c>
    </row>
    <row r="1625" spans="1:15" x14ac:dyDescent="0.45">
      <c r="A1625" t="s">
        <v>12692</v>
      </c>
      <c r="B1625" t="s">
        <v>12693</v>
      </c>
      <c r="C1625" t="s">
        <v>12694</v>
      </c>
      <c r="D1625" t="s">
        <v>254</v>
      </c>
      <c r="E1625" s="1">
        <v>46151.789004629631</v>
      </c>
      <c r="F1625">
        <v>1547</v>
      </c>
      <c r="G1625" t="s">
        <v>12695</v>
      </c>
      <c r="H1625" t="s">
        <v>15</v>
      </c>
      <c r="I1625" t="s">
        <v>256</v>
      </c>
      <c r="J1625" t="str">
        <f>RIGHT(D1625,4)</f>
        <v>4990</v>
      </c>
      <c r="K1625" t="str">
        <f>IFERROR(VLOOKUP(VALUE(J1625),'Site Info'!$A:$G,3,FALSE),"")</f>
        <v>29683 FREDERICK BLVD</v>
      </c>
      <c r="L1625" t="str">
        <f>IFERROR(VLOOKUP(VALUE(J1625),'Site Info'!$A:$G,4,FALSE),"")</f>
        <v>DAPHNE</v>
      </c>
      <c r="M1625" t="str">
        <f>IFERROR(VLOOKUP(VALUE(J1625),'Site Info'!$A:$G,5,FALSE),"")</f>
        <v>AL</v>
      </c>
      <c r="N1625" t="str">
        <f>IFERROR(VLOOKUP(VALUE(J1625),'Site Info'!$A:$G,6,FALSE),"")</f>
        <v>36526-9571</v>
      </c>
      <c r="O1625">
        <f>IFERROR(VLOOKUP(VALUE(J1625),'Site Info'!$A:$G,7,FALSE),"")</f>
        <v>2516266909</v>
      </c>
    </row>
    <row r="1626" spans="1:15" x14ac:dyDescent="0.45">
      <c r="A1626" t="s">
        <v>7785</v>
      </c>
      <c r="B1626" t="s">
        <v>7786</v>
      </c>
      <c r="C1626" t="s">
        <v>7787</v>
      </c>
      <c r="D1626" t="s">
        <v>254</v>
      </c>
      <c r="E1626" s="1">
        <v>46151.793912037036</v>
      </c>
      <c r="F1626">
        <v>1547</v>
      </c>
      <c r="G1626" t="s">
        <v>7788</v>
      </c>
      <c r="H1626" t="s">
        <v>15</v>
      </c>
      <c r="I1626" t="s">
        <v>6652</v>
      </c>
      <c r="J1626" t="str">
        <f>RIGHT(D1626,4)</f>
        <v>4990</v>
      </c>
      <c r="K1626" t="str">
        <f>IFERROR(VLOOKUP(VALUE(J1626),'Site Info'!$A:$G,3,FALSE),"")</f>
        <v>29683 FREDERICK BLVD</v>
      </c>
      <c r="L1626" t="str">
        <f>IFERROR(VLOOKUP(VALUE(J1626),'Site Info'!$A:$G,4,FALSE),"")</f>
        <v>DAPHNE</v>
      </c>
      <c r="M1626" t="str">
        <f>IFERROR(VLOOKUP(VALUE(J1626),'Site Info'!$A:$G,5,FALSE),"")</f>
        <v>AL</v>
      </c>
      <c r="N1626" t="str">
        <f>IFERROR(VLOOKUP(VALUE(J1626),'Site Info'!$A:$G,6,FALSE),"")</f>
        <v>36526-9571</v>
      </c>
      <c r="O1626">
        <f>IFERROR(VLOOKUP(VALUE(J1626),'Site Info'!$A:$G,7,FALSE),"")</f>
        <v>2516266909</v>
      </c>
    </row>
    <row r="1627" spans="1:15" x14ac:dyDescent="0.45">
      <c r="A1627" t="s">
        <v>9729</v>
      </c>
      <c r="B1627" t="s">
        <v>9730</v>
      </c>
      <c r="C1627" t="s">
        <v>9731</v>
      </c>
      <c r="D1627" t="s">
        <v>254</v>
      </c>
      <c r="E1627" s="1">
        <v>46152.783217592594</v>
      </c>
      <c r="F1627">
        <v>1547</v>
      </c>
      <c r="G1627" t="s">
        <v>9732</v>
      </c>
      <c r="H1627" t="s">
        <v>15</v>
      </c>
      <c r="I1627" t="s">
        <v>256</v>
      </c>
      <c r="J1627" t="str">
        <f>RIGHT(D1627,4)</f>
        <v>4990</v>
      </c>
      <c r="K1627" t="str">
        <f>IFERROR(VLOOKUP(VALUE(J1627),'Site Info'!$A:$G,3,FALSE),"")</f>
        <v>29683 FREDERICK BLVD</v>
      </c>
      <c r="L1627" t="str">
        <f>IFERROR(VLOOKUP(VALUE(J1627),'Site Info'!$A:$G,4,FALSE),"")</f>
        <v>DAPHNE</v>
      </c>
      <c r="M1627" t="str">
        <f>IFERROR(VLOOKUP(VALUE(J1627),'Site Info'!$A:$G,5,FALSE),"")</f>
        <v>AL</v>
      </c>
      <c r="N1627" t="str">
        <f>IFERROR(VLOOKUP(VALUE(J1627),'Site Info'!$A:$G,6,FALSE),"")</f>
        <v>36526-9571</v>
      </c>
      <c r="O1627">
        <f>IFERROR(VLOOKUP(VALUE(J1627),'Site Info'!$A:$G,7,FALSE),"")</f>
        <v>2516266909</v>
      </c>
    </row>
    <row r="1628" spans="1:15" x14ac:dyDescent="0.45">
      <c r="A1628" t="s">
        <v>10887</v>
      </c>
      <c r="B1628" t="s">
        <v>10888</v>
      </c>
      <c r="C1628" t="s">
        <v>10889</v>
      </c>
      <c r="D1628" t="s">
        <v>254</v>
      </c>
      <c r="E1628" s="1">
        <v>46153.005671296298</v>
      </c>
      <c r="F1628">
        <v>1547</v>
      </c>
      <c r="G1628" t="s">
        <v>10890</v>
      </c>
      <c r="H1628" t="s">
        <v>15</v>
      </c>
      <c r="I1628" t="s">
        <v>256</v>
      </c>
      <c r="J1628" t="str">
        <f>RIGHT(D1628,4)</f>
        <v>4990</v>
      </c>
      <c r="K1628" t="str">
        <f>IFERROR(VLOOKUP(VALUE(J1628),'Site Info'!$A:$G,3,FALSE),"")</f>
        <v>29683 FREDERICK BLVD</v>
      </c>
      <c r="L1628" t="str">
        <f>IFERROR(VLOOKUP(VALUE(J1628),'Site Info'!$A:$G,4,FALSE),"")</f>
        <v>DAPHNE</v>
      </c>
      <c r="M1628" t="str">
        <f>IFERROR(VLOOKUP(VALUE(J1628),'Site Info'!$A:$G,5,FALSE),"")</f>
        <v>AL</v>
      </c>
      <c r="N1628" t="str">
        <f>IFERROR(VLOOKUP(VALUE(J1628),'Site Info'!$A:$G,6,FALSE),"")</f>
        <v>36526-9571</v>
      </c>
      <c r="O1628">
        <f>IFERROR(VLOOKUP(VALUE(J1628),'Site Info'!$A:$G,7,FALSE),"")</f>
        <v>2516266909</v>
      </c>
    </row>
    <row r="1629" spans="1:15" x14ac:dyDescent="0.45">
      <c r="A1629" t="s">
        <v>3453</v>
      </c>
      <c r="B1629" t="s">
        <v>3454</v>
      </c>
      <c r="C1629" t="s">
        <v>3455</v>
      </c>
      <c r="D1629" t="s">
        <v>254</v>
      </c>
      <c r="E1629" s="1">
        <v>46153.323148148149</v>
      </c>
      <c r="F1629">
        <v>1481</v>
      </c>
      <c r="G1629" t="s">
        <v>3456</v>
      </c>
      <c r="H1629" t="s">
        <v>15</v>
      </c>
      <c r="I1629" t="s">
        <v>256</v>
      </c>
      <c r="J1629" t="str">
        <f>RIGHT(D1629,4)</f>
        <v>4990</v>
      </c>
      <c r="K1629" t="str">
        <f>IFERROR(VLOOKUP(VALUE(J1629),'Site Info'!$A:$G,3,FALSE),"")</f>
        <v>29683 FREDERICK BLVD</v>
      </c>
      <c r="L1629" t="str">
        <f>IFERROR(VLOOKUP(VALUE(J1629),'Site Info'!$A:$G,4,FALSE),"")</f>
        <v>DAPHNE</v>
      </c>
      <c r="M1629" t="str">
        <f>IFERROR(VLOOKUP(VALUE(J1629),'Site Info'!$A:$G,5,FALSE),"")</f>
        <v>AL</v>
      </c>
      <c r="N1629" t="str">
        <f>IFERROR(VLOOKUP(VALUE(J1629),'Site Info'!$A:$G,6,FALSE),"")</f>
        <v>36526-9571</v>
      </c>
      <c r="O1629">
        <f>IFERROR(VLOOKUP(VALUE(J1629),'Site Info'!$A:$G,7,FALSE),"")</f>
        <v>2516266909</v>
      </c>
    </row>
    <row r="1630" spans="1:15" x14ac:dyDescent="0.45">
      <c r="A1630" t="s">
        <v>2373</v>
      </c>
      <c r="B1630" t="s">
        <v>2374</v>
      </c>
      <c r="C1630" t="s">
        <v>2375</v>
      </c>
      <c r="D1630" t="s">
        <v>254</v>
      </c>
      <c r="E1630" s="1">
        <v>46153.349490740744</v>
      </c>
      <c r="F1630">
        <v>1481</v>
      </c>
      <c r="G1630" t="s">
        <v>2376</v>
      </c>
      <c r="H1630" t="s">
        <v>15</v>
      </c>
      <c r="I1630" t="s">
        <v>256</v>
      </c>
      <c r="J1630" t="str">
        <f>RIGHT(D1630,4)</f>
        <v>4990</v>
      </c>
      <c r="K1630" t="str">
        <f>IFERROR(VLOOKUP(VALUE(J1630),'Site Info'!$A:$G,3,FALSE),"")</f>
        <v>29683 FREDERICK BLVD</v>
      </c>
      <c r="L1630" t="str">
        <f>IFERROR(VLOOKUP(VALUE(J1630),'Site Info'!$A:$G,4,FALSE),"")</f>
        <v>DAPHNE</v>
      </c>
      <c r="M1630" t="str">
        <f>IFERROR(VLOOKUP(VALUE(J1630),'Site Info'!$A:$G,5,FALSE),"")</f>
        <v>AL</v>
      </c>
      <c r="N1630" t="str">
        <f>IFERROR(VLOOKUP(VALUE(J1630),'Site Info'!$A:$G,6,FALSE),"")</f>
        <v>36526-9571</v>
      </c>
      <c r="O1630">
        <f>IFERROR(VLOOKUP(VALUE(J1630),'Site Info'!$A:$G,7,FALSE),"")</f>
        <v>2516266909</v>
      </c>
    </row>
    <row r="1631" spans="1:15" x14ac:dyDescent="0.45">
      <c r="A1631" t="s">
        <v>6757</v>
      </c>
      <c r="B1631" t="s">
        <v>6758</v>
      </c>
      <c r="C1631" t="s">
        <v>6759</v>
      </c>
      <c r="D1631" t="s">
        <v>3834</v>
      </c>
      <c r="E1631" s="1">
        <v>46153.130694444444</v>
      </c>
      <c r="F1631">
        <v>1863</v>
      </c>
      <c r="G1631" t="s">
        <v>6760</v>
      </c>
      <c r="H1631" t="s">
        <v>136</v>
      </c>
      <c r="I1631" t="s">
        <v>3836</v>
      </c>
      <c r="J1631" t="str">
        <f>RIGHT(D1631,4)</f>
        <v>8253</v>
      </c>
      <c r="K1631" t="str">
        <f>IFERROR(VLOOKUP(VALUE(J1631),'Site Info'!$A:$G,3,FALSE),"")</f>
        <v>300 BUSCH DR</v>
      </c>
      <c r="L1631" t="str">
        <f>IFERROR(VLOOKUP(VALUE(J1631),'Site Info'!$A:$G,4,FALSE),"")</f>
        <v>JACKSONVILLE</v>
      </c>
      <c r="M1631" t="str">
        <f>IFERROR(VLOOKUP(VALUE(J1631),'Site Info'!$A:$G,5,FALSE),"")</f>
        <v>FL</v>
      </c>
      <c r="N1631" t="str">
        <f>IFERROR(VLOOKUP(VALUE(J1631),'Site Info'!$A:$G,6,FALSE),"")</f>
        <v>32218-5551</v>
      </c>
      <c r="O1631">
        <f>IFERROR(VLOOKUP(VALUE(J1631),'Site Info'!$A:$G,7,FALSE),"")</f>
        <v>9046968842</v>
      </c>
    </row>
    <row r="1632" spans="1:15" x14ac:dyDescent="0.45">
      <c r="A1632" t="s">
        <v>10408</v>
      </c>
      <c r="B1632" t="s">
        <v>10409</v>
      </c>
      <c r="C1632" t="s">
        <v>10410</v>
      </c>
      <c r="D1632" t="s">
        <v>3834</v>
      </c>
      <c r="E1632" s="1">
        <v>46147.591087962966</v>
      </c>
      <c r="F1632">
        <v>1547</v>
      </c>
      <c r="G1632" t="s">
        <v>10411</v>
      </c>
      <c r="H1632" t="s">
        <v>15</v>
      </c>
      <c r="I1632" t="s">
        <v>3836</v>
      </c>
      <c r="J1632" t="str">
        <f>RIGHT(D1632,4)</f>
        <v>8253</v>
      </c>
      <c r="K1632" t="str">
        <f>IFERROR(VLOOKUP(VALUE(J1632),'Site Info'!$A:$G,3,FALSE),"")</f>
        <v>300 BUSCH DR</v>
      </c>
      <c r="L1632" t="str">
        <f>IFERROR(VLOOKUP(VALUE(J1632),'Site Info'!$A:$G,4,FALSE),"")</f>
        <v>JACKSONVILLE</v>
      </c>
      <c r="M1632" t="str">
        <f>IFERROR(VLOOKUP(VALUE(J1632),'Site Info'!$A:$G,5,FALSE),"")</f>
        <v>FL</v>
      </c>
      <c r="N1632" t="str">
        <f>IFERROR(VLOOKUP(VALUE(J1632),'Site Info'!$A:$G,6,FALSE),"")</f>
        <v>32218-5551</v>
      </c>
      <c r="O1632">
        <f>IFERROR(VLOOKUP(VALUE(J1632),'Site Info'!$A:$G,7,FALSE),"")</f>
        <v>9046968842</v>
      </c>
    </row>
    <row r="1633" spans="1:15" x14ac:dyDescent="0.45">
      <c r="A1633" t="s">
        <v>10332</v>
      </c>
      <c r="B1633" t="s">
        <v>10333</v>
      </c>
      <c r="C1633" t="s">
        <v>10334</v>
      </c>
      <c r="D1633" t="s">
        <v>3834</v>
      </c>
      <c r="E1633" s="1">
        <v>46152.589733796296</v>
      </c>
      <c r="F1633">
        <v>1547</v>
      </c>
      <c r="G1633" t="s">
        <v>10335</v>
      </c>
      <c r="H1633" t="s">
        <v>15</v>
      </c>
      <c r="I1633" t="s">
        <v>3836</v>
      </c>
      <c r="J1633" t="str">
        <f>RIGHT(D1633,4)</f>
        <v>8253</v>
      </c>
      <c r="K1633" t="str">
        <f>IFERROR(VLOOKUP(VALUE(J1633),'Site Info'!$A:$G,3,FALSE),"")</f>
        <v>300 BUSCH DR</v>
      </c>
      <c r="L1633" t="str">
        <f>IFERROR(VLOOKUP(VALUE(J1633),'Site Info'!$A:$G,4,FALSE),"")</f>
        <v>JACKSONVILLE</v>
      </c>
      <c r="M1633" t="str">
        <f>IFERROR(VLOOKUP(VALUE(J1633),'Site Info'!$A:$G,5,FALSE),"")</f>
        <v>FL</v>
      </c>
      <c r="N1633" t="str">
        <f>IFERROR(VLOOKUP(VALUE(J1633),'Site Info'!$A:$G,6,FALSE),"")</f>
        <v>32218-5551</v>
      </c>
      <c r="O1633">
        <f>IFERROR(VLOOKUP(VALUE(J1633),'Site Info'!$A:$G,7,FALSE),"")</f>
        <v>9046968842</v>
      </c>
    </row>
    <row r="1634" spans="1:15" x14ac:dyDescent="0.45">
      <c r="A1634" t="s">
        <v>10436</v>
      </c>
      <c r="B1634" t="s">
        <v>10437</v>
      </c>
      <c r="C1634" t="s">
        <v>10438</v>
      </c>
      <c r="D1634" t="s">
        <v>3834</v>
      </c>
      <c r="E1634" s="1">
        <v>46152.965011574073</v>
      </c>
      <c r="F1634">
        <v>1547</v>
      </c>
      <c r="G1634" t="s">
        <v>10439</v>
      </c>
      <c r="H1634" t="s">
        <v>15</v>
      </c>
      <c r="I1634" t="s">
        <v>3836</v>
      </c>
      <c r="J1634" t="str">
        <f>RIGHT(D1634,4)</f>
        <v>8253</v>
      </c>
      <c r="K1634" t="str">
        <f>IFERROR(VLOOKUP(VALUE(J1634),'Site Info'!$A:$G,3,FALSE),"")</f>
        <v>300 BUSCH DR</v>
      </c>
      <c r="L1634" t="str">
        <f>IFERROR(VLOOKUP(VALUE(J1634),'Site Info'!$A:$G,4,FALSE),"")</f>
        <v>JACKSONVILLE</v>
      </c>
      <c r="M1634" t="str">
        <f>IFERROR(VLOOKUP(VALUE(J1634),'Site Info'!$A:$G,5,FALSE),"")</f>
        <v>FL</v>
      </c>
      <c r="N1634" t="str">
        <f>IFERROR(VLOOKUP(VALUE(J1634),'Site Info'!$A:$G,6,FALSE),"")</f>
        <v>32218-5551</v>
      </c>
      <c r="O1634">
        <f>IFERROR(VLOOKUP(VALUE(J1634),'Site Info'!$A:$G,7,FALSE),"")</f>
        <v>9046968842</v>
      </c>
    </row>
    <row r="1635" spans="1:15" x14ac:dyDescent="0.45">
      <c r="A1635" t="s">
        <v>3831</v>
      </c>
      <c r="B1635" t="s">
        <v>3832</v>
      </c>
      <c r="C1635" t="s">
        <v>3833</v>
      </c>
      <c r="D1635" t="s">
        <v>3834</v>
      </c>
      <c r="E1635" s="1">
        <v>46152.549942129626</v>
      </c>
      <c r="F1635">
        <v>1481</v>
      </c>
      <c r="G1635" t="s">
        <v>3835</v>
      </c>
      <c r="H1635" t="s">
        <v>15</v>
      </c>
      <c r="I1635" t="s">
        <v>3836</v>
      </c>
      <c r="J1635" t="str">
        <f>RIGHT(D1635,4)</f>
        <v>8253</v>
      </c>
      <c r="K1635" t="str">
        <f>IFERROR(VLOOKUP(VALUE(J1635),'Site Info'!$A:$G,3,FALSE),"")</f>
        <v>300 BUSCH DR</v>
      </c>
      <c r="L1635" t="str">
        <f>IFERROR(VLOOKUP(VALUE(J1635),'Site Info'!$A:$G,4,FALSE),"")</f>
        <v>JACKSONVILLE</v>
      </c>
      <c r="M1635" t="str">
        <f>IFERROR(VLOOKUP(VALUE(J1635),'Site Info'!$A:$G,5,FALSE),"")</f>
        <v>FL</v>
      </c>
      <c r="N1635" t="str">
        <f>IFERROR(VLOOKUP(VALUE(J1635),'Site Info'!$A:$G,6,FALSE),"")</f>
        <v>32218-5551</v>
      </c>
      <c r="O1635">
        <f>IFERROR(VLOOKUP(VALUE(J1635),'Site Info'!$A:$G,7,FALSE),"")</f>
        <v>9046968842</v>
      </c>
    </row>
    <row r="1636" spans="1:15" x14ac:dyDescent="0.45">
      <c r="A1636" t="s">
        <v>7617</v>
      </c>
      <c r="B1636" t="s">
        <v>7618</v>
      </c>
      <c r="C1636" t="s">
        <v>7619</v>
      </c>
      <c r="D1636" t="s">
        <v>6698</v>
      </c>
      <c r="E1636" s="1">
        <v>46151.824780092589</v>
      </c>
      <c r="F1636">
        <v>1547</v>
      </c>
      <c r="G1636" t="s">
        <v>7620</v>
      </c>
      <c r="H1636" t="s">
        <v>15</v>
      </c>
      <c r="I1636" t="s">
        <v>6700</v>
      </c>
      <c r="J1636" t="str">
        <f>RIGHT(D1636,4)</f>
        <v>6672</v>
      </c>
      <c r="K1636" t="str">
        <f>IFERROR(VLOOKUP(VALUE(J1636),'Site Info'!$A:$G,3,FALSE),"")</f>
        <v>300 EUBANK BLVD NE</v>
      </c>
      <c r="L1636" t="str">
        <f>IFERROR(VLOOKUP(VALUE(J1636),'Site Info'!$A:$G,4,FALSE),"")</f>
        <v>ALBUQUERQUE</v>
      </c>
      <c r="M1636" t="str">
        <f>IFERROR(VLOOKUP(VALUE(J1636),'Site Info'!$A:$G,5,FALSE),"")</f>
        <v>NM</v>
      </c>
      <c r="N1636" t="str">
        <f>IFERROR(VLOOKUP(VALUE(J1636),'Site Info'!$A:$G,6,FALSE),"")</f>
        <v>87123-2755</v>
      </c>
      <c r="O1636">
        <f>IFERROR(VLOOKUP(VALUE(J1636),'Site Info'!$A:$G,7,FALSE),"")</f>
        <v>5052985308</v>
      </c>
    </row>
    <row r="1637" spans="1:15" x14ac:dyDescent="0.45">
      <c r="A1637" t="s">
        <v>7316</v>
      </c>
      <c r="B1637" t="s">
        <v>7317</v>
      </c>
      <c r="C1637" t="s">
        <v>7318</v>
      </c>
      <c r="D1637" t="s">
        <v>6698</v>
      </c>
      <c r="E1637" s="1">
        <v>46151.86519675926</v>
      </c>
      <c r="F1637">
        <v>1547</v>
      </c>
      <c r="G1637" t="s">
        <v>7319</v>
      </c>
      <c r="H1637" t="s">
        <v>15</v>
      </c>
      <c r="I1637" t="s">
        <v>6700</v>
      </c>
      <c r="J1637" t="str">
        <f>RIGHT(D1637,4)</f>
        <v>6672</v>
      </c>
      <c r="K1637" t="str">
        <f>IFERROR(VLOOKUP(VALUE(J1637),'Site Info'!$A:$G,3,FALSE),"")</f>
        <v>300 EUBANK BLVD NE</v>
      </c>
      <c r="L1637" t="str">
        <f>IFERROR(VLOOKUP(VALUE(J1637),'Site Info'!$A:$G,4,FALSE),"")</f>
        <v>ALBUQUERQUE</v>
      </c>
      <c r="M1637" t="str">
        <f>IFERROR(VLOOKUP(VALUE(J1637),'Site Info'!$A:$G,5,FALSE),"")</f>
        <v>NM</v>
      </c>
      <c r="N1637" t="str">
        <f>IFERROR(VLOOKUP(VALUE(J1637),'Site Info'!$A:$G,6,FALSE),"")</f>
        <v>87123-2755</v>
      </c>
      <c r="O1637">
        <f>IFERROR(VLOOKUP(VALUE(J1637),'Site Info'!$A:$G,7,FALSE),"")</f>
        <v>5052985308</v>
      </c>
    </row>
    <row r="1638" spans="1:15" x14ac:dyDescent="0.45">
      <c r="A1638" t="s">
        <v>6695</v>
      </c>
      <c r="B1638" t="s">
        <v>6696</v>
      </c>
      <c r="C1638" t="s">
        <v>6697</v>
      </c>
      <c r="D1638" t="s">
        <v>6698</v>
      </c>
      <c r="E1638" s="1">
        <v>46152.530219907407</v>
      </c>
      <c r="F1638">
        <v>1547</v>
      </c>
      <c r="G1638" t="s">
        <v>6699</v>
      </c>
      <c r="H1638" t="s">
        <v>15</v>
      </c>
      <c r="I1638" t="s">
        <v>6700</v>
      </c>
      <c r="J1638" t="str">
        <f>RIGHT(D1638,4)</f>
        <v>6672</v>
      </c>
      <c r="K1638" t="str">
        <f>IFERROR(VLOOKUP(VALUE(J1638),'Site Info'!$A:$G,3,FALSE),"")</f>
        <v>300 EUBANK BLVD NE</v>
      </c>
      <c r="L1638" t="str">
        <f>IFERROR(VLOOKUP(VALUE(J1638),'Site Info'!$A:$G,4,FALSE),"")</f>
        <v>ALBUQUERQUE</v>
      </c>
      <c r="M1638" t="str">
        <f>IFERROR(VLOOKUP(VALUE(J1638),'Site Info'!$A:$G,5,FALSE),"")</f>
        <v>NM</v>
      </c>
      <c r="N1638" t="str">
        <f>IFERROR(VLOOKUP(VALUE(J1638),'Site Info'!$A:$G,6,FALSE),"")</f>
        <v>87123-2755</v>
      </c>
      <c r="O1638">
        <f>IFERROR(VLOOKUP(VALUE(J1638),'Site Info'!$A:$G,7,FALSE),"")</f>
        <v>5052985308</v>
      </c>
    </row>
    <row r="1639" spans="1:15" x14ac:dyDescent="0.45">
      <c r="A1639" t="s">
        <v>7985</v>
      </c>
      <c r="B1639" t="s">
        <v>7986</v>
      </c>
      <c r="C1639" t="s">
        <v>7987</v>
      </c>
      <c r="D1639" t="s">
        <v>6698</v>
      </c>
      <c r="E1639" s="1">
        <v>46152.795972222222</v>
      </c>
      <c r="F1639">
        <v>1547</v>
      </c>
      <c r="G1639" t="s">
        <v>7988</v>
      </c>
      <c r="H1639" t="s">
        <v>15</v>
      </c>
      <c r="I1639" t="s">
        <v>6700</v>
      </c>
      <c r="J1639" t="str">
        <f>RIGHT(D1639,4)</f>
        <v>6672</v>
      </c>
      <c r="K1639" t="str">
        <f>IFERROR(VLOOKUP(VALUE(J1639),'Site Info'!$A:$G,3,FALSE),"")</f>
        <v>300 EUBANK BLVD NE</v>
      </c>
      <c r="L1639" t="str">
        <f>IFERROR(VLOOKUP(VALUE(J1639),'Site Info'!$A:$G,4,FALSE),"")</f>
        <v>ALBUQUERQUE</v>
      </c>
      <c r="M1639" t="str">
        <f>IFERROR(VLOOKUP(VALUE(J1639),'Site Info'!$A:$G,5,FALSE),"")</f>
        <v>NM</v>
      </c>
      <c r="N1639" t="str">
        <f>IFERROR(VLOOKUP(VALUE(J1639),'Site Info'!$A:$G,6,FALSE),"")</f>
        <v>87123-2755</v>
      </c>
      <c r="O1639">
        <f>IFERROR(VLOOKUP(VALUE(J1639),'Site Info'!$A:$G,7,FALSE),"")</f>
        <v>5052985308</v>
      </c>
    </row>
    <row r="1640" spans="1:15" x14ac:dyDescent="0.45">
      <c r="A1640" t="s">
        <v>7347</v>
      </c>
      <c r="B1640" t="s">
        <v>7348</v>
      </c>
      <c r="C1640" t="s">
        <v>7349</v>
      </c>
      <c r="D1640" t="s">
        <v>6698</v>
      </c>
      <c r="E1640" s="1">
        <v>46153.282141203701</v>
      </c>
      <c r="F1640">
        <v>1547</v>
      </c>
      <c r="G1640" t="s">
        <v>7350</v>
      </c>
      <c r="H1640" t="s">
        <v>15</v>
      </c>
      <c r="I1640" t="s">
        <v>6700</v>
      </c>
      <c r="J1640" t="str">
        <f>RIGHT(D1640,4)</f>
        <v>6672</v>
      </c>
      <c r="K1640" t="str">
        <f>IFERROR(VLOOKUP(VALUE(J1640),'Site Info'!$A:$G,3,FALSE),"")</f>
        <v>300 EUBANK BLVD NE</v>
      </c>
      <c r="L1640" t="str">
        <f>IFERROR(VLOOKUP(VALUE(J1640),'Site Info'!$A:$G,4,FALSE),"")</f>
        <v>ALBUQUERQUE</v>
      </c>
      <c r="M1640" t="str">
        <f>IFERROR(VLOOKUP(VALUE(J1640),'Site Info'!$A:$G,5,FALSE),"")</f>
        <v>NM</v>
      </c>
      <c r="N1640" t="str">
        <f>IFERROR(VLOOKUP(VALUE(J1640),'Site Info'!$A:$G,6,FALSE),"")</f>
        <v>87123-2755</v>
      </c>
      <c r="O1640">
        <f>IFERROR(VLOOKUP(VALUE(J1640),'Site Info'!$A:$G,7,FALSE),"")</f>
        <v>5052985308</v>
      </c>
    </row>
    <row r="1641" spans="1:15" x14ac:dyDescent="0.45">
      <c r="A1641" t="s">
        <v>8357</v>
      </c>
      <c r="B1641" t="s">
        <v>8358</v>
      </c>
      <c r="C1641" t="s">
        <v>8359</v>
      </c>
      <c r="D1641" t="s">
        <v>6698</v>
      </c>
      <c r="E1641" s="1">
        <v>46153.296273148146</v>
      </c>
      <c r="F1641">
        <v>1547</v>
      </c>
      <c r="G1641" t="s">
        <v>8360</v>
      </c>
      <c r="H1641" t="s">
        <v>15</v>
      </c>
      <c r="I1641" t="s">
        <v>6700</v>
      </c>
      <c r="J1641" t="str">
        <f>RIGHT(D1641,4)</f>
        <v>6672</v>
      </c>
      <c r="K1641" t="str">
        <f>IFERROR(VLOOKUP(VALUE(J1641),'Site Info'!$A:$G,3,FALSE),"")</f>
        <v>300 EUBANK BLVD NE</v>
      </c>
      <c r="L1641" t="str">
        <f>IFERROR(VLOOKUP(VALUE(J1641),'Site Info'!$A:$G,4,FALSE),"")</f>
        <v>ALBUQUERQUE</v>
      </c>
      <c r="M1641" t="str">
        <f>IFERROR(VLOOKUP(VALUE(J1641),'Site Info'!$A:$G,5,FALSE),"")</f>
        <v>NM</v>
      </c>
      <c r="N1641" t="str">
        <f>IFERROR(VLOOKUP(VALUE(J1641),'Site Info'!$A:$G,6,FALSE),"")</f>
        <v>87123-2755</v>
      </c>
      <c r="O1641">
        <f>IFERROR(VLOOKUP(VALUE(J1641),'Site Info'!$A:$G,7,FALSE),"")</f>
        <v>5052985308</v>
      </c>
    </row>
    <row r="1642" spans="1:15" x14ac:dyDescent="0.45">
      <c r="A1642" t="s">
        <v>84</v>
      </c>
      <c r="B1642" t="s">
        <v>85</v>
      </c>
      <c r="C1642" t="s">
        <v>86</v>
      </c>
      <c r="D1642" t="s">
        <v>87</v>
      </c>
      <c r="E1642" s="1">
        <v>46083.25141203704</v>
      </c>
      <c r="F1642">
        <v>1547</v>
      </c>
      <c r="G1642" t="s">
        <v>88</v>
      </c>
      <c r="H1642" t="s">
        <v>15</v>
      </c>
      <c r="I1642" t="s">
        <v>89</v>
      </c>
      <c r="J1642" t="str">
        <f>RIGHT(D1642,4)</f>
        <v>4950</v>
      </c>
      <c r="K1642" t="str">
        <f>IFERROR(VLOOKUP(VALUE(J1642),'Site Info'!$A:$G,3,FALSE),"")</f>
        <v>300 HIGHLANDS SQUARE DR</v>
      </c>
      <c r="L1642" t="str">
        <f>IFERROR(VLOOKUP(VALUE(J1642),'Site Info'!$A:$G,4,FALSE),"")</f>
        <v>HENDERSONVILLE</v>
      </c>
      <c r="M1642" t="str">
        <f>IFERROR(VLOOKUP(VALUE(J1642),'Site Info'!$A:$G,5,FALSE),"")</f>
        <v>NC</v>
      </c>
      <c r="N1642" t="str">
        <f>IFERROR(VLOOKUP(VALUE(J1642),'Site Info'!$A:$G,6,FALSE),"")</f>
        <v>28792-5732</v>
      </c>
      <c r="O1642">
        <f>IFERROR(VLOOKUP(VALUE(J1642),'Site Info'!$A:$G,7,FALSE),"")</f>
        <v>8286986889</v>
      </c>
    </row>
    <row r="1643" spans="1:15" x14ac:dyDescent="0.45">
      <c r="A1643" t="s">
        <v>10368</v>
      </c>
      <c r="B1643" t="s">
        <v>10369</v>
      </c>
      <c r="C1643" t="s">
        <v>10370</v>
      </c>
      <c r="D1643" t="s">
        <v>87</v>
      </c>
      <c r="E1643" s="1">
        <v>46152.717222222222</v>
      </c>
      <c r="F1643">
        <v>1547</v>
      </c>
      <c r="G1643" t="s">
        <v>10371</v>
      </c>
      <c r="H1643" t="s">
        <v>15</v>
      </c>
      <c r="I1643" t="s">
        <v>89</v>
      </c>
      <c r="J1643" t="str">
        <f>RIGHT(D1643,4)</f>
        <v>4950</v>
      </c>
      <c r="K1643" t="str">
        <f>IFERROR(VLOOKUP(VALUE(J1643),'Site Info'!$A:$G,3,FALSE),"")</f>
        <v>300 HIGHLANDS SQUARE DR</v>
      </c>
      <c r="L1643" t="str">
        <f>IFERROR(VLOOKUP(VALUE(J1643),'Site Info'!$A:$G,4,FALSE),"")</f>
        <v>HENDERSONVILLE</v>
      </c>
      <c r="M1643" t="str">
        <f>IFERROR(VLOOKUP(VALUE(J1643),'Site Info'!$A:$G,5,FALSE),"")</f>
        <v>NC</v>
      </c>
      <c r="N1643" t="str">
        <f>IFERROR(VLOOKUP(VALUE(J1643),'Site Info'!$A:$G,6,FALSE),"")</f>
        <v>28792-5732</v>
      </c>
      <c r="O1643">
        <f>IFERROR(VLOOKUP(VALUE(J1643),'Site Info'!$A:$G,7,FALSE),"")</f>
        <v>8286986889</v>
      </c>
    </row>
    <row r="1644" spans="1:15" x14ac:dyDescent="0.45">
      <c r="A1644" t="s">
        <v>10516</v>
      </c>
      <c r="B1644" t="s">
        <v>10517</v>
      </c>
      <c r="C1644" t="s">
        <v>10518</v>
      </c>
      <c r="D1644" t="s">
        <v>87</v>
      </c>
      <c r="E1644" s="1">
        <v>46153.341851851852</v>
      </c>
      <c r="F1644">
        <v>1547</v>
      </c>
      <c r="G1644" t="s">
        <v>10519</v>
      </c>
      <c r="H1644" t="s">
        <v>15</v>
      </c>
      <c r="I1644" t="s">
        <v>89</v>
      </c>
      <c r="J1644" t="str">
        <f>RIGHT(D1644,4)</f>
        <v>4950</v>
      </c>
      <c r="K1644" t="str">
        <f>IFERROR(VLOOKUP(VALUE(J1644),'Site Info'!$A:$G,3,FALSE),"")</f>
        <v>300 HIGHLANDS SQUARE DR</v>
      </c>
      <c r="L1644" t="str">
        <f>IFERROR(VLOOKUP(VALUE(J1644),'Site Info'!$A:$G,4,FALSE),"")</f>
        <v>HENDERSONVILLE</v>
      </c>
      <c r="M1644" t="str">
        <f>IFERROR(VLOOKUP(VALUE(J1644),'Site Info'!$A:$G,5,FALSE),"")</f>
        <v>NC</v>
      </c>
      <c r="N1644" t="str">
        <f>IFERROR(VLOOKUP(VALUE(J1644),'Site Info'!$A:$G,6,FALSE),"")</f>
        <v>28792-5732</v>
      </c>
      <c r="O1644">
        <f>IFERROR(VLOOKUP(VALUE(J1644),'Site Info'!$A:$G,7,FALSE),"")</f>
        <v>8286986889</v>
      </c>
    </row>
    <row r="1645" spans="1:15" x14ac:dyDescent="0.45">
      <c r="A1645" t="s">
        <v>530</v>
      </c>
      <c r="B1645" t="s">
        <v>531</v>
      </c>
      <c r="C1645" t="s">
        <v>532</v>
      </c>
      <c r="D1645" t="s">
        <v>87</v>
      </c>
      <c r="E1645" s="1">
        <v>46152.572071759256</v>
      </c>
      <c r="F1645">
        <v>1481</v>
      </c>
      <c r="G1645" t="s">
        <v>533</v>
      </c>
      <c r="H1645" t="s">
        <v>15</v>
      </c>
      <c r="I1645" t="s">
        <v>89</v>
      </c>
      <c r="J1645" t="str">
        <f>RIGHT(D1645,4)</f>
        <v>4950</v>
      </c>
      <c r="K1645" t="str">
        <f>IFERROR(VLOOKUP(VALUE(J1645),'Site Info'!$A:$G,3,FALSE),"")</f>
        <v>300 HIGHLANDS SQUARE DR</v>
      </c>
      <c r="L1645" t="str">
        <f>IFERROR(VLOOKUP(VALUE(J1645),'Site Info'!$A:$G,4,FALSE),"")</f>
        <v>HENDERSONVILLE</v>
      </c>
      <c r="M1645" t="str">
        <f>IFERROR(VLOOKUP(VALUE(J1645),'Site Info'!$A:$G,5,FALSE),"")</f>
        <v>NC</v>
      </c>
      <c r="N1645" t="str">
        <f>IFERROR(VLOOKUP(VALUE(J1645),'Site Info'!$A:$G,6,FALSE),"")</f>
        <v>28792-5732</v>
      </c>
      <c r="O1645">
        <f>IFERROR(VLOOKUP(VALUE(J1645),'Site Info'!$A:$G,7,FALSE),"")</f>
        <v>8286986889</v>
      </c>
    </row>
    <row r="1646" spans="1:15" x14ac:dyDescent="0.45">
      <c r="A1646" t="s">
        <v>16512</v>
      </c>
      <c r="B1646" t="s">
        <v>16551</v>
      </c>
      <c r="C1646" t="s">
        <v>16552</v>
      </c>
      <c r="D1646" t="s">
        <v>87</v>
      </c>
      <c r="E1646" s="1">
        <v>46153.338055555556</v>
      </c>
      <c r="F1646">
        <v>1547</v>
      </c>
      <c r="G1646" t="s">
        <v>16553</v>
      </c>
      <c r="H1646" t="s">
        <v>15</v>
      </c>
      <c r="I1646" t="s">
        <v>89</v>
      </c>
      <c r="J1646" t="str">
        <f>RIGHT(D1646,4)</f>
        <v>4950</v>
      </c>
      <c r="K1646" t="str">
        <f>IFERROR(VLOOKUP(VALUE(J1646),'Site Info'!$A:$G,3,FALSE),"")</f>
        <v>300 HIGHLANDS SQUARE DR</v>
      </c>
      <c r="L1646" t="str">
        <f>IFERROR(VLOOKUP(VALUE(J1646),'Site Info'!$A:$G,4,FALSE),"")</f>
        <v>HENDERSONVILLE</v>
      </c>
      <c r="M1646" t="str">
        <f>IFERROR(VLOOKUP(VALUE(J1646),'Site Info'!$A:$G,5,FALSE),"")</f>
        <v>NC</v>
      </c>
      <c r="N1646" t="str">
        <f>IFERROR(VLOOKUP(VALUE(J1646),'Site Info'!$A:$G,6,FALSE),"")</f>
        <v>28792-5732</v>
      </c>
      <c r="O1646">
        <f>IFERROR(VLOOKUP(VALUE(J1646),'Site Info'!$A:$G,7,FALSE),"")</f>
        <v>8286986889</v>
      </c>
    </row>
    <row r="1647" spans="1:15" x14ac:dyDescent="0.45">
      <c r="A1647" t="s">
        <v>4944</v>
      </c>
      <c r="B1647" t="s">
        <v>4945</v>
      </c>
      <c r="C1647" t="s">
        <v>4946</v>
      </c>
      <c r="D1647" t="s">
        <v>4947</v>
      </c>
      <c r="E1647" s="1">
        <v>46153.360243055555</v>
      </c>
      <c r="F1647">
        <v>1547</v>
      </c>
      <c r="G1647" t="s">
        <v>4948</v>
      </c>
      <c r="H1647" t="s">
        <v>15</v>
      </c>
      <c r="I1647" t="s">
        <v>4949</v>
      </c>
      <c r="J1647" t="str">
        <f>RIGHT(D1647,4)</f>
        <v>4772</v>
      </c>
      <c r="K1647" t="str">
        <f>IFERROR(VLOOKUP(VALUE(J1647),'Site Info'!$A:$G,3,FALSE),"")</f>
        <v>300 N CATTLEMEN RD</v>
      </c>
      <c r="L1647" t="str">
        <f>IFERROR(VLOOKUP(VALUE(J1647),'Site Info'!$A:$G,4,FALSE),"")</f>
        <v>SARASOTA</v>
      </c>
      <c r="M1647" t="str">
        <f>IFERROR(VLOOKUP(VALUE(J1647),'Site Info'!$A:$G,5,FALSE),"")</f>
        <v>FL</v>
      </c>
      <c r="N1647" t="str">
        <f>IFERROR(VLOOKUP(VALUE(J1647),'Site Info'!$A:$G,6,FALSE),"")</f>
        <v>34232-6426</v>
      </c>
      <c r="O1647">
        <f>IFERROR(VLOOKUP(VALUE(J1647),'Site Info'!$A:$G,7,FALSE),"")</f>
        <v>9413419274</v>
      </c>
    </row>
    <row r="1648" spans="1:15" x14ac:dyDescent="0.45">
      <c r="A1648" t="s">
        <v>9357</v>
      </c>
      <c r="B1648" t="s">
        <v>9358</v>
      </c>
      <c r="C1648" t="s">
        <v>9359</v>
      </c>
      <c r="D1648" t="s">
        <v>4947</v>
      </c>
      <c r="E1648" s="1">
        <v>46153.370578703703</v>
      </c>
      <c r="F1648">
        <v>1547</v>
      </c>
      <c r="G1648" t="s">
        <v>9360</v>
      </c>
      <c r="H1648" t="s">
        <v>15</v>
      </c>
      <c r="I1648" t="s">
        <v>4949</v>
      </c>
      <c r="J1648" t="str">
        <f>RIGHT(D1648,4)</f>
        <v>4772</v>
      </c>
      <c r="K1648" t="str">
        <f>IFERROR(VLOOKUP(VALUE(J1648),'Site Info'!$A:$G,3,FALSE),"")</f>
        <v>300 N CATTLEMEN RD</v>
      </c>
      <c r="L1648" t="str">
        <f>IFERROR(VLOOKUP(VALUE(J1648),'Site Info'!$A:$G,4,FALSE),"")</f>
        <v>SARASOTA</v>
      </c>
      <c r="M1648" t="str">
        <f>IFERROR(VLOOKUP(VALUE(J1648),'Site Info'!$A:$G,5,FALSE),"")</f>
        <v>FL</v>
      </c>
      <c r="N1648" t="str">
        <f>IFERROR(VLOOKUP(VALUE(J1648),'Site Info'!$A:$G,6,FALSE),"")</f>
        <v>34232-6426</v>
      </c>
      <c r="O1648">
        <f>IFERROR(VLOOKUP(VALUE(J1648),'Site Info'!$A:$G,7,FALSE),"")</f>
        <v>9413419274</v>
      </c>
    </row>
    <row r="1649" spans="1:15" x14ac:dyDescent="0.45">
      <c r="A1649" t="s">
        <v>14363</v>
      </c>
      <c r="B1649" t="s">
        <v>14364</v>
      </c>
      <c r="C1649" t="s">
        <v>14365</v>
      </c>
      <c r="D1649" t="s">
        <v>4947</v>
      </c>
      <c r="E1649" s="1">
        <v>46153.372407407405</v>
      </c>
      <c r="F1649">
        <v>1481</v>
      </c>
      <c r="G1649" t="s">
        <v>14366</v>
      </c>
      <c r="H1649" t="s">
        <v>15</v>
      </c>
      <c r="I1649" t="s">
        <v>4949</v>
      </c>
      <c r="J1649" t="str">
        <f>RIGHT(D1649,4)</f>
        <v>4772</v>
      </c>
      <c r="K1649" t="str">
        <f>IFERROR(VLOOKUP(VALUE(J1649),'Site Info'!$A:$G,3,FALSE),"")</f>
        <v>300 N CATTLEMEN RD</v>
      </c>
      <c r="L1649" t="str">
        <f>IFERROR(VLOOKUP(VALUE(J1649),'Site Info'!$A:$G,4,FALSE),"")</f>
        <v>SARASOTA</v>
      </c>
      <c r="M1649" t="str">
        <f>IFERROR(VLOOKUP(VALUE(J1649),'Site Info'!$A:$G,5,FALSE),"")</f>
        <v>FL</v>
      </c>
      <c r="N1649" t="str">
        <f>IFERROR(VLOOKUP(VALUE(J1649),'Site Info'!$A:$G,6,FALSE),"")</f>
        <v>34232-6426</v>
      </c>
      <c r="O1649">
        <f>IFERROR(VLOOKUP(VALUE(J1649),'Site Info'!$A:$G,7,FALSE),"")</f>
        <v>9413419274</v>
      </c>
    </row>
    <row r="1650" spans="1:15" x14ac:dyDescent="0.45">
      <c r="A1650" t="s">
        <v>16420</v>
      </c>
      <c r="B1650" t="s">
        <v>16421</v>
      </c>
      <c r="C1650" t="s">
        <v>16422</v>
      </c>
      <c r="D1650" t="s">
        <v>4947</v>
      </c>
      <c r="E1650" s="1">
        <v>46153.271365740744</v>
      </c>
      <c r="F1650">
        <v>1628</v>
      </c>
      <c r="G1650" t="s">
        <v>16423</v>
      </c>
      <c r="H1650" t="s">
        <v>13988</v>
      </c>
      <c r="I1650" t="s">
        <v>4949</v>
      </c>
      <c r="J1650" t="str">
        <f>RIGHT(D1650,4)</f>
        <v>4772</v>
      </c>
      <c r="K1650" t="str">
        <f>IFERROR(VLOOKUP(VALUE(J1650),'Site Info'!$A:$G,3,FALSE),"")</f>
        <v>300 N CATTLEMEN RD</v>
      </c>
      <c r="L1650" t="str">
        <f>IFERROR(VLOOKUP(VALUE(J1650),'Site Info'!$A:$G,4,FALSE),"")</f>
        <v>SARASOTA</v>
      </c>
      <c r="M1650" t="str">
        <f>IFERROR(VLOOKUP(VALUE(J1650),'Site Info'!$A:$G,5,FALSE),"")</f>
        <v>FL</v>
      </c>
      <c r="N1650" t="str">
        <f>IFERROR(VLOOKUP(VALUE(J1650),'Site Info'!$A:$G,6,FALSE),"")</f>
        <v>34232-6426</v>
      </c>
      <c r="O1650">
        <f>IFERROR(VLOOKUP(VALUE(J1650),'Site Info'!$A:$G,7,FALSE),"")</f>
        <v>9413419274</v>
      </c>
    </row>
    <row r="1651" spans="1:15" x14ac:dyDescent="0.45">
      <c r="A1651" t="s">
        <v>6290</v>
      </c>
      <c r="B1651" t="s">
        <v>6291</v>
      </c>
      <c r="C1651" t="s">
        <v>6292</v>
      </c>
      <c r="D1651" t="s">
        <v>2059</v>
      </c>
      <c r="E1651" s="1">
        <v>46141.45952546296</v>
      </c>
      <c r="F1651">
        <v>1547</v>
      </c>
      <c r="G1651" t="s">
        <v>6293</v>
      </c>
      <c r="H1651" t="s">
        <v>15</v>
      </c>
      <c r="I1651" t="s">
        <v>2061</v>
      </c>
      <c r="J1651" t="str">
        <f>RIGHT(D1651,4)</f>
        <v>6423</v>
      </c>
      <c r="K1651" t="str">
        <f>IFERROR(VLOOKUP(VALUE(J1651),'Site Info'!$A:$G,3,FALSE),"")</f>
        <v>300 N GALLERIA DR</v>
      </c>
      <c r="L1651" t="str">
        <f>IFERROR(VLOOKUP(VALUE(J1651),'Site Info'!$A:$G,4,FALSE),"")</f>
        <v>MIDDLETOWN</v>
      </c>
      <c r="M1651" t="str">
        <f>IFERROR(VLOOKUP(VALUE(J1651),'Site Info'!$A:$G,5,FALSE),"")</f>
        <v>NY</v>
      </c>
      <c r="N1651" t="str">
        <f>IFERROR(VLOOKUP(VALUE(J1651),'Site Info'!$A:$G,6,FALSE),"")</f>
        <v>10941-3036</v>
      </c>
      <c r="O1651">
        <f>IFERROR(VLOOKUP(VALUE(J1651),'Site Info'!$A:$G,7,FALSE),"")</f>
        <v>8456925100</v>
      </c>
    </row>
    <row r="1652" spans="1:15" x14ac:dyDescent="0.45">
      <c r="A1652" t="s">
        <v>10576</v>
      </c>
      <c r="B1652" t="s">
        <v>10577</v>
      </c>
      <c r="C1652" t="s">
        <v>10578</v>
      </c>
      <c r="D1652" t="s">
        <v>2059</v>
      </c>
      <c r="E1652" s="1">
        <v>46149.453564814816</v>
      </c>
      <c r="F1652">
        <v>1547</v>
      </c>
      <c r="G1652" t="s">
        <v>10579</v>
      </c>
      <c r="H1652" t="s">
        <v>15</v>
      </c>
      <c r="I1652" t="s">
        <v>2061</v>
      </c>
      <c r="J1652" t="str">
        <f>RIGHT(D1652,4)</f>
        <v>6423</v>
      </c>
      <c r="K1652" t="str">
        <f>IFERROR(VLOOKUP(VALUE(J1652),'Site Info'!$A:$G,3,FALSE),"")</f>
        <v>300 N GALLERIA DR</v>
      </c>
      <c r="L1652" t="str">
        <f>IFERROR(VLOOKUP(VALUE(J1652),'Site Info'!$A:$G,4,FALSE),"")</f>
        <v>MIDDLETOWN</v>
      </c>
      <c r="M1652" t="str">
        <f>IFERROR(VLOOKUP(VALUE(J1652),'Site Info'!$A:$G,5,FALSE),"")</f>
        <v>NY</v>
      </c>
      <c r="N1652" t="str">
        <f>IFERROR(VLOOKUP(VALUE(J1652),'Site Info'!$A:$G,6,FALSE),"")</f>
        <v>10941-3036</v>
      </c>
      <c r="O1652">
        <f>IFERROR(VLOOKUP(VALUE(J1652),'Site Info'!$A:$G,7,FALSE),"")</f>
        <v>8456925100</v>
      </c>
    </row>
    <row r="1653" spans="1:15" x14ac:dyDescent="0.45">
      <c r="A1653" t="s">
        <v>9998</v>
      </c>
      <c r="B1653" t="s">
        <v>9999</v>
      </c>
      <c r="C1653" t="s">
        <v>10000</v>
      </c>
      <c r="D1653" t="s">
        <v>2059</v>
      </c>
      <c r="E1653" s="1">
        <v>46152.391736111109</v>
      </c>
      <c r="F1653">
        <v>1547</v>
      </c>
      <c r="G1653" t="s">
        <v>10001</v>
      </c>
      <c r="H1653" t="s">
        <v>15</v>
      </c>
      <c r="I1653" t="s">
        <v>2061</v>
      </c>
      <c r="J1653" t="str">
        <f>RIGHT(D1653,4)</f>
        <v>6423</v>
      </c>
      <c r="K1653" t="str">
        <f>IFERROR(VLOOKUP(VALUE(J1653),'Site Info'!$A:$G,3,FALSE),"")</f>
        <v>300 N GALLERIA DR</v>
      </c>
      <c r="L1653" t="str">
        <f>IFERROR(VLOOKUP(VALUE(J1653),'Site Info'!$A:$G,4,FALSE),"")</f>
        <v>MIDDLETOWN</v>
      </c>
      <c r="M1653" t="str">
        <f>IFERROR(VLOOKUP(VALUE(J1653),'Site Info'!$A:$G,5,FALSE),"")</f>
        <v>NY</v>
      </c>
      <c r="N1653" t="str">
        <f>IFERROR(VLOOKUP(VALUE(J1653),'Site Info'!$A:$G,6,FALSE),"")</f>
        <v>10941-3036</v>
      </c>
      <c r="O1653">
        <f>IFERROR(VLOOKUP(VALUE(J1653),'Site Info'!$A:$G,7,FALSE),"")</f>
        <v>8456925100</v>
      </c>
    </row>
    <row r="1654" spans="1:15" x14ac:dyDescent="0.45">
      <c r="A1654" t="s">
        <v>6310</v>
      </c>
      <c r="B1654" t="s">
        <v>6311</v>
      </c>
      <c r="C1654" t="s">
        <v>6312</v>
      </c>
      <c r="D1654" t="s">
        <v>2059</v>
      </c>
      <c r="E1654" s="1">
        <v>46152.834409722222</v>
      </c>
      <c r="F1654">
        <v>1547</v>
      </c>
      <c r="G1654" t="s">
        <v>6313</v>
      </c>
      <c r="H1654" t="s">
        <v>15</v>
      </c>
      <c r="I1654" t="s">
        <v>2061</v>
      </c>
      <c r="J1654" t="str">
        <f>RIGHT(D1654,4)</f>
        <v>6423</v>
      </c>
      <c r="K1654" t="str">
        <f>IFERROR(VLOOKUP(VALUE(J1654),'Site Info'!$A:$G,3,FALSE),"")</f>
        <v>300 N GALLERIA DR</v>
      </c>
      <c r="L1654" t="str">
        <f>IFERROR(VLOOKUP(VALUE(J1654),'Site Info'!$A:$G,4,FALSE),"")</f>
        <v>MIDDLETOWN</v>
      </c>
      <c r="M1654" t="str">
        <f>IFERROR(VLOOKUP(VALUE(J1654),'Site Info'!$A:$G,5,FALSE),"")</f>
        <v>NY</v>
      </c>
      <c r="N1654" t="str">
        <f>IFERROR(VLOOKUP(VALUE(J1654),'Site Info'!$A:$G,6,FALSE),"")</f>
        <v>10941-3036</v>
      </c>
      <c r="O1654">
        <f>IFERROR(VLOOKUP(VALUE(J1654),'Site Info'!$A:$G,7,FALSE),"")</f>
        <v>8456925100</v>
      </c>
    </row>
    <row r="1655" spans="1:15" x14ac:dyDescent="0.45">
      <c r="A1655" t="s">
        <v>2056</v>
      </c>
      <c r="B1655" t="s">
        <v>2057</v>
      </c>
      <c r="C1655" t="s">
        <v>2058</v>
      </c>
      <c r="D1655" t="s">
        <v>2059</v>
      </c>
      <c r="E1655" s="1">
        <v>46151.369675925926</v>
      </c>
      <c r="F1655">
        <v>1481</v>
      </c>
      <c r="G1655" t="s">
        <v>2060</v>
      </c>
      <c r="H1655" t="s">
        <v>15</v>
      </c>
      <c r="I1655" t="s">
        <v>2061</v>
      </c>
      <c r="J1655" t="str">
        <f>RIGHT(D1655,4)</f>
        <v>6423</v>
      </c>
      <c r="K1655" t="str">
        <f>IFERROR(VLOOKUP(VALUE(J1655),'Site Info'!$A:$G,3,FALSE),"")</f>
        <v>300 N GALLERIA DR</v>
      </c>
      <c r="L1655" t="str">
        <f>IFERROR(VLOOKUP(VALUE(J1655),'Site Info'!$A:$G,4,FALSE),"")</f>
        <v>MIDDLETOWN</v>
      </c>
      <c r="M1655" t="str">
        <f>IFERROR(VLOOKUP(VALUE(J1655),'Site Info'!$A:$G,5,FALSE),"")</f>
        <v>NY</v>
      </c>
      <c r="N1655" t="str">
        <f>IFERROR(VLOOKUP(VALUE(J1655),'Site Info'!$A:$G,6,FALSE),"")</f>
        <v>10941-3036</v>
      </c>
      <c r="O1655">
        <f>IFERROR(VLOOKUP(VALUE(J1655),'Site Info'!$A:$G,7,FALSE),"")</f>
        <v>8456925100</v>
      </c>
    </row>
    <row r="1656" spans="1:15" x14ac:dyDescent="0.45">
      <c r="A1656" t="s">
        <v>3737</v>
      </c>
      <c r="B1656" t="s">
        <v>3738</v>
      </c>
      <c r="C1656" t="s">
        <v>3739</v>
      </c>
      <c r="D1656" t="s">
        <v>2059</v>
      </c>
      <c r="E1656" s="1">
        <v>46153.317893518521</v>
      </c>
      <c r="F1656">
        <v>1481</v>
      </c>
      <c r="G1656" t="s">
        <v>3740</v>
      </c>
      <c r="H1656" t="s">
        <v>15</v>
      </c>
      <c r="I1656" t="s">
        <v>2061</v>
      </c>
      <c r="J1656" t="str">
        <f>RIGHT(D1656,4)</f>
        <v>6423</v>
      </c>
      <c r="K1656" t="str">
        <f>IFERROR(VLOOKUP(VALUE(J1656),'Site Info'!$A:$G,3,FALSE),"")</f>
        <v>300 N GALLERIA DR</v>
      </c>
      <c r="L1656" t="str">
        <f>IFERROR(VLOOKUP(VALUE(J1656),'Site Info'!$A:$G,4,FALSE),"")</f>
        <v>MIDDLETOWN</v>
      </c>
      <c r="M1656" t="str">
        <f>IFERROR(VLOOKUP(VALUE(J1656),'Site Info'!$A:$G,5,FALSE),"")</f>
        <v>NY</v>
      </c>
      <c r="N1656" t="str">
        <f>IFERROR(VLOOKUP(VALUE(J1656),'Site Info'!$A:$G,6,FALSE),"")</f>
        <v>10941-3036</v>
      </c>
      <c r="O1656">
        <f>IFERROR(VLOOKUP(VALUE(J1656),'Site Info'!$A:$G,7,FALSE),"")</f>
        <v>8456925100</v>
      </c>
    </row>
    <row r="1657" spans="1:15" x14ac:dyDescent="0.45">
      <c r="A1657" t="s">
        <v>7819</v>
      </c>
      <c r="B1657" t="s">
        <v>7820</v>
      </c>
      <c r="C1657" t="s">
        <v>7821</v>
      </c>
      <c r="D1657" t="s">
        <v>959</v>
      </c>
      <c r="E1657" s="1">
        <v>46139.502071759256</v>
      </c>
      <c r="F1657">
        <v>1547</v>
      </c>
      <c r="G1657" t="s">
        <v>7822</v>
      </c>
      <c r="H1657" t="s">
        <v>15</v>
      </c>
      <c r="I1657" t="s">
        <v>961</v>
      </c>
      <c r="J1657" t="str">
        <f>RIGHT(D1657,4)</f>
        <v>4774</v>
      </c>
      <c r="K1657" t="str">
        <f>IFERROR(VLOOKUP(VALUE(J1657),'Site Info'!$A:$G,3,FALSE),"")</f>
        <v>300 PARK PL</v>
      </c>
      <c r="L1657" t="str">
        <f>IFERROR(VLOOKUP(VALUE(J1657),'Site Info'!$A:$G,4,FALSE),"")</f>
        <v>SECAUCUS</v>
      </c>
      <c r="M1657" t="str">
        <f>IFERROR(VLOOKUP(VALUE(J1657),'Site Info'!$A:$G,5,FALSE),"")</f>
        <v>NJ</v>
      </c>
      <c r="N1657" t="str">
        <f>IFERROR(VLOOKUP(VALUE(J1657),'Site Info'!$A:$G,6,FALSE),"")</f>
        <v>07094-3653</v>
      </c>
      <c r="O1657">
        <f>IFERROR(VLOOKUP(VALUE(J1657),'Site Info'!$A:$G,7,FALSE),"")</f>
        <v>2019740702</v>
      </c>
    </row>
    <row r="1658" spans="1:15" x14ac:dyDescent="0.45">
      <c r="A1658" t="s">
        <v>8033</v>
      </c>
      <c r="B1658" t="s">
        <v>8034</v>
      </c>
      <c r="C1658" t="s">
        <v>8035</v>
      </c>
      <c r="D1658" t="s">
        <v>959</v>
      </c>
      <c r="E1658" s="1">
        <v>46153.272557870368</v>
      </c>
      <c r="F1658">
        <v>1547</v>
      </c>
      <c r="G1658" t="s">
        <v>8036</v>
      </c>
      <c r="H1658" t="s">
        <v>15</v>
      </c>
      <c r="I1658" t="s">
        <v>961</v>
      </c>
      <c r="J1658" t="str">
        <f>RIGHT(D1658,4)</f>
        <v>4774</v>
      </c>
      <c r="K1658" t="str">
        <f>IFERROR(VLOOKUP(VALUE(J1658),'Site Info'!$A:$G,3,FALSE),"")</f>
        <v>300 PARK PL</v>
      </c>
      <c r="L1658" t="str">
        <f>IFERROR(VLOOKUP(VALUE(J1658),'Site Info'!$A:$G,4,FALSE),"")</f>
        <v>SECAUCUS</v>
      </c>
      <c r="M1658" t="str">
        <f>IFERROR(VLOOKUP(VALUE(J1658),'Site Info'!$A:$G,5,FALSE),"")</f>
        <v>NJ</v>
      </c>
      <c r="N1658" t="str">
        <f>IFERROR(VLOOKUP(VALUE(J1658),'Site Info'!$A:$G,6,FALSE),"")</f>
        <v>07094-3653</v>
      </c>
      <c r="O1658">
        <f>IFERROR(VLOOKUP(VALUE(J1658),'Site Info'!$A:$G,7,FALSE),"")</f>
        <v>2019740702</v>
      </c>
    </row>
    <row r="1659" spans="1:15" x14ac:dyDescent="0.45">
      <c r="A1659" t="s">
        <v>2947</v>
      </c>
      <c r="B1659" t="s">
        <v>2948</v>
      </c>
      <c r="C1659" t="s">
        <v>2949</v>
      </c>
      <c r="D1659" t="s">
        <v>959</v>
      </c>
      <c r="E1659" s="1">
        <v>46150.700636574074</v>
      </c>
      <c r="F1659">
        <v>1481</v>
      </c>
      <c r="G1659" t="s">
        <v>2950</v>
      </c>
      <c r="H1659" t="s">
        <v>15</v>
      </c>
      <c r="I1659" t="s">
        <v>961</v>
      </c>
      <c r="J1659" t="str">
        <f>RIGHT(D1659,4)</f>
        <v>4774</v>
      </c>
      <c r="K1659" t="str">
        <f>IFERROR(VLOOKUP(VALUE(J1659),'Site Info'!$A:$G,3,FALSE),"")</f>
        <v>300 PARK PL</v>
      </c>
      <c r="L1659" t="str">
        <f>IFERROR(VLOOKUP(VALUE(J1659),'Site Info'!$A:$G,4,FALSE),"")</f>
        <v>SECAUCUS</v>
      </c>
      <c r="M1659" t="str">
        <f>IFERROR(VLOOKUP(VALUE(J1659),'Site Info'!$A:$G,5,FALSE),"")</f>
        <v>NJ</v>
      </c>
      <c r="N1659" t="str">
        <f>IFERROR(VLOOKUP(VALUE(J1659),'Site Info'!$A:$G,6,FALSE),"")</f>
        <v>07094-3653</v>
      </c>
      <c r="O1659">
        <f>IFERROR(VLOOKUP(VALUE(J1659),'Site Info'!$A:$G,7,FALSE),"")</f>
        <v>2019740702</v>
      </c>
    </row>
    <row r="1660" spans="1:15" x14ac:dyDescent="0.45">
      <c r="A1660" t="s">
        <v>1826</v>
      </c>
      <c r="B1660" t="s">
        <v>1827</v>
      </c>
      <c r="C1660" t="s">
        <v>1828</v>
      </c>
      <c r="D1660" t="s">
        <v>959</v>
      </c>
      <c r="E1660" s="1">
        <v>46151.319884259261</v>
      </c>
      <c r="F1660">
        <v>1481</v>
      </c>
      <c r="G1660" t="s">
        <v>1829</v>
      </c>
      <c r="H1660" t="s">
        <v>15</v>
      </c>
      <c r="I1660" t="s">
        <v>961</v>
      </c>
      <c r="J1660" t="str">
        <f>RIGHT(D1660,4)</f>
        <v>4774</v>
      </c>
      <c r="K1660" t="str">
        <f>IFERROR(VLOOKUP(VALUE(J1660),'Site Info'!$A:$G,3,FALSE),"")</f>
        <v>300 PARK PL</v>
      </c>
      <c r="L1660" t="str">
        <f>IFERROR(VLOOKUP(VALUE(J1660),'Site Info'!$A:$G,4,FALSE),"")</f>
        <v>SECAUCUS</v>
      </c>
      <c r="M1660" t="str">
        <f>IFERROR(VLOOKUP(VALUE(J1660),'Site Info'!$A:$G,5,FALSE),"")</f>
        <v>NJ</v>
      </c>
      <c r="N1660" t="str">
        <f>IFERROR(VLOOKUP(VALUE(J1660),'Site Info'!$A:$G,6,FALSE),"")</f>
        <v>07094-3653</v>
      </c>
      <c r="O1660">
        <f>IFERROR(VLOOKUP(VALUE(J1660),'Site Info'!$A:$G,7,FALSE),"")</f>
        <v>2019740702</v>
      </c>
    </row>
    <row r="1661" spans="1:15" x14ac:dyDescent="0.45">
      <c r="A1661" t="s">
        <v>956</v>
      </c>
      <c r="B1661" t="s">
        <v>957</v>
      </c>
      <c r="C1661" t="s">
        <v>958</v>
      </c>
      <c r="D1661" t="s">
        <v>959</v>
      </c>
      <c r="E1661" s="1">
        <v>46151.663773148146</v>
      </c>
      <c r="F1661">
        <v>1481</v>
      </c>
      <c r="G1661" t="s">
        <v>960</v>
      </c>
      <c r="H1661" t="s">
        <v>15</v>
      </c>
      <c r="I1661" t="s">
        <v>961</v>
      </c>
      <c r="J1661" t="str">
        <f>RIGHT(D1661,4)</f>
        <v>4774</v>
      </c>
      <c r="K1661" t="str">
        <f>IFERROR(VLOOKUP(VALUE(J1661),'Site Info'!$A:$G,3,FALSE),"")</f>
        <v>300 PARK PL</v>
      </c>
      <c r="L1661" t="str">
        <f>IFERROR(VLOOKUP(VALUE(J1661),'Site Info'!$A:$G,4,FALSE),"")</f>
        <v>SECAUCUS</v>
      </c>
      <c r="M1661" t="str">
        <f>IFERROR(VLOOKUP(VALUE(J1661),'Site Info'!$A:$G,5,FALSE),"")</f>
        <v>NJ</v>
      </c>
      <c r="N1661" t="str">
        <f>IFERROR(VLOOKUP(VALUE(J1661),'Site Info'!$A:$G,6,FALSE),"")</f>
        <v>07094-3653</v>
      </c>
      <c r="O1661">
        <f>IFERROR(VLOOKUP(VALUE(J1661),'Site Info'!$A:$G,7,FALSE),"")</f>
        <v>2019740702</v>
      </c>
    </row>
    <row r="1662" spans="1:15" x14ac:dyDescent="0.45">
      <c r="A1662" t="s">
        <v>2413</v>
      </c>
      <c r="B1662" t="s">
        <v>2414</v>
      </c>
      <c r="C1662" t="s">
        <v>2415</v>
      </c>
      <c r="D1662" t="s">
        <v>959</v>
      </c>
      <c r="E1662" s="1">
        <v>46152.754004629627</v>
      </c>
      <c r="F1662">
        <v>1481</v>
      </c>
      <c r="G1662" t="s">
        <v>2416</v>
      </c>
      <c r="H1662" t="s">
        <v>15</v>
      </c>
      <c r="I1662" t="s">
        <v>961</v>
      </c>
      <c r="J1662" t="str">
        <f>RIGHT(D1662,4)</f>
        <v>4774</v>
      </c>
      <c r="K1662" t="str">
        <f>IFERROR(VLOOKUP(VALUE(J1662),'Site Info'!$A:$G,3,FALSE),"")</f>
        <v>300 PARK PL</v>
      </c>
      <c r="L1662" t="str">
        <f>IFERROR(VLOOKUP(VALUE(J1662),'Site Info'!$A:$G,4,FALSE),"")</f>
        <v>SECAUCUS</v>
      </c>
      <c r="M1662" t="str">
        <f>IFERROR(VLOOKUP(VALUE(J1662),'Site Info'!$A:$G,5,FALSE),"")</f>
        <v>NJ</v>
      </c>
      <c r="N1662" t="str">
        <f>IFERROR(VLOOKUP(VALUE(J1662),'Site Info'!$A:$G,6,FALSE),"")</f>
        <v>07094-3653</v>
      </c>
      <c r="O1662">
        <f>IFERROR(VLOOKUP(VALUE(J1662),'Site Info'!$A:$G,7,FALSE),"")</f>
        <v>2019740702</v>
      </c>
    </row>
    <row r="1663" spans="1:15" x14ac:dyDescent="0.45">
      <c r="A1663" t="s">
        <v>14632</v>
      </c>
      <c r="B1663" t="s">
        <v>16424</v>
      </c>
      <c r="C1663" t="s">
        <v>16425</v>
      </c>
      <c r="D1663" t="s">
        <v>959</v>
      </c>
      <c r="E1663" s="1">
        <v>46151.423437500001</v>
      </c>
      <c r="F1663">
        <v>1547</v>
      </c>
      <c r="G1663" t="s">
        <v>16426</v>
      </c>
      <c r="H1663" t="s">
        <v>15</v>
      </c>
      <c r="I1663" t="s">
        <v>961</v>
      </c>
      <c r="J1663" t="str">
        <f>RIGHT(D1663,4)</f>
        <v>4774</v>
      </c>
      <c r="K1663" t="str">
        <f>IFERROR(VLOOKUP(VALUE(J1663),'Site Info'!$A:$G,3,FALSE),"")</f>
        <v>300 PARK PL</v>
      </c>
      <c r="L1663" t="str">
        <f>IFERROR(VLOOKUP(VALUE(J1663),'Site Info'!$A:$G,4,FALSE),"")</f>
        <v>SECAUCUS</v>
      </c>
      <c r="M1663" t="str">
        <f>IFERROR(VLOOKUP(VALUE(J1663),'Site Info'!$A:$G,5,FALSE),"")</f>
        <v>NJ</v>
      </c>
      <c r="N1663" t="str">
        <f>IFERROR(VLOOKUP(VALUE(J1663),'Site Info'!$A:$G,6,FALSE),"")</f>
        <v>07094-3653</v>
      </c>
      <c r="O1663">
        <f>IFERROR(VLOOKUP(VALUE(J1663),'Site Info'!$A:$G,7,FALSE),"")</f>
        <v>2019740702</v>
      </c>
    </row>
    <row r="1664" spans="1:15" x14ac:dyDescent="0.45">
      <c r="A1664" t="s">
        <v>16427</v>
      </c>
      <c r="B1664" t="s">
        <v>16428</v>
      </c>
      <c r="C1664" t="s">
        <v>16429</v>
      </c>
      <c r="D1664" t="s">
        <v>959</v>
      </c>
      <c r="E1664" s="1">
        <v>46152.638611111113</v>
      </c>
      <c r="F1664">
        <v>1547</v>
      </c>
      <c r="G1664" t="s">
        <v>16430</v>
      </c>
      <c r="H1664" t="s">
        <v>15</v>
      </c>
      <c r="I1664" t="s">
        <v>961</v>
      </c>
      <c r="J1664" t="str">
        <f>RIGHT(D1664,4)</f>
        <v>4774</v>
      </c>
      <c r="K1664" t="str">
        <f>IFERROR(VLOOKUP(VALUE(J1664),'Site Info'!$A:$G,3,FALSE),"")</f>
        <v>300 PARK PL</v>
      </c>
      <c r="L1664" t="str">
        <f>IFERROR(VLOOKUP(VALUE(J1664),'Site Info'!$A:$G,4,FALSE),"")</f>
        <v>SECAUCUS</v>
      </c>
      <c r="M1664" t="str">
        <f>IFERROR(VLOOKUP(VALUE(J1664),'Site Info'!$A:$G,5,FALSE),"")</f>
        <v>NJ</v>
      </c>
      <c r="N1664" t="str">
        <f>IFERROR(VLOOKUP(VALUE(J1664),'Site Info'!$A:$G,6,FALSE),"")</f>
        <v>07094-3653</v>
      </c>
      <c r="O1664">
        <f>IFERROR(VLOOKUP(VALUE(J1664),'Site Info'!$A:$G,7,FALSE),"")</f>
        <v>2019740702</v>
      </c>
    </row>
    <row r="1665" spans="1:15" x14ac:dyDescent="0.45">
      <c r="A1665" t="s">
        <v>9225</v>
      </c>
      <c r="B1665" t="s">
        <v>9226</v>
      </c>
      <c r="C1665" t="s">
        <v>9227</v>
      </c>
      <c r="D1665" t="s">
        <v>9228</v>
      </c>
      <c r="E1665" s="1">
        <v>46094.771516203706</v>
      </c>
      <c r="F1665">
        <v>1547</v>
      </c>
      <c r="G1665" t="s">
        <v>9229</v>
      </c>
      <c r="H1665" t="s">
        <v>15</v>
      </c>
      <c r="I1665" t="s">
        <v>9230</v>
      </c>
      <c r="J1665" t="str">
        <f>RIGHT(D1665,4)</f>
        <v>4946</v>
      </c>
      <c r="K1665" t="str">
        <f>IFERROR(VLOOKUP(VALUE(J1665),'Site Info'!$A:$G,3,FALSE),"")</f>
        <v>300 TARRYTOWN CTR</v>
      </c>
      <c r="L1665" t="str">
        <f>IFERROR(VLOOKUP(VALUE(J1665),'Site Info'!$A:$G,4,FALSE),"")</f>
        <v>ROCKY MOUNT</v>
      </c>
      <c r="M1665" t="str">
        <f>IFERROR(VLOOKUP(VALUE(J1665),'Site Info'!$A:$G,5,FALSE),"")</f>
        <v>NC</v>
      </c>
      <c r="N1665" t="str">
        <f>IFERROR(VLOOKUP(VALUE(J1665),'Site Info'!$A:$G,6,FALSE),"")</f>
        <v>27804-1780</v>
      </c>
      <c r="O1665">
        <f>IFERROR(VLOOKUP(VALUE(J1665),'Site Info'!$A:$G,7,FALSE),"")</f>
        <v>2524434044</v>
      </c>
    </row>
    <row r="1666" spans="1:15" x14ac:dyDescent="0.45">
      <c r="A1666" t="s">
        <v>10062</v>
      </c>
      <c r="B1666" t="s">
        <v>10063</v>
      </c>
      <c r="C1666" t="s">
        <v>10064</v>
      </c>
      <c r="D1666" t="s">
        <v>9228</v>
      </c>
      <c r="E1666" s="1">
        <v>46151.49722222222</v>
      </c>
      <c r="F1666">
        <v>1547</v>
      </c>
      <c r="G1666" t="s">
        <v>10065</v>
      </c>
      <c r="H1666" t="s">
        <v>15</v>
      </c>
      <c r="I1666" t="s">
        <v>9230</v>
      </c>
      <c r="J1666" t="str">
        <f>RIGHT(D1666,4)</f>
        <v>4946</v>
      </c>
      <c r="K1666" t="str">
        <f>IFERROR(VLOOKUP(VALUE(J1666),'Site Info'!$A:$G,3,FALSE),"")</f>
        <v>300 TARRYTOWN CTR</v>
      </c>
      <c r="L1666" t="str">
        <f>IFERROR(VLOOKUP(VALUE(J1666),'Site Info'!$A:$G,4,FALSE),"")</f>
        <v>ROCKY MOUNT</v>
      </c>
      <c r="M1666" t="str">
        <f>IFERROR(VLOOKUP(VALUE(J1666),'Site Info'!$A:$G,5,FALSE),"")</f>
        <v>NC</v>
      </c>
      <c r="N1666" t="str">
        <f>IFERROR(VLOOKUP(VALUE(J1666),'Site Info'!$A:$G,6,FALSE),"")</f>
        <v>27804-1780</v>
      </c>
      <c r="O1666">
        <f>IFERROR(VLOOKUP(VALUE(J1666),'Site Info'!$A:$G,7,FALSE),"")</f>
        <v>2524434044</v>
      </c>
    </row>
    <row r="1667" spans="1:15" x14ac:dyDescent="0.45">
      <c r="A1667" t="s">
        <v>12298</v>
      </c>
      <c r="B1667" t="s">
        <v>12299</v>
      </c>
      <c r="C1667" t="s">
        <v>12300</v>
      </c>
      <c r="D1667" t="s">
        <v>9228</v>
      </c>
      <c r="E1667" s="1">
        <v>46153.325879629629</v>
      </c>
      <c r="F1667">
        <v>1547</v>
      </c>
      <c r="G1667" t="s">
        <v>12301</v>
      </c>
      <c r="H1667" t="s">
        <v>15</v>
      </c>
      <c r="I1667" t="s">
        <v>9230</v>
      </c>
      <c r="J1667" t="str">
        <f>RIGHT(D1667,4)</f>
        <v>4946</v>
      </c>
      <c r="K1667" t="str">
        <f>IFERROR(VLOOKUP(VALUE(J1667),'Site Info'!$A:$G,3,FALSE),"")</f>
        <v>300 TARRYTOWN CTR</v>
      </c>
      <c r="L1667" t="str">
        <f>IFERROR(VLOOKUP(VALUE(J1667),'Site Info'!$A:$G,4,FALSE),"")</f>
        <v>ROCKY MOUNT</v>
      </c>
      <c r="M1667" t="str">
        <f>IFERROR(VLOOKUP(VALUE(J1667),'Site Info'!$A:$G,5,FALSE),"")</f>
        <v>NC</v>
      </c>
      <c r="N1667" t="str">
        <f>IFERROR(VLOOKUP(VALUE(J1667),'Site Info'!$A:$G,6,FALSE),"")</f>
        <v>27804-1780</v>
      </c>
      <c r="O1667">
        <f>IFERROR(VLOOKUP(VALUE(J1667),'Site Info'!$A:$G,7,FALSE),"")</f>
        <v>2524434044</v>
      </c>
    </row>
    <row r="1668" spans="1:15" x14ac:dyDescent="0.45">
      <c r="A1668" t="s">
        <v>6148</v>
      </c>
      <c r="B1668" t="s">
        <v>6149</v>
      </c>
      <c r="C1668" t="s">
        <v>6150</v>
      </c>
      <c r="D1668" t="s">
        <v>1691</v>
      </c>
      <c r="E1668" s="1">
        <v>46099.291643518518</v>
      </c>
      <c r="F1668">
        <v>1547</v>
      </c>
      <c r="G1668" t="s">
        <v>6151</v>
      </c>
      <c r="H1668" t="s">
        <v>15</v>
      </c>
      <c r="I1668" t="s">
        <v>1693</v>
      </c>
      <c r="J1668" t="str">
        <f>RIGHT(D1668,4)</f>
        <v>6570</v>
      </c>
      <c r="K1668" t="str">
        <f>IFERROR(VLOOKUP(VALUE(J1668),'Site Info'!$A:$G,3,FALSE),"")</f>
        <v>3001 CALVARY DR</v>
      </c>
      <c r="L1668" t="str">
        <f>IFERROR(VLOOKUP(VALUE(J1668),'Site Info'!$A:$G,4,FALSE),"")</f>
        <v>RALEIGH</v>
      </c>
      <c r="M1668" t="str">
        <f>IFERROR(VLOOKUP(VALUE(J1668),'Site Info'!$A:$G,5,FALSE),"")</f>
        <v>NC</v>
      </c>
      <c r="N1668" t="str">
        <f>IFERROR(VLOOKUP(VALUE(J1668),'Site Info'!$A:$G,6,FALSE),"")</f>
        <v>27604-2801</v>
      </c>
      <c r="O1668">
        <f>IFERROR(VLOOKUP(VALUE(J1668),'Site Info'!$A:$G,7,FALSE),"")</f>
        <v>9198740112</v>
      </c>
    </row>
    <row r="1669" spans="1:15" x14ac:dyDescent="0.45">
      <c r="A1669" t="s">
        <v>4488</v>
      </c>
      <c r="B1669" t="s">
        <v>4489</v>
      </c>
      <c r="C1669" t="s">
        <v>4490</v>
      </c>
      <c r="D1669" t="s">
        <v>1691</v>
      </c>
      <c r="E1669" s="1">
        <v>46148.750601851854</v>
      </c>
      <c r="F1669">
        <v>1547</v>
      </c>
      <c r="G1669" t="s">
        <v>4491</v>
      </c>
      <c r="H1669" t="s">
        <v>15</v>
      </c>
      <c r="I1669" t="s">
        <v>1693</v>
      </c>
      <c r="J1669" t="str">
        <f>RIGHT(D1669,4)</f>
        <v>6570</v>
      </c>
      <c r="K1669" t="str">
        <f>IFERROR(VLOOKUP(VALUE(J1669),'Site Info'!$A:$G,3,FALSE),"")</f>
        <v>3001 CALVARY DR</v>
      </c>
      <c r="L1669" t="str">
        <f>IFERROR(VLOOKUP(VALUE(J1669),'Site Info'!$A:$G,4,FALSE),"")</f>
        <v>RALEIGH</v>
      </c>
      <c r="M1669" t="str">
        <f>IFERROR(VLOOKUP(VALUE(J1669),'Site Info'!$A:$G,5,FALSE),"")</f>
        <v>NC</v>
      </c>
      <c r="N1669" t="str">
        <f>IFERROR(VLOOKUP(VALUE(J1669),'Site Info'!$A:$G,6,FALSE),"")</f>
        <v>27604-2801</v>
      </c>
      <c r="O1669">
        <f>IFERROR(VLOOKUP(VALUE(J1669),'Site Info'!$A:$G,7,FALSE),"")</f>
        <v>9198740112</v>
      </c>
    </row>
    <row r="1670" spans="1:15" x14ac:dyDescent="0.45">
      <c r="A1670" t="s">
        <v>12942</v>
      </c>
      <c r="B1670" t="s">
        <v>12943</v>
      </c>
      <c r="C1670" t="s">
        <v>12944</v>
      </c>
      <c r="D1670" t="s">
        <v>1691</v>
      </c>
      <c r="E1670" s="1">
        <v>46149.766111111108</v>
      </c>
      <c r="F1670">
        <v>1547</v>
      </c>
      <c r="G1670" t="s">
        <v>12945</v>
      </c>
      <c r="H1670" t="s">
        <v>15</v>
      </c>
      <c r="I1670" t="s">
        <v>1693</v>
      </c>
      <c r="J1670" t="str">
        <f>RIGHT(D1670,4)</f>
        <v>6570</v>
      </c>
      <c r="K1670" t="str">
        <f>IFERROR(VLOOKUP(VALUE(J1670),'Site Info'!$A:$G,3,FALSE),"")</f>
        <v>3001 CALVARY DR</v>
      </c>
      <c r="L1670" t="str">
        <f>IFERROR(VLOOKUP(VALUE(J1670),'Site Info'!$A:$G,4,FALSE),"")</f>
        <v>RALEIGH</v>
      </c>
      <c r="M1670" t="str">
        <f>IFERROR(VLOOKUP(VALUE(J1670),'Site Info'!$A:$G,5,FALSE),"")</f>
        <v>NC</v>
      </c>
      <c r="N1670" t="str">
        <f>IFERROR(VLOOKUP(VALUE(J1670),'Site Info'!$A:$G,6,FALSE),"")</f>
        <v>27604-2801</v>
      </c>
      <c r="O1670">
        <f>IFERROR(VLOOKUP(VALUE(J1670),'Site Info'!$A:$G,7,FALSE),"")</f>
        <v>9198740112</v>
      </c>
    </row>
    <row r="1671" spans="1:15" x14ac:dyDescent="0.45">
      <c r="A1671" t="s">
        <v>2048</v>
      </c>
      <c r="B1671" t="s">
        <v>2049</v>
      </c>
      <c r="C1671" t="s">
        <v>2050</v>
      </c>
      <c r="D1671" t="s">
        <v>1691</v>
      </c>
      <c r="E1671" s="1">
        <v>46152.934074074074</v>
      </c>
      <c r="F1671">
        <v>1481</v>
      </c>
      <c r="G1671" t="s">
        <v>2051</v>
      </c>
      <c r="H1671" t="s">
        <v>15</v>
      </c>
      <c r="I1671" t="s">
        <v>1693</v>
      </c>
      <c r="J1671" t="str">
        <f>RIGHT(D1671,4)</f>
        <v>6570</v>
      </c>
      <c r="K1671" t="str">
        <f>IFERROR(VLOOKUP(VALUE(J1671),'Site Info'!$A:$G,3,FALSE),"")</f>
        <v>3001 CALVARY DR</v>
      </c>
      <c r="L1671" t="str">
        <f>IFERROR(VLOOKUP(VALUE(J1671),'Site Info'!$A:$G,4,FALSE),"")</f>
        <v>RALEIGH</v>
      </c>
      <c r="M1671" t="str">
        <f>IFERROR(VLOOKUP(VALUE(J1671),'Site Info'!$A:$G,5,FALSE),"")</f>
        <v>NC</v>
      </c>
      <c r="N1671" t="str">
        <f>IFERROR(VLOOKUP(VALUE(J1671),'Site Info'!$A:$G,6,FALSE),"")</f>
        <v>27604-2801</v>
      </c>
      <c r="O1671">
        <f>IFERROR(VLOOKUP(VALUE(J1671),'Site Info'!$A:$G,7,FALSE),"")</f>
        <v>9198740112</v>
      </c>
    </row>
    <row r="1672" spans="1:15" x14ac:dyDescent="0.45">
      <c r="A1672" t="s">
        <v>1688</v>
      </c>
      <c r="B1672" t="s">
        <v>1689</v>
      </c>
      <c r="C1672" t="s">
        <v>1690</v>
      </c>
      <c r="D1672" t="s">
        <v>1691</v>
      </c>
      <c r="E1672" s="1">
        <v>46153.305648148147</v>
      </c>
      <c r="F1672">
        <v>1481</v>
      </c>
      <c r="G1672" t="s">
        <v>1692</v>
      </c>
      <c r="H1672" t="s">
        <v>15</v>
      </c>
      <c r="I1672" t="s">
        <v>1693</v>
      </c>
      <c r="J1672" t="str">
        <f>RIGHT(D1672,4)</f>
        <v>6570</v>
      </c>
      <c r="K1672" t="str">
        <f>IFERROR(VLOOKUP(VALUE(J1672),'Site Info'!$A:$G,3,FALSE),"")</f>
        <v>3001 CALVARY DR</v>
      </c>
      <c r="L1672" t="str">
        <f>IFERROR(VLOOKUP(VALUE(J1672),'Site Info'!$A:$G,4,FALSE),"")</f>
        <v>RALEIGH</v>
      </c>
      <c r="M1672" t="str">
        <f>IFERROR(VLOOKUP(VALUE(J1672),'Site Info'!$A:$G,5,FALSE),"")</f>
        <v>NC</v>
      </c>
      <c r="N1672" t="str">
        <f>IFERROR(VLOOKUP(VALUE(J1672),'Site Info'!$A:$G,6,FALSE),"")</f>
        <v>27604-2801</v>
      </c>
      <c r="O1672">
        <f>IFERROR(VLOOKUP(VALUE(J1672),'Site Info'!$A:$G,7,FALSE),"")</f>
        <v>9198740112</v>
      </c>
    </row>
    <row r="1673" spans="1:15" x14ac:dyDescent="0.45">
      <c r="A1673" t="s">
        <v>5178</v>
      </c>
      <c r="B1673" t="s">
        <v>5179</v>
      </c>
      <c r="C1673" t="s">
        <v>5180</v>
      </c>
      <c r="D1673" t="s">
        <v>5023</v>
      </c>
      <c r="E1673" s="1">
        <v>46151.547407407408</v>
      </c>
      <c r="F1673">
        <v>1548</v>
      </c>
      <c r="G1673" t="s">
        <v>5181</v>
      </c>
      <c r="H1673" t="s">
        <v>15</v>
      </c>
      <c r="I1673" t="s">
        <v>5025</v>
      </c>
      <c r="J1673" t="str">
        <f>RIGHT(D1673,4)</f>
        <v>8299</v>
      </c>
      <c r="K1673" t="str">
        <f>IFERROR(VLOOKUP(VALUE(J1673),'Site Info'!$A:$G,3,FALSE),"")</f>
        <v>301 COIT RD</v>
      </c>
      <c r="L1673" t="str">
        <f>IFERROR(VLOOKUP(VALUE(J1673),'Site Info'!$A:$G,4,FALSE),"")</f>
        <v>PLANO</v>
      </c>
      <c r="M1673" t="str">
        <f>IFERROR(VLOOKUP(VALUE(J1673),'Site Info'!$A:$G,5,FALSE),"")</f>
        <v>TX</v>
      </c>
      <c r="N1673" t="str">
        <f>IFERROR(VLOOKUP(VALUE(J1673),'Site Info'!$A:$G,6,FALSE),"")</f>
        <v>75075-5711</v>
      </c>
      <c r="O1673">
        <f>IFERROR(VLOOKUP(VALUE(J1673),'Site Info'!$A:$G,7,FALSE),"")</f>
        <v>9726128041</v>
      </c>
    </row>
    <row r="1674" spans="1:15" x14ac:dyDescent="0.45">
      <c r="A1674" t="s">
        <v>5344</v>
      </c>
      <c r="B1674" t="s">
        <v>5345</v>
      </c>
      <c r="C1674" t="s">
        <v>5346</v>
      </c>
      <c r="D1674" t="s">
        <v>5023</v>
      </c>
      <c r="E1674" s="1">
        <v>46150.726400462961</v>
      </c>
      <c r="F1674">
        <v>1547</v>
      </c>
      <c r="G1674" t="s">
        <v>5347</v>
      </c>
      <c r="H1674" t="s">
        <v>15</v>
      </c>
      <c r="I1674" t="s">
        <v>5025</v>
      </c>
      <c r="J1674" t="str">
        <f>RIGHT(D1674,4)</f>
        <v>8299</v>
      </c>
      <c r="K1674" t="str">
        <f>IFERROR(VLOOKUP(VALUE(J1674),'Site Info'!$A:$G,3,FALSE),"")</f>
        <v>301 COIT RD</v>
      </c>
      <c r="L1674" t="str">
        <f>IFERROR(VLOOKUP(VALUE(J1674),'Site Info'!$A:$G,4,FALSE),"")</f>
        <v>PLANO</v>
      </c>
      <c r="M1674" t="str">
        <f>IFERROR(VLOOKUP(VALUE(J1674),'Site Info'!$A:$G,5,FALSE),"")</f>
        <v>TX</v>
      </c>
      <c r="N1674" t="str">
        <f>IFERROR(VLOOKUP(VALUE(J1674),'Site Info'!$A:$G,6,FALSE),"")</f>
        <v>75075-5711</v>
      </c>
      <c r="O1674">
        <f>IFERROR(VLOOKUP(VALUE(J1674),'Site Info'!$A:$G,7,FALSE),"")</f>
        <v>9726128041</v>
      </c>
    </row>
    <row r="1675" spans="1:15" x14ac:dyDescent="0.45">
      <c r="A1675" t="s">
        <v>5206</v>
      </c>
      <c r="B1675" t="s">
        <v>5207</v>
      </c>
      <c r="C1675" t="s">
        <v>5208</v>
      </c>
      <c r="D1675" t="s">
        <v>5023</v>
      </c>
      <c r="E1675" s="1">
        <v>46152.375393518516</v>
      </c>
      <c r="F1675">
        <v>1547</v>
      </c>
      <c r="G1675" t="s">
        <v>5209</v>
      </c>
      <c r="H1675" t="s">
        <v>15</v>
      </c>
      <c r="I1675" t="s">
        <v>5025</v>
      </c>
      <c r="J1675" t="str">
        <f>RIGHT(D1675,4)</f>
        <v>8299</v>
      </c>
      <c r="K1675" t="str">
        <f>IFERROR(VLOOKUP(VALUE(J1675),'Site Info'!$A:$G,3,FALSE),"")</f>
        <v>301 COIT RD</v>
      </c>
      <c r="L1675" t="str">
        <f>IFERROR(VLOOKUP(VALUE(J1675),'Site Info'!$A:$G,4,FALSE),"")</f>
        <v>PLANO</v>
      </c>
      <c r="M1675" t="str">
        <f>IFERROR(VLOOKUP(VALUE(J1675),'Site Info'!$A:$G,5,FALSE),"")</f>
        <v>TX</v>
      </c>
      <c r="N1675" t="str">
        <f>IFERROR(VLOOKUP(VALUE(J1675),'Site Info'!$A:$G,6,FALSE),"")</f>
        <v>75075-5711</v>
      </c>
      <c r="O1675">
        <f>IFERROR(VLOOKUP(VALUE(J1675),'Site Info'!$A:$G,7,FALSE),"")</f>
        <v>9726128041</v>
      </c>
    </row>
    <row r="1676" spans="1:15" x14ac:dyDescent="0.45">
      <c r="A1676" t="s">
        <v>5020</v>
      </c>
      <c r="B1676" t="s">
        <v>5021</v>
      </c>
      <c r="C1676" t="s">
        <v>5022</v>
      </c>
      <c r="D1676" t="s">
        <v>5023</v>
      </c>
      <c r="E1676" s="1">
        <v>46152.656759259262</v>
      </c>
      <c r="F1676">
        <v>1547</v>
      </c>
      <c r="G1676" t="s">
        <v>5024</v>
      </c>
      <c r="H1676" t="s">
        <v>15</v>
      </c>
      <c r="I1676" t="s">
        <v>5025</v>
      </c>
      <c r="J1676" t="str">
        <f>RIGHT(D1676,4)</f>
        <v>8299</v>
      </c>
      <c r="K1676" t="str">
        <f>IFERROR(VLOOKUP(VALUE(J1676),'Site Info'!$A:$G,3,FALSE),"")</f>
        <v>301 COIT RD</v>
      </c>
      <c r="L1676" t="str">
        <f>IFERROR(VLOOKUP(VALUE(J1676),'Site Info'!$A:$G,4,FALSE),"")</f>
        <v>PLANO</v>
      </c>
      <c r="M1676" t="str">
        <f>IFERROR(VLOOKUP(VALUE(J1676),'Site Info'!$A:$G,5,FALSE),"")</f>
        <v>TX</v>
      </c>
      <c r="N1676" t="str">
        <f>IFERROR(VLOOKUP(VALUE(J1676),'Site Info'!$A:$G,6,FALSE),"")</f>
        <v>75075-5711</v>
      </c>
      <c r="O1676">
        <f>IFERROR(VLOOKUP(VALUE(J1676),'Site Info'!$A:$G,7,FALSE),"")</f>
        <v>9726128041</v>
      </c>
    </row>
    <row r="1677" spans="1:15" x14ac:dyDescent="0.45">
      <c r="A1677" t="s">
        <v>5214</v>
      </c>
      <c r="B1677" t="s">
        <v>5215</v>
      </c>
      <c r="C1677" t="s">
        <v>5216</v>
      </c>
      <c r="D1677" t="s">
        <v>5023</v>
      </c>
      <c r="E1677" s="1">
        <v>46152.684212962966</v>
      </c>
      <c r="F1677">
        <v>1547</v>
      </c>
      <c r="G1677" t="s">
        <v>5217</v>
      </c>
      <c r="H1677" t="s">
        <v>15</v>
      </c>
      <c r="I1677" t="s">
        <v>5025</v>
      </c>
      <c r="J1677" t="str">
        <f>RIGHT(D1677,4)</f>
        <v>8299</v>
      </c>
      <c r="K1677" t="str">
        <f>IFERROR(VLOOKUP(VALUE(J1677),'Site Info'!$A:$G,3,FALSE),"")</f>
        <v>301 COIT RD</v>
      </c>
      <c r="L1677" t="str">
        <f>IFERROR(VLOOKUP(VALUE(J1677),'Site Info'!$A:$G,4,FALSE),"")</f>
        <v>PLANO</v>
      </c>
      <c r="M1677" t="str">
        <f>IFERROR(VLOOKUP(VALUE(J1677),'Site Info'!$A:$G,5,FALSE),"")</f>
        <v>TX</v>
      </c>
      <c r="N1677" t="str">
        <f>IFERROR(VLOOKUP(VALUE(J1677),'Site Info'!$A:$G,6,FALSE),"")</f>
        <v>75075-5711</v>
      </c>
      <c r="O1677">
        <f>IFERROR(VLOOKUP(VALUE(J1677),'Site Info'!$A:$G,7,FALSE),"")</f>
        <v>9726128041</v>
      </c>
    </row>
    <row r="1678" spans="1:15" x14ac:dyDescent="0.45">
      <c r="A1678" t="s">
        <v>5030</v>
      </c>
      <c r="B1678" t="s">
        <v>5031</v>
      </c>
      <c r="C1678" t="s">
        <v>5032</v>
      </c>
      <c r="D1678" t="s">
        <v>5023</v>
      </c>
      <c r="E1678" s="1">
        <v>46153.305914351855</v>
      </c>
      <c r="F1678">
        <v>1547</v>
      </c>
      <c r="G1678" t="s">
        <v>5033</v>
      </c>
      <c r="H1678" t="s">
        <v>15</v>
      </c>
      <c r="I1678" t="s">
        <v>5025</v>
      </c>
      <c r="J1678" t="str">
        <f>RIGHT(D1678,4)</f>
        <v>8299</v>
      </c>
      <c r="K1678" t="str">
        <f>IFERROR(VLOOKUP(VALUE(J1678),'Site Info'!$A:$G,3,FALSE),"")</f>
        <v>301 COIT RD</v>
      </c>
      <c r="L1678" t="str">
        <f>IFERROR(VLOOKUP(VALUE(J1678),'Site Info'!$A:$G,4,FALSE),"")</f>
        <v>PLANO</v>
      </c>
      <c r="M1678" t="str">
        <f>IFERROR(VLOOKUP(VALUE(J1678),'Site Info'!$A:$G,5,FALSE),"")</f>
        <v>TX</v>
      </c>
      <c r="N1678" t="str">
        <f>IFERROR(VLOOKUP(VALUE(J1678),'Site Info'!$A:$G,6,FALSE),"")</f>
        <v>75075-5711</v>
      </c>
      <c r="O1678">
        <f>IFERROR(VLOOKUP(VALUE(J1678),'Site Info'!$A:$G,7,FALSE),"")</f>
        <v>9726128041</v>
      </c>
    </row>
    <row r="1679" spans="1:15" x14ac:dyDescent="0.45">
      <c r="A1679" t="s">
        <v>14503</v>
      </c>
      <c r="B1679" t="s">
        <v>14504</v>
      </c>
      <c r="C1679" t="s">
        <v>14505</v>
      </c>
      <c r="D1679" t="s">
        <v>571</v>
      </c>
      <c r="E1679" s="1">
        <v>46152.602233796293</v>
      </c>
      <c r="F1679">
        <v>1863</v>
      </c>
      <c r="G1679" t="s">
        <v>14506</v>
      </c>
      <c r="H1679" t="s">
        <v>136</v>
      </c>
      <c r="I1679" t="s">
        <v>573</v>
      </c>
      <c r="J1679" t="str">
        <f>RIGHT(D1679,4)</f>
        <v>8257</v>
      </c>
      <c r="K1679" t="str">
        <f>IFERROR(VLOOKUP(VALUE(J1679),'Site Info'!$A:$G,3,FALSE),"")</f>
        <v>301 INDIAN LAKE BLVD</v>
      </c>
      <c r="L1679" t="str">
        <f>IFERROR(VLOOKUP(VALUE(J1679),'Site Info'!$A:$G,4,FALSE),"")</f>
        <v>HENDERSONVILLE</v>
      </c>
      <c r="M1679" t="str">
        <f>IFERROR(VLOOKUP(VALUE(J1679),'Site Info'!$A:$G,5,FALSE),"")</f>
        <v>TN</v>
      </c>
      <c r="N1679" t="str">
        <f>IFERROR(VLOOKUP(VALUE(J1679),'Site Info'!$A:$G,6,FALSE),"")</f>
        <v>37075-6218</v>
      </c>
      <c r="O1679">
        <f>IFERROR(VLOOKUP(VALUE(J1679),'Site Info'!$A:$G,7,FALSE),"")</f>
        <v>6158592023</v>
      </c>
    </row>
    <row r="1680" spans="1:15" x14ac:dyDescent="0.45">
      <c r="A1680" t="s">
        <v>7587</v>
      </c>
      <c r="B1680" t="s">
        <v>7588</v>
      </c>
      <c r="C1680" t="s">
        <v>7589</v>
      </c>
      <c r="D1680" t="s">
        <v>571</v>
      </c>
      <c r="E1680" s="1">
        <v>46153.314780092594</v>
      </c>
      <c r="F1680">
        <v>1548</v>
      </c>
      <c r="G1680" t="s">
        <v>7590</v>
      </c>
      <c r="H1680" t="s">
        <v>15</v>
      </c>
      <c r="I1680" t="s">
        <v>573</v>
      </c>
      <c r="J1680" t="str">
        <f>RIGHT(D1680,4)</f>
        <v>8257</v>
      </c>
      <c r="K1680" t="str">
        <f>IFERROR(VLOOKUP(VALUE(J1680),'Site Info'!$A:$G,3,FALSE),"")</f>
        <v>301 INDIAN LAKE BLVD</v>
      </c>
      <c r="L1680" t="str">
        <f>IFERROR(VLOOKUP(VALUE(J1680),'Site Info'!$A:$G,4,FALSE),"")</f>
        <v>HENDERSONVILLE</v>
      </c>
      <c r="M1680" t="str">
        <f>IFERROR(VLOOKUP(VALUE(J1680),'Site Info'!$A:$G,5,FALSE),"")</f>
        <v>TN</v>
      </c>
      <c r="N1680" t="str">
        <f>IFERROR(VLOOKUP(VALUE(J1680),'Site Info'!$A:$G,6,FALSE),"")</f>
        <v>37075-6218</v>
      </c>
      <c r="O1680">
        <f>IFERROR(VLOOKUP(VALUE(J1680),'Site Info'!$A:$G,7,FALSE),"")</f>
        <v>6158592023</v>
      </c>
    </row>
    <row r="1681" spans="1:15" x14ac:dyDescent="0.45">
      <c r="A1681" t="s">
        <v>12468</v>
      </c>
      <c r="B1681" t="s">
        <v>12469</v>
      </c>
      <c r="C1681" t="s">
        <v>12470</v>
      </c>
      <c r="D1681" t="s">
        <v>571</v>
      </c>
      <c r="E1681" s="1">
        <v>46152.48133101852</v>
      </c>
      <c r="F1681">
        <v>1547</v>
      </c>
      <c r="G1681" t="s">
        <v>12471</v>
      </c>
      <c r="H1681" t="s">
        <v>15</v>
      </c>
      <c r="I1681" t="s">
        <v>573</v>
      </c>
      <c r="J1681" t="str">
        <f>RIGHT(D1681,4)</f>
        <v>8257</v>
      </c>
      <c r="K1681" t="str">
        <f>IFERROR(VLOOKUP(VALUE(J1681),'Site Info'!$A:$G,3,FALSE),"")</f>
        <v>301 INDIAN LAKE BLVD</v>
      </c>
      <c r="L1681" t="str">
        <f>IFERROR(VLOOKUP(VALUE(J1681),'Site Info'!$A:$G,4,FALSE),"")</f>
        <v>HENDERSONVILLE</v>
      </c>
      <c r="M1681" t="str">
        <f>IFERROR(VLOOKUP(VALUE(J1681),'Site Info'!$A:$G,5,FALSE),"")</f>
        <v>TN</v>
      </c>
      <c r="N1681" t="str">
        <f>IFERROR(VLOOKUP(VALUE(J1681),'Site Info'!$A:$G,6,FALSE),"")</f>
        <v>37075-6218</v>
      </c>
      <c r="O1681">
        <f>IFERROR(VLOOKUP(VALUE(J1681),'Site Info'!$A:$G,7,FALSE),"")</f>
        <v>6158592023</v>
      </c>
    </row>
    <row r="1682" spans="1:15" x14ac:dyDescent="0.45">
      <c r="A1682" t="s">
        <v>12580</v>
      </c>
      <c r="B1682" t="s">
        <v>12581</v>
      </c>
      <c r="C1682" t="s">
        <v>12582</v>
      </c>
      <c r="D1682" t="s">
        <v>571</v>
      </c>
      <c r="E1682" s="1">
        <v>46153.252615740741</v>
      </c>
      <c r="F1682">
        <v>1547</v>
      </c>
      <c r="G1682" t="s">
        <v>12583</v>
      </c>
      <c r="H1682" t="s">
        <v>15</v>
      </c>
      <c r="I1682" t="s">
        <v>573</v>
      </c>
      <c r="J1682" t="str">
        <f>RIGHT(D1682,4)</f>
        <v>8257</v>
      </c>
      <c r="K1682" t="str">
        <f>IFERROR(VLOOKUP(VALUE(J1682),'Site Info'!$A:$G,3,FALSE),"")</f>
        <v>301 INDIAN LAKE BLVD</v>
      </c>
      <c r="L1682" t="str">
        <f>IFERROR(VLOOKUP(VALUE(J1682),'Site Info'!$A:$G,4,FALSE),"")</f>
        <v>HENDERSONVILLE</v>
      </c>
      <c r="M1682" t="str">
        <f>IFERROR(VLOOKUP(VALUE(J1682),'Site Info'!$A:$G,5,FALSE),"")</f>
        <v>TN</v>
      </c>
      <c r="N1682" t="str">
        <f>IFERROR(VLOOKUP(VALUE(J1682),'Site Info'!$A:$G,6,FALSE),"")</f>
        <v>37075-6218</v>
      </c>
      <c r="O1682">
        <f>IFERROR(VLOOKUP(VALUE(J1682),'Site Info'!$A:$G,7,FALSE),"")</f>
        <v>6158592023</v>
      </c>
    </row>
    <row r="1683" spans="1:15" x14ac:dyDescent="0.45">
      <c r="A1683" t="s">
        <v>11664</v>
      </c>
      <c r="B1683" t="s">
        <v>11665</v>
      </c>
      <c r="C1683" t="s">
        <v>11666</v>
      </c>
      <c r="D1683" t="s">
        <v>571</v>
      </c>
      <c r="E1683" s="1">
        <v>46153.309363425928</v>
      </c>
      <c r="F1683">
        <v>1547</v>
      </c>
      <c r="G1683" t="s">
        <v>11667</v>
      </c>
      <c r="H1683" t="s">
        <v>15</v>
      </c>
      <c r="I1683" t="s">
        <v>573</v>
      </c>
      <c r="J1683" t="str">
        <f>RIGHT(D1683,4)</f>
        <v>8257</v>
      </c>
      <c r="K1683" t="str">
        <f>IFERROR(VLOOKUP(VALUE(J1683),'Site Info'!$A:$G,3,FALSE),"")</f>
        <v>301 INDIAN LAKE BLVD</v>
      </c>
      <c r="L1683" t="str">
        <f>IFERROR(VLOOKUP(VALUE(J1683),'Site Info'!$A:$G,4,FALSE),"")</f>
        <v>HENDERSONVILLE</v>
      </c>
      <c r="M1683" t="str">
        <f>IFERROR(VLOOKUP(VALUE(J1683),'Site Info'!$A:$G,5,FALSE),"")</f>
        <v>TN</v>
      </c>
      <c r="N1683" t="str">
        <f>IFERROR(VLOOKUP(VALUE(J1683),'Site Info'!$A:$G,6,FALSE),"")</f>
        <v>37075-6218</v>
      </c>
      <c r="O1683">
        <f>IFERROR(VLOOKUP(VALUE(J1683),'Site Info'!$A:$G,7,FALSE),"")</f>
        <v>6158592023</v>
      </c>
    </row>
    <row r="1684" spans="1:15" x14ac:dyDescent="0.45">
      <c r="A1684" t="s">
        <v>568</v>
      </c>
      <c r="B1684" t="s">
        <v>569</v>
      </c>
      <c r="C1684" t="s">
        <v>570</v>
      </c>
      <c r="D1684" t="s">
        <v>571</v>
      </c>
      <c r="E1684" s="1">
        <v>46152.745439814818</v>
      </c>
      <c r="F1684">
        <v>1481</v>
      </c>
      <c r="G1684" t="s">
        <v>572</v>
      </c>
      <c r="H1684" t="s">
        <v>15</v>
      </c>
      <c r="I1684" t="s">
        <v>573</v>
      </c>
      <c r="J1684" t="str">
        <f>RIGHT(D1684,4)</f>
        <v>8257</v>
      </c>
      <c r="K1684" t="str">
        <f>IFERROR(VLOOKUP(VALUE(J1684),'Site Info'!$A:$G,3,FALSE),"")</f>
        <v>301 INDIAN LAKE BLVD</v>
      </c>
      <c r="L1684" t="str">
        <f>IFERROR(VLOOKUP(VALUE(J1684),'Site Info'!$A:$G,4,FALSE),"")</f>
        <v>HENDERSONVILLE</v>
      </c>
      <c r="M1684" t="str">
        <f>IFERROR(VLOOKUP(VALUE(J1684),'Site Info'!$A:$G,5,FALSE),"")</f>
        <v>TN</v>
      </c>
      <c r="N1684" t="str">
        <f>IFERROR(VLOOKUP(VALUE(J1684),'Site Info'!$A:$G,6,FALSE),"")</f>
        <v>37075-6218</v>
      </c>
      <c r="O1684">
        <f>IFERROR(VLOOKUP(VALUE(J1684),'Site Info'!$A:$G,7,FALSE),"")</f>
        <v>6158592023</v>
      </c>
    </row>
    <row r="1685" spans="1:15" x14ac:dyDescent="0.45">
      <c r="A1685" t="s">
        <v>602</v>
      </c>
      <c r="B1685" t="s">
        <v>603</v>
      </c>
      <c r="C1685" t="s">
        <v>604</v>
      </c>
      <c r="D1685" t="s">
        <v>571</v>
      </c>
      <c r="E1685" s="1">
        <v>46153.174016203702</v>
      </c>
      <c r="F1685">
        <v>1481</v>
      </c>
      <c r="G1685" t="s">
        <v>605</v>
      </c>
      <c r="H1685" t="s">
        <v>15</v>
      </c>
      <c r="I1685" t="s">
        <v>573</v>
      </c>
      <c r="J1685" t="str">
        <f>RIGHT(D1685,4)</f>
        <v>8257</v>
      </c>
      <c r="K1685" t="str">
        <f>IFERROR(VLOOKUP(VALUE(J1685),'Site Info'!$A:$G,3,FALSE),"")</f>
        <v>301 INDIAN LAKE BLVD</v>
      </c>
      <c r="L1685" t="str">
        <f>IFERROR(VLOOKUP(VALUE(J1685),'Site Info'!$A:$G,4,FALSE),"")</f>
        <v>HENDERSONVILLE</v>
      </c>
      <c r="M1685" t="str">
        <f>IFERROR(VLOOKUP(VALUE(J1685),'Site Info'!$A:$G,5,FALSE),"")</f>
        <v>TN</v>
      </c>
      <c r="N1685" t="str">
        <f>IFERROR(VLOOKUP(VALUE(J1685),'Site Info'!$A:$G,6,FALSE),"")</f>
        <v>37075-6218</v>
      </c>
      <c r="O1685">
        <f>IFERROR(VLOOKUP(VALUE(J1685),'Site Info'!$A:$G,7,FALSE),"")</f>
        <v>6158592023</v>
      </c>
    </row>
    <row r="1686" spans="1:15" x14ac:dyDescent="0.45">
      <c r="A1686" t="s">
        <v>3763</v>
      </c>
      <c r="B1686" t="s">
        <v>3764</v>
      </c>
      <c r="C1686" t="s">
        <v>3765</v>
      </c>
      <c r="D1686" t="s">
        <v>571</v>
      </c>
      <c r="E1686" s="1">
        <v>46153.370300925926</v>
      </c>
      <c r="F1686">
        <v>1481</v>
      </c>
      <c r="G1686" t="s">
        <v>3766</v>
      </c>
      <c r="H1686" t="s">
        <v>15</v>
      </c>
      <c r="I1686" t="s">
        <v>573</v>
      </c>
      <c r="J1686" t="str">
        <f>RIGHT(D1686,4)</f>
        <v>8257</v>
      </c>
      <c r="K1686" t="str">
        <f>IFERROR(VLOOKUP(VALUE(J1686),'Site Info'!$A:$G,3,FALSE),"")</f>
        <v>301 INDIAN LAKE BLVD</v>
      </c>
      <c r="L1686" t="str">
        <f>IFERROR(VLOOKUP(VALUE(J1686),'Site Info'!$A:$G,4,FALSE),"")</f>
        <v>HENDERSONVILLE</v>
      </c>
      <c r="M1686" t="str">
        <f>IFERROR(VLOOKUP(VALUE(J1686),'Site Info'!$A:$G,5,FALSE),"")</f>
        <v>TN</v>
      </c>
      <c r="N1686" t="str">
        <f>IFERROR(VLOOKUP(VALUE(J1686),'Site Info'!$A:$G,6,FALSE),"")</f>
        <v>37075-6218</v>
      </c>
      <c r="O1686">
        <f>IFERROR(VLOOKUP(VALUE(J1686),'Site Info'!$A:$G,7,FALSE),"")</f>
        <v>6158592023</v>
      </c>
    </row>
    <row r="1687" spans="1:15" x14ac:dyDescent="0.45">
      <c r="A1687" t="s">
        <v>16427</v>
      </c>
      <c r="B1687" t="s">
        <v>17233</v>
      </c>
      <c r="C1687" t="s">
        <v>17234</v>
      </c>
      <c r="D1687" t="s">
        <v>571</v>
      </c>
      <c r="E1687" s="1">
        <v>46152.667696759258</v>
      </c>
      <c r="F1687">
        <v>1863</v>
      </c>
      <c r="G1687" t="s">
        <v>17235</v>
      </c>
      <c r="H1687" t="s">
        <v>136</v>
      </c>
      <c r="I1687" t="s">
        <v>573</v>
      </c>
      <c r="J1687" t="str">
        <f>RIGHT(D1687,4)</f>
        <v>8257</v>
      </c>
      <c r="K1687" t="str">
        <f>IFERROR(VLOOKUP(VALUE(J1687),'Site Info'!$A:$G,3,FALSE),"")</f>
        <v>301 INDIAN LAKE BLVD</v>
      </c>
      <c r="L1687" t="str">
        <f>IFERROR(VLOOKUP(VALUE(J1687),'Site Info'!$A:$G,4,FALSE),"")</f>
        <v>HENDERSONVILLE</v>
      </c>
      <c r="M1687" t="str">
        <f>IFERROR(VLOOKUP(VALUE(J1687),'Site Info'!$A:$G,5,FALSE),"")</f>
        <v>TN</v>
      </c>
      <c r="N1687" t="str">
        <f>IFERROR(VLOOKUP(VALUE(J1687),'Site Info'!$A:$G,6,FALSE),"")</f>
        <v>37075-6218</v>
      </c>
      <c r="O1687">
        <f>IFERROR(VLOOKUP(VALUE(J1687),'Site Info'!$A:$G,7,FALSE),"")</f>
        <v>6158592023</v>
      </c>
    </row>
    <row r="1688" spans="1:15" x14ac:dyDescent="0.45">
      <c r="A1688" t="s">
        <v>4234</v>
      </c>
      <c r="B1688" t="s">
        <v>4235</v>
      </c>
      <c r="C1688" t="s">
        <v>4236</v>
      </c>
      <c r="D1688" t="s">
        <v>3098</v>
      </c>
      <c r="E1688" s="1">
        <v>46151.595439814817</v>
      </c>
      <c r="F1688">
        <v>1547</v>
      </c>
      <c r="G1688" t="s">
        <v>4237</v>
      </c>
      <c r="H1688" t="s">
        <v>15</v>
      </c>
      <c r="I1688" t="s">
        <v>3100</v>
      </c>
      <c r="J1688" t="str">
        <f>RIGHT(D1688,4)</f>
        <v>4857</v>
      </c>
      <c r="K1688" t="str">
        <f>IFERROR(VLOOKUP(VALUE(J1688),'Site Info'!$A:$G,3,FALSE),"")</f>
        <v>301 SW PINE ISLAND ROAD</v>
      </c>
      <c r="L1688" t="str">
        <f>IFERROR(VLOOKUP(VALUE(J1688),'Site Info'!$A:$G,4,FALSE),"")</f>
        <v>CAPE CORAL</v>
      </c>
      <c r="M1688" t="str">
        <f>IFERROR(VLOOKUP(VALUE(J1688),'Site Info'!$A:$G,5,FALSE),"")</f>
        <v>FL</v>
      </c>
      <c r="N1688" t="str">
        <f>IFERROR(VLOOKUP(VALUE(J1688),'Site Info'!$A:$G,6,FALSE),"")</f>
        <v>33991-0000</v>
      </c>
      <c r="O1688">
        <f>IFERROR(VLOOKUP(VALUE(J1688),'Site Info'!$A:$G,7,FALSE),"")</f>
        <v>2398006028</v>
      </c>
    </row>
    <row r="1689" spans="1:15" x14ac:dyDescent="0.45">
      <c r="A1689" t="s">
        <v>6569</v>
      </c>
      <c r="B1689" t="s">
        <v>6570</v>
      </c>
      <c r="C1689" t="s">
        <v>6571</v>
      </c>
      <c r="D1689" t="s">
        <v>3098</v>
      </c>
      <c r="E1689" s="1">
        <v>46152.562245370369</v>
      </c>
      <c r="F1689">
        <v>1547</v>
      </c>
      <c r="G1689" t="s">
        <v>6572</v>
      </c>
      <c r="H1689" t="s">
        <v>15</v>
      </c>
      <c r="I1689" t="s">
        <v>3100</v>
      </c>
      <c r="J1689" t="str">
        <f>RIGHT(D1689,4)</f>
        <v>4857</v>
      </c>
      <c r="K1689" t="str">
        <f>IFERROR(VLOOKUP(VALUE(J1689),'Site Info'!$A:$G,3,FALSE),"")</f>
        <v>301 SW PINE ISLAND ROAD</v>
      </c>
      <c r="L1689" t="str">
        <f>IFERROR(VLOOKUP(VALUE(J1689),'Site Info'!$A:$G,4,FALSE),"")</f>
        <v>CAPE CORAL</v>
      </c>
      <c r="M1689" t="str">
        <f>IFERROR(VLOOKUP(VALUE(J1689),'Site Info'!$A:$G,5,FALSE),"")</f>
        <v>FL</v>
      </c>
      <c r="N1689" t="str">
        <f>IFERROR(VLOOKUP(VALUE(J1689),'Site Info'!$A:$G,6,FALSE),"")</f>
        <v>33991-0000</v>
      </c>
      <c r="O1689">
        <f>IFERROR(VLOOKUP(VALUE(J1689),'Site Info'!$A:$G,7,FALSE),"")</f>
        <v>2398006028</v>
      </c>
    </row>
    <row r="1690" spans="1:15" x14ac:dyDescent="0.45">
      <c r="A1690" t="s">
        <v>6553</v>
      </c>
      <c r="B1690" t="s">
        <v>6554</v>
      </c>
      <c r="C1690" t="s">
        <v>6555</v>
      </c>
      <c r="D1690" t="s">
        <v>3098</v>
      </c>
      <c r="E1690" s="1">
        <v>46153.351527777777</v>
      </c>
      <c r="F1690">
        <v>1547</v>
      </c>
      <c r="G1690" t="s">
        <v>6556</v>
      </c>
      <c r="H1690" t="s">
        <v>15</v>
      </c>
      <c r="I1690" t="s">
        <v>3100</v>
      </c>
      <c r="J1690" t="str">
        <f>RIGHT(D1690,4)</f>
        <v>4857</v>
      </c>
      <c r="K1690" t="str">
        <f>IFERROR(VLOOKUP(VALUE(J1690),'Site Info'!$A:$G,3,FALSE),"")</f>
        <v>301 SW PINE ISLAND ROAD</v>
      </c>
      <c r="L1690" t="str">
        <f>IFERROR(VLOOKUP(VALUE(J1690),'Site Info'!$A:$G,4,FALSE),"")</f>
        <v>CAPE CORAL</v>
      </c>
      <c r="M1690" t="str">
        <f>IFERROR(VLOOKUP(VALUE(J1690),'Site Info'!$A:$G,5,FALSE),"")</f>
        <v>FL</v>
      </c>
      <c r="N1690" t="str">
        <f>IFERROR(VLOOKUP(VALUE(J1690),'Site Info'!$A:$G,6,FALSE),"")</f>
        <v>33991-0000</v>
      </c>
      <c r="O1690">
        <f>IFERROR(VLOOKUP(VALUE(J1690),'Site Info'!$A:$G,7,FALSE),"")</f>
        <v>2398006028</v>
      </c>
    </row>
    <row r="1691" spans="1:15" x14ac:dyDescent="0.45">
      <c r="A1691" t="s">
        <v>6581</v>
      </c>
      <c r="B1691" t="s">
        <v>6582</v>
      </c>
      <c r="C1691" t="s">
        <v>6583</v>
      </c>
      <c r="D1691" t="s">
        <v>3098</v>
      </c>
      <c r="E1691" s="1">
        <v>46153.386874999997</v>
      </c>
      <c r="F1691">
        <v>1547</v>
      </c>
      <c r="G1691" t="s">
        <v>6584</v>
      </c>
      <c r="H1691" t="s">
        <v>15</v>
      </c>
      <c r="I1691" t="s">
        <v>3100</v>
      </c>
      <c r="J1691" t="str">
        <f>RIGHT(D1691,4)</f>
        <v>4857</v>
      </c>
      <c r="K1691" t="str">
        <f>IFERROR(VLOOKUP(VALUE(J1691),'Site Info'!$A:$G,3,FALSE),"")</f>
        <v>301 SW PINE ISLAND ROAD</v>
      </c>
      <c r="L1691" t="str">
        <f>IFERROR(VLOOKUP(VALUE(J1691),'Site Info'!$A:$G,4,FALSE),"")</f>
        <v>CAPE CORAL</v>
      </c>
      <c r="M1691" t="str">
        <f>IFERROR(VLOOKUP(VALUE(J1691),'Site Info'!$A:$G,5,FALSE),"")</f>
        <v>FL</v>
      </c>
      <c r="N1691" t="str">
        <f>IFERROR(VLOOKUP(VALUE(J1691),'Site Info'!$A:$G,6,FALSE),"")</f>
        <v>33991-0000</v>
      </c>
      <c r="O1691">
        <f>IFERROR(VLOOKUP(VALUE(J1691),'Site Info'!$A:$G,7,FALSE),"")</f>
        <v>2398006028</v>
      </c>
    </row>
    <row r="1692" spans="1:15" x14ac:dyDescent="0.45">
      <c r="A1692" t="s">
        <v>3287</v>
      </c>
      <c r="B1692" t="s">
        <v>3288</v>
      </c>
      <c r="C1692" t="s">
        <v>3289</v>
      </c>
      <c r="D1692" t="s">
        <v>3098</v>
      </c>
      <c r="E1692" s="1">
        <v>46153.141736111109</v>
      </c>
      <c r="F1692">
        <v>1481</v>
      </c>
      <c r="G1692" t="s">
        <v>3290</v>
      </c>
      <c r="H1692" t="s">
        <v>15</v>
      </c>
      <c r="I1692" t="s">
        <v>3100</v>
      </c>
      <c r="J1692" t="str">
        <f>RIGHT(D1692,4)</f>
        <v>4857</v>
      </c>
      <c r="K1692" t="str">
        <f>IFERROR(VLOOKUP(VALUE(J1692),'Site Info'!$A:$G,3,FALSE),"")</f>
        <v>301 SW PINE ISLAND ROAD</v>
      </c>
      <c r="L1692" t="str">
        <f>IFERROR(VLOOKUP(VALUE(J1692),'Site Info'!$A:$G,4,FALSE),"")</f>
        <v>CAPE CORAL</v>
      </c>
      <c r="M1692" t="str">
        <f>IFERROR(VLOOKUP(VALUE(J1692),'Site Info'!$A:$G,5,FALSE),"")</f>
        <v>FL</v>
      </c>
      <c r="N1692" t="str">
        <f>IFERROR(VLOOKUP(VALUE(J1692),'Site Info'!$A:$G,6,FALSE),"")</f>
        <v>33991-0000</v>
      </c>
      <c r="O1692">
        <f>IFERROR(VLOOKUP(VALUE(J1692),'Site Info'!$A:$G,7,FALSE),"")</f>
        <v>2398006028</v>
      </c>
    </row>
    <row r="1693" spans="1:15" x14ac:dyDescent="0.45">
      <c r="A1693" t="s">
        <v>3095</v>
      </c>
      <c r="B1693" t="s">
        <v>3096</v>
      </c>
      <c r="C1693" t="s">
        <v>3097</v>
      </c>
      <c r="D1693" t="s">
        <v>3098</v>
      </c>
      <c r="E1693" s="1">
        <v>46153.304548611108</v>
      </c>
      <c r="F1693">
        <v>1481</v>
      </c>
      <c r="G1693" t="s">
        <v>3099</v>
      </c>
      <c r="H1693" t="s">
        <v>15</v>
      </c>
      <c r="I1693" t="s">
        <v>3100</v>
      </c>
      <c r="J1693" t="str">
        <f>RIGHT(D1693,4)</f>
        <v>4857</v>
      </c>
      <c r="K1693" t="str">
        <f>IFERROR(VLOOKUP(VALUE(J1693),'Site Info'!$A:$G,3,FALSE),"")</f>
        <v>301 SW PINE ISLAND ROAD</v>
      </c>
      <c r="L1693" t="str">
        <f>IFERROR(VLOOKUP(VALUE(J1693),'Site Info'!$A:$G,4,FALSE),"")</f>
        <v>CAPE CORAL</v>
      </c>
      <c r="M1693" t="str">
        <f>IFERROR(VLOOKUP(VALUE(J1693),'Site Info'!$A:$G,5,FALSE),"")</f>
        <v>FL</v>
      </c>
      <c r="N1693" t="str">
        <f>IFERROR(VLOOKUP(VALUE(J1693),'Site Info'!$A:$G,6,FALSE),"")</f>
        <v>33991-0000</v>
      </c>
      <c r="O1693">
        <f>IFERROR(VLOOKUP(VALUE(J1693),'Site Info'!$A:$G,7,FALSE),"")</f>
        <v>2398006028</v>
      </c>
    </row>
    <row r="1694" spans="1:15" x14ac:dyDescent="0.45">
      <c r="A1694" t="s">
        <v>12982</v>
      </c>
      <c r="B1694" t="s">
        <v>12983</v>
      </c>
      <c r="C1694" t="s">
        <v>12984</v>
      </c>
      <c r="D1694" t="s">
        <v>10121</v>
      </c>
      <c r="E1694" s="1">
        <v>46150.274363425924</v>
      </c>
      <c r="F1694">
        <v>1547</v>
      </c>
      <c r="G1694" t="s">
        <v>12985</v>
      </c>
      <c r="H1694" t="s">
        <v>15</v>
      </c>
      <c r="I1694" t="s">
        <v>10123</v>
      </c>
      <c r="J1694" t="str">
        <f>RIGHT(D1694,4)</f>
        <v>4791</v>
      </c>
      <c r="K1694" t="str">
        <f>IFERROR(VLOOKUP(VALUE(J1694),'Site Info'!$A:$G,3,FALSE),"")</f>
        <v>3010 LARUE ST</v>
      </c>
      <c r="L1694" t="str">
        <f>IFERROR(VLOOKUP(VALUE(J1694),'Site Info'!$A:$G,4,FALSE),"")</f>
        <v>GARDEN CITY</v>
      </c>
      <c r="M1694" t="str">
        <f>IFERROR(VLOOKUP(VALUE(J1694),'Site Info'!$A:$G,5,FALSE),"")</f>
        <v>KS</v>
      </c>
      <c r="N1694" t="str">
        <f>IFERROR(VLOOKUP(VALUE(J1694),'Site Info'!$A:$G,6,FALSE),"")</f>
        <v>67846-7072</v>
      </c>
      <c r="O1694">
        <f>IFERROR(VLOOKUP(VALUE(J1694),'Site Info'!$A:$G,7,FALSE),"")</f>
        <v>6202729001</v>
      </c>
    </row>
    <row r="1695" spans="1:15" x14ac:dyDescent="0.45">
      <c r="A1695" t="s">
        <v>13820</v>
      </c>
      <c r="B1695" t="s">
        <v>13821</v>
      </c>
      <c r="C1695" t="s">
        <v>13822</v>
      </c>
      <c r="D1695" t="s">
        <v>10121</v>
      </c>
      <c r="E1695" s="1">
        <v>46152.617106481484</v>
      </c>
      <c r="F1695">
        <v>1547</v>
      </c>
      <c r="G1695" t="s">
        <v>13823</v>
      </c>
      <c r="H1695" t="s">
        <v>15</v>
      </c>
      <c r="I1695" t="s">
        <v>10123</v>
      </c>
      <c r="J1695" t="str">
        <f>RIGHT(D1695,4)</f>
        <v>4791</v>
      </c>
      <c r="K1695" t="str">
        <f>IFERROR(VLOOKUP(VALUE(J1695),'Site Info'!$A:$G,3,FALSE),"")</f>
        <v>3010 LARUE ST</v>
      </c>
      <c r="L1695" t="str">
        <f>IFERROR(VLOOKUP(VALUE(J1695),'Site Info'!$A:$G,4,FALSE),"")</f>
        <v>GARDEN CITY</v>
      </c>
      <c r="M1695" t="str">
        <f>IFERROR(VLOOKUP(VALUE(J1695),'Site Info'!$A:$G,5,FALSE),"")</f>
        <v>KS</v>
      </c>
      <c r="N1695" t="str">
        <f>IFERROR(VLOOKUP(VALUE(J1695),'Site Info'!$A:$G,6,FALSE),"")</f>
        <v>67846-7072</v>
      </c>
      <c r="O1695">
        <f>IFERROR(VLOOKUP(VALUE(J1695),'Site Info'!$A:$G,7,FALSE),"")</f>
        <v>6202729001</v>
      </c>
    </row>
    <row r="1696" spans="1:15" x14ac:dyDescent="0.45">
      <c r="A1696" t="s">
        <v>14139</v>
      </c>
      <c r="B1696" t="s">
        <v>14140</v>
      </c>
      <c r="C1696" t="s">
        <v>14141</v>
      </c>
      <c r="D1696" t="s">
        <v>10121</v>
      </c>
      <c r="E1696" s="1">
        <v>46153.280486111114</v>
      </c>
      <c r="F1696">
        <v>1547</v>
      </c>
      <c r="G1696" t="s">
        <v>14142</v>
      </c>
      <c r="H1696" t="s">
        <v>15</v>
      </c>
      <c r="I1696" t="s">
        <v>10123</v>
      </c>
      <c r="J1696" t="str">
        <f>RIGHT(D1696,4)</f>
        <v>4791</v>
      </c>
      <c r="K1696" t="str">
        <f>IFERROR(VLOOKUP(VALUE(J1696),'Site Info'!$A:$G,3,FALSE),"")</f>
        <v>3010 LARUE ST</v>
      </c>
      <c r="L1696" t="str">
        <f>IFERROR(VLOOKUP(VALUE(J1696),'Site Info'!$A:$G,4,FALSE),"")</f>
        <v>GARDEN CITY</v>
      </c>
      <c r="M1696" t="str">
        <f>IFERROR(VLOOKUP(VALUE(J1696),'Site Info'!$A:$G,5,FALSE),"")</f>
        <v>KS</v>
      </c>
      <c r="N1696" t="str">
        <f>IFERROR(VLOOKUP(VALUE(J1696),'Site Info'!$A:$G,6,FALSE),"")</f>
        <v>67846-7072</v>
      </c>
      <c r="O1696">
        <f>IFERROR(VLOOKUP(VALUE(J1696),'Site Info'!$A:$G,7,FALSE),"")</f>
        <v>6202729001</v>
      </c>
    </row>
    <row r="1697" spans="1:15" x14ac:dyDescent="0.45">
      <c r="A1697" t="s">
        <v>10118</v>
      </c>
      <c r="B1697" t="s">
        <v>10119</v>
      </c>
      <c r="C1697" t="s">
        <v>10120</v>
      </c>
      <c r="D1697" t="s">
        <v>10121</v>
      </c>
      <c r="E1697" s="1">
        <v>46153.32708333333</v>
      </c>
      <c r="F1697">
        <v>1547</v>
      </c>
      <c r="G1697" t="s">
        <v>10122</v>
      </c>
      <c r="H1697" t="s">
        <v>15</v>
      </c>
      <c r="I1697" t="s">
        <v>10123</v>
      </c>
      <c r="J1697" t="str">
        <f>RIGHT(D1697,4)</f>
        <v>4791</v>
      </c>
      <c r="K1697" t="str">
        <f>IFERROR(VLOOKUP(VALUE(J1697),'Site Info'!$A:$G,3,FALSE),"")</f>
        <v>3010 LARUE ST</v>
      </c>
      <c r="L1697" t="str">
        <f>IFERROR(VLOOKUP(VALUE(J1697),'Site Info'!$A:$G,4,FALSE),"")</f>
        <v>GARDEN CITY</v>
      </c>
      <c r="M1697" t="str">
        <f>IFERROR(VLOOKUP(VALUE(J1697),'Site Info'!$A:$G,5,FALSE),"")</f>
        <v>KS</v>
      </c>
      <c r="N1697" t="str">
        <f>IFERROR(VLOOKUP(VALUE(J1697),'Site Info'!$A:$G,6,FALSE),"")</f>
        <v>67846-7072</v>
      </c>
      <c r="O1697">
        <f>IFERROR(VLOOKUP(VALUE(J1697),'Site Info'!$A:$G,7,FALSE),"")</f>
        <v>6202729001</v>
      </c>
    </row>
    <row r="1698" spans="1:15" x14ac:dyDescent="0.45">
      <c r="A1698" t="s">
        <v>11444</v>
      </c>
      <c r="B1698" t="s">
        <v>11445</v>
      </c>
      <c r="C1698" t="s">
        <v>11446</v>
      </c>
      <c r="D1698" t="s">
        <v>9710</v>
      </c>
      <c r="E1698" s="1">
        <v>46151.502754629626</v>
      </c>
      <c r="F1698">
        <v>1547</v>
      </c>
      <c r="G1698" t="s">
        <v>11447</v>
      </c>
      <c r="H1698" t="s">
        <v>15</v>
      </c>
      <c r="I1698" t="s">
        <v>9712</v>
      </c>
      <c r="J1698" t="str">
        <f>RIGHT(D1698,4)</f>
        <v>4738</v>
      </c>
      <c r="K1698" t="str">
        <f>IFERROR(VLOOKUP(VALUE(J1698),'Site Info'!$A:$G,3,FALSE),"")</f>
        <v>3035 DENMARK AVE</v>
      </c>
      <c r="L1698" t="str">
        <f>IFERROR(VLOOKUP(VALUE(J1698),'Site Info'!$A:$G,4,FALSE),"")</f>
        <v>EAGAN</v>
      </c>
      <c r="M1698" t="str">
        <f>IFERROR(VLOOKUP(VALUE(J1698),'Site Info'!$A:$G,5,FALSE),"")</f>
        <v>MN</v>
      </c>
      <c r="N1698" t="str">
        <f>IFERROR(VLOOKUP(VALUE(J1698),'Site Info'!$A:$G,6,FALSE),"")</f>
        <v>55121-2257</v>
      </c>
      <c r="O1698">
        <f>IFERROR(VLOOKUP(VALUE(J1698),'Site Info'!$A:$G,7,FALSE),"")</f>
        <v>6514050079</v>
      </c>
    </row>
    <row r="1699" spans="1:15" x14ac:dyDescent="0.45">
      <c r="A1699" t="s">
        <v>13050</v>
      </c>
      <c r="B1699" t="s">
        <v>13051</v>
      </c>
      <c r="C1699" t="s">
        <v>13052</v>
      </c>
      <c r="D1699" t="s">
        <v>9710</v>
      </c>
      <c r="E1699" s="1">
        <v>46151.618668981479</v>
      </c>
      <c r="F1699">
        <v>1547</v>
      </c>
      <c r="G1699" t="s">
        <v>13053</v>
      </c>
      <c r="H1699" t="s">
        <v>15</v>
      </c>
      <c r="I1699" t="s">
        <v>9712</v>
      </c>
      <c r="J1699" t="str">
        <f>RIGHT(D1699,4)</f>
        <v>4738</v>
      </c>
      <c r="K1699" t="str">
        <f>IFERROR(VLOOKUP(VALUE(J1699),'Site Info'!$A:$G,3,FALSE),"")</f>
        <v>3035 DENMARK AVE</v>
      </c>
      <c r="L1699" t="str">
        <f>IFERROR(VLOOKUP(VALUE(J1699),'Site Info'!$A:$G,4,FALSE),"")</f>
        <v>EAGAN</v>
      </c>
      <c r="M1699" t="str">
        <f>IFERROR(VLOOKUP(VALUE(J1699),'Site Info'!$A:$G,5,FALSE),"")</f>
        <v>MN</v>
      </c>
      <c r="N1699" t="str">
        <f>IFERROR(VLOOKUP(VALUE(J1699),'Site Info'!$A:$G,6,FALSE),"")</f>
        <v>55121-2257</v>
      </c>
      <c r="O1699">
        <f>IFERROR(VLOOKUP(VALUE(J1699),'Site Info'!$A:$G,7,FALSE),"")</f>
        <v>6514050079</v>
      </c>
    </row>
    <row r="1700" spans="1:15" x14ac:dyDescent="0.45">
      <c r="A1700" t="s">
        <v>12016</v>
      </c>
      <c r="B1700" t="s">
        <v>12017</v>
      </c>
      <c r="C1700" t="s">
        <v>12018</v>
      </c>
      <c r="D1700" t="s">
        <v>9710</v>
      </c>
      <c r="E1700" s="1">
        <v>46151.654583333337</v>
      </c>
      <c r="F1700">
        <v>1547</v>
      </c>
      <c r="G1700" t="s">
        <v>12019</v>
      </c>
      <c r="H1700" t="s">
        <v>15</v>
      </c>
      <c r="I1700" t="s">
        <v>9712</v>
      </c>
      <c r="J1700" t="str">
        <f>RIGHT(D1700,4)</f>
        <v>4738</v>
      </c>
      <c r="K1700" t="str">
        <f>IFERROR(VLOOKUP(VALUE(J1700),'Site Info'!$A:$G,3,FALSE),"")</f>
        <v>3035 DENMARK AVE</v>
      </c>
      <c r="L1700" t="str">
        <f>IFERROR(VLOOKUP(VALUE(J1700),'Site Info'!$A:$G,4,FALSE),"")</f>
        <v>EAGAN</v>
      </c>
      <c r="M1700" t="str">
        <f>IFERROR(VLOOKUP(VALUE(J1700),'Site Info'!$A:$G,5,FALSE),"")</f>
        <v>MN</v>
      </c>
      <c r="N1700" t="str">
        <f>IFERROR(VLOOKUP(VALUE(J1700),'Site Info'!$A:$G,6,FALSE),"")</f>
        <v>55121-2257</v>
      </c>
      <c r="O1700">
        <f>IFERROR(VLOOKUP(VALUE(J1700),'Site Info'!$A:$G,7,FALSE),"")</f>
        <v>6514050079</v>
      </c>
    </row>
    <row r="1701" spans="1:15" x14ac:dyDescent="0.45">
      <c r="A1701" t="s">
        <v>12244</v>
      </c>
      <c r="B1701" t="s">
        <v>12245</v>
      </c>
      <c r="C1701" t="s">
        <v>12246</v>
      </c>
      <c r="D1701" t="s">
        <v>9710</v>
      </c>
      <c r="E1701" s="1">
        <v>46151.826215277775</v>
      </c>
      <c r="F1701">
        <v>1547</v>
      </c>
      <c r="G1701" t="s">
        <v>12247</v>
      </c>
      <c r="H1701" t="s">
        <v>15</v>
      </c>
      <c r="I1701" t="s">
        <v>9712</v>
      </c>
      <c r="J1701" t="str">
        <f>RIGHT(D1701,4)</f>
        <v>4738</v>
      </c>
      <c r="K1701" t="str">
        <f>IFERROR(VLOOKUP(VALUE(J1701),'Site Info'!$A:$G,3,FALSE),"")</f>
        <v>3035 DENMARK AVE</v>
      </c>
      <c r="L1701" t="str">
        <f>IFERROR(VLOOKUP(VALUE(J1701),'Site Info'!$A:$G,4,FALSE),"")</f>
        <v>EAGAN</v>
      </c>
      <c r="M1701" t="str">
        <f>IFERROR(VLOOKUP(VALUE(J1701),'Site Info'!$A:$G,5,FALSE),"")</f>
        <v>MN</v>
      </c>
      <c r="N1701" t="str">
        <f>IFERROR(VLOOKUP(VALUE(J1701),'Site Info'!$A:$G,6,FALSE),"")</f>
        <v>55121-2257</v>
      </c>
      <c r="O1701">
        <f>IFERROR(VLOOKUP(VALUE(J1701),'Site Info'!$A:$G,7,FALSE),"")</f>
        <v>6514050079</v>
      </c>
    </row>
    <row r="1702" spans="1:15" x14ac:dyDescent="0.45">
      <c r="A1702" t="s">
        <v>9707</v>
      </c>
      <c r="B1702" t="s">
        <v>9708</v>
      </c>
      <c r="C1702" t="s">
        <v>9709</v>
      </c>
      <c r="D1702" t="s">
        <v>9710</v>
      </c>
      <c r="E1702" s="1">
        <v>46153.362453703703</v>
      </c>
      <c r="F1702">
        <v>1547</v>
      </c>
      <c r="G1702" t="s">
        <v>9711</v>
      </c>
      <c r="H1702" t="s">
        <v>15</v>
      </c>
      <c r="I1702" t="s">
        <v>9712</v>
      </c>
      <c r="J1702" t="str">
        <f>RIGHT(D1702,4)</f>
        <v>4738</v>
      </c>
      <c r="K1702" t="str">
        <f>IFERROR(VLOOKUP(VALUE(J1702),'Site Info'!$A:$G,3,FALSE),"")</f>
        <v>3035 DENMARK AVE</v>
      </c>
      <c r="L1702" t="str">
        <f>IFERROR(VLOOKUP(VALUE(J1702),'Site Info'!$A:$G,4,FALSE),"")</f>
        <v>EAGAN</v>
      </c>
      <c r="M1702" t="str">
        <f>IFERROR(VLOOKUP(VALUE(J1702),'Site Info'!$A:$G,5,FALSE),"")</f>
        <v>MN</v>
      </c>
      <c r="N1702" t="str">
        <f>IFERROR(VLOOKUP(VALUE(J1702),'Site Info'!$A:$G,6,FALSE),"")</f>
        <v>55121-2257</v>
      </c>
      <c r="O1702">
        <f>IFERROR(VLOOKUP(VALUE(J1702),'Site Info'!$A:$G,7,FALSE),"")</f>
        <v>6514050079</v>
      </c>
    </row>
    <row r="1703" spans="1:15" x14ac:dyDescent="0.45">
      <c r="A1703" t="s">
        <v>11376</v>
      </c>
      <c r="B1703" t="s">
        <v>11377</v>
      </c>
      <c r="C1703" t="s">
        <v>11378</v>
      </c>
      <c r="D1703" t="s">
        <v>9710</v>
      </c>
      <c r="E1703" s="1">
        <v>46153.37332175926</v>
      </c>
      <c r="F1703">
        <v>1547</v>
      </c>
      <c r="G1703" t="s">
        <v>11379</v>
      </c>
      <c r="H1703" t="s">
        <v>15</v>
      </c>
      <c r="I1703" t="s">
        <v>9712</v>
      </c>
      <c r="J1703" t="str">
        <f>RIGHT(D1703,4)</f>
        <v>4738</v>
      </c>
      <c r="K1703" t="str">
        <f>IFERROR(VLOOKUP(VALUE(J1703),'Site Info'!$A:$G,3,FALSE),"")</f>
        <v>3035 DENMARK AVE</v>
      </c>
      <c r="L1703" t="str">
        <f>IFERROR(VLOOKUP(VALUE(J1703),'Site Info'!$A:$G,4,FALSE),"")</f>
        <v>EAGAN</v>
      </c>
      <c r="M1703" t="str">
        <f>IFERROR(VLOOKUP(VALUE(J1703),'Site Info'!$A:$G,5,FALSE),"")</f>
        <v>MN</v>
      </c>
      <c r="N1703" t="str">
        <f>IFERROR(VLOOKUP(VALUE(J1703),'Site Info'!$A:$G,6,FALSE),"")</f>
        <v>55121-2257</v>
      </c>
      <c r="O1703">
        <f>IFERROR(VLOOKUP(VALUE(J1703),'Site Info'!$A:$G,7,FALSE),"")</f>
        <v>6514050079</v>
      </c>
    </row>
    <row r="1704" spans="1:15" x14ac:dyDescent="0.45">
      <c r="A1704" t="s">
        <v>6825</v>
      </c>
      <c r="B1704" t="s">
        <v>6826</v>
      </c>
      <c r="C1704" t="s">
        <v>6827</v>
      </c>
      <c r="D1704" t="s">
        <v>1443</v>
      </c>
      <c r="E1704" s="1">
        <v>46151.345034722224</v>
      </c>
      <c r="F1704">
        <v>1547</v>
      </c>
      <c r="G1704" t="s">
        <v>6828</v>
      </c>
      <c r="H1704" t="s">
        <v>15</v>
      </c>
      <c r="I1704" t="s">
        <v>1445</v>
      </c>
      <c r="J1704" t="str">
        <f>RIGHT(D1704,4)</f>
        <v>6386</v>
      </c>
      <c r="K1704" t="str">
        <f>IFERROR(VLOOKUP(VALUE(J1704),'Site Info'!$A:$G,3,FALSE),"")</f>
        <v>304 SHEEP DAVIS RD</v>
      </c>
      <c r="L1704" t="str">
        <f>IFERROR(VLOOKUP(VALUE(J1704),'Site Info'!$A:$G,4,FALSE),"")</f>
        <v>CONCORD</v>
      </c>
      <c r="M1704" t="str">
        <f>IFERROR(VLOOKUP(VALUE(J1704),'Site Info'!$A:$G,5,FALSE),"")</f>
        <v>NH</v>
      </c>
      <c r="N1704" t="str">
        <f>IFERROR(VLOOKUP(VALUE(J1704),'Site Info'!$A:$G,6,FALSE),"")</f>
        <v>03301-5736</v>
      </c>
      <c r="O1704">
        <f>IFERROR(VLOOKUP(VALUE(J1704),'Site Info'!$A:$G,7,FALSE),"")</f>
        <v>6032261255</v>
      </c>
    </row>
    <row r="1705" spans="1:15" x14ac:dyDescent="0.45">
      <c r="A1705" t="s">
        <v>7539</v>
      </c>
      <c r="B1705" t="s">
        <v>7540</v>
      </c>
      <c r="C1705" t="s">
        <v>7541</v>
      </c>
      <c r="D1705" t="s">
        <v>1443</v>
      </c>
      <c r="E1705" s="1">
        <v>46153.346064814818</v>
      </c>
      <c r="F1705">
        <v>1547</v>
      </c>
      <c r="G1705" t="s">
        <v>7542</v>
      </c>
      <c r="H1705" t="s">
        <v>15</v>
      </c>
      <c r="I1705" t="s">
        <v>1445</v>
      </c>
      <c r="J1705" t="str">
        <f>RIGHT(D1705,4)</f>
        <v>6386</v>
      </c>
      <c r="K1705" t="str">
        <f>IFERROR(VLOOKUP(VALUE(J1705),'Site Info'!$A:$G,3,FALSE),"")</f>
        <v>304 SHEEP DAVIS RD</v>
      </c>
      <c r="L1705" t="str">
        <f>IFERROR(VLOOKUP(VALUE(J1705),'Site Info'!$A:$G,4,FALSE),"")</f>
        <v>CONCORD</v>
      </c>
      <c r="M1705" t="str">
        <f>IFERROR(VLOOKUP(VALUE(J1705),'Site Info'!$A:$G,5,FALSE),"")</f>
        <v>NH</v>
      </c>
      <c r="N1705" t="str">
        <f>IFERROR(VLOOKUP(VALUE(J1705),'Site Info'!$A:$G,6,FALSE),"")</f>
        <v>03301-5736</v>
      </c>
      <c r="O1705">
        <f>IFERROR(VLOOKUP(VALUE(J1705),'Site Info'!$A:$G,7,FALSE),"")</f>
        <v>6032261255</v>
      </c>
    </row>
    <row r="1706" spans="1:15" x14ac:dyDescent="0.45">
      <c r="A1706" t="s">
        <v>8081</v>
      </c>
      <c r="B1706" t="s">
        <v>8082</v>
      </c>
      <c r="C1706" t="s">
        <v>8083</v>
      </c>
      <c r="D1706" t="s">
        <v>1443</v>
      </c>
      <c r="E1706" s="1">
        <v>46153.348738425928</v>
      </c>
      <c r="F1706">
        <v>1547</v>
      </c>
      <c r="G1706" t="s">
        <v>8084</v>
      </c>
      <c r="H1706" t="s">
        <v>15</v>
      </c>
      <c r="I1706" t="s">
        <v>1445</v>
      </c>
      <c r="J1706" t="str">
        <f>RIGHT(D1706,4)</f>
        <v>6386</v>
      </c>
      <c r="K1706" t="str">
        <f>IFERROR(VLOOKUP(VALUE(J1706),'Site Info'!$A:$G,3,FALSE),"")</f>
        <v>304 SHEEP DAVIS RD</v>
      </c>
      <c r="L1706" t="str">
        <f>IFERROR(VLOOKUP(VALUE(J1706),'Site Info'!$A:$G,4,FALSE),"")</f>
        <v>CONCORD</v>
      </c>
      <c r="M1706" t="str">
        <f>IFERROR(VLOOKUP(VALUE(J1706),'Site Info'!$A:$G,5,FALSE),"")</f>
        <v>NH</v>
      </c>
      <c r="N1706" t="str">
        <f>IFERROR(VLOOKUP(VALUE(J1706),'Site Info'!$A:$G,6,FALSE),"")</f>
        <v>03301-5736</v>
      </c>
      <c r="O1706">
        <f>IFERROR(VLOOKUP(VALUE(J1706),'Site Info'!$A:$G,7,FALSE),"")</f>
        <v>6032261255</v>
      </c>
    </row>
    <row r="1707" spans="1:15" x14ac:dyDescent="0.45">
      <c r="A1707" t="s">
        <v>7887</v>
      </c>
      <c r="B1707" t="s">
        <v>7888</v>
      </c>
      <c r="C1707" t="s">
        <v>7889</v>
      </c>
      <c r="D1707" t="s">
        <v>1443</v>
      </c>
      <c r="E1707" s="1">
        <v>46153.363391203704</v>
      </c>
      <c r="F1707">
        <v>1547</v>
      </c>
      <c r="G1707" t="s">
        <v>7890</v>
      </c>
      <c r="H1707" t="s">
        <v>15</v>
      </c>
      <c r="I1707" t="s">
        <v>1445</v>
      </c>
      <c r="J1707" t="str">
        <f>RIGHT(D1707,4)</f>
        <v>6386</v>
      </c>
      <c r="K1707" t="str">
        <f>IFERROR(VLOOKUP(VALUE(J1707),'Site Info'!$A:$G,3,FALSE),"")</f>
        <v>304 SHEEP DAVIS RD</v>
      </c>
      <c r="L1707" t="str">
        <f>IFERROR(VLOOKUP(VALUE(J1707),'Site Info'!$A:$G,4,FALSE),"")</f>
        <v>CONCORD</v>
      </c>
      <c r="M1707" t="str">
        <f>IFERROR(VLOOKUP(VALUE(J1707),'Site Info'!$A:$G,5,FALSE),"")</f>
        <v>NH</v>
      </c>
      <c r="N1707" t="str">
        <f>IFERROR(VLOOKUP(VALUE(J1707),'Site Info'!$A:$G,6,FALSE),"")</f>
        <v>03301-5736</v>
      </c>
      <c r="O1707">
        <f>IFERROR(VLOOKUP(VALUE(J1707),'Site Info'!$A:$G,7,FALSE),"")</f>
        <v>6032261255</v>
      </c>
    </row>
    <row r="1708" spans="1:15" x14ac:dyDescent="0.45">
      <c r="A1708" t="s">
        <v>1440</v>
      </c>
      <c r="B1708" t="s">
        <v>1441</v>
      </c>
      <c r="C1708" t="s">
        <v>1442</v>
      </c>
      <c r="D1708" t="s">
        <v>1443</v>
      </c>
      <c r="E1708" s="1">
        <v>46153.171516203707</v>
      </c>
      <c r="F1708">
        <v>1481</v>
      </c>
      <c r="G1708" t="s">
        <v>1444</v>
      </c>
      <c r="H1708" t="s">
        <v>15</v>
      </c>
      <c r="I1708" t="s">
        <v>1445</v>
      </c>
      <c r="J1708" t="str">
        <f>RIGHT(D1708,4)</f>
        <v>6386</v>
      </c>
      <c r="K1708" t="str">
        <f>IFERROR(VLOOKUP(VALUE(J1708),'Site Info'!$A:$G,3,FALSE),"")</f>
        <v>304 SHEEP DAVIS RD</v>
      </c>
      <c r="L1708" t="str">
        <f>IFERROR(VLOOKUP(VALUE(J1708),'Site Info'!$A:$G,4,FALSE),"")</f>
        <v>CONCORD</v>
      </c>
      <c r="M1708" t="str">
        <f>IFERROR(VLOOKUP(VALUE(J1708),'Site Info'!$A:$G,5,FALSE),"")</f>
        <v>NH</v>
      </c>
      <c r="N1708" t="str">
        <f>IFERROR(VLOOKUP(VALUE(J1708),'Site Info'!$A:$G,6,FALSE),"")</f>
        <v>03301-5736</v>
      </c>
      <c r="O1708">
        <f>IFERROR(VLOOKUP(VALUE(J1708),'Site Info'!$A:$G,7,FALSE),"")</f>
        <v>6032261255</v>
      </c>
    </row>
    <row r="1709" spans="1:15" x14ac:dyDescent="0.45">
      <c r="A1709" t="s">
        <v>13243</v>
      </c>
      <c r="B1709" t="s">
        <v>13244</v>
      </c>
      <c r="C1709" t="s">
        <v>13245</v>
      </c>
      <c r="D1709" t="s">
        <v>2954</v>
      </c>
      <c r="E1709" s="1">
        <v>46152.666678240741</v>
      </c>
      <c r="F1709">
        <v>1547</v>
      </c>
      <c r="G1709" t="s">
        <v>13246</v>
      </c>
      <c r="H1709" t="s">
        <v>15</v>
      </c>
      <c r="I1709" t="s">
        <v>2956</v>
      </c>
      <c r="J1709" t="str">
        <f>RIGHT(D1709,4)</f>
        <v>6568</v>
      </c>
      <c r="K1709" t="str">
        <f>IFERROR(VLOOKUP(VALUE(J1709),'Site Info'!$A:$G,3,FALSE),"")</f>
        <v>305 AIRPORT RD</v>
      </c>
      <c r="L1709" t="str">
        <f>IFERROR(VLOOKUP(VALUE(J1709),'Site Info'!$A:$G,4,FALSE),"")</f>
        <v>AMES</v>
      </c>
      <c r="M1709" t="str">
        <f>IFERROR(VLOOKUP(VALUE(J1709),'Site Info'!$A:$G,5,FALSE),"")</f>
        <v>IA</v>
      </c>
      <c r="N1709" t="str">
        <f>IFERROR(VLOOKUP(VALUE(J1709),'Site Info'!$A:$G,6,FALSE),"")</f>
        <v>50010-8205</v>
      </c>
      <c r="O1709">
        <f>IFERROR(VLOOKUP(VALUE(J1709),'Site Info'!$A:$G,7,FALSE),"")</f>
        <v>5152339750</v>
      </c>
    </row>
    <row r="1710" spans="1:15" x14ac:dyDescent="0.45">
      <c r="A1710" t="s">
        <v>12974</v>
      </c>
      <c r="B1710" t="s">
        <v>12975</v>
      </c>
      <c r="C1710" t="s">
        <v>12976</v>
      </c>
      <c r="D1710" t="s">
        <v>2954</v>
      </c>
      <c r="E1710" s="1">
        <v>46153.161273148151</v>
      </c>
      <c r="F1710">
        <v>1547</v>
      </c>
      <c r="G1710" t="s">
        <v>12977</v>
      </c>
      <c r="H1710" t="s">
        <v>15</v>
      </c>
      <c r="I1710" t="s">
        <v>2956</v>
      </c>
      <c r="J1710" t="str">
        <f>RIGHT(D1710,4)</f>
        <v>6568</v>
      </c>
      <c r="K1710" t="str">
        <f>IFERROR(VLOOKUP(VALUE(J1710),'Site Info'!$A:$G,3,FALSE),"")</f>
        <v>305 AIRPORT RD</v>
      </c>
      <c r="L1710" t="str">
        <f>IFERROR(VLOOKUP(VALUE(J1710),'Site Info'!$A:$G,4,FALSE),"")</f>
        <v>AMES</v>
      </c>
      <c r="M1710" t="str">
        <f>IFERROR(VLOOKUP(VALUE(J1710),'Site Info'!$A:$G,5,FALSE),"")</f>
        <v>IA</v>
      </c>
      <c r="N1710" t="str">
        <f>IFERROR(VLOOKUP(VALUE(J1710),'Site Info'!$A:$G,6,FALSE),"")</f>
        <v>50010-8205</v>
      </c>
      <c r="O1710">
        <f>IFERROR(VLOOKUP(VALUE(J1710),'Site Info'!$A:$G,7,FALSE),"")</f>
        <v>5152339750</v>
      </c>
    </row>
    <row r="1711" spans="1:15" x14ac:dyDescent="0.45">
      <c r="A1711" t="s">
        <v>11602</v>
      </c>
      <c r="B1711" t="s">
        <v>11603</v>
      </c>
      <c r="C1711" t="s">
        <v>11604</v>
      </c>
      <c r="D1711" t="s">
        <v>2954</v>
      </c>
      <c r="E1711" s="1">
        <v>46153.37</v>
      </c>
      <c r="F1711">
        <v>1547</v>
      </c>
      <c r="G1711" t="s">
        <v>11605</v>
      </c>
      <c r="H1711" t="s">
        <v>15</v>
      </c>
      <c r="I1711" t="s">
        <v>2956</v>
      </c>
      <c r="J1711" t="str">
        <f>RIGHT(D1711,4)</f>
        <v>6568</v>
      </c>
      <c r="K1711" t="str">
        <f>IFERROR(VLOOKUP(VALUE(J1711),'Site Info'!$A:$G,3,FALSE),"")</f>
        <v>305 AIRPORT RD</v>
      </c>
      <c r="L1711" t="str">
        <f>IFERROR(VLOOKUP(VALUE(J1711),'Site Info'!$A:$G,4,FALSE),"")</f>
        <v>AMES</v>
      </c>
      <c r="M1711" t="str">
        <f>IFERROR(VLOOKUP(VALUE(J1711),'Site Info'!$A:$G,5,FALSE),"")</f>
        <v>IA</v>
      </c>
      <c r="N1711" t="str">
        <f>IFERROR(VLOOKUP(VALUE(J1711),'Site Info'!$A:$G,6,FALSE),"")</f>
        <v>50010-8205</v>
      </c>
      <c r="O1711">
        <f>IFERROR(VLOOKUP(VALUE(J1711),'Site Info'!$A:$G,7,FALSE),"")</f>
        <v>5152339750</v>
      </c>
    </row>
    <row r="1712" spans="1:15" x14ac:dyDescent="0.45">
      <c r="A1712" t="s">
        <v>2951</v>
      </c>
      <c r="B1712" t="s">
        <v>2952</v>
      </c>
      <c r="C1712" t="s">
        <v>2953</v>
      </c>
      <c r="D1712" t="s">
        <v>2954</v>
      </c>
      <c r="E1712" s="1">
        <v>46119.211527777778</v>
      </c>
      <c r="F1712">
        <v>1481</v>
      </c>
      <c r="G1712" t="s">
        <v>2955</v>
      </c>
      <c r="H1712" t="s">
        <v>15</v>
      </c>
      <c r="I1712" t="s">
        <v>2956</v>
      </c>
      <c r="J1712" t="str">
        <f>RIGHT(D1712,4)</f>
        <v>6568</v>
      </c>
      <c r="K1712" t="str">
        <f>IFERROR(VLOOKUP(VALUE(J1712),'Site Info'!$A:$G,3,FALSE),"")</f>
        <v>305 AIRPORT RD</v>
      </c>
      <c r="L1712" t="str">
        <f>IFERROR(VLOOKUP(VALUE(J1712),'Site Info'!$A:$G,4,FALSE),"")</f>
        <v>AMES</v>
      </c>
      <c r="M1712" t="str">
        <f>IFERROR(VLOOKUP(VALUE(J1712),'Site Info'!$A:$G,5,FALSE),"")</f>
        <v>IA</v>
      </c>
      <c r="N1712" t="str">
        <f>IFERROR(VLOOKUP(VALUE(J1712),'Site Info'!$A:$G,6,FALSE),"")</f>
        <v>50010-8205</v>
      </c>
      <c r="O1712">
        <f>IFERROR(VLOOKUP(VALUE(J1712),'Site Info'!$A:$G,7,FALSE),"")</f>
        <v>5152339750</v>
      </c>
    </row>
    <row r="1713" spans="1:15" x14ac:dyDescent="0.45">
      <c r="A1713" t="s">
        <v>11780</v>
      </c>
      <c r="B1713" t="s">
        <v>11781</v>
      </c>
      <c r="C1713" t="s">
        <v>11782</v>
      </c>
      <c r="D1713" t="s">
        <v>3638</v>
      </c>
      <c r="E1713" s="1">
        <v>46151.639062499999</v>
      </c>
      <c r="F1713">
        <v>1547</v>
      </c>
      <c r="G1713" t="s">
        <v>11783</v>
      </c>
      <c r="H1713" t="s">
        <v>15</v>
      </c>
      <c r="I1713" t="s">
        <v>3640</v>
      </c>
      <c r="J1713" t="str">
        <f>RIGHT(D1713,4)</f>
        <v>4724</v>
      </c>
      <c r="K1713" t="str">
        <f>IFERROR(VLOOKUP(VALUE(J1713),'Site Info'!$A:$G,3,FALSE),"")</f>
        <v>3053 JOHN HAWKINS PKWY</v>
      </c>
      <c r="L1713" t="str">
        <f>IFERROR(VLOOKUP(VALUE(J1713),'Site Info'!$A:$G,4,FALSE),"")</f>
        <v>HOOVER</v>
      </c>
      <c r="M1713" t="str">
        <f>IFERROR(VLOOKUP(VALUE(J1713),'Site Info'!$A:$G,5,FALSE),"")</f>
        <v>AL</v>
      </c>
      <c r="N1713" t="str">
        <f>IFERROR(VLOOKUP(VALUE(J1713),'Site Info'!$A:$G,6,FALSE),"")</f>
        <v>35244-1028</v>
      </c>
      <c r="O1713">
        <f>IFERROR(VLOOKUP(VALUE(J1713),'Site Info'!$A:$G,7,FALSE),"")</f>
        <v>2059820596</v>
      </c>
    </row>
    <row r="1714" spans="1:15" x14ac:dyDescent="0.45">
      <c r="A1714" t="s">
        <v>11770</v>
      </c>
      <c r="B1714" t="s">
        <v>11771</v>
      </c>
      <c r="C1714" t="s">
        <v>11772</v>
      </c>
      <c r="D1714" t="s">
        <v>3638</v>
      </c>
      <c r="E1714" s="1">
        <v>46152.051550925928</v>
      </c>
      <c r="F1714">
        <v>1547</v>
      </c>
      <c r="G1714" t="s">
        <v>11773</v>
      </c>
      <c r="H1714" t="s">
        <v>15</v>
      </c>
      <c r="I1714" t="s">
        <v>3640</v>
      </c>
      <c r="J1714" t="str">
        <f>RIGHT(D1714,4)</f>
        <v>4724</v>
      </c>
      <c r="K1714" t="str">
        <f>IFERROR(VLOOKUP(VALUE(J1714),'Site Info'!$A:$G,3,FALSE),"")</f>
        <v>3053 JOHN HAWKINS PKWY</v>
      </c>
      <c r="L1714" t="str">
        <f>IFERROR(VLOOKUP(VALUE(J1714),'Site Info'!$A:$G,4,FALSE),"")</f>
        <v>HOOVER</v>
      </c>
      <c r="M1714" t="str">
        <f>IFERROR(VLOOKUP(VALUE(J1714),'Site Info'!$A:$G,5,FALSE),"")</f>
        <v>AL</v>
      </c>
      <c r="N1714" t="str">
        <f>IFERROR(VLOOKUP(VALUE(J1714),'Site Info'!$A:$G,6,FALSE),"")</f>
        <v>35244-1028</v>
      </c>
      <c r="O1714">
        <f>IFERROR(VLOOKUP(VALUE(J1714),'Site Info'!$A:$G,7,FALSE),"")</f>
        <v>2059820596</v>
      </c>
    </row>
    <row r="1715" spans="1:15" x14ac:dyDescent="0.45">
      <c r="A1715" t="s">
        <v>13127</v>
      </c>
      <c r="B1715" t="s">
        <v>13128</v>
      </c>
      <c r="C1715" t="s">
        <v>13129</v>
      </c>
      <c r="D1715" t="s">
        <v>3638</v>
      </c>
      <c r="E1715" s="1">
        <v>46152.592916666668</v>
      </c>
      <c r="F1715">
        <v>1547</v>
      </c>
      <c r="G1715" t="s">
        <v>13130</v>
      </c>
      <c r="H1715" t="s">
        <v>15</v>
      </c>
      <c r="I1715" t="s">
        <v>3640</v>
      </c>
      <c r="J1715" t="str">
        <f>RIGHT(D1715,4)</f>
        <v>4724</v>
      </c>
      <c r="K1715" t="str">
        <f>IFERROR(VLOOKUP(VALUE(J1715),'Site Info'!$A:$G,3,FALSE),"")</f>
        <v>3053 JOHN HAWKINS PKWY</v>
      </c>
      <c r="L1715" t="str">
        <f>IFERROR(VLOOKUP(VALUE(J1715),'Site Info'!$A:$G,4,FALSE),"")</f>
        <v>HOOVER</v>
      </c>
      <c r="M1715" t="str">
        <f>IFERROR(VLOOKUP(VALUE(J1715),'Site Info'!$A:$G,5,FALSE),"")</f>
        <v>AL</v>
      </c>
      <c r="N1715" t="str">
        <f>IFERROR(VLOOKUP(VALUE(J1715),'Site Info'!$A:$G,6,FALSE),"")</f>
        <v>35244-1028</v>
      </c>
      <c r="O1715">
        <f>IFERROR(VLOOKUP(VALUE(J1715),'Site Info'!$A:$G,7,FALSE),"")</f>
        <v>2059820596</v>
      </c>
    </row>
    <row r="1716" spans="1:15" x14ac:dyDescent="0.45">
      <c r="A1716" t="s">
        <v>13351</v>
      </c>
      <c r="B1716" t="s">
        <v>13352</v>
      </c>
      <c r="C1716" t="s">
        <v>13353</v>
      </c>
      <c r="D1716" t="s">
        <v>3638</v>
      </c>
      <c r="E1716" s="1">
        <v>46153.209143518521</v>
      </c>
      <c r="F1716">
        <v>1547</v>
      </c>
      <c r="G1716" t="s">
        <v>13354</v>
      </c>
      <c r="H1716" t="s">
        <v>15</v>
      </c>
      <c r="I1716" t="s">
        <v>3640</v>
      </c>
      <c r="J1716" t="str">
        <f>RIGHT(D1716,4)</f>
        <v>4724</v>
      </c>
      <c r="K1716" t="str">
        <f>IFERROR(VLOOKUP(VALUE(J1716),'Site Info'!$A:$G,3,FALSE),"")</f>
        <v>3053 JOHN HAWKINS PKWY</v>
      </c>
      <c r="L1716" t="str">
        <f>IFERROR(VLOOKUP(VALUE(J1716),'Site Info'!$A:$G,4,FALSE),"")</f>
        <v>HOOVER</v>
      </c>
      <c r="M1716" t="str">
        <f>IFERROR(VLOOKUP(VALUE(J1716),'Site Info'!$A:$G,5,FALSE),"")</f>
        <v>AL</v>
      </c>
      <c r="N1716" t="str">
        <f>IFERROR(VLOOKUP(VALUE(J1716),'Site Info'!$A:$G,6,FALSE),"")</f>
        <v>35244-1028</v>
      </c>
      <c r="O1716">
        <f>IFERROR(VLOOKUP(VALUE(J1716),'Site Info'!$A:$G,7,FALSE),"")</f>
        <v>2059820596</v>
      </c>
    </row>
    <row r="1717" spans="1:15" x14ac:dyDescent="0.45">
      <c r="A1717" t="s">
        <v>13090</v>
      </c>
      <c r="B1717" t="s">
        <v>13091</v>
      </c>
      <c r="C1717" t="s">
        <v>13092</v>
      </c>
      <c r="D1717" t="s">
        <v>3638</v>
      </c>
      <c r="E1717" s="1">
        <v>46153.362233796295</v>
      </c>
      <c r="F1717">
        <v>1547</v>
      </c>
      <c r="G1717" t="s">
        <v>13093</v>
      </c>
      <c r="H1717" t="s">
        <v>15</v>
      </c>
      <c r="I1717" t="s">
        <v>3640</v>
      </c>
      <c r="J1717" t="str">
        <f>RIGHT(D1717,4)</f>
        <v>4724</v>
      </c>
      <c r="K1717" t="str">
        <f>IFERROR(VLOOKUP(VALUE(J1717),'Site Info'!$A:$G,3,FALSE),"")</f>
        <v>3053 JOHN HAWKINS PKWY</v>
      </c>
      <c r="L1717" t="str">
        <f>IFERROR(VLOOKUP(VALUE(J1717),'Site Info'!$A:$G,4,FALSE),"")</f>
        <v>HOOVER</v>
      </c>
      <c r="M1717" t="str">
        <f>IFERROR(VLOOKUP(VALUE(J1717),'Site Info'!$A:$G,5,FALSE),"")</f>
        <v>AL</v>
      </c>
      <c r="N1717" t="str">
        <f>IFERROR(VLOOKUP(VALUE(J1717),'Site Info'!$A:$G,6,FALSE),"")</f>
        <v>35244-1028</v>
      </c>
      <c r="O1717">
        <f>IFERROR(VLOOKUP(VALUE(J1717),'Site Info'!$A:$G,7,FALSE),"")</f>
        <v>2059820596</v>
      </c>
    </row>
    <row r="1718" spans="1:15" x14ac:dyDescent="0.45">
      <c r="A1718" t="s">
        <v>3635</v>
      </c>
      <c r="B1718" t="s">
        <v>3636</v>
      </c>
      <c r="C1718" t="s">
        <v>3637</v>
      </c>
      <c r="D1718" t="s">
        <v>3638</v>
      </c>
      <c r="E1718" s="1">
        <v>46153.322731481479</v>
      </c>
      <c r="F1718">
        <v>1481</v>
      </c>
      <c r="G1718" t="s">
        <v>3639</v>
      </c>
      <c r="H1718" t="s">
        <v>15</v>
      </c>
      <c r="I1718" t="s">
        <v>3640</v>
      </c>
      <c r="J1718" t="str">
        <f>RIGHT(D1718,4)</f>
        <v>4724</v>
      </c>
      <c r="K1718" t="str">
        <f>IFERROR(VLOOKUP(VALUE(J1718),'Site Info'!$A:$G,3,FALSE),"")</f>
        <v>3053 JOHN HAWKINS PKWY</v>
      </c>
      <c r="L1718" t="str">
        <f>IFERROR(VLOOKUP(VALUE(J1718),'Site Info'!$A:$G,4,FALSE),"")</f>
        <v>HOOVER</v>
      </c>
      <c r="M1718" t="str">
        <f>IFERROR(VLOOKUP(VALUE(J1718),'Site Info'!$A:$G,5,FALSE),"")</f>
        <v>AL</v>
      </c>
      <c r="N1718" t="str">
        <f>IFERROR(VLOOKUP(VALUE(J1718),'Site Info'!$A:$G,6,FALSE),"")</f>
        <v>35244-1028</v>
      </c>
      <c r="O1718">
        <f>IFERROR(VLOOKUP(VALUE(J1718),'Site Info'!$A:$G,7,FALSE),"")</f>
        <v>2059820596</v>
      </c>
    </row>
    <row r="1719" spans="1:15" x14ac:dyDescent="0.45">
      <c r="A1719" t="s">
        <v>7174</v>
      </c>
      <c r="B1719" t="s">
        <v>7175</v>
      </c>
      <c r="C1719" t="s">
        <v>7176</v>
      </c>
      <c r="D1719" t="s">
        <v>271</v>
      </c>
      <c r="E1719" s="1">
        <v>46152.210497685184</v>
      </c>
      <c r="F1719">
        <v>1547</v>
      </c>
      <c r="G1719" t="s">
        <v>7177</v>
      </c>
      <c r="H1719" t="s">
        <v>15</v>
      </c>
      <c r="I1719" t="s">
        <v>272</v>
      </c>
      <c r="J1719" t="str">
        <f>RIGHT(D1719,4)</f>
        <v>4875</v>
      </c>
      <c r="K1719" t="str">
        <f>IFERROR(VLOOKUP(VALUE(J1719),'Site Info'!$A:$G,3,FALSE),"")</f>
        <v>3055 BEAR CREEK DR</v>
      </c>
      <c r="L1719" t="str">
        <f>IFERROR(VLOOKUP(VALUE(J1719),'Site Info'!$A:$G,4,FALSE),"")</f>
        <v>WENTZVILLE</v>
      </c>
      <c r="M1719" t="str">
        <f>IFERROR(VLOOKUP(VALUE(J1719),'Site Info'!$A:$G,5,FALSE),"")</f>
        <v>MO</v>
      </c>
      <c r="N1719" t="str">
        <f>IFERROR(VLOOKUP(VALUE(J1719),'Site Info'!$A:$G,6,FALSE),"")</f>
        <v>63385-3502</v>
      </c>
      <c r="O1719">
        <f>IFERROR(VLOOKUP(VALUE(J1719),'Site Info'!$A:$G,7,FALSE),"")</f>
        <v>6366989774</v>
      </c>
    </row>
    <row r="1720" spans="1:15" x14ac:dyDescent="0.45">
      <c r="A1720" t="s">
        <v>8073</v>
      </c>
      <c r="B1720" t="s">
        <v>8074</v>
      </c>
      <c r="C1720" t="s">
        <v>8075</v>
      </c>
      <c r="D1720" t="s">
        <v>271</v>
      </c>
      <c r="E1720" s="1">
        <v>46152.500671296293</v>
      </c>
      <c r="F1720">
        <v>1547</v>
      </c>
      <c r="G1720" t="s">
        <v>8076</v>
      </c>
      <c r="H1720" t="s">
        <v>15</v>
      </c>
      <c r="I1720" t="s">
        <v>272</v>
      </c>
      <c r="J1720" t="str">
        <f>RIGHT(D1720,4)</f>
        <v>4875</v>
      </c>
      <c r="K1720" t="str">
        <f>IFERROR(VLOOKUP(VALUE(J1720),'Site Info'!$A:$G,3,FALSE),"")</f>
        <v>3055 BEAR CREEK DR</v>
      </c>
      <c r="L1720" t="str">
        <f>IFERROR(VLOOKUP(VALUE(J1720),'Site Info'!$A:$G,4,FALSE),"")</f>
        <v>WENTZVILLE</v>
      </c>
      <c r="M1720" t="str">
        <f>IFERROR(VLOOKUP(VALUE(J1720),'Site Info'!$A:$G,5,FALSE),"")</f>
        <v>MO</v>
      </c>
      <c r="N1720" t="str">
        <f>IFERROR(VLOOKUP(VALUE(J1720),'Site Info'!$A:$G,6,FALSE),"")</f>
        <v>63385-3502</v>
      </c>
      <c r="O1720">
        <f>IFERROR(VLOOKUP(VALUE(J1720),'Site Info'!$A:$G,7,FALSE),"")</f>
        <v>6366989774</v>
      </c>
    </row>
    <row r="1721" spans="1:15" x14ac:dyDescent="0.45">
      <c r="A1721" t="s">
        <v>8921</v>
      </c>
      <c r="B1721" t="s">
        <v>8922</v>
      </c>
      <c r="C1721" t="s">
        <v>8923</v>
      </c>
      <c r="D1721" t="s">
        <v>271</v>
      </c>
      <c r="E1721" s="1">
        <v>46152.718819444446</v>
      </c>
      <c r="F1721">
        <v>1547</v>
      </c>
      <c r="G1721" t="s">
        <v>8924</v>
      </c>
      <c r="H1721" t="s">
        <v>15</v>
      </c>
      <c r="I1721" t="s">
        <v>272</v>
      </c>
      <c r="J1721" t="str">
        <f>RIGHT(D1721,4)</f>
        <v>4875</v>
      </c>
      <c r="K1721" t="str">
        <f>IFERROR(VLOOKUP(VALUE(J1721),'Site Info'!$A:$G,3,FALSE),"")</f>
        <v>3055 BEAR CREEK DR</v>
      </c>
      <c r="L1721" t="str">
        <f>IFERROR(VLOOKUP(VALUE(J1721),'Site Info'!$A:$G,4,FALSE),"")</f>
        <v>WENTZVILLE</v>
      </c>
      <c r="M1721" t="str">
        <f>IFERROR(VLOOKUP(VALUE(J1721),'Site Info'!$A:$G,5,FALSE),"")</f>
        <v>MO</v>
      </c>
      <c r="N1721" t="str">
        <f>IFERROR(VLOOKUP(VALUE(J1721),'Site Info'!$A:$G,6,FALSE),"")</f>
        <v>63385-3502</v>
      </c>
      <c r="O1721">
        <f>IFERROR(VLOOKUP(VALUE(J1721),'Site Info'!$A:$G,7,FALSE),"")</f>
        <v>6366989774</v>
      </c>
    </row>
    <row r="1722" spans="1:15" x14ac:dyDescent="0.45">
      <c r="A1722" t="s">
        <v>8821</v>
      </c>
      <c r="B1722" t="s">
        <v>8822</v>
      </c>
      <c r="C1722" t="s">
        <v>8823</v>
      </c>
      <c r="D1722" t="s">
        <v>271</v>
      </c>
      <c r="E1722" s="1">
        <v>46152.954756944448</v>
      </c>
      <c r="F1722">
        <v>1547</v>
      </c>
      <c r="G1722" t="s">
        <v>8824</v>
      </c>
      <c r="H1722" t="s">
        <v>15</v>
      </c>
      <c r="I1722" t="s">
        <v>272</v>
      </c>
      <c r="J1722" t="str">
        <f>RIGHT(D1722,4)</f>
        <v>4875</v>
      </c>
      <c r="K1722" t="str">
        <f>IFERROR(VLOOKUP(VALUE(J1722),'Site Info'!$A:$G,3,FALSE),"")</f>
        <v>3055 BEAR CREEK DR</v>
      </c>
      <c r="L1722" t="str">
        <f>IFERROR(VLOOKUP(VALUE(J1722),'Site Info'!$A:$G,4,FALSE),"")</f>
        <v>WENTZVILLE</v>
      </c>
      <c r="M1722" t="str">
        <f>IFERROR(VLOOKUP(VALUE(J1722),'Site Info'!$A:$G,5,FALSE),"")</f>
        <v>MO</v>
      </c>
      <c r="N1722" t="str">
        <f>IFERROR(VLOOKUP(VALUE(J1722),'Site Info'!$A:$G,6,FALSE),"")</f>
        <v>63385-3502</v>
      </c>
      <c r="O1722">
        <f>IFERROR(VLOOKUP(VALUE(J1722),'Site Info'!$A:$G,7,FALSE),"")</f>
        <v>6366989774</v>
      </c>
    </row>
    <row r="1723" spans="1:15" x14ac:dyDescent="0.45">
      <c r="A1723" t="s">
        <v>8305</v>
      </c>
      <c r="B1723" t="s">
        <v>8306</v>
      </c>
      <c r="C1723" t="s">
        <v>8307</v>
      </c>
      <c r="D1723" t="s">
        <v>271</v>
      </c>
      <c r="E1723" s="1">
        <v>46153.207002314812</v>
      </c>
      <c r="F1723">
        <v>1547</v>
      </c>
      <c r="G1723" t="s">
        <v>8308</v>
      </c>
      <c r="H1723" t="s">
        <v>15</v>
      </c>
      <c r="I1723" t="s">
        <v>272</v>
      </c>
      <c r="J1723" t="str">
        <f>RIGHT(D1723,4)</f>
        <v>4875</v>
      </c>
      <c r="K1723" t="str">
        <f>IFERROR(VLOOKUP(VALUE(J1723),'Site Info'!$A:$G,3,FALSE),"")</f>
        <v>3055 BEAR CREEK DR</v>
      </c>
      <c r="L1723" t="str">
        <f>IFERROR(VLOOKUP(VALUE(J1723),'Site Info'!$A:$G,4,FALSE),"")</f>
        <v>WENTZVILLE</v>
      </c>
      <c r="M1723" t="str">
        <f>IFERROR(VLOOKUP(VALUE(J1723),'Site Info'!$A:$G,5,FALSE),"")</f>
        <v>MO</v>
      </c>
      <c r="N1723" t="str">
        <f>IFERROR(VLOOKUP(VALUE(J1723),'Site Info'!$A:$G,6,FALSE),"")</f>
        <v>63385-3502</v>
      </c>
      <c r="O1723">
        <f>IFERROR(VLOOKUP(VALUE(J1723),'Site Info'!$A:$G,7,FALSE),"")</f>
        <v>6366989774</v>
      </c>
    </row>
    <row r="1724" spans="1:15" x14ac:dyDescent="0.45">
      <c r="A1724" t="s">
        <v>8385</v>
      </c>
      <c r="B1724" t="s">
        <v>8386</v>
      </c>
      <c r="C1724" t="s">
        <v>8387</v>
      </c>
      <c r="D1724" t="s">
        <v>271</v>
      </c>
      <c r="E1724" s="1">
        <v>46153.337939814817</v>
      </c>
      <c r="F1724">
        <v>1547</v>
      </c>
      <c r="G1724" t="s">
        <v>8388</v>
      </c>
      <c r="H1724" t="s">
        <v>15</v>
      </c>
      <c r="I1724" t="s">
        <v>272</v>
      </c>
      <c r="J1724" t="str">
        <f>RIGHT(D1724,4)</f>
        <v>4875</v>
      </c>
      <c r="K1724" t="str">
        <f>IFERROR(VLOOKUP(VALUE(J1724),'Site Info'!$A:$G,3,FALSE),"")</f>
        <v>3055 BEAR CREEK DR</v>
      </c>
      <c r="L1724" t="str">
        <f>IFERROR(VLOOKUP(VALUE(J1724),'Site Info'!$A:$G,4,FALSE),"")</f>
        <v>WENTZVILLE</v>
      </c>
      <c r="M1724" t="str">
        <f>IFERROR(VLOOKUP(VALUE(J1724),'Site Info'!$A:$G,5,FALSE),"")</f>
        <v>MO</v>
      </c>
      <c r="N1724" t="str">
        <f>IFERROR(VLOOKUP(VALUE(J1724),'Site Info'!$A:$G,6,FALSE),"")</f>
        <v>63385-3502</v>
      </c>
      <c r="O1724">
        <f>IFERROR(VLOOKUP(VALUE(J1724),'Site Info'!$A:$G,7,FALSE),"")</f>
        <v>6366989774</v>
      </c>
    </row>
    <row r="1725" spans="1:15" x14ac:dyDescent="0.45">
      <c r="A1725" t="s">
        <v>2639</v>
      </c>
      <c r="B1725" t="s">
        <v>2640</v>
      </c>
      <c r="C1725" t="s">
        <v>2641</v>
      </c>
      <c r="D1725" t="s">
        <v>271</v>
      </c>
      <c r="E1725" s="1">
        <v>46152.688171296293</v>
      </c>
      <c r="F1725">
        <v>1481</v>
      </c>
      <c r="G1725" t="s">
        <v>2642</v>
      </c>
      <c r="H1725" t="s">
        <v>15</v>
      </c>
      <c r="I1725" t="s">
        <v>272</v>
      </c>
      <c r="J1725" t="str">
        <f>RIGHT(D1725,4)</f>
        <v>4875</v>
      </c>
      <c r="K1725" t="str">
        <f>IFERROR(VLOOKUP(VALUE(J1725),'Site Info'!$A:$G,3,FALSE),"")</f>
        <v>3055 BEAR CREEK DR</v>
      </c>
      <c r="L1725" t="str">
        <f>IFERROR(VLOOKUP(VALUE(J1725),'Site Info'!$A:$G,4,FALSE),"")</f>
        <v>WENTZVILLE</v>
      </c>
      <c r="M1725" t="str">
        <f>IFERROR(VLOOKUP(VALUE(J1725),'Site Info'!$A:$G,5,FALSE),"")</f>
        <v>MO</v>
      </c>
      <c r="N1725" t="str">
        <f>IFERROR(VLOOKUP(VALUE(J1725),'Site Info'!$A:$G,6,FALSE),"")</f>
        <v>63385-3502</v>
      </c>
      <c r="O1725">
        <f>IFERROR(VLOOKUP(VALUE(J1725),'Site Info'!$A:$G,7,FALSE),"")</f>
        <v>6366989774</v>
      </c>
    </row>
    <row r="1726" spans="1:15" x14ac:dyDescent="0.45">
      <c r="A1726" t="s">
        <v>11912</v>
      </c>
      <c r="B1726" t="s">
        <v>11913</v>
      </c>
      <c r="C1726" t="s">
        <v>11914</v>
      </c>
      <c r="D1726" t="s">
        <v>2836</v>
      </c>
      <c r="E1726" s="1">
        <v>46153.273796296293</v>
      </c>
      <c r="F1726">
        <v>1547</v>
      </c>
      <c r="G1726" t="s">
        <v>11915</v>
      </c>
      <c r="H1726" t="s">
        <v>15</v>
      </c>
      <c r="I1726" t="s">
        <v>2838</v>
      </c>
      <c r="J1726" t="str">
        <f>RIGHT(D1726,4)</f>
        <v>8222</v>
      </c>
      <c r="K1726" t="str">
        <f>IFERROR(VLOOKUP(VALUE(J1726),'Site Info'!$A:$G,3,FALSE),"")</f>
        <v>3060 FRANKLIN TERRACE DR</v>
      </c>
      <c r="L1726" t="str">
        <f>IFERROR(VLOOKUP(VALUE(J1726),'Site Info'!$A:$G,4,FALSE),"")</f>
        <v>JOHNSON CITY</v>
      </c>
      <c r="M1726" t="str">
        <f>IFERROR(VLOOKUP(VALUE(J1726),'Site Info'!$A:$G,5,FALSE),"")</f>
        <v>TN</v>
      </c>
      <c r="N1726" t="str">
        <f>IFERROR(VLOOKUP(VALUE(J1726),'Site Info'!$A:$G,6,FALSE),"")</f>
        <v>37604-4123</v>
      </c>
      <c r="O1726">
        <f>IFERROR(VLOOKUP(VALUE(J1726),'Site Info'!$A:$G,7,FALSE),"")</f>
        <v>4232822303</v>
      </c>
    </row>
    <row r="1727" spans="1:15" x14ac:dyDescent="0.45">
      <c r="A1727" t="s">
        <v>10036</v>
      </c>
      <c r="B1727" t="s">
        <v>10037</v>
      </c>
      <c r="C1727" t="s">
        <v>10038</v>
      </c>
      <c r="D1727" t="s">
        <v>2836</v>
      </c>
      <c r="E1727" s="1">
        <v>46153.323125000003</v>
      </c>
      <c r="F1727">
        <v>1547</v>
      </c>
      <c r="G1727" t="s">
        <v>10039</v>
      </c>
      <c r="H1727" t="s">
        <v>15</v>
      </c>
      <c r="I1727" t="s">
        <v>2838</v>
      </c>
      <c r="J1727" t="str">
        <f>RIGHT(D1727,4)</f>
        <v>8222</v>
      </c>
      <c r="K1727" t="str">
        <f>IFERROR(VLOOKUP(VALUE(J1727),'Site Info'!$A:$G,3,FALSE),"")</f>
        <v>3060 FRANKLIN TERRACE DR</v>
      </c>
      <c r="L1727" t="str">
        <f>IFERROR(VLOOKUP(VALUE(J1727),'Site Info'!$A:$G,4,FALSE),"")</f>
        <v>JOHNSON CITY</v>
      </c>
      <c r="M1727" t="str">
        <f>IFERROR(VLOOKUP(VALUE(J1727),'Site Info'!$A:$G,5,FALSE),"")</f>
        <v>TN</v>
      </c>
      <c r="N1727" t="str">
        <f>IFERROR(VLOOKUP(VALUE(J1727),'Site Info'!$A:$G,6,FALSE),"")</f>
        <v>37604-4123</v>
      </c>
      <c r="O1727">
        <f>IFERROR(VLOOKUP(VALUE(J1727),'Site Info'!$A:$G,7,FALSE),"")</f>
        <v>4232822303</v>
      </c>
    </row>
    <row r="1728" spans="1:15" x14ac:dyDescent="0.45">
      <c r="A1728" t="s">
        <v>9681</v>
      </c>
      <c r="B1728" t="s">
        <v>9682</v>
      </c>
      <c r="C1728" t="s">
        <v>9683</v>
      </c>
      <c r="D1728" t="s">
        <v>2836</v>
      </c>
      <c r="E1728" s="1">
        <v>46153.338217592594</v>
      </c>
      <c r="F1728">
        <v>1547</v>
      </c>
      <c r="G1728" t="s">
        <v>9684</v>
      </c>
      <c r="H1728" t="s">
        <v>15</v>
      </c>
      <c r="I1728" t="s">
        <v>2838</v>
      </c>
      <c r="J1728" t="str">
        <f>RIGHT(D1728,4)</f>
        <v>8222</v>
      </c>
      <c r="K1728" t="str">
        <f>IFERROR(VLOOKUP(VALUE(J1728),'Site Info'!$A:$G,3,FALSE),"")</f>
        <v>3060 FRANKLIN TERRACE DR</v>
      </c>
      <c r="L1728" t="str">
        <f>IFERROR(VLOOKUP(VALUE(J1728),'Site Info'!$A:$G,4,FALSE),"")</f>
        <v>JOHNSON CITY</v>
      </c>
      <c r="M1728" t="str">
        <f>IFERROR(VLOOKUP(VALUE(J1728),'Site Info'!$A:$G,5,FALSE),"")</f>
        <v>TN</v>
      </c>
      <c r="N1728" t="str">
        <f>IFERROR(VLOOKUP(VALUE(J1728),'Site Info'!$A:$G,6,FALSE),"")</f>
        <v>37604-4123</v>
      </c>
      <c r="O1728">
        <f>IFERROR(VLOOKUP(VALUE(J1728),'Site Info'!$A:$G,7,FALSE),"")</f>
        <v>4232822303</v>
      </c>
    </row>
    <row r="1729" spans="1:15" x14ac:dyDescent="0.45">
      <c r="A1729" t="s">
        <v>13896</v>
      </c>
      <c r="B1729" t="s">
        <v>13897</v>
      </c>
      <c r="C1729" t="s">
        <v>13898</v>
      </c>
      <c r="D1729" t="s">
        <v>2836</v>
      </c>
      <c r="E1729" s="1">
        <v>46153.362337962964</v>
      </c>
      <c r="F1729">
        <v>1547</v>
      </c>
      <c r="G1729" t="s">
        <v>13899</v>
      </c>
      <c r="H1729" t="s">
        <v>15</v>
      </c>
      <c r="I1729" t="s">
        <v>2838</v>
      </c>
      <c r="J1729" t="str">
        <f>RIGHT(D1729,4)</f>
        <v>8222</v>
      </c>
      <c r="K1729" t="str">
        <f>IFERROR(VLOOKUP(VALUE(J1729),'Site Info'!$A:$G,3,FALSE),"")</f>
        <v>3060 FRANKLIN TERRACE DR</v>
      </c>
      <c r="L1729" t="str">
        <f>IFERROR(VLOOKUP(VALUE(J1729),'Site Info'!$A:$G,4,FALSE),"")</f>
        <v>JOHNSON CITY</v>
      </c>
      <c r="M1729" t="str">
        <f>IFERROR(VLOOKUP(VALUE(J1729),'Site Info'!$A:$G,5,FALSE),"")</f>
        <v>TN</v>
      </c>
      <c r="N1729" t="str">
        <f>IFERROR(VLOOKUP(VALUE(J1729),'Site Info'!$A:$G,6,FALSE),"")</f>
        <v>37604-4123</v>
      </c>
      <c r="O1729">
        <f>IFERROR(VLOOKUP(VALUE(J1729),'Site Info'!$A:$G,7,FALSE),"")</f>
        <v>4232822303</v>
      </c>
    </row>
    <row r="1730" spans="1:15" x14ac:dyDescent="0.45">
      <c r="A1730" t="s">
        <v>2833</v>
      </c>
      <c r="B1730" t="s">
        <v>2834</v>
      </c>
      <c r="C1730" t="s">
        <v>2835</v>
      </c>
      <c r="D1730" t="s">
        <v>2836</v>
      </c>
      <c r="E1730" s="1">
        <v>46153.256226851852</v>
      </c>
      <c r="F1730">
        <v>1481</v>
      </c>
      <c r="G1730" t="s">
        <v>2837</v>
      </c>
      <c r="H1730" t="s">
        <v>15</v>
      </c>
      <c r="I1730" t="s">
        <v>2838</v>
      </c>
      <c r="J1730" t="str">
        <f>RIGHT(D1730,4)</f>
        <v>8222</v>
      </c>
      <c r="K1730" t="str">
        <f>IFERROR(VLOOKUP(VALUE(J1730),'Site Info'!$A:$G,3,FALSE),"")</f>
        <v>3060 FRANKLIN TERRACE DR</v>
      </c>
      <c r="L1730" t="str">
        <f>IFERROR(VLOOKUP(VALUE(J1730),'Site Info'!$A:$G,4,FALSE),"")</f>
        <v>JOHNSON CITY</v>
      </c>
      <c r="M1730" t="str">
        <f>IFERROR(VLOOKUP(VALUE(J1730),'Site Info'!$A:$G,5,FALSE),"")</f>
        <v>TN</v>
      </c>
      <c r="N1730" t="str">
        <f>IFERROR(VLOOKUP(VALUE(J1730),'Site Info'!$A:$G,6,FALSE),"")</f>
        <v>37604-4123</v>
      </c>
      <c r="O1730">
        <f>IFERROR(VLOOKUP(VALUE(J1730),'Site Info'!$A:$G,7,FALSE),"")</f>
        <v>4232822303</v>
      </c>
    </row>
    <row r="1731" spans="1:15" x14ac:dyDescent="0.45">
      <c r="A1731" t="s">
        <v>17179</v>
      </c>
      <c r="B1731" t="s">
        <v>17180</v>
      </c>
      <c r="C1731" t="s">
        <v>17181</v>
      </c>
      <c r="D1731" t="s">
        <v>2836</v>
      </c>
      <c r="E1731" s="1">
        <v>46153.133460648147</v>
      </c>
      <c r="F1731">
        <v>1481</v>
      </c>
      <c r="G1731" t="s">
        <v>17182</v>
      </c>
      <c r="H1731" t="s">
        <v>15</v>
      </c>
      <c r="I1731" t="s">
        <v>2838</v>
      </c>
      <c r="J1731" t="str">
        <f>RIGHT(D1731,4)</f>
        <v>8222</v>
      </c>
      <c r="K1731" t="str">
        <f>IFERROR(VLOOKUP(VALUE(J1731),'Site Info'!$A:$G,3,FALSE),"")</f>
        <v>3060 FRANKLIN TERRACE DR</v>
      </c>
      <c r="L1731" t="str">
        <f>IFERROR(VLOOKUP(VALUE(J1731),'Site Info'!$A:$G,4,FALSE),"")</f>
        <v>JOHNSON CITY</v>
      </c>
      <c r="M1731" t="str">
        <f>IFERROR(VLOOKUP(VALUE(J1731),'Site Info'!$A:$G,5,FALSE),"")</f>
        <v>TN</v>
      </c>
      <c r="N1731" t="str">
        <f>IFERROR(VLOOKUP(VALUE(J1731),'Site Info'!$A:$G,6,FALSE),"")</f>
        <v>37604-4123</v>
      </c>
      <c r="O1731">
        <f>IFERROR(VLOOKUP(VALUE(J1731),'Site Info'!$A:$G,7,FALSE),"")</f>
        <v>4232822303</v>
      </c>
    </row>
    <row r="1732" spans="1:15" x14ac:dyDescent="0.45">
      <c r="A1732" t="s">
        <v>10616</v>
      </c>
      <c r="B1732" t="s">
        <v>10617</v>
      </c>
      <c r="C1732" t="s">
        <v>10618</v>
      </c>
      <c r="D1732" t="s">
        <v>331</v>
      </c>
      <c r="E1732" s="1">
        <v>46152.647766203707</v>
      </c>
      <c r="F1732">
        <v>1547</v>
      </c>
      <c r="G1732" t="s">
        <v>10619</v>
      </c>
      <c r="H1732" t="s">
        <v>15</v>
      </c>
      <c r="I1732" t="s">
        <v>333</v>
      </c>
      <c r="J1732" t="str">
        <f>RIGHT(D1732,4)</f>
        <v>6249</v>
      </c>
      <c r="K1732" t="str">
        <f>IFERROR(VLOOKUP(VALUE(J1732),'Site Info'!$A:$G,3,FALSE),"")</f>
        <v>3070 MALLORY LN</v>
      </c>
      <c r="L1732" t="str">
        <f>IFERROR(VLOOKUP(VALUE(J1732),'Site Info'!$A:$G,4,FALSE),"")</f>
        <v>FRANKLIN</v>
      </c>
      <c r="M1732" t="str">
        <f>IFERROR(VLOOKUP(VALUE(J1732),'Site Info'!$A:$G,5,FALSE),"")</f>
        <v>TN</v>
      </c>
      <c r="N1732" t="str">
        <f>IFERROR(VLOOKUP(VALUE(J1732),'Site Info'!$A:$G,6,FALSE),"")</f>
        <v>37067-8304</v>
      </c>
      <c r="O1732">
        <f>IFERROR(VLOOKUP(VALUE(J1732),'Site Info'!$A:$G,7,FALSE),"")</f>
        <v>6157781401</v>
      </c>
    </row>
    <row r="1733" spans="1:15" x14ac:dyDescent="0.45">
      <c r="A1733" t="s">
        <v>9525</v>
      </c>
      <c r="B1733" t="s">
        <v>9526</v>
      </c>
      <c r="C1733" t="s">
        <v>9527</v>
      </c>
      <c r="D1733" t="s">
        <v>331</v>
      </c>
      <c r="E1733" s="1">
        <v>46152.65353009259</v>
      </c>
      <c r="F1733">
        <v>1547</v>
      </c>
      <c r="G1733" t="s">
        <v>9528</v>
      </c>
      <c r="H1733" t="s">
        <v>15</v>
      </c>
      <c r="I1733" t="s">
        <v>333</v>
      </c>
      <c r="J1733" t="str">
        <f>RIGHT(D1733,4)</f>
        <v>6249</v>
      </c>
      <c r="K1733" t="str">
        <f>IFERROR(VLOOKUP(VALUE(J1733),'Site Info'!$A:$G,3,FALSE),"")</f>
        <v>3070 MALLORY LN</v>
      </c>
      <c r="L1733" t="str">
        <f>IFERROR(VLOOKUP(VALUE(J1733),'Site Info'!$A:$G,4,FALSE),"")</f>
        <v>FRANKLIN</v>
      </c>
      <c r="M1733" t="str">
        <f>IFERROR(VLOOKUP(VALUE(J1733),'Site Info'!$A:$G,5,FALSE),"")</f>
        <v>TN</v>
      </c>
      <c r="N1733" t="str">
        <f>IFERROR(VLOOKUP(VALUE(J1733),'Site Info'!$A:$G,6,FALSE),"")</f>
        <v>37067-8304</v>
      </c>
      <c r="O1733">
        <f>IFERROR(VLOOKUP(VALUE(J1733),'Site Info'!$A:$G,7,FALSE),"")</f>
        <v>6157781401</v>
      </c>
    </row>
    <row r="1734" spans="1:15" x14ac:dyDescent="0.45">
      <c r="A1734" t="s">
        <v>13199</v>
      </c>
      <c r="B1734" t="s">
        <v>13200</v>
      </c>
      <c r="C1734" t="s">
        <v>13201</v>
      </c>
      <c r="D1734" t="s">
        <v>331</v>
      </c>
      <c r="E1734" s="1">
        <v>46153.228680555556</v>
      </c>
      <c r="F1734">
        <v>1547</v>
      </c>
      <c r="G1734" t="s">
        <v>13202</v>
      </c>
      <c r="H1734" t="s">
        <v>15</v>
      </c>
      <c r="I1734" t="s">
        <v>333</v>
      </c>
      <c r="J1734" t="str">
        <f>RIGHT(D1734,4)</f>
        <v>6249</v>
      </c>
      <c r="K1734" t="str">
        <f>IFERROR(VLOOKUP(VALUE(J1734),'Site Info'!$A:$G,3,FALSE),"")</f>
        <v>3070 MALLORY LN</v>
      </c>
      <c r="L1734" t="str">
        <f>IFERROR(VLOOKUP(VALUE(J1734),'Site Info'!$A:$G,4,FALSE),"")</f>
        <v>FRANKLIN</v>
      </c>
      <c r="M1734" t="str">
        <f>IFERROR(VLOOKUP(VALUE(J1734),'Site Info'!$A:$G,5,FALSE),"")</f>
        <v>TN</v>
      </c>
      <c r="N1734" t="str">
        <f>IFERROR(VLOOKUP(VALUE(J1734),'Site Info'!$A:$G,6,FALSE),"")</f>
        <v>37067-8304</v>
      </c>
      <c r="O1734">
        <f>IFERROR(VLOOKUP(VALUE(J1734),'Site Info'!$A:$G,7,FALSE),"")</f>
        <v>6157781401</v>
      </c>
    </row>
    <row r="1735" spans="1:15" x14ac:dyDescent="0.45">
      <c r="A1735" t="s">
        <v>2467</v>
      </c>
      <c r="B1735" t="s">
        <v>2468</v>
      </c>
      <c r="C1735" t="s">
        <v>2469</v>
      </c>
      <c r="D1735" t="s">
        <v>331</v>
      </c>
      <c r="E1735" s="1">
        <v>46149.733124999999</v>
      </c>
      <c r="F1735">
        <v>1481</v>
      </c>
      <c r="G1735" t="s">
        <v>2470</v>
      </c>
      <c r="H1735" t="s">
        <v>15</v>
      </c>
      <c r="I1735" t="s">
        <v>333</v>
      </c>
      <c r="J1735" t="str">
        <f>RIGHT(D1735,4)</f>
        <v>6249</v>
      </c>
      <c r="K1735" t="str">
        <f>IFERROR(VLOOKUP(VALUE(J1735),'Site Info'!$A:$G,3,FALSE),"")</f>
        <v>3070 MALLORY LN</v>
      </c>
      <c r="L1735" t="str">
        <f>IFERROR(VLOOKUP(VALUE(J1735),'Site Info'!$A:$G,4,FALSE),"")</f>
        <v>FRANKLIN</v>
      </c>
      <c r="M1735" t="str">
        <f>IFERROR(VLOOKUP(VALUE(J1735),'Site Info'!$A:$G,5,FALSE),"")</f>
        <v>TN</v>
      </c>
      <c r="N1735" t="str">
        <f>IFERROR(VLOOKUP(VALUE(J1735),'Site Info'!$A:$G,6,FALSE),"")</f>
        <v>37067-8304</v>
      </c>
      <c r="O1735">
        <f>IFERROR(VLOOKUP(VALUE(J1735),'Site Info'!$A:$G,7,FALSE),"")</f>
        <v>6157781401</v>
      </c>
    </row>
    <row r="1736" spans="1:15" x14ac:dyDescent="0.45">
      <c r="A1736" t="s">
        <v>2289</v>
      </c>
      <c r="B1736" t="s">
        <v>2290</v>
      </c>
      <c r="C1736" t="s">
        <v>2291</v>
      </c>
      <c r="D1736" t="s">
        <v>331</v>
      </c>
      <c r="E1736" s="1">
        <v>46152.166817129626</v>
      </c>
      <c r="F1736">
        <v>1481</v>
      </c>
      <c r="G1736" t="s">
        <v>2292</v>
      </c>
      <c r="H1736" t="s">
        <v>15</v>
      </c>
      <c r="I1736" t="s">
        <v>333</v>
      </c>
      <c r="J1736" t="str">
        <f>RIGHT(D1736,4)</f>
        <v>6249</v>
      </c>
      <c r="K1736" t="str">
        <f>IFERROR(VLOOKUP(VALUE(J1736),'Site Info'!$A:$G,3,FALSE),"")</f>
        <v>3070 MALLORY LN</v>
      </c>
      <c r="L1736" t="str">
        <f>IFERROR(VLOOKUP(VALUE(J1736),'Site Info'!$A:$G,4,FALSE),"")</f>
        <v>FRANKLIN</v>
      </c>
      <c r="M1736" t="str">
        <f>IFERROR(VLOOKUP(VALUE(J1736),'Site Info'!$A:$G,5,FALSE),"")</f>
        <v>TN</v>
      </c>
      <c r="N1736" t="str">
        <f>IFERROR(VLOOKUP(VALUE(J1736),'Site Info'!$A:$G,6,FALSE),"")</f>
        <v>37067-8304</v>
      </c>
      <c r="O1736">
        <f>IFERROR(VLOOKUP(VALUE(J1736),'Site Info'!$A:$G,7,FALSE),"")</f>
        <v>6157781401</v>
      </c>
    </row>
    <row r="1737" spans="1:15" x14ac:dyDescent="0.45">
      <c r="A1737" t="s">
        <v>1358</v>
      </c>
      <c r="B1737" t="s">
        <v>1359</v>
      </c>
      <c r="C1737" t="s">
        <v>1360</v>
      </c>
      <c r="D1737" t="s">
        <v>331</v>
      </c>
      <c r="E1737" s="1">
        <v>46152.460775462961</v>
      </c>
      <c r="F1737">
        <v>1481</v>
      </c>
      <c r="G1737" t="s">
        <v>1361</v>
      </c>
      <c r="H1737" t="s">
        <v>15</v>
      </c>
      <c r="I1737" t="s">
        <v>333</v>
      </c>
      <c r="J1737" t="str">
        <f>RIGHT(D1737,4)</f>
        <v>6249</v>
      </c>
      <c r="K1737" t="str">
        <f>IFERROR(VLOOKUP(VALUE(J1737),'Site Info'!$A:$G,3,FALSE),"")</f>
        <v>3070 MALLORY LN</v>
      </c>
      <c r="L1737" t="str">
        <f>IFERROR(VLOOKUP(VALUE(J1737),'Site Info'!$A:$G,4,FALSE),"")</f>
        <v>FRANKLIN</v>
      </c>
      <c r="M1737" t="str">
        <f>IFERROR(VLOOKUP(VALUE(J1737),'Site Info'!$A:$G,5,FALSE),"")</f>
        <v>TN</v>
      </c>
      <c r="N1737" t="str">
        <f>IFERROR(VLOOKUP(VALUE(J1737),'Site Info'!$A:$G,6,FALSE),"")</f>
        <v>37067-8304</v>
      </c>
      <c r="O1737">
        <f>IFERROR(VLOOKUP(VALUE(J1737),'Site Info'!$A:$G,7,FALSE),"")</f>
        <v>6157781401</v>
      </c>
    </row>
    <row r="1738" spans="1:15" x14ac:dyDescent="0.45">
      <c r="A1738" t="s">
        <v>1986</v>
      </c>
      <c r="B1738" t="s">
        <v>1987</v>
      </c>
      <c r="C1738" t="s">
        <v>1988</v>
      </c>
      <c r="D1738" t="s">
        <v>331</v>
      </c>
      <c r="E1738" s="1">
        <v>46152.824317129627</v>
      </c>
      <c r="F1738">
        <v>1481</v>
      </c>
      <c r="G1738" t="s">
        <v>1989</v>
      </c>
      <c r="H1738" t="s">
        <v>15</v>
      </c>
      <c r="I1738" t="s">
        <v>333</v>
      </c>
      <c r="J1738" t="str">
        <f>RIGHT(D1738,4)</f>
        <v>6249</v>
      </c>
      <c r="K1738" t="str">
        <f>IFERROR(VLOOKUP(VALUE(J1738),'Site Info'!$A:$G,3,FALSE),"")</f>
        <v>3070 MALLORY LN</v>
      </c>
      <c r="L1738" t="str">
        <f>IFERROR(VLOOKUP(VALUE(J1738),'Site Info'!$A:$G,4,FALSE),"")</f>
        <v>FRANKLIN</v>
      </c>
      <c r="M1738" t="str">
        <f>IFERROR(VLOOKUP(VALUE(J1738),'Site Info'!$A:$G,5,FALSE),"")</f>
        <v>TN</v>
      </c>
      <c r="N1738" t="str">
        <f>IFERROR(VLOOKUP(VALUE(J1738),'Site Info'!$A:$G,6,FALSE),"")</f>
        <v>37067-8304</v>
      </c>
      <c r="O1738">
        <f>IFERROR(VLOOKUP(VALUE(J1738),'Site Info'!$A:$G,7,FALSE),"")</f>
        <v>6157781401</v>
      </c>
    </row>
    <row r="1739" spans="1:15" x14ac:dyDescent="0.45">
      <c r="A1739" t="s">
        <v>3981</v>
      </c>
      <c r="B1739" t="s">
        <v>3982</v>
      </c>
      <c r="C1739" t="s">
        <v>3983</v>
      </c>
      <c r="D1739" t="s">
        <v>331</v>
      </c>
      <c r="E1739" s="1">
        <v>46153.227118055554</v>
      </c>
      <c r="F1739">
        <v>1481</v>
      </c>
      <c r="G1739" t="s">
        <v>3984</v>
      </c>
      <c r="H1739" t="s">
        <v>15</v>
      </c>
      <c r="I1739" t="s">
        <v>333</v>
      </c>
      <c r="J1739" t="str">
        <f>RIGHT(D1739,4)</f>
        <v>6249</v>
      </c>
      <c r="K1739" t="str">
        <f>IFERROR(VLOOKUP(VALUE(J1739),'Site Info'!$A:$G,3,FALSE),"")</f>
        <v>3070 MALLORY LN</v>
      </c>
      <c r="L1739" t="str">
        <f>IFERROR(VLOOKUP(VALUE(J1739),'Site Info'!$A:$G,4,FALSE),"")</f>
        <v>FRANKLIN</v>
      </c>
      <c r="M1739" t="str">
        <f>IFERROR(VLOOKUP(VALUE(J1739),'Site Info'!$A:$G,5,FALSE),"")</f>
        <v>TN</v>
      </c>
      <c r="N1739" t="str">
        <f>IFERROR(VLOOKUP(VALUE(J1739),'Site Info'!$A:$G,6,FALSE),"")</f>
        <v>37067-8304</v>
      </c>
      <c r="O1739">
        <f>IFERROR(VLOOKUP(VALUE(J1739),'Site Info'!$A:$G,7,FALSE),"")</f>
        <v>6157781401</v>
      </c>
    </row>
    <row r="1740" spans="1:15" x14ac:dyDescent="0.45">
      <c r="A1740" t="s">
        <v>328</v>
      </c>
      <c r="B1740" t="s">
        <v>329</v>
      </c>
      <c r="C1740" t="s">
        <v>330</v>
      </c>
      <c r="D1740" t="s">
        <v>331</v>
      </c>
      <c r="E1740" s="1">
        <v>46153.328483796293</v>
      </c>
      <c r="F1740">
        <v>1481</v>
      </c>
      <c r="G1740" t="s">
        <v>332</v>
      </c>
      <c r="H1740" t="s">
        <v>15</v>
      </c>
      <c r="I1740" t="s">
        <v>333</v>
      </c>
      <c r="J1740" t="str">
        <f>RIGHT(D1740,4)</f>
        <v>6249</v>
      </c>
      <c r="K1740" t="str">
        <f>IFERROR(VLOOKUP(VALUE(J1740),'Site Info'!$A:$G,3,FALSE),"")</f>
        <v>3070 MALLORY LN</v>
      </c>
      <c r="L1740" t="str">
        <f>IFERROR(VLOOKUP(VALUE(J1740),'Site Info'!$A:$G,4,FALSE),"")</f>
        <v>FRANKLIN</v>
      </c>
      <c r="M1740" t="str">
        <f>IFERROR(VLOOKUP(VALUE(J1740),'Site Info'!$A:$G,5,FALSE),"")</f>
        <v>TN</v>
      </c>
      <c r="N1740" t="str">
        <f>IFERROR(VLOOKUP(VALUE(J1740),'Site Info'!$A:$G,6,FALSE),"")</f>
        <v>37067-8304</v>
      </c>
      <c r="O1740">
        <f>IFERROR(VLOOKUP(VALUE(J1740),'Site Info'!$A:$G,7,FALSE),"")</f>
        <v>6157781401</v>
      </c>
    </row>
    <row r="1741" spans="1:15" x14ac:dyDescent="0.45">
      <c r="A1741" t="s">
        <v>8917</v>
      </c>
      <c r="B1741" t="s">
        <v>8918</v>
      </c>
      <c r="C1741" t="s">
        <v>8919</v>
      </c>
      <c r="D1741" t="s">
        <v>8092</v>
      </c>
      <c r="E1741" s="1">
        <v>46152.911481481482</v>
      </c>
      <c r="F1741">
        <v>1548</v>
      </c>
      <c r="G1741" t="s">
        <v>8920</v>
      </c>
      <c r="H1741" t="s">
        <v>15</v>
      </c>
      <c r="I1741" t="s">
        <v>8094</v>
      </c>
      <c r="J1741" t="str">
        <f>RIGHT(D1741,4)</f>
        <v>8209</v>
      </c>
      <c r="K1741" t="str">
        <f>IFERROR(VLOOKUP(VALUE(J1741),'Site Info'!$A:$G,3,FALSE),"")</f>
        <v>3081 N HIGHWAY 112</v>
      </c>
      <c r="L1741" t="str">
        <f>IFERROR(VLOOKUP(VALUE(J1741),'Site Info'!$A:$G,4,FALSE),"")</f>
        <v>FAYETTEVILLE</v>
      </c>
      <c r="M1741" t="str">
        <f>IFERROR(VLOOKUP(VALUE(J1741),'Site Info'!$A:$G,5,FALSE),"")</f>
        <v>AR</v>
      </c>
      <c r="N1741" t="str">
        <f>IFERROR(VLOOKUP(VALUE(J1741),'Site Info'!$A:$G,6,FALSE),"")</f>
        <v>72704-7436</v>
      </c>
      <c r="O1741">
        <f>IFERROR(VLOOKUP(VALUE(J1741),'Site Info'!$A:$G,7,FALSE),"")</f>
        <v>4795871840</v>
      </c>
    </row>
    <row r="1742" spans="1:15" x14ac:dyDescent="0.45">
      <c r="A1742" t="s">
        <v>8137</v>
      </c>
      <c r="B1742" t="s">
        <v>8138</v>
      </c>
      <c r="C1742" t="s">
        <v>8139</v>
      </c>
      <c r="D1742" t="s">
        <v>8092</v>
      </c>
      <c r="E1742" s="1">
        <v>46139.501203703701</v>
      </c>
      <c r="F1742">
        <v>1547</v>
      </c>
      <c r="G1742" t="s">
        <v>8140</v>
      </c>
      <c r="H1742" t="s">
        <v>15</v>
      </c>
      <c r="I1742" t="s">
        <v>8094</v>
      </c>
      <c r="J1742" t="str">
        <f>RIGHT(D1742,4)</f>
        <v>8209</v>
      </c>
      <c r="K1742" t="str">
        <f>IFERROR(VLOOKUP(VALUE(J1742),'Site Info'!$A:$G,3,FALSE),"")</f>
        <v>3081 N HIGHWAY 112</v>
      </c>
      <c r="L1742" t="str">
        <f>IFERROR(VLOOKUP(VALUE(J1742),'Site Info'!$A:$G,4,FALSE),"")</f>
        <v>FAYETTEVILLE</v>
      </c>
      <c r="M1742" t="str">
        <f>IFERROR(VLOOKUP(VALUE(J1742),'Site Info'!$A:$G,5,FALSE),"")</f>
        <v>AR</v>
      </c>
      <c r="N1742" t="str">
        <f>IFERROR(VLOOKUP(VALUE(J1742),'Site Info'!$A:$G,6,FALSE),"")</f>
        <v>72704-7436</v>
      </c>
      <c r="O1742">
        <f>IFERROR(VLOOKUP(VALUE(J1742),'Site Info'!$A:$G,7,FALSE),"")</f>
        <v>4795871840</v>
      </c>
    </row>
    <row r="1743" spans="1:15" x14ac:dyDescent="0.45">
      <c r="A1743" t="s">
        <v>10278</v>
      </c>
      <c r="B1743" t="s">
        <v>10279</v>
      </c>
      <c r="C1743" t="s">
        <v>10280</v>
      </c>
      <c r="D1743" t="s">
        <v>8092</v>
      </c>
      <c r="E1743" s="1">
        <v>46150.446087962962</v>
      </c>
      <c r="F1743">
        <v>1547</v>
      </c>
      <c r="G1743" t="s">
        <v>10281</v>
      </c>
      <c r="H1743" t="s">
        <v>15</v>
      </c>
      <c r="I1743" t="s">
        <v>8094</v>
      </c>
      <c r="J1743" t="str">
        <f>RIGHT(D1743,4)</f>
        <v>8209</v>
      </c>
      <c r="K1743" t="str">
        <f>IFERROR(VLOOKUP(VALUE(J1743),'Site Info'!$A:$G,3,FALSE),"")</f>
        <v>3081 N HIGHWAY 112</v>
      </c>
      <c r="L1743" t="str">
        <f>IFERROR(VLOOKUP(VALUE(J1743),'Site Info'!$A:$G,4,FALSE),"")</f>
        <v>FAYETTEVILLE</v>
      </c>
      <c r="M1743" t="str">
        <f>IFERROR(VLOOKUP(VALUE(J1743),'Site Info'!$A:$G,5,FALSE),"")</f>
        <v>AR</v>
      </c>
      <c r="N1743" t="str">
        <f>IFERROR(VLOOKUP(VALUE(J1743),'Site Info'!$A:$G,6,FALSE),"")</f>
        <v>72704-7436</v>
      </c>
      <c r="O1743">
        <f>IFERROR(VLOOKUP(VALUE(J1743),'Site Info'!$A:$G,7,FALSE),"")</f>
        <v>4795871840</v>
      </c>
    </row>
    <row r="1744" spans="1:15" x14ac:dyDescent="0.45">
      <c r="A1744" t="s">
        <v>10508</v>
      </c>
      <c r="B1744" t="s">
        <v>10509</v>
      </c>
      <c r="C1744" t="s">
        <v>10510</v>
      </c>
      <c r="D1744" t="s">
        <v>8092</v>
      </c>
      <c r="E1744" s="1">
        <v>46153.299247685187</v>
      </c>
      <c r="F1744">
        <v>1547</v>
      </c>
      <c r="G1744" t="s">
        <v>10511</v>
      </c>
      <c r="H1744" t="s">
        <v>15</v>
      </c>
      <c r="I1744" t="s">
        <v>8094</v>
      </c>
      <c r="J1744" t="str">
        <f>RIGHT(D1744,4)</f>
        <v>8209</v>
      </c>
      <c r="K1744" t="str">
        <f>IFERROR(VLOOKUP(VALUE(J1744),'Site Info'!$A:$G,3,FALSE),"")</f>
        <v>3081 N HIGHWAY 112</v>
      </c>
      <c r="L1744" t="str">
        <f>IFERROR(VLOOKUP(VALUE(J1744),'Site Info'!$A:$G,4,FALSE),"")</f>
        <v>FAYETTEVILLE</v>
      </c>
      <c r="M1744" t="str">
        <f>IFERROR(VLOOKUP(VALUE(J1744),'Site Info'!$A:$G,5,FALSE),"")</f>
        <v>AR</v>
      </c>
      <c r="N1744" t="str">
        <f>IFERROR(VLOOKUP(VALUE(J1744),'Site Info'!$A:$G,6,FALSE),"")</f>
        <v>72704-7436</v>
      </c>
      <c r="O1744">
        <f>IFERROR(VLOOKUP(VALUE(J1744),'Site Info'!$A:$G,7,FALSE),"")</f>
        <v>4795871840</v>
      </c>
    </row>
    <row r="1745" spans="1:15" x14ac:dyDescent="0.45">
      <c r="A1745" t="s">
        <v>8089</v>
      </c>
      <c r="B1745" t="s">
        <v>8090</v>
      </c>
      <c r="C1745" t="s">
        <v>8091</v>
      </c>
      <c r="D1745" t="s">
        <v>8092</v>
      </c>
      <c r="E1745" s="1">
        <v>46153.336805555555</v>
      </c>
      <c r="F1745">
        <v>1547</v>
      </c>
      <c r="G1745" t="s">
        <v>8093</v>
      </c>
      <c r="H1745" t="s">
        <v>15</v>
      </c>
      <c r="I1745" t="s">
        <v>8094</v>
      </c>
      <c r="J1745" t="str">
        <f>RIGHT(D1745,4)</f>
        <v>8209</v>
      </c>
      <c r="K1745" t="str">
        <f>IFERROR(VLOOKUP(VALUE(J1745),'Site Info'!$A:$G,3,FALSE),"")</f>
        <v>3081 N HIGHWAY 112</v>
      </c>
      <c r="L1745" t="str">
        <f>IFERROR(VLOOKUP(VALUE(J1745),'Site Info'!$A:$G,4,FALSE),"")</f>
        <v>FAYETTEVILLE</v>
      </c>
      <c r="M1745" t="str">
        <f>IFERROR(VLOOKUP(VALUE(J1745),'Site Info'!$A:$G,5,FALSE),"")</f>
        <v>AR</v>
      </c>
      <c r="N1745" t="str">
        <f>IFERROR(VLOOKUP(VALUE(J1745),'Site Info'!$A:$G,6,FALSE),"")</f>
        <v>72704-7436</v>
      </c>
      <c r="O1745">
        <f>IFERROR(VLOOKUP(VALUE(J1745),'Site Info'!$A:$G,7,FALSE),"")</f>
        <v>4795871840</v>
      </c>
    </row>
    <row r="1746" spans="1:15" x14ac:dyDescent="0.45">
      <c r="A1746" t="s">
        <v>14367</v>
      </c>
      <c r="B1746" t="s">
        <v>14368</v>
      </c>
      <c r="C1746" t="s">
        <v>14369</v>
      </c>
      <c r="D1746" t="s">
        <v>8092</v>
      </c>
      <c r="E1746" s="1">
        <v>46153.371793981481</v>
      </c>
      <c r="F1746">
        <v>1481</v>
      </c>
      <c r="G1746" t="s">
        <v>14370</v>
      </c>
      <c r="H1746" t="s">
        <v>15</v>
      </c>
      <c r="I1746" t="s">
        <v>8094</v>
      </c>
      <c r="J1746" t="str">
        <f>RIGHT(D1746,4)</f>
        <v>8209</v>
      </c>
      <c r="K1746" t="str">
        <f>IFERROR(VLOOKUP(VALUE(J1746),'Site Info'!$A:$G,3,FALSE),"")</f>
        <v>3081 N HIGHWAY 112</v>
      </c>
      <c r="L1746" t="str">
        <f>IFERROR(VLOOKUP(VALUE(J1746),'Site Info'!$A:$G,4,FALSE),"")</f>
        <v>FAYETTEVILLE</v>
      </c>
      <c r="M1746" t="str">
        <f>IFERROR(VLOOKUP(VALUE(J1746),'Site Info'!$A:$G,5,FALSE),"")</f>
        <v>AR</v>
      </c>
      <c r="N1746" t="str">
        <f>IFERROR(VLOOKUP(VALUE(J1746),'Site Info'!$A:$G,6,FALSE),"")</f>
        <v>72704-7436</v>
      </c>
      <c r="O1746">
        <f>IFERROR(VLOOKUP(VALUE(J1746),'Site Info'!$A:$G,7,FALSE),"")</f>
        <v>4795871840</v>
      </c>
    </row>
    <row r="1747" spans="1:15" x14ac:dyDescent="0.45">
      <c r="A1747" t="s">
        <v>5910</v>
      </c>
      <c r="B1747" t="s">
        <v>5911</v>
      </c>
      <c r="C1747" t="s">
        <v>5912</v>
      </c>
      <c r="D1747" t="s">
        <v>5913</v>
      </c>
      <c r="E1747" s="1">
        <v>46151.79246527778</v>
      </c>
      <c r="F1747">
        <v>1547</v>
      </c>
      <c r="G1747" t="s">
        <v>5914</v>
      </c>
      <c r="H1747" t="s">
        <v>15</v>
      </c>
      <c r="I1747" t="s">
        <v>5915</v>
      </c>
      <c r="J1747" t="str">
        <f>RIGHT(D1747,4)</f>
        <v>6275</v>
      </c>
      <c r="K1747" t="str">
        <f>IFERROR(VLOOKUP(VALUE(J1747),'Site Info'!$A:$G,3,FALSE),"")</f>
        <v>3084 N. MAIZE ROAD</v>
      </c>
      <c r="L1747" t="str">
        <f>IFERROR(VLOOKUP(VALUE(J1747),'Site Info'!$A:$G,4,FALSE),"")</f>
        <v>WICHITA</v>
      </c>
      <c r="M1747" t="str">
        <f>IFERROR(VLOOKUP(VALUE(J1747),'Site Info'!$A:$G,5,FALSE),"")</f>
        <v>KS</v>
      </c>
      <c r="N1747" t="str">
        <f>IFERROR(VLOOKUP(VALUE(J1747),'Site Info'!$A:$G,6,FALSE),"")</f>
        <v>67205-0000</v>
      </c>
      <c r="O1747">
        <f>IFERROR(VLOOKUP(VALUE(J1747),'Site Info'!$A:$G,7,FALSE),"")</f>
        <v>3163472578</v>
      </c>
    </row>
    <row r="1748" spans="1:15" x14ac:dyDescent="0.45">
      <c r="A1748" t="s">
        <v>6418</v>
      </c>
      <c r="B1748" t="s">
        <v>6419</v>
      </c>
      <c r="C1748" t="s">
        <v>6420</v>
      </c>
      <c r="D1748" t="s">
        <v>5913</v>
      </c>
      <c r="E1748" s="1">
        <v>46152.657175925924</v>
      </c>
      <c r="F1748">
        <v>1547</v>
      </c>
      <c r="G1748" t="s">
        <v>6421</v>
      </c>
      <c r="H1748" t="s">
        <v>15</v>
      </c>
      <c r="I1748" t="s">
        <v>5915</v>
      </c>
      <c r="J1748" t="str">
        <f>RIGHT(D1748,4)</f>
        <v>6275</v>
      </c>
      <c r="K1748" t="str">
        <f>IFERROR(VLOOKUP(VALUE(J1748),'Site Info'!$A:$G,3,FALSE),"")</f>
        <v>3084 N. MAIZE ROAD</v>
      </c>
      <c r="L1748" t="str">
        <f>IFERROR(VLOOKUP(VALUE(J1748),'Site Info'!$A:$G,4,FALSE),"")</f>
        <v>WICHITA</v>
      </c>
      <c r="M1748" t="str">
        <f>IFERROR(VLOOKUP(VALUE(J1748),'Site Info'!$A:$G,5,FALSE),"")</f>
        <v>KS</v>
      </c>
      <c r="N1748" t="str">
        <f>IFERROR(VLOOKUP(VALUE(J1748),'Site Info'!$A:$G,6,FALSE),"")</f>
        <v>67205-0000</v>
      </c>
      <c r="O1748">
        <f>IFERROR(VLOOKUP(VALUE(J1748),'Site Info'!$A:$G,7,FALSE),"")</f>
        <v>3163472578</v>
      </c>
    </row>
    <row r="1749" spans="1:15" x14ac:dyDescent="0.45">
      <c r="A1749" t="s">
        <v>6184</v>
      </c>
      <c r="B1749" t="s">
        <v>6185</v>
      </c>
      <c r="C1749" t="s">
        <v>6186</v>
      </c>
      <c r="D1749" t="s">
        <v>5913</v>
      </c>
      <c r="E1749" s="1">
        <v>46153.191157407404</v>
      </c>
      <c r="F1749">
        <v>1547</v>
      </c>
      <c r="G1749" t="s">
        <v>6187</v>
      </c>
      <c r="H1749" t="s">
        <v>15</v>
      </c>
      <c r="I1749" t="s">
        <v>5915</v>
      </c>
      <c r="J1749" t="str">
        <f>RIGHT(D1749,4)</f>
        <v>6275</v>
      </c>
      <c r="K1749" t="str">
        <f>IFERROR(VLOOKUP(VALUE(J1749),'Site Info'!$A:$G,3,FALSE),"")</f>
        <v>3084 N. MAIZE ROAD</v>
      </c>
      <c r="L1749" t="str">
        <f>IFERROR(VLOOKUP(VALUE(J1749),'Site Info'!$A:$G,4,FALSE),"")</f>
        <v>WICHITA</v>
      </c>
      <c r="M1749" t="str">
        <f>IFERROR(VLOOKUP(VALUE(J1749),'Site Info'!$A:$G,5,FALSE),"")</f>
        <v>KS</v>
      </c>
      <c r="N1749" t="str">
        <f>IFERROR(VLOOKUP(VALUE(J1749),'Site Info'!$A:$G,6,FALSE),"")</f>
        <v>67205-0000</v>
      </c>
      <c r="O1749">
        <f>IFERROR(VLOOKUP(VALUE(J1749),'Site Info'!$A:$G,7,FALSE),"")</f>
        <v>3163472578</v>
      </c>
    </row>
    <row r="1750" spans="1:15" x14ac:dyDescent="0.45">
      <c r="A1750" t="s">
        <v>10448</v>
      </c>
      <c r="B1750" t="s">
        <v>10449</v>
      </c>
      <c r="C1750" t="s">
        <v>10450</v>
      </c>
      <c r="D1750" t="s">
        <v>5913</v>
      </c>
      <c r="E1750" s="1">
        <v>46153.332546296297</v>
      </c>
      <c r="F1750">
        <v>1547</v>
      </c>
      <c r="G1750" t="s">
        <v>10451</v>
      </c>
      <c r="H1750" t="s">
        <v>15</v>
      </c>
      <c r="I1750" t="s">
        <v>5915</v>
      </c>
      <c r="J1750" t="str">
        <f>RIGHT(D1750,4)</f>
        <v>6275</v>
      </c>
      <c r="K1750" t="str">
        <f>IFERROR(VLOOKUP(VALUE(J1750),'Site Info'!$A:$G,3,FALSE),"")</f>
        <v>3084 N. MAIZE ROAD</v>
      </c>
      <c r="L1750" t="str">
        <f>IFERROR(VLOOKUP(VALUE(J1750),'Site Info'!$A:$G,4,FALSE),"")</f>
        <v>WICHITA</v>
      </c>
      <c r="M1750" t="str">
        <f>IFERROR(VLOOKUP(VALUE(J1750),'Site Info'!$A:$G,5,FALSE),"")</f>
        <v>KS</v>
      </c>
      <c r="N1750" t="str">
        <f>IFERROR(VLOOKUP(VALUE(J1750),'Site Info'!$A:$G,6,FALSE),"")</f>
        <v>67205-0000</v>
      </c>
      <c r="O1750">
        <f>IFERROR(VLOOKUP(VALUE(J1750),'Site Info'!$A:$G,7,FALSE),"")</f>
        <v>3163472578</v>
      </c>
    </row>
    <row r="1751" spans="1:15" x14ac:dyDescent="0.45">
      <c r="A1751" t="s">
        <v>13543</v>
      </c>
      <c r="B1751" t="s">
        <v>13544</v>
      </c>
      <c r="C1751" t="s">
        <v>13545</v>
      </c>
      <c r="D1751" t="s">
        <v>5913</v>
      </c>
      <c r="E1751" s="1">
        <v>46153.366562499999</v>
      </c>
      <c r="F1751">
        <v>1547</v>
      </c>
      <c r="G1751" t="s">
        <v>13546</v>
      </c>
      <c r="H1751" t="s">
        <v>15</v>
      </c>
      <c r="I1751" t="s">
        <v>5915</v>
      </c>
      <c r="J1751" t="str">
        <f>RIGHT(D1751,4)</f>
        <v>6275</v>
      </c>
      <c r="K1751" t="str">
        <f>IFERROR(VLOOKUP(VALUE(J1751),'Site Info'!$A:$G,3,FALSE),"")</f>
        <v>3084 N. MAIZE ROAD</v>
      </c>
      <c r="L1751" t="str">
        <f>IFERROR(VLOOKUP(VALUE(J1751),'Site Info'!$A:$G,4,FALSE),"")</f>
        <v>WICHITA</v>
      </c>
      <c r="M1751" t="str">
        <f>IFERROR(VLOOKUP(VALUE(J1751),'Site Info'!$A:$G,5,FALSE),"")</f>
        <v>KS</v>
      </c>
      <c r="N1751" t="str">
        <f>IFERROR(VLOOKUP(VALUE(J1751),'Site Info'!$A:$G,6,FALSE),"")</f>
        <v>67205-0000</v>
      </c>
      <c r="O1751">
        <f>IFERROR(VLOOKUP(VALUE(J1751),'Site Info'!$A:$G,7,FALSE),"")</f>
        <v>3163472578</v>
      </c>
    </row>
    <row r="1752" spans="1:15" x14ac:dyDescent="0.45">
      <c r="A1752" t="s">
        <v>14511</v>
      </c>
      <c r="B1752" t="s">
        <v>14512</v>
      </c>
      <c r="C1752" t="s">
        <v>14513</v>
      </c>
      <c r="D1752" t="s">
        <v>3538</v>
      </c>
      <c r="E1752" s="1">
        <v>46148.581736111111</v>
      </c>
      <c r="F1752">
        <v>1863</v>
      </c>
      <c r="G1752" t="s">
        <v>14514</v>
      </c>
      <c r="H1752" t="s">
        <v>136</v>
      </c>
      <c r="I1752" t="s">
        <v>3540</v>
      </c>
      <c r="J1752" t="str">
        <f>RIGHT(D1752,4)</f>
        <v>4901</v>
      </c>
      <c r="K1752" t="str">
        <f>IFERROR(VLOOKUP(VALUE(J1752),'Site Info'!$A:$G,3,FALSE),"")</f>
        <v>309 ROLLING HILLS CIR</v>
      </c>
      <c r="L1752" t="str">
        <f>IFERROR(VLOOKUP(VALUE(J1752),'Site Info'!$A:$G,4,FALSE),"")</f>
        <v>EASLEY</v>
      </c>
      <c r="M1752" t="str">
        <f>IFERROR(VLOOKUP(VALUE(J1752),'Site Info'!$A:$G,5,FALSE),"")</f>
        <v>SC</v>
      </c>
      <c r="N1752" t="str">
        <f>IFERROR(VLOOKUP(VALUE(J1752),'Site Info'!$A:$G,6,FALSE),"")</f>
        <v>29640-0000</v>
      </c>
      <c r="O1752">
        <f>IFERROR(VLOOKUP(VALUE(J1752),'Site Info'!$A:$G,7,FALSE),"")</f>
        <v>8646449000</v>
      </c>
    </row>
    <row r="1753" spans="1:15" x14ac:dyDescent="0.45">
      <c r="A1753" t="s">
        <v>8103</v>
      </c>
      <c r="B1753" t="s">
        <v>8104</v>
      </c>
      <c r="C1753" t="s">
        <v>8105</v>
      </c>
      <c r="D1753" t="s">
        <v>3538</v>
      </c>
      <c r="E1753" s="1">
        <v>46150.268599537034</v>
      </c>
      <c r="F1753">
        <v>1547</v>
      </c>
      <c r="G1753" t="s">
        <v>8106</v>
      </c>
      <c r="H1753" t="s">
        <v>15</v>
      </c>
      <c r="I1753" t="s">
        <v>3540</v>
      </c>
      <c r="J1753" t="str">
        <f>RIGHT(D1753,4)</f>
        <v>4901</v>
      </c>
      <c r="K1753" t="str">
        <f>IFERROR(VLOOKUP(VALUE(J1753),'Site Info'!$A:$G,3,FALSE),"")</f>
        <v>309 ROLLING HILLS CIR</v>
      </c>
      <c r="L1753" t="str">
        <f>IFERROR(VLOOKUP(VALUE(J1753),'Site Info'!$A:$G,4,FALSE),"")</f>
        <v>EASLEY</v>
      </c>
      <c r="M1753" t="str">
        <f>IFERROR(VLOOKUP(VALUE(J1753),'Site Info'!$A:$G,5,FALSE),"")</f>
        <v>SC</v>
      </c>
      <c r="N1753" t="str">
        <f>IFERROR(VLOOKUP(VALUE(J1753),'Site Info'!$A:$G,6,FALSE),"")</f>
        <v>29640-0000</v>
      </c>
      <c r="O1753">
        <f>IFERROR(VLOOKUP(VALUE(J1753),'Site Info'!$A:$G,7,FALSE),"")</f>
        <v>8646449000</v>
      </c>
    </row>
    <row r="1754" spans="1:15" x14ac:dyDescent="0.45">
      <c r="A1754" t="s">
        <v>8659</v>
      </c>
      <c r="B1754" t="s">
        <v>8660</v>
      </c>
      <c r="C1754" t="s">
        <v>8661</v>
      </c>
      <c r="D1754" t="s">
        <v>3538</v>
      </c>
      <c r="E1754" s="1">
        <v>46150.331446759257</v>
      </c>
      <c r="F1754">
        <v>1547</v>
      </c>
      <c r="G1754" t="s">
        <v>8662</v>
      </c>
      <c r="H1754" t="s">
        <v>15</v>
      </c>
      <c r="I1754" t="s">
        <v>3540</v>
      </c>
      <c r="J1754" t="str">
        <f>RIGHT(D1754,4)</f>
        <v>4901</v>
      </c>
      <c r="K1754" t="str">
        <f>IFERROR(VLOOKUP(VALUE(J1754),'Site Info'!$A:$G,3,FALSE),"")</f>
        <v>309 ROLLING HILLS CIR</v>
      </c>
      <c r="L1754" t="str">
        <f>IFERROR(VLOOKUP(VALUE(J1754),'Site Info'!$A:$G,4,FALSE),"")</f>
        <v>EASLEY</v>
      </c>
      <c r="M1754" t="str">
        <f>IFERROR(VLOOKUP(VALUE(J1754),'Site Info'!$A:$G,5,FALSE),"")</f>
        <v>SC</v>
      </c>
      <c r="N1754" t="str">
        <f>IFERROR(VLOOKUP(VALUE(J1754),'Site Info'!$A:$G,6,FALSE),"")</f>
        <v>29640-0000</v>
      </c>
      <c r="O1754">
        <f>IFERROR(VLOOKUP(VALUE(J1754),'Site Info'!$A:$G,7,FALSE),"")</f>
        <v>8646449000</v>
      </c>
    </row>
    <row r="1755" spans="1:15" x14ac:dyDescent="0.45">
      <c r="A1755" t="s">
        <v>13579</v>
      </c>
      <c r="B1755" t="s">
        <v>13580</v>
      </c>
      <c r="C1755" t="s">
        <v>13581</v>
      </c>
      <c r="D1755" t="s">
        <v>3538</v>
      </c>
      <c r="E1755" s="1">
        <v>46151.391944444447</v>
      </c>
      <c r="F1755">
        <v>1547</v>
      </c>
      <c r="G1755" t="s">
        <v>13582</v>
      </c>
      <c r="H1755" t="s">
        <v>15</v>
      </c>
      <c r="I1755" t="s">
        <v>3540</v>
      </c>
      <c r="J1755" t="str">
        <f>RIGHT(D1755,4)</f>
        <v>4901</v>
      </c>
      <c r="K1755" t="str">
        <f>IFERROR(VLOOKUP(VALUE(J1755),'Site Info'!$A:$G,3,FALSE),"")</f>
        <v>309 ROLLING HILLS CIR</v>
      </c>
      <c r="L1755" t="str">
        <f>IFERROR(VLOOKUP(VALUE(J1755),'Site Info'!$A:$G,4,FALSE),"")</f>
        <v>EASLEY</v>
      </c>
      <c r="M1755" t="str">
        <f>IFERROR(VLOOKUP(VALUE(J1755),'Site Info'!$A:$G,5,FALSE),"")</f>
        <v>SC</v>
      </c>
      <c r="N1755" t="str">
        <f>IFERROR(VLOOKUP(VALUE(J1755),'Site Info'!$A:$G,6,FALSE),"")</f>
        <v>29640-0000</v>
      </c>
      <c r="O1755">
        <f>IFERROR(VLOOKUP(VALUE(J1755),'Site Info'!$A:$G,7,FALSE),"")</f>
        <v>8646449000</v>
      </c>
    </row>
    <row r="1756" spans="1:15" x14ac:dyDescent="0.45">
      <c r="A1756" t="s">
        <v>8701</v>
      </c>
      <c r="B1756" t="s">
        <v>8702</v>
      </c>
      <c r="C1756" t="s">
        <v>8703</v>
      </c>
      <c r="D1756" t="s">
        <v>3538</v>
      </c>
      <c r="E1756" s="1">
        <v>46153.138819444444</v>
      </c>
      <c r="F1756">
        <v>1547</v>
      </c>
      <c r="G1756" t="s">
        <v>8704</v>
      </c>
      <c r="H1756" t="s">
        <v>15</v>
      </c>
      <c r="I1756" t="s">
        <v>3540</v>
      </c>
      <c r="J1756" t="str">
        <f>RIGHT(D1756,4)</f>
        <v>4901</v>
      </c>
      <c r="K1756" t="str">
        <f>IFERROR(VLOOKUP(VALUE(J1756),'Site Info'!$A:$G,3,FALSE),"")</f>
        <v>309 ROLLING HILLS CIR</v>
      </c>
      <c r="L1756" t="str">
        <f>IFERROR(VLOOKUP(VALUE(J1756),'Site Info'!$A:$G,4,FALSE),"")</f>
        <v>EASLEY</v>
      </c>
      <c r="M1756" t="str">
        <f>IFERROR(VLOOKUP(VALUE(J1756),'Site Info'!$A:$G,5,FALSE),"")</f>
        <v>SC</v>
      </c>
      <c r="N1756" t="str">
        <f>IFERROR(VLOOKUP(VALUE(J1756),'Site Info'!$A:$G,6,FALSE),"")</f>
        <v>29640-0000</v>
      </c>
      <c r="O1756">
        <f>IFERROR(VLOOKUP(VALUE(J1756),'Site Info'!$A:$G,7,FALSE),"")</f>
        <v>8646449000</v>
      </c>
    </row>
    <row r="1757" spans="1:15" x14ac:dyDescent="0.45">
      <c r="A1757" t="s">
        <v>8129</v>
      </c>
      <c r="B1757" t="s">
        <v>8130</v>
      </c>
      <c r="C1757" t="s">
        <v>8131</v>
      </c>
      <c r="D1757" t="s">
        <v>3538</v>
      </c>
      <c r="E1757" s="1">
        <v>46153.335509259261</v>
      </c>
      <c r="F1757">
        <v>1547</v>
      </c>
      <c r="G1757" t="s">
        <v>8132</v>
      </c>
      <c r="H1757" t="s">
        <v>15</v>
      </c>
      <c r="I1757" t="s">
        <v>3540</v>
      </c>
      <c r="J1757" t="str">
        <f>RIGHT(D1757,4)</f>
        <v>4901</v>
      </c>
      <c r="K1757" t="str">
        <f>IFERROR(VLOOKUP(VALUE(J1757),'Site Info'!$A:$G,3,FALSE),"")</f>
        <v>309 ROLLING HILLS CIR</v>
      </c>
      <c r="L1757" t="str">
        <f>IFERROR(VLOOKUP(VALUE(J1757),'Site Info'!$A:$G,4,FALSE),"")</f>
        <v>EASLEY</v>
      </c>
      <c r="M1757" t="str">
        <f>IFERROR(VLOOKUP(VALUE(J1757),'Site Info'!$A:$G,5,FALSE),"")</f>
        <v>SC</v>
      </c>
      <c r="N1757" t="str">
        <f>IFERROR(VLOOKUP(VALUE(J1757),'Site Info'!$A:$G,6,FALSE),"")</f>
        <v>29640-0000</v>
      </c>
      <c r="O1757">
        <f>IFERROR(VLOOKUP(VALUE(J1757),'Site Info'!$A:$G,7,FALSE),"")</f>
        <v>8646449000</v>
      </c>
    </row>
    <row r="1758" spans="1:15" x14ac:dyDescent="0.45">
      <c r="A1758" t="s">
        <v>3535</v>
      </c>
      <c r="B1758" t="s">
        <v>3536</v>
      </c>
      <c r="C1758" t="s">
        <v>3537</v>
      </c>
      <c r="D1758" t="s">
        <v>3538</v>
      </c>
      <c r="E1758" s="1">
        <v>46153.299189814818</v>
      </c>
      <c r="F1758">
        <v>1481</v>
      </c>
      <c r="G1758" t="s">
        <v>3539</v>
      </c>
      <c r="H1758" t="s">
        <v>15</v>
      </c>
      <c r="I1758" t="s">
        <v>3540</v>
      </c>
      <c r="J1758" t="str">
        <f>RIGHT(D1758,4)</f>
        <v>4901</v>
      </c>
      <c r="K1758" t="str">
        <f>IFERROR(VLOOKUP(VALUE(J1758),'Site Info'!$A:$G,3,FALSE),"")</f>
        <v>309 ROLLING HILLS CIR</v>
      </c>
      <c r="L1758" t="str">
        <f>IFERROR(VLOOKUP(VALUE(J1758),'Site Info'!$A:$G,4,FALSE),"")</f>
        <v>EASLEY</v>
      </c>
      <c r="M1758" t="str">
        <f>IFERROR(VLOOKUP(VALUE(J1758),'Site Info'!$A:$G,5,FALSE),"")</f>
        <v>SC</v>
      </c>
      <c r="N1758" t="str">
        <f>IFERROR(VLOOKUP(VALUE(J1758),'Site Info'!$A:$G,6,FALSE),"")</f>
        <v>29640-0000</v>
      </c>
      <c r="O1758">
        <f>IFERROR(VLOOKUP(VALUE(J1758),'Site Info'!$A:$G,7,FALSE),"")</f>
        <v>8646449000</v>
      </c>
    </row>
    <row r="1759" spans="1:15" x14ac:dyDescent="0.45">
      <c r="A1759" t="s">
        <v>11232</v>
      </c>
      <c r="B1759" t="s">
        <v>11233</v>
      </c>
      <c r="C1759" t="s">
        <v>11234</v>
      </c>
      <c r="D1759" t="s">
        <v>349</v>
      </c>
      <c r="E1759" s="1">
        <v>46151.258657407408</v>
      </c>
      <c r="F1759">
        <v>1547</v>
      </c>
      <c r="G1759" t="s">
        <v>11235</v>
      </c>
      <c r="H1759" t="s">
        <v>15</v>
      </c>
      <c r="I1759" t="s">
        <v>351</v>
      </c>
      <c r="J1759" t="str">
        <f>RIGHT(D1759,4)</f>
        <v>4789</v>
      </c>
      <c r="K1759" t="str">
        <f>IFERROR(VLOOKUP(VALUE(J1759),'Site Info'!$A:$G,3,FALSE),"")</f>
        <v>310 FISCHER RD</v>
      </c>
      <c r="L1759" t="str">
        <f>IFERROR(VLOOKUP(VALUE(J1759),'Site Info'!$A:$G,4,FALSE),"")</f>
        <v>SHARPSBURG</v>
      </c>
      <c r="M1759" t="str">
        <f>IFERROR(VLOOKUP(VALUE(J1759),'Site Info'!$A:$G,5,FALSE),"")</f>
        <v>GA</v>
      </c>
      <c r="N1759" t="str">
        <f>IFERROR(VLOOKUP(VALUE(J1759),'Site Info'!$A:$G,6,FALSE),"")</f>
        <v>30277-2084</v>
      </c>
      <c r="O1759">
        <f>IFERROR(VLOOKUP(VALUE(J1759),'Site Info'!$A:$G,7,FALSE),"")</f>
        <v>7703040346</v>
      </c>
    </row>
    <row r="1760" spans="1:15" x14ac:dyDescent="0.45">
      <c r="A1760" t="s">
        <v>9854</v>
      </c>
      <c r="B1760" t="s">
        <v>9855</v>
      </c>
      <c r="C1760" t="s">
        <v>9856</v>
      </c>
      <c r="D1760" t="s">
        <v>349</v>
      </c>
      <c r="E1760" s="1">
        <v>46151.583402777775</v>
      </c>
      <c r="F1760">
        <v>1547</v>
      </c>
      <c r="G1760" t="s">
        <v>9857</v>
      </c>
      <c r="H1760" t="s">
        <v>15</v>
      </c>
      <c r="I1760" t="s">
        <v>351</v>
      </c>
      <c r="J1760" t="str">
        <f>RIGHT(D1760,4)</f>
        <v>4789</v>
      </c>
      <c r="K1760" t="str">
        <f>IFERROR(VLOOKUP(VALUE(J1760),'Site Info'!$A:$G,3,FALSE),"")</f>
        <v>310 FISCHER RD</v>
      </c>
      <c r="L1760" t="str">
        <f>IFERROR(VLOOKUP(VALUE(J1760),'Site Info'!$A:$G,4,FALSE),"")</f>
        <v>SHARPSBURG</v>
      </c>
      <c r="M1760" t="str">
        <f>IFERROR(VLOOKUP(VALUE(J1760),'Site Info'!$A:$G,5,FALSE),"")</f>
        <v>GA</v>
      </c>
      <c r="N1760" t="str">
        <f>IFERROR(VLOOKUP(VALUE(J1760),'Site Info'!$A:$G,6,FALSE),"")</f>
        <v>30277-2084</v>
      </c>
      <c r="O1760">
        <f>IFERROR(VLOOKUP(VALUE(J1760),'Site Info'!$A:$G,7,FALSE),"")</f>
        <v>7703040346</v>
      </c>
    </row>
    <row r="1761" spans="1:15" x14ac:dyDescent="0.45">
      <c r="A1761" t="s">
        <v>12556</v>
      </c>
      <c r="B1761" t="s">
        <v>12557</v>
      </c>
      <c r="C1761" t="s">
        <v>12558</v>
      </c>
      <c r="D1761" t="s">
        <v>349</v>
      </c>
      <c r="E1761" s="1">
        <v>46153.224085648151</v>
      </c>
      <c r="F1761">
        <v>1547</v>
      </c>
      <c r="G1761" t="s">
        <v>12559</v>
      </c>
      <c r="H1761" t="s">
        <v>15</v>
      </c>
      <c r="I1761" t="s">
        <v>351</v>
      </c>
      <c r="J1761" t="str">
        <f>RIGHT(D1761,4)</f>
        <v>4789</v>
      </c>
      <c r="K1761" t="str">
        <f>IFERROR(VLOOKUP(VALUE(J1761),'Site Info'!$A:$G,3,FALSE),"")</f>
        <v>310 FISCHER RD</v>
      </c>
      <c r="L1761" t="str">
        <f>IFERROR(VLOOKUP(VALUE(J1761),'Site Info'!$A:$G,4,FALSE),"")</f>
        <v>SHARPSBURG</v>
      </c>
      <c r="M1761" t="str">
        <f>IFERROR(VLOOKUP(VALUE(J1761),'Site Info'!$A:$G,5,FALSE),"")</f>
        <v>GA</v>
      </c>
      <c r="N1761" t="str">
        <f>IFERROR(VLOOKUP(VALUE(J1761),'Site Info'!$A:$G,6,FALSE),"")</f>
        <v>30277-2084</v>
      </c>
      <c r="O1761">
        <f>IFERROR(VLOOKUP(VALUE(J1761),'Site Info'!$A:$G,7,FALSE),"")</f>
        <v>7703040346</v>
      </c>
    </row>
    <row r="1762" spans="1:15" x14ac:dyDescent="0.45">
      <c r="A1762" t="s">
        <v>12560</v>
      </c>
      <c r="B1762" t="s">
        <v>12561</v>
      </c>
      <c r="C1762" t="s">
        <v>12562</v>
      </c>
      <c r="D1762" t="s">
        <v>349</v>
      </c>
      <c r="E1762" s="1">
        <v>46153.340590277781</v>
      </c>
      <c r="F1762">
        <v>1547</v>
      </c>
      <c r="G1762" t="s">
        <v>12563</v>
      </c>
      <c r="H1762" t="s">
        <v>15</v>
      </c>
      <c r="I1762" t="s">
        <v>351</v>
      </c>
      <c r="J1762" t="str">
        <f>RIGHT(D1762,4)</f>
        <v>4789</v>
      </c>
      <c r="K1762" t="str">
        <f>IFERROR(VLOOKUP(VALUE(J1762),'Site Info'!$A:$G,3,FALSE),"")</f>
        <v>310 FISCHER RD</v>
      </c>
      <c r="L1762" t="str">
        <f>IFERROR(VLOOKUP(VALUE(J1762),'Site Info'!$A:$G,4,FALSE),"")</f>
        <v>SHARPSBURG</v>
      </c>
      <c r="M1762" t="str">
        <f>IFERROR(VLOOKUP(VALUE(J1762),'Site Info'!$A:$G,5,FALSE),"")</f>
        <v>GA</v>
      </c>
      <c r="N1762" t="str">
        <f>IFERROR(VLOOKUP(VALUE(J1762),'Site Info'!$A:$G,6,FALSE),"")</f>
        <v>30277-2084</v>
      </c>
      <c r="O1762">
        <f>IFERROR(VLOOKUP(VALUE(J1762),'Site Info'!$A:$G,7,FALSE),"")</f>
        <v>7703040346</v>
      </c>
    </row>
    <row r="1763" spans="1:15" x14ac:dyDescent="0.45">
      <c r="A1763" t="s">
        <v>12734</v>
      </c>
      <c r="B1763" t="s">
        <v>12735</v>
      </c>
      <c r="C1763" t="s">
        <v>12736</v>
      </c>
      <c r="D1763" t="s">
        <v>349</v>
      </c>
      <c r="E1763" s="1">
        <v>46153.352013888885</v>
      </c>
      <c r="F1763">
        <v>1547</v>
      </c>
      <c r="G1763" t="s">
        <v>12737</v>
      </c>
      <c r="H1763" t="s">
        <v>15</v>
      </c>
      <c r="I1763" t="s">
        <v>351</v>
      </c>
      <c r="J1763" t="str">
        <f>RIGHT(D1763,4)</f>
        <v>4789</v>
      </c>
      <c r="K1763" t="str">
        <f>IFERROR(VLOOKUP(VALUE(J1763),'Site Info'!$A:$G,3,FALSE),"")</f>
        <v>310 FISCHER RD</v>
      </c>
      <c r="L1763" t="str">
        <f>IFERROR(VLOOKUP(VALUE(J1763),'Site Info'!$A:$G,4,FALSE),"")</f>
        <v>SHARPSBURG</v>
      </c>
      <c r="M1763" t="str">
        <f>IFERROR(VLOOKUP(VALUE(J1763),'Site Info'!$A:$G,5,FALSE),"")</f>
        <v>GA</v>
      </c>
      <c r="N1763" t="str">
        <f>IFERROR(VLOOKUP(VALUE(J1763),'Site Info'!$A:$G,6,FALSE),"")</f>
        <v>30277-2084</v>
      </c>
      <c r="O1763">
        <f>IFERROR(VLOOKUP(VALUE(J1763),'Site Info'!$A:$G,7,FALSE),"")</f>
        <v>7703040346</v>
      </c>
    </row>
    <row r="1764" spans="1:15" x14ac:dyDescent="0.45">
      <c r="A1764" t="s">
        <v>346</v>
      </c>
      <c r="B1764" t="s">
        <v>347</v>
      </c>
      <c r="C1764" t="s">
        <v>348</v>
      </c>
      <c r="D1764" t="s">
        <v>349</v>
      </c>
      <c r="E1764" s="1">
        <v>46152.668321759258</v>
      </c>
      <c r="F1764">
        <v>1481</v>
      </c>
      <c r="G1764" t="s">
        <v>350</v>
      </c>
      <c r="H1764" t="s">
        <v>15</v>
      </c>
      <c r="I1764" t="s">
        <v>351</v>
      </c>
      <c r="J1764" t="str">
        <f>RIGHT(D1764,4)</f>
        <v>4789</v>
      </c>
      <c r="K1764" t="str">
        <f>IFERROR(VLOOKUP(VALUE(J1764),'Site Info'!$A:$G,3,FALSE),"")</f>
        <v>310 FISCHER RD</v>
      </c>
      <c r="L1764" t="str">
        <f>IFERROR(VLOOKUP(VALUE(J1764),'Site Info'!$A:$G,4,FALSE),"")</f>
        <v>SHARPSBURG</v>
      </c>
      <c r="M1764" t="str">
        <f>IFERROR(VLOOKUP(VALUE(J1764),'Site Info'!$A:$G,5,FALSE),"")</f>
        <v>GA</v>
      </c>
      <c r="N1764" t="str">
        <f>IFERROR(VLOOKUP(VALUE(J1764),'Site Info'!$A:$G,6,FALSE),"")</f>
        <v>30277-2084</v>
      </c>
      <c r="O1764">
        <f>IFERROR(VLOOKUP(VALUE(J1764),'Site Info'!$A:$G,7,FALSE),"")</f>
        <v>7703040346</v>
      </c>
    </row>
    <row r="1765" spans="1:15" x14ac:dyDescent="0.45">
      <c r="A1765" t="s">
        <v>676</v>
      </c>
      <c r="B1765" t="s">
        <v>677</v>
      </c>
      <c r="C1765" t="s">
        <v>678</v>
      </c>
      <c r="D1765" t="s">
        <v>349</v>
      </c>
      <c r="E1765" s="1">
        <v>46152.998969907407</v>
      </c>
      <c r="F1765">
        <v>1481</v>
      </c>
      <c r="G1765" t="s">
        <v>679</v>
      </c>
      <c r="H1765" t="s">
        <v>15</v>
      </c>
      <c r="I1765" t="s">
        <v>351</v>
      </c>
      <c r="J1765" t="str">
        <f>RIGHT(D1765,4)</f>
        <v>4789</v>
      </c>
      <c r="K1765" t="str">
        <f>IFERROR(VLOOKUP(VALUE(J1765),'Site Info'!$A:$G,3,FALSE),"")</f>
        <v>310 FISCHER RD</v>
      </c>
      <c r="L1765" t="str">
        <f>IFERROR(VLOOKUP(VALUE(J1765),'Site Info'!$A:$G,4,FALSE),"")</f>
        <v>SHARPSBURG</v>
      </c>
      <c r="M1765" t="str">
        <f>IFERROR(VLOOKUP(VALUE(J1765),'Site Info'!$A:$G,5,FALSE),"")</f>
        <v>GA</v>
      </c>
      <c r="N1765" t="str">
        <f>IFERROR(VLOOKUP(VALUE(J1765),'Site Info'!$A:$G,6,FALSE),"")</f>
        <v>30277-2084</v>
      </c>
      <c r="O1765">
        <f>IFERROR(VLOOKUP(VALUE(J1765),'Site Info'!$A:$G,7,FALSE),"")</f>
        <v>7703040346</v>
      </c>
    </row>
    <row r="1766" spans="1:15" x14ac:dyDescent="0.45">
      <c r="A1766" t="s">
        <v>90</v>
      </c>
      <c r="B1766" t="s">
        <v>91</v>
      </c>
      <c r="C1766" t="s">
        <v>92</v>
      </c>
      <c r="D1766" t="s">
        <v>93</v>
      </c>
      <c r="E1766" s="1">
        <v>46140.421736111108</v>
      </c>
      <c r="F1766">
        <v>1547</v>
      </c>
      <c r="G1766" t="s">
        <v>94</v>
      </c>
      <c r="H1766" t="s">
        <v>15</v>
      </c>
      <c r="I1766" t="s">
        <v>95</v>
      </c>
      <c r="J1766" t="str">
        <f>RIGHT(D1766,4)</f>
        <v>6659</v>
      </c>
      <c r="K1766" t="str">
        <f>IFERROR(VLOOKUP(VALUE(J1766),'Site Info'!$A:$G,3,FALSE),"")</f>
        <v>31020 JOHN R RD</v>
      </c>
      <c r="L1766" t="str">
        <f>IFERROR(VLOOKUP(VALUE(J1766),'Site Info'!$A:$G,4,FALSE),"")</f>
        <v>MADISON HEIGHTS</v>
      </c>
      <c r="M1766" t="str">
        <f>IFERROR(VLOOKUP(VALUE(J1766),'Site Info'!$A:$G,5,FALSE),"")</f>
        <v>MI</v>
      </c>
      <c r="N1766" t="str">
        <f>IFERROR(VLOOKUP(VALUE(J1766),'Site Info'!$A:$G,6,FALSE),"")</f>
        <v>48071-1908</v>
      </c>
      <c r="O1766">
        <f>IFERROR(VLOOKUP(VALUE(J1766),'Site Info'!$A:$G,7,FALSE),"")</f>
        <v>2485891208</v>
      </c>
    </row>
    <row r="1767" spans="1:15" x14ac:dyDescent="0.45">
      <c r="A1767" t="s">
        <v>4652</v>
      </c>
      <c r="B1767" t="s">
        <v>4653</v>
      </c>
      <c r="C1767" t="s">
        <v>4654</v>
      </c>
      <c r="D1767" t="s">
        <v>93</v>
      </c>
      <c r="E1767" s="1">
        <v>46151.745046296295</v>
      </c>
      <c r="F1767">
        <v>1547</v>
      </c>
      <c r="G1767" t="s">
        <v>4655</v>
      </c>
      <c r="H1767" t="s">
        <v>15</v>
      </c>
      <c r="I1767" t="s">
        <v>95</v>
      </c>
      <c r="J1767" t="str">
        <f>RIGHT(D1767,4)</f>
        <v>6659</v>
      </c>
      <c r="K1767" t="str">
        <f>IFERROR(VLOOKUP(VALUE(J1767),'Site Info'!$A:$G,3,FALSE),"")</f>
        <v>31020 JOHN R RD</v>
      </c>
      <c r="L1767" t="str">
        <f>IFERROR(VLOOKUP(VALUE(J1767),'Site Info'!$A:$G,4,FALSE),"")</f>
        <v>MADISON HEIGHTS</v>
      </c>
      <c r="M1767" t="str">
        <f>IFERROR(VLOOKUP(VALUE(J1767),'Site Info'!$A:$G,5,FALSE),"")</f>
        <v>MI</v>
      </c>
      <c r="N1767" t="str">
        <f>IFERROR(VLOOKUP(VALUE(J1767),'Site Info'!$A:$G,6,FALSE),"")</f>
        <v>48071-1908</v>
      </c>
      <c r="O1767">
        <f>IFERROR(VLOOKUP(VALUE(J1767),'Site Info'!$A:$G,7,FALSE),"")</f>
        <v>2485891208</v>
      </c>
    </row>
    <row r="1768" spans="1:15" x14ac:dyDescent="0.45">
      <c r="A1768" t="s">
        <v>4704</v>
      </c>
      <c r="B1768" t="s">
        <v>4705</v>
      </c>
      <c r="C1768" t="s">
        <v>4706</v>
      </c>
      <c r="D1768" t="s">
        <v>93</v>
      </c>
      <c r="E1768" s="1">
        <v>46153.347314814811</v>
      </c>
      <c r="F1768">
        <v>1547</v>
      </c>
      <c r="G1768" t="s">
        <v>4707</v>
      </c>
      <c r="H1768" t="s">
        <v>15</v>
      </c>
      <c r="I1768" t="s">
        <v>95</v>
      </c>
      <c r="J1768" t="str">
        <f>RIGHT(D1768,4)</f>
        <v>6659</v>
      </c>
      <c r="K1768" t="str">
        <f>IFERROR(VLOOKUP(VALUE(J1768),'Site Info'!$A:$G,3,FALSE),"")</f>
        <v>31020 JOHN R RD</v>
      </c>
      <c r="L1768" t="str">
        <f>IFERROR(VLOOKUP(VALUE(J1768),'Site Info'!$A:$G,4,FALSE),"")</f>
        <v>MADISON HEIGHTS</v>
      </c>
      <c r="M1768" t="str">
        <f>IFERROR(VLOOKUP(VALUE(J1768),'Site Info'!$A:$G,5,FALSE),"")</f>
        <v>MI</v>
      </c>
      <c r="N1768" t="str">
        <f>IFERROR(VLOOKUP(VALUE(J1768),'Site Info'!$A:$G,6,FALSE),"")</f>
        <v>48071-1908</v>
      </c>
      <c r="O1768">
        <f>IFERROR(VLOOKUP(VALUE(J1768),'Site Info'!$A:$G,7,FALSE),"")</f>
        <v>2485891208</v>
      </c>
    </row>
    <row r="1769" spans="1:15" x14ac:dyDescent="0.45">
      <c r="A1769" t="s">
        <v>1876</v>
      </c>
      <c r="B1769" t="s">
        <v>1877</v>
      </c>
      <c r="C1769" t="s">
        <v>1878</v>
      </c>
      <c r="D1769" t="s">
        <v>93</v>
      </c>
      <c r="E1769" s="1">
        <v>46149.468715277777</v>
      </c>
      <c r="F1769">
        <v>1481</v>
      </c>
      <c r="G1769" t="s">
        <v>1879</v>
      </c>
      <c r="H1769" t="s">
        <v>15</v>
      </c>
      <c r="I1769" t="s">
        <v>95</v>
      </c>
      <c r="J1769" t="str">
        <f>RIGHT(D1769,4)</f>
        <v>6659</v>
      </c>
      <c r="K1769" t="str">
        <f>IFERROR(VLOOKUP(VALUE(J1769),'Site Info'!$A:$G,3,FALSE),"")</f>
        <v>31020 JOHN R RD</v>
      </c>
      <c r="L1769" t="str">
        <f>IFERROR(VLOOKUP(VALUE(J1769),'Site Info'!$A:$G,4,FALSE),"")</f>
        <v>MADISON HEIGHTS</v>
      </c>
      <c r="M1769" t="str">
        <f>IFERROR(VLOOKUP(VALUE(J1769),'Site Info'!$A:$G,5,FALSE),"")</f>
        <v>MI</v>
      </c>
      <c r="N1769" t="str">
        <f>IFERROR(VLOOKUP(VALUE(J1769),'Site Info'!$A:$G,6,FALSE),"")</f>
        <v>48071-1908</v>
      </c>
      <c r="O1769">
        <f>IFERROR(VLOOKUP(VALUE(J1769),'Site Info'!$A:$G,7,FALSE),"")</f>
        <v>2485891208</v>
      </c>
    </row>
    <row r="1770" spans="1:15" x14ac:dyDescent="0.45">
      <c r="A1770" t="s">
        <v>1550</v>
      </c>
      <c r="B1770" t="s">
        <v>1551</v>
      </c>
      <c r="C1770" t="s">
        <v>1552</v>
      </c>
      <c r="D1770" t="s">
        <v>93</v>
      </c>
      <c r="E1770" s="1">
        <v>46151.529409722221</v>
      </c>
      <c r="F1770">
        <v>1481</v>
      </c>
      <c r="G1770" t="s">
        <v>1553</v>
      </c>
      <c r="H1770" t="s">
        <v>15</v>
      </c>
      <c r="I1770" t="s">
        <v>95</v>
      </c>
      <c r="J1770" t="str">
        <f>RIGHT(D1770,4)</f>
        <v>6659</v>
      </c>
      <c r="K1770" t="str">
        <f>IFERROR(VLOOKUP(VALUE(J1770),'Site Info'!$A:$G,3,FALSE),"")</f>
        <v>31020 JOHN R RD</v>
      </c>
      <c r="L1770" t="str">
        <f>IFERROR(VLOOKUP(VALUE(J1770),'Site Info'!$A:$G,4,FALSE),"")</f>
        <v>MADISON HEIGHTS</v>
      </c>
      <c r="M1770" t="str">
        <f>IFERROR(VLOOKUP(VALUE(J1770),'Site Info'!$A:$G,5,FALSE),"")</f>
        <v>MI</v>
      </c>
      <c r="N1770" t="str">
        <f>IFERROR(VLOOKUP(VALUE(J1770),'Site Info'!$A:$G,6,FALSE),"")</f>
        <v>48071-1908</v>
      </c>
      <c r="O1770">
        <f>IFERROR(VLOOKUP(VALUE(J1770),'Site Info'!$A:$G,7,FALSE),"")</f>
        <v>2485891208</v>
      </c>
    </row>
    <row r="1771" spans="1:15" x14ac:dyDescent="0.45">
      <c r="A1771" t="s">
        <v>2825</v>
      </c>
      <c r="B1771" t="s">
        <v>2826</v>
      </c>
      <c r="C1771" t="s">
        <v>2827</v>
      </c>
      <c r="D1771" t="s">
        <v>93</v>
      </c>
      <c r="E1771" s="1">
        <v>46152.476099537038</v>
      </c>
      <c r="F1771">
        <v>1481</v>
      </c>
      <c r="G1771" t="s">
        <v>2828</v>
      </c>
      <c r="H1771" t="s">
        <v>15</v>
      </c>
      <c r="I1771" t="s">
        <v>95</v>
      </c>
      <c r="J1771" t="str">
        <f>RIGHT(D1771,4)</f>
        <v>6659</v>
      </c>
      <c r="K1771" t="str">
        <f>IFERROR(VLOOKUP(VALUE(J1771),'Site Info'!$A:$G,3,FALSE),"")</f>
        <v>31020 JOHN R RD</v>
      </c>
      <c r="L1771" t="str">
        <f>IFERROR(VLOOKUP(VALUE(J1771),'Site Info'!$A:$G,4,FALSE),"")</f>
        <v>MADISON HEIGHTS</v>
      </c>
      <c r="M1771" t="str">
        <f>IFERROR(VLOOKUP(VALUE(J1771),'Site Info'!$A:$G,5,FALSE),"")</f>
        <v>MI</v>
      </c>
      <c r="N1771" t="str">
        <f>IFERROR(VLOOKUP(VALUE(J1771),'Site Info'!$A:$G,6,FALSE),"")</f>
        <v>48071-1908</v>
      </c>
      <c r="O1771">
        <f>IFERROR(VLOOKUP(VALUE(J1771),'Site Info'!$A:$G,7,FALSE),"")</f>
        <v>2485891208</v>
      </c>
    </row>
    <row r="1772" spans="1:15" x14ac:dyDescent="0.45">
      <c r="A1772" t="s">
        <v>4031</v>
      </c>
      <c r="B1772" t="s">
        <v>4032</v>
      </c>
      <c r="C1772" t="s">
        <v>4033</v>
      </c>
      <c r="D1772" t="s">
        <v>93</v>
      </c>
      <c r="E1772" s="1">
        <v>46153.126597222225</v>
      </c>
      <c r="F1772">
        <v>1481</v>
      </c>
      <c r="G1772" t="s">
        <v>4034</v>
      </c>
      <c r="H1772" t="s">
        <v>15</v>
      </c>
      <c r="I1772" t="s">
        <v>95</v>
      </c>
      <c r="J1772" t="str">
        <f>RIGHT(D1772,4)</f>
        <v>6659</v>
      </c>
      <c r="K1772" t="str">
        <f>IFERROR(VLOOKUP(VALUE(J1772),'Site Info'!$A:$G,3,FALSE),"")</f>
        <v>31020 JOHN R RD</v>
      </c>
      <c r="L1772" t="str">
        <f>IFERROR(VLOOKUP(VALUE(J1772),'Site Info'!$A:$G,4,FALSE),"")</f>
        <v>MADISON HEIGHTS</v>
      </c>
      <c r="M1772" t="str">
        <f>IFERROR(VLOOKUP(VALUE(J1772),'Site Info'!$A:$G,5,FALSE),"")</f>
        <v>MI</v>
      </c>
      <c r="N1772" t="str">
        <f>IFERROR(VLOOKUP(VALUE(J1772),'Site Info'!$A:$G,6,FALSE),"")</f>
        <v>48071-1908</v>
      </c>
      <c r="O1772">
        <f>IFERROR(VLOOKUP(VALUE(J1772),'Site Info'!$A:$G,7,FALSE),"")</f>
        <v>2485891208</v>
      </c>
    </row>
    <row r="1773" spans="1:15" x14ac:dyDescent="0.45">
      <c r="A1773" t="s">
        <v>1722</v>
      </c>
      <c r="B1773" t="s">
        <v>1723</v>
      </c>
      <c r="C1773" t="s">
        <v>1724</v>
      </c>
      <c r="D1773" t="s">
        <v>93</v>
      </c>
      <c r="E1773" s="1">
        <v>46153.340439814812</v>
      </c>
      <c r="F1773">
        <v>1481</v>
      </c>
      <c r="G1773" t="s">
        <v>1725</v>
      </c>
      <c r="H1773" t="s">
        <v>15</v>
      </c>
      <c r="I1773" t="s">
        <v>95</v>
      </c>
      <c r="J1773" t="str">
        <f>RIGHT(D1773,4)</f>
        <v>6659</v>
      </c>
      <c r="K1773" t="str">
        <f>IFERROR(VLOOKUP(VALUE(J1773),'Site Info'!$A:$G,3,FALSE),"")</f>
        <v>31020 JOHN R RD</v>
      </c>
      <c r="L1773" t="str">
        <f>IFERROR(VLOOKUP(VALUE(J1773),'Site Info'!$A:$G,4,FALSE),"")</f>
        <v>MADISON HEIGHTS</v>
      </c>
      <c r="M1773" t="str">
        <f>IFERROR(VLOOKUP(VALUE(J1773),'Site Info'!$A:$G,5,FALSE),"")</f>
        <v>MI</v>
      </c>
      <c r="N1773" t="str">
        <f>IFERROR(VLOOKUP(VALUE(J1773),'Site Info'!$A:$G,6,FALSE),"")</f>
        <v>48071-1908</v>
      </c>
      <c r="O1773">
        <f>IFERROR(VLOOKUP(VALUE(J1773),'Site Info'!$A:$G,7,FALSE),"")</f>
        <v>2485891208</v>
      </c>
    </row>
    <row r="1774" spans="1:15" x14ac:dyDescent="0.45">
      <c r="A1774" t="s">
        <v>5368</v>
      </c>
      <c r="B1774" t="s">
        <v>5369</v>
      </c>
      <c r="C1774" t="s">
        <v>5370</v>
      </c>
      <c r="D1774" t="s">
        <v>4995</v>
      </c>
      <c r="E1774" s="1">
        <v>46150.34851851852</v>
      </c>
      <c r="F1774">
        <v>1547</v>
      </c>
      <c r="G1774" t="s">
        <v>5371</v>
      </c>
      <c r="H1774" t="s">
        <v>15</v>
      </c>
      <c r="I1774" t="s">
        <v>4997</v>
      </c>
      <c r="J1774" t="str">
        <f>RIGHT(D1774,4)</f>
        <v>8120</v>
      </c>
      <c r="K1774" t="str">
        <f>IFERROR(VLOOKUP(VALUE(J1774),'Site Info'!$A:$G,3,FALSE),"")</f>
        <v>3122 DICK WILSON BLVD</v>
      </c>
      <c r="L1774" t="str">
        <f>IFERROR(VLOOKUP(VALUE(J1774),'Site Info'!$A:$G,4,FALSE),"")</f>
        <v>TALLAHASSEE</v>
      </c>
      <c r="M1774" t="str">
        <f>IFERROR(VLOOKUP(VALUE(J1774),'Site Info'!$A:$G,5,FALSE),"")</f>
        <v>FL</v>
      </c>
      <c r="N1774" t="str">
        <f>IFERROR(VLOOKUP(VALUE(J1774),'Site Info'!$A:$G,6,FALSE),"")</f>
        <v>32301-5137</v>
      </c>
      <c r="O1774">
        <f>IFERROR(VLOOKUP(VALUE(J1774),'Site Info'!$A:$G,7,FALSE),"")</f>
        <v>8506715959</v>
      </c>
    </row>
    <row r="1775" spans="1:15" x14ac:dyDescent="0.45">
      <c r="A1775" t="s">
        <v>5356</v>
      </c>
      <c r="B1775" t="s">
        <v>5357</v>
      </c>
      <c r="C1775" t="s">
        <v>5358</v>
      </c>
      <c r="D1775" t="s">
        <v>4995</v>
      </c>
      <c r="E1775" s="1">
        <v>46151.027083333334</v>
      </c>
      <c r="F1775">
        <v>1547</v>
      </c>
      <c r="G1775" t="s">
        <v>5359</v>
      </c>
      <c r="H1775" t="s">
        <v>15</v>
      </c>
      <c r="I1775" t="s">
        <v>4997</v>
      </c>
      <c r="J1775" t="str">
        <f>RIGHT(D1775,4)</f>
        <v>8120</v>
      </c>
      <c r="K1775" t="str">
        <f>IFERROR(VLOOKUP(VALUE(J1775),'Site Info'!$A:$G,3,FALSE),"")</f>
        <v>3122 DICK WILSON BLVD</v>
      </c>
      <c r="L1775" t="str">
        <f>IFERROR(VLOOKUP(VALUE(J1775),'Site Info'!$A:$G,4,FALSE),"")</f>
        <v>TALLAHASSEE</v>
      </c>
      <c r="M1775" t="str">
        <f>IFERROR(VLOOKUP(VALUE(J1775),'Site Info'!$A:$G,5,FALSE),"")</f>
        <v>FL</v>
      </c>
      <c r="N1775" t="str">
        <f>IFERROR(VLOOKUP(VALUE(J1775),'Site Info'!$A:$G,6,FALSE),"")</f>
        <v>32301-5137</v>
      </c>
      <c r="O1775">
        <f>IFERROR(VLOOKUP(VALUE(J1775),'Site Info'!$A:$G,7,FALSE),"")</f>
        <v>8506715959</v>
      </c>
    </row>
    <row r="1776" spans="1:15" x14ac:dyDescent="0.45">
      <c r="A1776" t="s">
        <v>4992</v>
      </c>
      <c r="B1776" t="s">
        <v>4993</v>
      </c>
      <c r="C1776" t="s">
        <v>4994</v>
      </c>
      <c r="D1776" t="s">
        <v>4995</v>
      </c>
      <c r="E1776" s="1">
        <v>46152.609363425923</v>
      </c>
      <c r="F1776">
        <v>1547</v>
      </c>
      <c r="G1776" t="s">
        <v>4996</v>
      </c>
      <c r="H1776" t="s">
        <v>15</v>
      </c>
      <c r="I1776" t="s">
        <v>4997</v>
      </c>
      <c r="J1776" t="str">
        <f>RIGHT(D1776,4)</f>
        <v>8120</v>
      </c>
      <c r="K1776" t="str">
        <f>IFERROR(VLOOKUP(VALUE(J1776),'Site Info'!$A:$G,3,FALSE),"")</f>
        <v>3122 DICK WILSON BLVD</v>
      </c>
      <c r="L1776" t="str">
        <f>IFERROR(VLOOKUP(VALUE(J1776),'Site Info'!$A:$G,4,FALSE),"")</f>
        <v>TALLAHASSEE</v>
      </c>
      <c r="M1776" t="str">
        <f>IFERROR(VLOOKUP(VALUE(J1776),'Site Info'!$A:$G,5,FALSE),"")</f>
        <v>FL</v>
      </c>
      <c r="N1776" t="str">
        <f>IFERROR(VLOOKUP(VALUE(J1776),'Site Info'!$A:$G,6,FALSE),"")</f>
        <v>32301-5137</v>
      </c>
      <c r="O1776">
        <f>IFERROR(VLOOKUP(VALUE(J1776),'Site Info'!$A:$G,7,FALSE),"")</f>
        <v>8506715959</v>
      </c>
    </row>
    <row r="1777" spans="1:15" x14ac:dyDescent="0.45">
      <c r="A1777" t="s">
        <v>5304</v>
      </c>
      <c r="B1777" t="s">
        <v>5305</v>
      </c>
      <c r="C1777" t="s">
        <v>5306</v>
      </c>
      <c r="D1777" t="s">
        <v>4995</v>
      </c>
      <c r="E1777" s="1">
        <v>46153.135023148148</v>
      </c>
      <c r="F1777">
        <v>1547</v>
      </c>
      <c r="G1777" t="s">
        <v>5307</v>
      </c>
      <c r="H1777" t="s">
        <v>15</v>
      </c>
      <c r="I1777" t="s">
        <v>4997</v>
      </c>
      <c r="J1777" t="str">
        <f>RIGHT(D1777,4)</f>
        <v>8120</v>
      </c>
      <c r="K1777" t="str">
        <f>IFERROR(VLOOKUP(VALUE(J1777),'Site Info'!$A:$G,3,FALSE),"")</f>
        <v>3122 DICK WILSON BLVD</v>
      </c>
      <c r="L1777" t="str">
        <f>IFERROR(VLOOKUP(VALUE(J1777),'Site Info'!$A:$G,4,FALSE),"")</f>
        <v>TALLAHASSEE</v>
      </c>
      <c r="M1777" t="str">
        <f>IFERROR(VLOOKUP(VALUE(J1777),'Site Info'!$A:$G,5,FALSE),"")</f>
        <v>FL</v>
      </c>
      <c r="N1777" t="str">
        <f>IFERROR(VLOOKUP(VALUE(J1777),'Site Info'!$A:$G,6,FALSE),"")</f>
        <v>32301-5137</v>
      </c>
      <c r="O1777">
        <f>IFERROR(VLOOKUP(VALUE(J1777),'Site Info'!$A:$G,7,FALSE),"")</f>
        <v>8506715959</v>
      </c>
    </row>
    <row r="1778" spans="1:15" x14ac:dyDescent="0.45">
      <c r="A1778" t="s">
        <v>11940</v>
      </c>
      <c r="B1778" t="s">
        <v>11941</v>
      </c>
      <c r="C1778" t="s">
        <v>11942</v>
      </c>
      <c r="D1778" t="s">
        <v>4995</v>
      </c>
      <c r="E1778" s="1">
        <v>46153.282476851855</v>
      </c>
      <c r="F1778">
        <v>1547</v>
      </c>
      <c r="G1778" t="s">
        <v>11943</v>
      </c>
      <c r="H1778" t="s">
        <v>15</v>
      </c>
      <c r="I1778" t="s">
        <v>4997</v>
      </c>
      <c r="J1778" t="str">
        <f>RIGHT(D1778,4)</f>
        <v>8120</v>
      </c>
      <c r="K1778" t="str">
        <f>IFERROR(VLOOKUP(VALUE(J1778),'Site Info'!$A:$G,3,FALSE),"")</f>
        <v>3122 DICK WILSON BLVD</v>
      </c>
      <c r="L1778" t="str">
        <f>IFERROR(VLOOKUP(VALUE(J1778),'Site Info'!$A:$G,4,FALSE),"")</f>
        <v>TALLAHASSEE</v>
      </c>
      <c r="M1778" t="str">
        <f>IFERROR(VLOOKUP(VALUE(J1778),'Site Info'!$A:$G,5,FALSE),"")</f>
        <v>FL</v>
      </c>
      <c r="N1778" t="str">
        <f>IFERROR(VLOOKUP(VALUE(J1778),'Site Info'!$A:$G,6,FALSE),"")</f>
        <v>32301-5137</v>
      </c>
      <c r="O1778">
        <f>IFERROR(VLOOKUP(VALUE(J1778),'Site Info'!$A:$G,7,FALSE),"")</f>
        <v>8506715959</v>
      </c>
    </row>
    <row r="1779" spans="1:15" x14ac:dyDescent="0.45">
      <c r="A1779" t="s">
        <v>5038</v>
      </c>
      <c r="B1779" t="s">
        <v>5039</v>
      </c>
      <c r="C1779" t="s">
        <v>5040</v>
      </c>
      <c r="D1779" t="s">
        <v>4995</v>
      </c>
      <c r="E1779" s="1">
        <v>46153.369085648148</v>
      </c>
      <c r="F1779">
        <v>1547</v>
      </c>
      <c r="G1779" t="s">
        <v>5041</v>
      </c>
      <c r="H1779" t="s">
        <v>15</v>
      </c>
      <c r="I1779" t="s">
        <v>4997</v>
      </c>
      <c r="J1779" t="str">
        <f>RIGHT(D1779,4)</f>
        <v>8120</v>
      </c>
      <c r="K1779" t="str">
        <f>IFERROR(VLOOKUP(VALUE(J1779),'Site Info'!$A:$G,3,FALSE),"")</f>
        <v>3122 DICK WILSON BLVD</v>
      </c>
      <c r="L1779" t="str">
        <f>IFERROR(VLOOKUP(VALUE(J1779),'Site Info'!$A:$G,4,FALSE),"")</f>
        <v>TALLAHASSEE</v>
      </c>
      <c r="M1779" t="str">
        <f>IFERROR(VLOOKUP(VALUE(J1779),'Site Info'!$A:$G,5,FALSE),"")</f>
        <v>FL</v>
      </c>
      <c r="N1779" t="str">
        <f>IFERROR(VLOOKUP(VALUE(J1779),'Site Info'!$A:$G,6,FALSE),"")</f>
        <v>32301-5137</v>
      </c>
      <c r="O1779">
        <f>IFERROR(VLOOKUP(VALUE(J1779),'Site Info'!$A:$G,7,FALSE),"")</f>
        <v>8506715959</v>
      </c>
    </row>
    <row r="1780" spans="1:15" x14ac:dyDescent="0.45">
      <c r="A1780" t="s">
        <v>8777</v>
      </c>
      <c r="B1780" t="s">
        <v>8778</v>
      </c>
      <c r="C1780" t="s">
        <v>8779</v>
      </c>
      <c r="D1780" t="s">
        <v>3176</v>
      </c>
      <c r="E1780" s="1">
        <v>46151.692361111112</v>
      </c>
      <c r="F1780">
        <v>1547</v>
      </c>
      <c r="G1780" t="s">
        <v>8780</v>
      </c>
      <c r="H1780" t="s">
        <v>15</v>
      </c>
      <c r="I1780" t="s">
        <v>3178</v>
      </c>
      <c r="J1780" t="str">
        <f>RIGHT(D1780,4)</f>
        <v>8174</v>
      </c>
      <c r="K1780" t="str">
        <f>IFERROR(VLOOKUP(VALUE(J1780),'Site Info'!$A:$G,3,FALSE),"")</f>
        <v>3134 E 79TH AVE</v>
      </c>
      <c r="L1780" t="str">
        <f>IFERROR(VLOOKUP(VALUE(J1780),'Site Info'!$A:$G,4,FALSE),"")</f>
        <v>MERRILLVILLE</v>
      </c>
      <c r="M1780" t="str">
        <f>IFERROR(VLOOKUP(VALUE(J1780),'Site Info'!$A:$G,5,FALSE),"")</f>
        <v>IN</v>
      </c>
      <c r="N1780" t="str">
        <f>IFERROR(VLOOKUP(VALUE(J1780),'Site Info'!$A:$G,6,FALSE),"")</f>
        <v>46410-5738</v>
      </c>
      <c r="O1780">
        <f>IFERROR(VLOOKUP(VALUE(J1780),'Site Info'!$A:$G,7,FALSE),"")</f>
        <v>2199423711</v>
      </c>
    </row>
    <row r="1781" spans="1:15" x14ac:dyDescent="0.45">
      <c r="A1781" t="s">
        <v>5272</v>
      </c>
      <c r="B1781" t="s">
        <v>5273</v>
      </c>
      <c r="C1781" t="s">
        <v>5274</v>
      </c>
      <c r="D1781" t="s">
        <v>3176</v>
      </c>
      <c r="E1781" s="1">
        <v>46151.884444444448</v>
      </c>
      <c r="F1781">
        <v>1547</v>
      </c>
      <c r="G1781" t="s">
        <v>5275</v>
      </c>
      <c r="H1781" t="s">
        <v>15</v>
      </c>
      <c r="I1781" t="s">
        <v>3178</v>
      </c>
      <c r="J1781" t="str">
        <f>RIGHT(D1781,4)</f>
        <v>8174</v>
      </c>
      <c r="K1781" t="str">
        <f>IFERROR(VLOOKUP(VALUE(J1781),'Site Info'!$A:$G,3,FALSE),"")</f>
        <v>3134 E 79TH AVE</v>
      </c>
      <c r="L1781" t="str">
        <f>IFERROR(VLOOKUP(VALUE(J1781),'Site Info'!$A:$G,4,FALSE),"")</f>
        <v>MERRILLVILLE</v>
      </c>
      <c r="M1781" t="str">
        <f>IFERROR(VLOOKUP(VALUE(J1781),'Site Info'!$A:$G,5,FALSE),"")</f>
        <v>IN</v>
      </c>
      <c r="N1781" t="str">
        <f>IFERROR(VLOOKUP(VALUE(J1781),'Site Info'!$A:$G,6,FALSE),"")</f>
        <v>46410-5738</v>
      </c>
      <c r="O1781">
        <f>IFERROR(VLOOKUP(VALUE(J1781),'Site Info'!$A:$G,7,FALSE),"")</f>
        <v>2199423711</v>
      </c>
    </row>
    <row r="1782" spans="1:15" x14ac:dyDescent="0.45">
      <c r="A1782" t="s">
        <v>5082</v>
      </c>
      <c r="B1782" t="s">
        <v>5083</v>
      </c>
      <c r="C1782" t="s">
        <v>5084</v>
      </c>
      <c r="D1782" t="s">
        <v>3176</v>
      </c>
      <c r="E1782" s="1">
        <v>46152.671458333331</v>
      </c>
      <c r="F1782">
        <v>1547</v>
      </c>
      <c r="G1782" t="s">
        <v>5085</v>
      </c>
      <c r="H1782" t="s">
        <v>15</v>
      </c>
      <c r="I1782" t="s">
        <v>3178</v>
      </c>
      <c r="J1782" t="str">
        <f>RIGHT(D1782,4)</f>
        <v>8174</v>
      </c>
      <c r="K1782" t="str">
        <f>IFERROR(VLOOKUP(VALUE(J1782),'Site Info'!$A:$G,3,FALSE),"")</f>
        <v>3134 E 79TH AVE</v>
      </c>
      <c r="L1782" t="str">
        <f>IFERROR(VLOOKUP(VALUE(J1782),'Site Info'!$A:$G,4,FALSE),"")</f>
        <v>MERRILLVILLE</v>
      </c>
      <c r="M1782" t="str">
        <f>IFERROR(VLOOKUP(VALUE(J1782),'Site Info'!$A:$G,5,FALSE),"")</f>
        <v>IN</v>
      </c>
      <c r="N1782" t="str">
        <f>IFERROR(VLOOKUP(VALUE(J1782),'Site Info'!$A:$G,6,FALSE),"")</f>
        <v>46410-5738</v>
      </c>
      <c r="O1782">
        <f>IFERROR(VLOOKUP(VALUE(J1782),'Site Info'!$A:$G,7,FALSE),"")</f>
        <v>2199423711</v>
      </c>
    </row>
    <row r="1783" spans="1:15" x14ac:dyDescent="0.45">
      <c r="A1783" t="s">
        <v>5260</v>
      </c>
      <c r="B1783" t="s">
        <v>5261</v>
      </c>
      <c r="C1783" t="s">
        <v>5262</v>
      </c>
      <c r="D1783" t="s">
        <v>3176</v>
      </c>
      <c r="E1783" s="1">
        <v>46152.698854166665</v>
      </c>
      <c r="F1783">
        <v>1547</v>
      </c>
      <c r="G1783" t="s">
        <v>5263</v>
      </c>
      <c r="H1783" t="s">
        <v>15</v>
      </c>
      <c r="I1783" t="s">
        <v>3178</v>
      </c>
      <c r="J1783" t="str">
        <f>RIGHT(D1783,4)</f>
        <v>8174</v>
      </c>
      <c r="K1783" t="str">
        <f>IFERROR(VLOOKUP(VALUE(J1783),'Site Info'!$A:$G,3,FALSE),"")</f>
        <v>3134 E 79TH AVE</v>
      </c>
      <c r="L1783" t="str">
        <f>IFERROR(VLOOKUP(VALUE(J1783),'Site Info'!$A:$G,4,FALSE),"")</f>
        <v>MERRILLVILLE</v>
      </c>
      <c r="M1783" t="str">
        <f>IFERROR(VLOOKUP(VALUE(J1783),'Site Info'!$A:$G,5,FALSE),"")</f>
        <v>IN</v>
      </c>
      <c r="N1783" t="str">
        <f>IFERROR(VLOOKUP(VALUE(J1783),'Site Info'!$A:$G,6,FALSE),"")</f>
        <v>46410-5738</v>
      </c>
      <c r="O1783">
        <f>IFERROR(VLOOKUP(VALUE(J1783),'Site Info'!$A:$G,7,FALSE),"")</f>
        <v>2199423711</v>
      </c>
    </row>
    <row r="1784" spans="1:15" x14ac:dyDescent="0.45">
      <c r="A1784" t="s">
        <v>5264</v>
      </c>
      <c r="B1784" t="s">
        <v>5265</v>
      </c>
      <c r="C1784" t="s">
        <v>5266</v>
      </c>
      <c r="D1784" t="s">
        <v>3176</v>
      </c>
      <c r="E1784" s="1">
        <v>46153.254490740743</v>
      </c>
      <c r="F1784">
        <v>1547</v>
      </c>
      <c r="G1784" t="s">
        <v>5267</v>
      </c>
      <c r="H1784" t="s">
        <v>15</v>
      </c>
      <c r="I1784" t="s">
        <v>3178</v>
      </c>
      <c r="J1784" t="str">
        <f>RIGHT(D1784,4)</f>
        <v>8174</v>
      </c>
      <c r="K1784" t="str">
        <f>IFERROR(VLOOKUP(VALUE(J1784),'Site Info'!$A:$G,3,FALSE),"")</f>
        <v>3134 E 79TH AVE</v>
      </c>
      <c r="L1784" t="str">
        <f>IFERROR(VLOOKUP(VALUE(J1784),'Site Info'!$A:$G,4,FALSE),"")</f>
        <v>MERRILLVILLE</v>
      </c>
      <c r="M1784" t="str">
        <f>IFERROR(VLOOKUP(VALUE(J1784),'Site Info'!$A:$G,5,FALSE),"")</f>
        <v>IN</v>
      </c>
      <c r="N1784" t="str">
        <f>IFERROR(VLOOKUP(VALUE(J1784),'Site Info'!$A:$G,6,FALSE),"")</f>
        <v>46410-5738</v>
      </c>
      <c r="O1784">
        <f>IFERROR(VLOOKUP(VALUE(J1784),'Site Info'!$A:$G,7,FALSE),"")</f>
        <v>2199423711</v>
      </c>
    </row>
    <row r="1785" spans="1:15" x14ac:dyDescent="0.45">
      <c r="A1785" t="s">
        <v>5242</v>
      </c>
      <c r="B1785" t="s">
        <v>5243</v>
      </c>
      <c r="C1785" t="s">
        <v>5244</v>
      </c>
      <c r="D1785" t="s">
        <v>3176</v>
      </c>
      <c r="E1785" s="1">
        <v>46153.316122685188</v>
      </c>
      <c r="F1785">
        <v>1547</v>
      </c>
      <c r="G1785" t="s">
        <v>5245</v>
      </c>
      <c r="H1785" t="s">
        <v>15</v>
      </c>
      <c r="I1785" t="s">
        <v>3178</v>
      </c>
      <c r="J1785" t="str">
        <f>RIGHT(D1785,4)</f>
        <v>8174</v>
      </c>
      <c r="K1785" t="str">
        <f>IFERROR(VLOOKUP(VALUE(J1785),'Site Info'!$A:$G,3,FALSE),"")</f>
        <v>3134 E 79TH AVE</v>
      </c>
      <c r="L1785" t="str">
        <f>IFERROR(VLOOKUP(VALUE(J1785),'Site Info'!$A:$G,4,FALSE),"")</f>
        <v>MERRILLVILLE</v>
      </c>
      <c r="M1785" t="str">
        <f>IFERROR(VLOOKUP(VALUE(J1785),'Site Info'!$A:$G,5,FALSE),"")</f>
        <v>IN</v>
      </c>
      <c r="N1785" t="str">
        <f>IFERROR(VLOOKUP(VALUE(J1785),'Site Info'!$A:$G,6,FALSE),"")</f>
        <v>46410-5738</v>
      </c>
      <c r="O1785">
        <f>IFERROR(VLOOKUP(VALUE(J1785),'Site Info'!$A:$G,7,FALSE),"")</f>
        <v>2199423711</v>
      </c>
    </row>
    <row r="1786" spans="1:15" x14ac:dyDescent="0.45">
      <c r="A1786" t="s">
        <v>3173</v>
      </c>
      <c r="B1786" t="s">
        <v>3174</v>
      </c>
      <c r="C1786" t="s">
        <v>3175</v>
      </c>
      <c r="D1786" t="s">
        <v>3176</v>
      </c>
      <c r="E1786" s="1">
        <v>46152.503634259258</v>
      </c>
      <c r="F1786">
        <v>1481</v>
      </c>
      <c r="G1786" t="s">
        <v>3177</v>
      </c>
      <c r="H1786" t="s">
        <v>15</v>
      </c>
      <c r="I1786" t="s">
        <v>3178</v>
      </c>
      <c r="J1786" t="str">
        <f>RIGHT(D1786,4)</f>
        <v>8174</v>
      </c>
      <c r="K1786" t="str">
        <f>IFERROR(VLOOKUP(VALUE(J1786),'Site Info'!$A:$G,3,FALSE),"")</f>
        <v>3134 E 79TH AVE</v>
      </c>
      <c r="L1786" t="str">
        <f>IFERROR(VLOOKUP(VALUE(J1786),'Site Info'!$A:$G,4,FALSE),"")</f>
        <v>MERRILLVILLE</v>
      </c>
      <c r="M1786" t="str">
        <f>IFERROR(VLOOKUP(VALUE(J1786),'Site Info'!$A:$G,5,FALSE),"")</f>
        <v>IN</v>
      </c>
      <c r="N1786" t="str">
        <f>IFERROR(VLOOKUP(VALUE(J1786),'Site Info'!$A:$G,6,FALSE),"")</f>
        <v>46410-5738</v>
      </c>
      <c r="O1786">
        <f>IFERROR(VLOOKUP(VALUE(J1786),'Site Info'!$A:$G,7,FALSE),"")</f>
        <v>2199423711</v>
      </c>
    </row>
    <row r="1787" spans="1:15" x14ac:dyDescent="0.45">
      <c r="A1787" t="s">
        <v>14632</v>
      </c>
      <c r="B1787" t="s">
        <v>17138</v>
      </c>
      <c r="C1787" t="s">
        <v>17139</v>
      </c>
      <c r="D1787" t="s">
        <v>3176</v>
      </c>
      <c r="E1787" s="1">
        <v>46150.718784722223</v>
      </c>
      <c r="F1787">
        <v>1628</v>
      </c>
      <c r="G1787" t="s">
        <v>17140</v>
      </c>
      <c r="H1787" t="s">
        <v>13988</v>
      </c>
      <c r="I1787" t="s">
        <v>3178</v>
      </c>
      <c r="J1787" t="str">
        <f>RIGHT(D1787,4)</f>
        <v>8174</v>
      </c>
      <c r="K1787" t="str">
        <f>IFERROR(VLOOKUP(VALUE(J1787),'Site Info'!$A:$G,3,FALSE),"")</f>
        <v>3134 E 79TH AVE</v>
      </c>
      <c r="L1787" t="str">
        <f>IFERROR(VLOOKUP(VALUE(J1787),'Site Info'!$A:$G,4,FALSE),"")</f>
        <v>MERRILLVILLE</v>
      </c>
      <c r="M1787" t="str">
        <f>IFERROR(VLOOKUP(VALUE(J1787),'Site Info'!$A:$G,5,FALSE),"")</f>
        <v>IN</v>
      </c>
      <c r="N1787" t="str">
        <f>IFERROR(VLOOKUP(VALUE(J1787),'Site Info'!$A:$G,6,FALSE),"")</f>
        <v>46410-5738</v>
      </c>
      <c r="O1787">
        <f>IFERROR(VLOOKUP(VALUE(J1787),'Site Info'!$A:$G,7,FALSE),"")</f>
        <v>2199423711</v>
      </c>
    </row>
    <row r="1788" spans="1:15" x14ac:dyDescent="0.45">
      <c r="A1788" t="s">
        <v>12854</v>
      </c>
      <c r="B1788" t="s">
        <v>12855</v>
      </c>
      <c r="C1788" t="s">
        <v>12856</v>
      </c>
      <c r="D1788" t="s">
        <v>9246</v>
      </c>
      <c r="E1788" s="1">
        <v>46144.399513888886</v>
      </c>
      <c r="F1788">
        <v>1547</v>
      </c>
      <c r="G1788" t="s">
        <v>12857</v>
      </c>
      <c r="H1788" t="s">
        <v>15</v>
      </c>
      <c r="I1788" t="s">
        <v>9248</v>
      </c>
      <c r="J1788" t="str">
        <f>RIGHT(D1788,4)</f>
        <v>8264</v>
      </c>
      <c r="K1788" t="str">
        <f>IFERROR(VLOOKUP(VALUE(J1788),'Site Info'!$A:$G,3,FALSE),"")</f>
        <v>3150 SW MILITARY DR</v>
      </c>
      <c r="L1788" t="str">
        <f>IFERROR(VLOOKUP(VALUE(J1788),'Site Info'!$A:$G,4,FALSE),"")</f>
        <v>SAN ANTONIO</v>
      </c>
      <c r="M1788" t="str">
        <f>IFERROR(VLOOKUP(VALUE(J1788),'Site Info'!$A:$G,5,FALSE),"")</f>
        <v>TX</v>
      </c>
      <c r="N1788" t="str">
        <f>IFERROR(VLOOKUP(VALUE(J1788),'Site Info'!$A:$G,6,FALSE),"")</f>
        <v>78224-1038</v>
      </c>
      <c r="O1788">
        <f>IFERROR(VLOOKUP(VALUE(J1788),'Site Info'!$A:$G,7,FALSE),"")</f>
        <v>2109273593</v>
      </c>
    </row>
    <row r="1789" spans="1:15" x14ac:dyDescent="0.45">
      <c r="A1789" t="s">
        <v>11452</v>
      </c>
      <c r="B1789" t="s">
        <v>11453</v>
      </c>
      <c r="C1789" t="s">
        <v>11454</v>
      </c>
      <c r="D1789" t="s">
        <v>9246</v>
      </c>
      <c r="E1789" s="1">
        <v>46152.660127314812</v>
      </c>
      <c r="F1789">
        <v>1547</v>
      </c>
      <c r="G1789" t="s">
        <v>11455</v>
      </c>
      <c r="H1789" t="s">
        <v>15</v>
      </c>
      <c r="I1789" t="s">
        <v>9248</v>
      </c>
      <c r="J1789" t="str">
        <f>RIGHT(D1789,4)</f>
        <v>8264</v>
      </c>
      <c r="K1789" t="str">
        <f>IFERROR(VLOOKUP(VALUE(J1789),'Site Info'!$A:$G,3,FALSE),"")</f>
        <v>3150 SW MILITARY DR</v>
      </c>
      <c r="L1789" t="str">
        <f>IFERROR(VLOOKUP(VALUE(J1789),'Site Info'!$A:$G,4,FALSE),"")</f>
        <v>SAN ANTONIO</v>
      </c>
      <c r="M1789" t="str">
        <f>IFERROR(VLOOKUP(VALUE(J1789),'Site Info'!$A:$G,5,FALSE),"")</f>
        <v>TX</v>
      </c>
      <c r="N1789" t="str">
        <f>IFERROR(VLOOKUP(VALUE(J1789),'Site Info'!$A:$G,6,FALSE),"")</f>
        <v>78224-1038</v>
      </c>
      <c r="O1789">
        <f>IFERROR(VLOOKUP(VALUE(J1789),'Site Info'!$A:$G,7,FALSE),"")</f>
        <v>2109273593</v>
      </c>
    </row>
    <row r="1790" spans="1:15" x14ac:dyDescent="0.45">
      <c r="A1790" t="s">
        <v>9243</v>
      </c>
      <c r="B1790" t="s">
        <v>9244</v>
      </c>
      <c r="C1790" t="s">
        <v>9245</v>
      </c>
      <c r="D1790" t="s">
        <v>9246</v>
      </c>
      <c r="E1790" s="1">
        <v>46152.668599537035</v>
      </c>
      <c r="F1790">
        <v>1547</v>
      </c>
      <c r="G1790" t="s">
        <v>9247</v>
      </c>
      <c r="H1790" t="s">
        <v>15</v>
      </c>
      <c r="I1790" t="s">
        <v>9248</v>
      </c>
      <c r="J1790" t="str">
        <f>RIGHT(D1790,4)</f>
        <v>8264</v>
      </c>
      <c r="K1790" t="str">
        <f>IFERROR(VLOOKUP(VALUE(J1790),'Site Info'!$A:$G,3,FALSE),"")</f>
        <v>3150 SW MILITARY DR</v>
      </c>
      <c r="L1790" t="str">
        <f>IFERROR(VLOOKUP(VALUE(J1790),'Site Info'!$A:$G,4,FALSE),"")</f>
        <v>SAN ANTONIO</v>
      </c>
      <c r="M1790" t="str">
        <f>IFERROR(VLOOKUP(VALUE(J1790),'Site Info'!$A:$G,5,FALSE),"")</f>
        <v>TX</v>
      </c>
      <c r="N1790" t="str">
        <f>IFERROR(VLOOKUP(VALUE(J1790),'Site Info'!$A:$G,6,FALSE),"")</f>
        <v>78224-1038</v>
      </c>
      <c r="O1790">
        <f>IFERROR(VLOOKUP(VALUE(J1790),'Site Info'!$A:$G,7,FALSE),"")</f>
        <v>2109273593</v>
      </c>
    </row>
    <row r="1791" spans="1:15" x14ac:dyDescent="0.45">
      <c r="A1791" t="s">
        <v>11360</v>
      </c>
      <c r="B1791" t="s">
        <v>11361</v>
      </c>
      <c r="C1791" t="s">
        <v>11362</v>
      </c>
      <c r="D1791" t="s">
        <v>9246</v>
      </c>
      <c r="E1791" s="1">
        <v>46153.174849537034</v>
      </c>
      <c r="F1791">
        <v>1547</v>
      </c>
      <c r="G1791" t="s">
        <v>11363</v>
      </c>
      <c r="H1791" t="s">
        <v>15</v>
      </c>
      <c r="I1791" t="s">
        <v>9248</v>
      </c>
      <c r="J1791" t="str">
        <f>RIGHT(D1791,4)</f>
        <v>8264</v>
      </c>
      <c r="K1791" t="str">
        <f>IFERROR(VLOOKUP(VALUE(J1791),'Site Info'!$A:$G,3,FALSE),"")</f>
        <v>3150 SW MILITARY DR</v>
      </c>
      <c r="L1791" t="str">
        <f>IFERROR(VLOOKUP(VALUE(J1791),'Site Info'!$A:$G,4,FALSE),"")</f>
        <v>SAN ANTONIO</v>
      </c>
      <c r="M1791" t="str">
        <f>IFERROR(VLOOKUP(VALUE(J1791),'Site Info'!$A:$G,5,FALSE),"")</f>
        <v>TX</v>
      </c>
      <c r="N1791" t="str">
        <f>IFERROR(VLOOKUP(VALUE(J1791),'Site Info'!$A:$G,6,FALSE),"")</f>
        <v>78224-1038</v>
      </c>
      <c r="O1791">
        <f>IFERROR(VLOOKUP(VALUE(J1791),'Site Info'!$A:$G,7,FALSE),"")</f>
        <v>2109273593</v>
      </c>
    </row>
    <row r="1792" spans="1:15" x14ac:dyDescent="0.45">
      <c r="A1792" t="s">
        <v>5714</v>
      </c>
      <c r="B1792" t="s">
        <v>5715</v>
      </c>
      <c r="C1792" t="s">
        <v>5716</v>
      </c>
      <c r="D1792" t="s">
        <v>2802</v>
      </c>
      <c r="E1792" s="1">
        <v>46151.054108796299</v>
      </c>
      <c r="F1792">
        <v>1547</v>
      </c>
      <c r="G1792" t="s">
        <v>5717</v>
      </c>
      <c r="H1792" t="s">
        <v>15</v>
      </c>
      <c r="I1792" t="s">
        <v>2804</v>
      </c>
      <c r="J1792" t="str">
        <f>RIGHT(D1792,4)</f>
        <v>6662</v>
      </c>
      <c r="K1792" t="str">
        <f>IFERROR(VLOOKUP(VALUE(J1792),'Site Info'!$A:$G,3,FALSE),"")</f>
        <v>31720 GRATIOT AVE</v>
      </c>
      <c r="L1792" t="str">
        <f>IFERROR(VLOOKUP(VALUE(J1792),'Site Info'!$A:$G,4,FALSE),"")</f>
        <v>ROSEVILLE</v>
      </c>
      <c r="M1792" t="str">
        <f>IFERROR(VLOOKUP(VALUE(J1792),'Site Info'!$A:$G,5,FALSE),"")</f>
        <v>MI</v>
      </c>
      <c r="N1792" t="str">
        <f>IFERROR(VLOOKUP(VALUE(J1792),'Site Info'!$A:$G,6,FALSE),"")</f>
        <v>48066-4554</v>
      </c>
      <c r="O1792">
        <f>IFERROR(VLOOKUP(VALUE(J1792),'Site Info'!$A:$G,7,FALSE),"")</f>
        <v>5864159987</v>
      </c>
    </row>
    <row r="1793" spans="1:15" x14ac:dyDescent="0.45">
      <c r="A1793" t="s">
        <v>5238</v>
      </c>
      <c r="B1793" t="s">
        <v>5239</v>
      </c>
      <c r="C1793" t="s">
        <v>5240</v>
      </c>
      <c r="D1793" t="s">
        <v>2802</v>
      </c>
      <c r="E1793" s="1">
        <v>46151.687152777777</v>
      </c>
      <c r="F1793">
        <v>1547</v>
      </c>
      <c r="G1793" t="s">
        <v>5241</v>
      </c>
      <c r="H1793" t="s">
        <v>15</v>
      </c>
      <c r="I1793" t="s">
        <v>2804</v>
      </c>
      <c r="J1793" t="str">
        <f>RIGHT(D1793,4)</f>
        <v>6662</v>
      </c>
      <c r="K1793" t="str">
        <f>IFERROR(VLOOKUP(VALUE(J1793),'Site Info'!$A:$G,3,FALSE),"")</f>
        <v>31720 GRATIOT AVE</v>
      </c>
      <c r="L1793" t="str">
        <f>IFERROR(VLOOKUP(VALUE(J1793),'Site Info'!$A:$G,4,FALSE),"")</f>
        <v>ROSEVILLE</v>
      </c>
      <c r="M1793" t="str">
        <f>IFERROR(VLOOKUP(VALUE(J1793),'Site Info'!$A:$G,5,FALSE),"")</f>
        <v>MI</v>
      </c>
      <c r="N1793" t="str">
        <f>IFERROR(VLOOKUP(VALUE(J1793),'Site Info'!$A:$G,6,FALSE),"")</f>
        <v>48066-4554</v>
      </c>
      <c r="O1793">
        <f>IFERROR(VLOOKUP(VALUE(J1793),'Site Info'!$A:$G,7,FALSE),"")</f>
        <v>5864159987</v>
      </c>
    </row>
    <row r="1794" spans="1:15" x14ac:dyDescent="0.45">
      <c r="A1794" t="s">
        <v>14115</v>
      </c>
      <c r="B1794" t="s">
        <v>14116</v>
      </c>
      <c r="C1794" t="s">
        <v>14117</v>
      </c>
      <c r="D1794" t="s">
        <v>2802</v>
      </c>
      <c r="E1794" s="1">
        <v>46151.688171296293</v>
      </c>
      <c r="F1794">
        <v>1547</v>
      </c>
      <c r="G1794" t="s">
        <v>14118</v>
      </c>
      <c r="H1794" t="s">
        <v>15</v>
      </c>
      <c r="I1794" t="s">
        <v>2804</v>
      </c>
      <c r="J1794" t="str">
        <f>RIGHT(D1794,4)</f>
        <v>6662</v>
      </c>
      <c r="K1794" t="str">
        <f>IFERROR(VLOOKUP(VALUE(J1794),'Site Info'!$A:$G,3,FALSE),"")</f>
        <v>31720 GRATIOT AVE</v>
      </c>
      <c r="L1794" t="str">
        <f>IFERROR(VLOOKUP(VALUE(J1794),'Site Info'!$A:$G,4,FALSE),"")</f>
        <v>ROSEVILLE</v>
      </c>
      <c r="M1794" t="str">
        <f>IFERROR(VLOOKUP(VALUE(J1794),'Site Info'!$A:$G,5,FALSE),"")</f>
        <v>MI</v>
      </c>
      <c r="N1794" t="str">
        <f>IFERROR(VLOOKUP(VALUE(J1794),'Site Info'!$A:$G,6,FALSE),"")</f>
        <v>48066-4554</v>
      </c>
      <c r="O1794">
        <f>IFERROR(VLOOKUP(VALUE(J1794),'Site Info'!$A:$G,7,FALSE),"")</f>
        <v>5864159987</v>
      </c>
    </row>
    <row r="1795" spans="1:15" x14ac:dyDescent="0.45">
      <c r="A1795" t="s">
        <v>14151</v>
      </c>
      <c r="B1795" t="s">
        <v>14152</v>
      </c>
      <c r="C1795" t="s">
        <v>14153</v>
      </c>
      <c r="D1795" t="s">
        <v>2802</v>
      </c>
      <c r="E1795" s="1">
        <v>46152.204293981478</v>
      </c>
      <c r="F1795">
        <v>1547</v>
      </c>
      <c r="G1795" t="s">
        <v>14154</v>
      </c>
      <c r="H1795" t="s">
        <v>15</v>
      </c>
      <c r="I1795" t="s">
        <v>2804</v>
      </c>
      <c r="J1795" t="str">
        <f>RIGHT(D1795,4)</f>
        <v>6662</v>
      </c>
      <c r="K1795" t="str">
        <f>IFERROR(VLOOKUP(VALUE(J1795),'Site Info'!$A:$G,3,FALSE),"")</f>
        <v>31720 GRATIOT AVE</v>
      </c>
      <c r="L1795" t="str">
        <f>IFERROR(VLOOKUP(VALUE(J1795),'Site Info'!$A:$G,4,FALSE),"")</f>
        <v>ROSEVILLE</v>
      </c>
      <c r="M1795" t="str">
        <f>IFERROR(VLOOKUP(VALUE(J1795),'Site Info'!$A:$G,5,FALSE),"")</f>
        <v>MI</v>
      </c>
      <c r="N1795" t="str">
        <f>IFERROR(VLOOKUP(VALUE(J1795),'Site Info'!$A:$G,6,FALSE),"")</f>
        <v>48066-4554</v>
      </c>
      <c r="O1795">
        <f>IFERROR(VLOOKUP(VALUE(J1795),'Site Info'!$A:$G,7,FALSE),"")</f>
        <v>5864159987</v>
      </c>
    </row>
    <row r="1796" spans="1:15" x14ac:dyDescent="0.45">
      <c r="A1796" t="s">
        <v>5744</v>
      </c>
      <c r="B1796" t="s">
        <v>5745</v>
      </c>
      <c r="C1796" t="s">
        <v>5746</v>
      </c>
      <c r="D1796" t="s">
        <v>2802</v>
      </c>
      <c r="E1796" s="1">
        <v>46152.444976851853</v>
      </c>
      <c r="F1796">
        <v>1547</v>
      </c>
      <c r="G1796" t="s">
        <v>5747</v>
      </c>
      <c r="H1796" t="s">
        <v>15</v>
      </c>
      <c r="I1796" t="s">
        <v>2804</v>
      </c>
      <c r="J1796" t="str">
        <f>RIGHT(D1796,4)</f>
        <v>6662</v>
      </c>
      <c r="K1796" t="str">
        <f>IFERROR(VLOOKUP(VALUE(J1796),'Site Info'!$A:$G,3,FALSE),"")</f>
        <v>31720 GRATIOT AVE</v>
      </c>
      <c r="L1796" t="str">
        <f>IFERROR(VLOOKUP(VALUE(J1796),'Site Info'!$A:$G,4,FALSE),"")</f>
        <v>ROSEVILLE</v>
      </c>
      <c r="M1796" t="str">
        <f>IFERROR(VLOOKUP(VALUE(J1796),'Site Info'!$A:$G,5,FALSE),"")</f>
        <v>MI</v>
      </c>
      <c r="N1796" t="str">
        <f>IFERROR(VLOOKUP(VALUE(J1796),'Site Info'!$A:$G,6,FALSE),"")</f>
        <v>48066-4554</v>
      </c>
      <c r="O1796">
        <f>IFERROR(VLOOKUP(VALUE(J1796),'Site Info'!$A:$G,7,FALSE),"")</f>
        <v>5864159987</v>
      </c>
    </row>
    <row r="1797" spans="1:15" x14ac:dyDescent="0.45">
      <c r="A1797" t="s">
        <v>5392</v>
      </c>
      <c r="B1797" t="s">
        <v>5393</v>
      </c>
      <c r="C1797" t="s">
        <v>5394</v>
      </c>
      <c r="D1797" t="s">
        <v>2802</v>
      </c>
      <c r="E1797" s="1">
        <v>46153.364976851852</v>
      </c>
      <c r="F1797">
        <v>1547</v>
      </c>
      <c r="G1797" t="s">
        <v>5395</v>
      </c>
      <c r="H1797" t="s">
        <v>15</v>
      </c>
      <c r="I1797" t="s">
        <v>2804</v>
      </c>
      <c r="J1797" t="str">
        <f>RIGHT(D1797,4)</f>
        <v>6662</v>
      </c>
      <c r="K1797" t="str">
        <f>IFERROR(VLOOKUP(VALUE(J1797),'Site Info'!$A:$G,3,FALSE),"")</f>
        <v>31720 GRATIOT AVE</v>
      </c>
      <c r="L1797" t="str">
        <f>IFERROR(VLOOKUP(VALUE(J1797),'Site Info'!$A:$G,4,FALSE),"")</f>
        <v>ROSEVILLE</v>
      </c>
      <c r="M1797" t="str">
        <f>IFERROR(VLOOKUP(VALUE(J1797),'Site Info'!$A:$G,5,FALSE),"")</f>
        <v>MI</v>
      </c>
      <c r="N1797" t="str">
        <f>IFERROR(VLOOKUP(VALUE(J1797),'Site Info'!$A:$G,6,FALSE),"")</f>
        <v>48066-4554</v>
      </c>
      <c r="O1797">
        <f>IFERROR(VLOOKUP(VALUE(J1797),'Site Info'!$A:$G,7,FALSE),"")</f>
        <v>5864159987</v>
      </c>
    </row>
    <row r="1798" spans="1:15" x14ac:dyDescent="0.45">
      <c r="A1798" t="s">
        <v>3003</v>
      </c>
      <c r="B1798" t="s">
        <v>3004</v>
      </c>
      <c r="C1798" t="s">
        <v>3005</v>
      </c>
      <c r="D1798" t="s">
        <v>2802</v>
      </c>
      <c r="E1798" s="1">
        <v>46152.485729166663</v>
      </c>
      <c r="F1798">
        <v>1481</v>
      </c>
      <c r="G1798" t="s">
        <v>3006</v>
      </c>
      <c r="H1798" t="s">
        <v>15</v>
      </c>
      <c r="I1798" t="s">
        <v>2804</v>
      </c>
      <c r="J1798" t="str">
        <f>RIGHT(D1798,4)</f>
        <v>6662</v>
      </c>
      <c r="K1798" t="str">
        <f>IFERROR(VLOOKUP(VALUE(J1798),'Site Info'!$A:$G,3,FALSE),"")</f>
        <v>31720 GRATIOT AVE</v>
      </c>
      <c r="L1798" t="str">
        <f>IFERROR(VLOOKUP(VALUE(J1798),'Site Info'!$A:$G,4,FALSE),"")</f>
        <v>ROSEVILLE</v>
      </c>
      <c r="M1798" t="str">
        <f>IFERROR(VLOOKUP(VALUE(J1798),'Site Info'!$A:$G,5,FALSE),"")</f>
        <v>MI</v>
      </c>
      <c r="N1798" t="str">
        <f>IFERROR(VLOOKUP(VALUE(J1798),'Site Info'!$A:$G,6,FALSE),"")</f>
        <v>48066-4554</v>
      </c>
      <c r="O1798">
        <f>IFERROR(VLOOKUP(VALUE(J1798),'Site Info'!$A:$G,7,FALSE),"")</f>
        <v>5864159987</v>
      </c>
    </row>
    <row r="1799" spans="1:15" x14ac:dyDescent="0.45">
      <c r="A1799" t="s">
        <v>2799</v>
      </c>
      <c r="B1799" t="s">
        <v>2800</v>
      </c>
      <c r="C1799" t="s">
        <v>2801</v>
      </c>
      <c r="D1799" t="s">
        <v>2802</v>
      </c>
      <c r="E1799" s="1">
        <v>46153.235000000001</v>
      </c>
      <c r="F1799">
        <v>1481</v>
      </c>
      <c r="G1799" t="s">
        <v>2803</v>
      </c>
      <c r="H1799" t="s">
        <v>15</v>
      </c>
      <c r="I1799" t="s">
        <v>2804</v>
      </c>
      <c r="J1799" t="str">
        <f>RIGHT(D1799,4)</f>
        <v>6662</v>
      </c>
      <c r="K1799" t="str">
        <f>IFERROR(VLOOKUP(VALUE(J1799),'Site Info'!$A:$G,3,FALSE),"")</f>
        <v>31720 GRATIOT AVE</v>
      </c>
      <c r="L1799" t="str">
        <f>IFERROR(VLOOKUP(VALUE(J1799),'Site Info'!$A:$G,4,FALSE),"")</f>
        <v>ROSEVILLE</v>
      </c>
      <c r="M1799" t="str">
        <f>IFERROR(VLOOKUP(VALUE(J1799),'Site Info'!$A:$G,5,FALSE),"")</f>
        <v>MI</v>
      </c>
      <c r="N1799" t="str">
        <f>IFERROR(VLOOKUP(VALUE(J1799),'Site Info'!$A:$G,6,FALSE),"")</f>
        <v>48066-4554</v>
      </c>
      <c r="O1799">
        <f>IFERROR(VLOOKUP(VALUE(J1799),'Site Info'!$A:$G,7,FALSE),"")</f>
        <v>5864159987</v>
      </c>
    </row>
    <row r="1800" spans="1:15" x14ac:dyDescent="0.45">
      <c r="A1800" t="s">
        <v>2877</v>
      </c>
      <c r="B1800" t="s">
        <v>2878</v>
      </c>
      <c r="C1800" t="s">
        <v>2879</v>
      </c>
      <c r="D1800" t="s">
        <v>2802</v>
      </c>
      <c r="E1800" s="1">
        <v>46153.347488425927</v>
      </c>
      <c r="F1800">
        <v>1481</v>
      </c>
      <c r="G1800" t="s">
        <v>2880</v>
      </c>
      <c r="H1800" t="s">
        <v>15</v>
      </c>
      <c r="I1800" t="s">
        <v>2804</v>
      </c>
      <c r="J1800" t="str">
        <f>RIGHT(D1800,4)</f>
        <v>6662</v>
      </c>
      <c r="K1800" t="str">
        <f>IFERROR(VLOOKUP(VALUE(J1800),'Site Info'!$A:$G,3,FALSE),"")</f>
        <v>31720 GRATIOT AVE</v>
      </c>
      <c r="L1800" t="str">
        <f>IFERROR(VLOOKUP(VALUE(J1800),'Site Info'!$A:$G,4,FALSE),"")</f>
        <v>ROSEVILLE</v>
      </c>
      <c r="M1800" t="str">
        <f>IFERROR(VLOOKUP(VALUE(J1800),'Site Info'!$A:$G,5,FALSE),"")</f>
        <v>MI</v>
      </c>
      <c r="N1800" t="str">
        <f>IFERROR(VLOOKUP(VALUE(J1800),'Site Info'!$A:$G,6,FALSE),"")</f>
        <v>48066-4554</v>
      </c>
      <c r="O1800">
        <f>IFERROR(VLOOKUP(VALUE(J1800),'Site Info'!$A:$G,7,FALSE),"")</f>
        <v>5864159987</v>
      </c>
    </row>
    <row r="1801" spans="1:15" x14ac:dyDescent="0.45">
      <c r="A1801" t="s">
        <v>17032</v>
      </c>
      <c r="B1801" t="s">
        <v>17033</v>
      </c>
      <c r="C1801" t="s">
        <v>17034</v>
      </c>
      <c r="D1801" t="s">
        <v>2802</v>
      </c>
      <c r="E1801" s="1">
        <v>46153.367060185185</v>
      </c>
      <c r="F1801">
        <v>1481</v>
      </c>
      <c r="G1801" t="s">
        <v>17035</v>
      </c>
      <c r="H1801" t="s">
        <v>15</v>
      </c>
      <c r="I1801" t="s">
        <v>2804</v>
      </c>
      <c r="J1801" t="str">
        <f>RIGHT(D1801,4)</f>
        <v>6662</v>
      </c>
      <c r="K1801" t="str">
        <f>IFERROR(VLOOKUP(VALUE(J1801),'Site Info'!$A:$G,3,FALSE),"")</f>
        <v>31720 GRATIOT AVE</v>
      </c>
      <c r="L1801" t="str">
        <f>IFERROR(VLOOKUP(VALUE(J1801),'Site Info'!$A:$G,4,FALSE),"")</f>
        <v>ROSEVILLE</v>
      </c>
      <c r="M1801" t="str">
        <f>IFERROR(VLOOKUP(VALUE(J1801),'Site Info'!$A:$G,5,FALSE),"")</f>
        <v>MI</v>
      </c>
      <c r="N1801" t="str">
        <f>IFERROR(VLOOKUP(VALUE(J1801),'Site Info'!$A:$G,6,FALSE),"")</f>
        <v>48066-4554</v>
      </c>
      <c r="O1801">
        <f>IFERROR(VLOOKUP(VALUE(J1801),'Site Info'!$A:$G,7,FALSE),"")</f>
        <v>5864159987</v>
      </c>
    </row>
    <row r="1802" spans="1:15" x14ac:dyDescent="0.45">
      <c r="A1802" t="s">
        <v>7601</v>
      </c>
      <c r="B1802" t="s">
        <v>7602</v>
      </c>
      <c r="C1802" t="s">
        <v>7603</v>
      </c>
      <c r="D1802" t="s">
        <v>7364</v>
      </c>
      <c r="E1802" s="1">
        <v>46150.465439814812</v>
      </c>
      <c r="F1802">
        <v>1547</v>
      </c>
      <c r="G1802" t="s">
        <v>7604</v>
      </c>
      <c r="H1802" t="s">
        <v>15</v>
      </c>
      <c r="I1802" t="s">
        <v>7366</v>
      </c>
      <c r="J1802" t="str">
        <f>RIGHT(D1802,4)</f>
        <v>6671</v>
      </c>
      <c r="K1802" t="str">
        <f>IFERROR(VLOOKUP(VALUE(J1802),'Site Info'!$A:$G,3,FALSE),"")</f>
        <v>320 W MAIN ST</v>
      </c>
      <c r="L1802" t="str">
        <f>IFERROR(VLOOKUP(VALUE(J1802),'Site Info'!$A:$G,4,FALSE),"")</f>
        <v>FREEHOLD</v>
      </c>
      <c r="M1802" t="str">
        <f>IFERROR(VLOOKUP(VALUE(J1802),'Site Info'!$A:$G,5,FALSE),"")</f>
        <v>NJ</v>
      </c>
      <c r="N1802" t="str">
        <f>IFERROR(VLOOKUP(VALUE(J1802),'Site Info'!$A:$G,6,FALSE),"")</f>
        <v>07728-2524</v>
      </c>
      <c r="O1802">
        <f>IFERROR(VLOOKUP(VALUE(J1802),'Site Info'!$A:$G,7,FALSE),"")</f>
        <v>7327803943</v>
      </c>
    </row>
    <row r="1803" spans="1:15" x14ac:dyDescent="0.45">
      <c r="A1803" t="s">
        <v>7361</v>
      </c>
      <c r="B1803" t="s">
        <v>7362</v>
      </c>
      <c r="C1803" t="s">
        <v>7363</v>
      </c>
      <c r="D1803" t="s">
        <v>7364</v>
      </c>
      <c r="E1803" s="1">
        <v>46153.276875000003</v>
      </c>
      <c r="F1803">
        <v>1547</v>
      </c>
      <c r="G1803" t="s">
        <v>7365</v>
      </c>
      <c r="H1803" t="s">
        <v>15</v>
      </c>
      <c r="I1803" t="s">
        <v>7366</v>
      </c>
      <c r="J1803" t="str">
        <f>RIGHT(D1803,4)</f>
        <v>6671</v>
      </c>
      <c r="K1803" t="str">
        <f>IFERROR(VLOOKUP(VALUE(J1803),'Site Info'!$A:$G,3,FALSE),"")</f>
        <v>320 W MAIN ST</v>
      </c>
      <c r="L1803" t="str">
        <f>IFERROR(VLOOKUP(VALUE(J1803),'Site Info'!$A:$G,4,FALSE),"")</f>
        <v>FREEHOLD</v>
      </c>
      <c r="M1803" t="str">
        <f>IFERROR(VLOOKUP(VALUE(J1803),'Site Info'!$A:$G,5,FALSE),"")</f>
        <v>NJ</v>
      </c>
      <c r="N1803" t="str">
        <f>IFERROR(VLOOKUP(VALUE(J1803),'Site Info'!$A:$G,6,FALSE),"")</f>
        <v>07728-2524</v>
      </c>
      <c r="O1803">
        <f>IFERROR(VLOOKUP(VALUE(J1803),'Site Info'!$A:$G,7,FALSE),"")</f>
        <v>7327803943</v>
      </c>
    </row>
    <row r="1804" spans="1:15" x14ac:dyDescent="0.45">
      <c r="A1804" t="s">
        <v>7567</v>
      </c>
      <c r="B1804" t="s">
        <v>7568</v>
      </c>
      <c r="C1804" t="s">
        <v>7569</v>
      </c>
      <c r="D1804" t="s">
        <v>7364</v>
      </c>
      <c r="E1804" s="1">
        <v>46153.302164351851</v>
      </c>
      <c r="F1804">
        <v>1547</v>
      </c>
      <c r="G1804" t="s">
        <v>7570</v>
      </c>
      <c r="H1804" t="s">
        <v>15</v>
      </c>
      <c r="I1804" t="s">
        <v>7366</v>
      </c>
      <c r="J1804" t="str">
        <f>RIGHT(D1804,4)</f>
        <v>6671</v>
      </c>
      <c r="K1804" t="str">
        <f>IFERROR(VLOOKUP(VALUE(J1804),'Site Info'!$A:$G,3,FALSE),"")</f>
        <v>320 W MAIN ST</v>
      </c>
      <c r="L1804" t="str">
        <f>IFERROR(VLOOKUP(VALUE(J1804),'Site Info'!$A:$G,4,FALSE),"")</f>
        <v>FREEHOLD</v>
      </c>
      <c r="M1804" t="str">
        <f>IFERROR(VLOOKUP(VALUE(J1804),'Site Info'!$A:$G,5,FALSE),"")</f>
        <v>NJ</v>
      </c>
      <c r="N1804" t="str">
        <f>IFERROR(VLOOKUP(VALUE(J1804),'Site Info'!$A:$G,6,FALSE),"")</f>
        <v>07728-2524</v>
      </c>
      <c r="O1804">
        <f>IFERROR(VLOOKUP(VALUE(J1804),'Site Info'!$A:$G,7,FALSE),"")</f>
        <v>7327803943</v>
      </c>
    </row>
    <row r="1805" spans="1:15" x14ac:dyDescent="0.45">
      <c r="A1805" t="s">
        <v>8651</v>
      </c>
      <c r="B1805" t="s">
        <v>8652</v>
      </c>
      <c r="C1805" t="s">
        <v>8653</v>
      </c>
      <c r="D1805" t="s">
        <v>7364</v>
      </c>
      <c r="E1805" s="1">
        <v>46153.35701388889</v>
      </c>
      <c r="F1805">
        <v>1547</v>
      </c>
      <c r="G1805" t="s">
        <v>8654</v>
      </c>
      <c r="H1805" t="s">
        <v>15</v>
      </c>
      <c r="I1805" t="s">
        <v>7366</v>
      </c>
      <c r="J1805" t="str">
        <f>RIGHT(D1805,4)</f>
        <v>6671</v>
      </c>
      <c r="K1805" t="str">
        <f>IFERROR(VLOOKUP(VALUE(J1805),'Site Info'!$A:$G,3,FALSE),"")</f>
        <v>320 W MAIN ST</v>
      </c>
      <c r="L1805" t="str">
        <f>IFERROR(VLOOKUP(VALUE(J1805),'Site Info'!$A:$G,4,FALSE),"")</f>
        <v>FREEHOLD</v>
      </c>
      <c r="M1805" t="str">
        <f>IFERROR(VLOOKUP(VALUE(J1805),'Site Info'!$A:$G,5,FALSE),"")</f>
        <v>NJ</v>
      </c>
      <c r="N1805" t="str">
        <f>IFERROR(VLOOKUP(VALUE(J1805),'Site Info'!$A:$G,6,FALSE),"")</f>
        <v>07728-2524</v>
      </c>
      <c r="O1805">
        <f>IFERROR(VLOOKUP(VALUE(J1805),'Site Info'!$A:$G,7,FALSE),"")</f>
        <v>7327803943</v>
      </c>
    </row>
    <row r="1806" spans="1:15" x14ac:dyDescent="0.45">
      <c r="A1806" t="s">
        <v>17047</v>
      </c>
      <c r="B1806" t="s">
        <v>17048</v>
      </c>
      <c r="C1806" t="s">
        <v>17049</v>
      </c>
      <c r="D1806" t="s">
        <v>7364</v>
      </c>
      <c r="E1806" s="1">
        <v>46152.86513888889</v>
      </c>
      <c r="F1806">
        <v>1547</v>
      </c>
      <c r="G1806" t="s">
        <v>17050</v>
      </c>
      <c r="H1806" t="s">
        <v>15</v>
      </c>
      <c r="I1806" t="s">
        <v>7366</v>
      </c>
      <c r="J1806" t="str">
        <f>RIGHT(D1806,4)</f>
        <v>6671</v>
      </c>
      <c r="K1806" t="str">
        <f>IFERROR(VLOOKUP(VALUE(J1806),'Site Info'!$A:$G,3,FALSE),"")</f>
        <v>320 W MAIN ST</v>
      </c>
      <c r="L1806" t="str">
        <f>IFERROR(VLOOKUP(VALUE(J1806),'Site Info'!$A:$G,4,FALSE),"")</f>
        <v>FREEHOLD</v>
      </c>
      <c r="M1806" t="str">
        <f>IFERROR(VLOOKUP(VALUE(J1806),'Site Info'!$A:$G,5,FALSE),"")</f>
        <v>NJ</v>
      </c>
      <c r="N1806" t="str">
        <f>IFERROR(VLOOKUP(VALUE(J1806),'Site Info'!$A:$G,6,FALSE),"")</f>
        <v>07728-2524</v>
      </c>
      <c r="O1806">
        <f>IFERROR(VLOOKUP(VALUE(J1806),'Site Info'!$A:$G,7,FALSE),"")</f>
        <v>7327803943</v>
      </c>
    </row>
    <row r="1807" spans="1:15" x14ac:dyDescent="0.45">
      <c r="A1807" t="s">
        <v>17051</v>
      </c>
      <c r="B1807" t="s">
        <v>17052</v>
      </c>
      <c r="C1807" t="s">
        <v>17053</v>
      </c>
      <c r="D1807" t="s">
        <v>7364</v>
      </c>
      <c r="E1807" s="1">
        <v>46153.271261574075</v>
      </c>
      <c r="F1807">
        <v>1547</v>
      </c>
      <c r="G1807" t="s">
        <v>17054</v>
      </c>
      <c r="H1807" t="s">
        <v>15</v>
      </c>
      <c r="I1807" t="s">
        <v>7366</v>
      </c>
      <c r="J1807" t="str">
        <f>RIGHT(D1807,4)</f>
        <v>6671</v>
      </c>
      <c r="K1807" t="str">
        <f>IFERROR(VLOOKUP(VALUE(J1807),'Site Info'!$A:$G,3,FALSE),"")</f>
        <v>320 W MAIN ST</v>
      </c>
      <c r="L1807" t="str">
        <f>IFERROR(VLOOKUP(VALUE(J1807),'Site Info'!$A:$G,4,FALSE),"")</f>
        <v>FREEHOLD</v>
      </c>
      <c r="M1807" t="str">
        <f>IFERROR(VLOOKUP(VALUE(J1807),'Site Info'!$A:$G,5,FALSE),"")</f>
        <v>NJ</v>
      </c>
      <c r="N1807" t="str">
        <f>IFERROR(VLOOKUP(VALUE(J1807),'Site Info'!$A:$G,6,FALSE),"")</f>
        <v>07728-2524</v>
      </c>
      <c r="O1807">
        <f>IFERROR(VLOOKUP(VALUE(J1807),'Site Info'!$A:$G,7,FALSE),"")</f>
        <v>7327803943</v>
      </c>
    </row>
    <row r="1808" spans="1:15" x14ac:dyDescent="0.45">
      <c r="A1808" t="s">
        <v>17055</v>
      </c>
      <c r="B1808" t="s">
        <v>17056</v>
      </c>
      <c r="C1808" t="s">
        <v>17057</v>
      </c>
      <c r="D1808" t="s">
        <v>7364</v>
      </c>
      <c r="E1808" s="1">
        <v>46137.118287037039</v>
      </c>
      <c r="F1808">
        <v>1481</v>
      </c>
      <c r="G1808" t="s">
        <v>17058</v>
      </c>
      <c r="H1808" t="s">
        <v>15</v>
      </c>
      <c r="I1808" t="s">
        <v>7366</v>
      </c>
      <c r="J1808" t="str">
        <f>RIGHT(D1808,4)</f>
        <v>6671</v>
      </c>
      <c r="K1808" t="str">
        <f>IFERROR(VLOOKUP(VALUE(J1808),'Site Info'!$A:$G,3,FALSE),"")</f>
        <v>320 W MAIN ST</v>
      </c>
      <c r="L1808" t="str">
        <f>IFERROR(VLOOKUP(VALUE(J1808),'Site Info'!$A:$G,4,FALSE),"")</f>
        <v>FREEHOLD</v>
      </c>
      <c r="M1808" t="str">
        <f>IFERROR(VLOOKUP(VALUE(J1808),'Site Info'!$A:$G,5,FALSE),"")</f>
        <v>NJ</v>
      </c>
      <c r="N1808" t="str">
        <f>IFERROR(VLOOKUP(VALUE(J1808),'Site Info'!$A:$G,6,FALSE),"")</f>
        <v>07728-2524</v>
      </c>
      <c r="O1808">
        <f>IFERROR(VLOOKUP(VALUE(J1808),'Site Info'!$A:$G,7,FALSE),"")</f>
        <v>7327803943</v>
      </c>
    </row>
    <row r="1809" spans="1:15" x14ac:dyDescent="0.45">
      <c r="A1809" t="s">
        <v>12184</v>
      </c>
      <c r="B1809" t="s">
        <v>12185</v>
      </c>
      <c r="C1809" t="s">
        <v>12186</v>
      </c>
      <c r="D1809" t="s">
        <v>4075</v>
      </c>
      <c r="E1809" s="1">
        <v>46146.604525462964</v>
      </c>
      <c r="F1809">
        <v>1547</v>
      </c>
      <c r="G1809" t="s">
        <v>12187</v>
      </c>
      <c r="H1809" t="s">
        <v>15</v>
      </c>
      <c r="I1809" t="s">
        <v>4077</v>
      </c>
      <c r="J1809" t="str">
        <f>RIGHT(D1809,4)</f>
        <v>4876</v>
      </c>
      <c r="K1809" t="str">
        <f>IFERROR(VLOOKUP(VALUE(J1809),'Site Info'!$A:$G,3,FALSE),"")</f>
        <v>3200 KEN BALE BLVD</v>
      </c>
      <c r="L1809" t="str">
        <f>IFERROR(VLOOKUP(VALUE(J1809),'Site Info'!$A:$G,4,FALSE),"")</f>
        <v>BOWLING GREEN</v>
      </c>
      <c r="M1809" t="str">
        <f>IFERROR(VLOOKUP(VALUE(J1809),'Site Info'!$A:$G,5,FALSE),"")</f>
        <v>KY</v>
      </c>
      <c r="N1809" t="str">
        <f>IFERROR(VLOOKUP(VALUE(J1809),'Site Info'!$A:$G,6,FALSE),"")</f>
        <v>42103-6025</v>
      </c>
      <c r="O1809">
        <f>IFERROR(VLOOKUP(VALUE(J1809),'Site Info'!$A:$G,7,FALSE),"")</f>
        <v>2707817775</v>
      </c>
    </row>
    <row r="1810" spans="1:15" x14ac:dyDescent="0.45">
      <c r="A1810" t="s">
        <v>13976</v>
      </c>
      <c r="B1810" t="s">
        <v>13977</v>
      </c>
      <c r="C1810" t="s">
        <v>13978</v>
      </c>
      <c r="D1810" t="s">
        <v>4075</v>
      </c>
      <c r="E1810" s="1">
        <v>46151.709953703707</v>
      </c>
      <c r="F1810">
        <v>1547</v>
      </c>
      <c r="G1810" t="s">
        <v>13979</v>
      </c>
      <c r="H1810" t="s">
        <v>15</v>
      </c>
      <c r="I1810" t="s">
        <v>4077</v>
      </c>
      <c r="J1810" t="str">
        <f>RIGHT(D1810,4)</f>
        <v>4876</v>
      </c>
      <c r="K1810" t="str">
        <f>IFERROR(VLOOKUP(VALUE(J1810),'Site Info'!$A:$G,3,FALSE),"")</f>
        <v>3200 KEN BALE BLVD</v>
      </c>
      <c r="L1810" t="str">
        <f>IFERROR(VLOOKUP(VALUE(J1810),'Site Info'!$A:$G,4,FALSE),"")</f>
        <v>BOWLING GREEN</v>
      </c>
      <c r="M1810" t="str">
        <f>IFERROR(VLOOKUP(VALUE(J1810),'Site Info'!$A:$G,5,FALSE),"")</f>
        <v>KY</v>
      </c>
      <c r="N1810" t="str">
        <f>IFERROR(VLOOKUP(VALUE(J1810),'Site Info'!$A:$G,6,FALSE),"")</f>
        <v>42103-6025</v>
      </c>
      <c r="O1810">
        <f>IFERROR(VLOOKUP(VALUE(J1810),'Site Info'!$A:$G,7,FALSE),"")</f>
        <v>2707817775</v>
      </c>
    </row>
    <row r="1811" spans="1:15" x14ac:dyDescent="0.45">
      <c r="A1811" t="s">
        <v>13860</v>
      </c>
      <c r="B1811" t="s">
        <v>13861</v>
      </c>
      <c r="C1811" t="s">
        <v>13862</v>
      </c>
      <c r="D1811" t="s">
        <v>4075</v>
      </c>
      <c r="E1811" s="1">
        <v>46152.64603009259</v>
      </c>
      <c r="F1811">
        <v>1547</v>
      </c>
      <c r="G1811" t="s">
        <v>13863</v>
      </c>
      <c r="H1811" t="s">
        <v>15</v>
      </c>
      <c r="I1811" t="s">
        <v>4077</v>
      </c>
      <c r="J1811" t="str">
        <f>RIGHT(D1811,4)</f>
        <v>4876</v>
      </c>
      <c r="K1811" t="str">
        <f>IFERROR(VLOOKUP(VALUE(J1811),'Site Info'!$A:$G,3,FALSE),"")</f>
        <v>3200 KEN BALE BLVD</v>
      </c>
      <c r="L1811" t="str">
        <f>IFERROR(VLOOKUP(VALUE(J1811),'Site Info'!$A:$G,4,FALSE),"")</f>
        <v>BOWLING GREEN</v>
      </c>
      <c r="M1811" t="str">
        <f>IFERROR(VLOOKUP(VALUE(J1811),'Site Info'!$A:$G,5,FALSE),"")</f>
        <v>KY</v>
      </c>
      <c r="N1811" t="str">
        <f>IFERROR(VLOOKUP(VALUE(J1811),'Site Info'!$A:$G,6,FALSE),"")</f>
        <v>42103-6025</v>
      </c>
      <c r="O1811">
        <f>IFERROR(VLOOKUP(VALUE(J1811),'Site Info'!$A:$G,7,FALSE),"")</f>
        <v>2707817775</v>
      </c>
    </row>
    <row r="1812" spans="1:15" x14ac:dyDescent="0.45">
      <c r="A1812" t="s">
        <v>5118</v>
      </c>
      <c r="B1812" t="s">
        <v>5119</v>
      </c>
      <c r="C1812" t="s">
        <v>5120</v>
      </c>
      <c r="D1812" t="s">
        <v>4075</v>
      </c>
      <c r="E1812" s="1">
        <v>46152.668807870374</v>
      </c>
      <c r="F1812">
        <v>1547</v>
      </c>
      <c r="G1812" t="s">
        <v>5121</v>
      </c>
      <c r="H1812" t="s">
        <v>15</v>
      </c>
      <c r="I1812" t="s">
        <v>4077</v>
      </c>
      <c r="J1812" t="str">
        <f>RIGHT(D1812,4)</f>
        <v>4876</v>
      </c>
      <c r="K1812" t="str">
        <f>IFERROR(VLOOKUP(VALUE(J1812),'Site Info'!$A:$G,3,FALSE),"")</f>
        <v>3200 KEN BALE BLVD</v>
      </c>
      <c r="L1812" t="str">
        <f>IFERROR(VLOOKUP(VALUE(J1812),'Site Info'!$A:$G,4,FALSE),"")</f>
        <v>BOWLING GREEN</v>
      </c>
      <c r="M1812" t="str">
        <f>IFERROR(VLOOKUP(VALUE(J1812),'Site Info'!$A:$G,5,FALSE),"")</f>
        <v>KY</v>
      </c>
      <c r="N1812" t="str">
        <f>IFERROR(VLOOKUP(VALUE(J1812),'Site Info'!$A:$G,6,FALSE),"")</f>
        <v>42103-6025</v>
      </c>
      <c r="O1812">
        <f>IFERROR(VLOOKUP(VALUE(J1812),'Site Info'!$A:$G,7,FALSE),"")</f>
        <v>2707817775</v>
      </c>
    </row>
    <row r="1813" spans="1:15" x14ac:dyDescent="0.45">
      <c r="A1813" t="s">
        <v>4072</v>
      </c>
      <c r="B1813" t="s">
        <v>4073</v>
      </c>
      <c r="C1813" t="s">
        <v>4074</v>
      </c>
      <c r="D1813" t="s">
        <v>4075</v>
      </c>
      <c r="E1813" s="1">
        <v>46153.373553240737</v>
      </c>
      <c r="F1813">
        <v>1547</v>
      </c>
      <c r="G1813" t="s">
        <v>4076</v>
      </c>
      <c r="H1813" t="s">
        <v>15</v>
      </c>
      <c r="I1813" t="s">
        <v>4077</v>
      </c>
      <c r="J1813" t="str">
        <f>RIGHT(D1813,4)</f>
        <v>4876</v>
      </c>
      <c r="K1813" t="str">
        <f>IFERROR(VLOOKUP(VALUE(J1813),'Site Info'!$A:$G,3,FALSE),"")</f>
        <v>3200 KEN BALE BLVD</v>
      </c>
      <c r="L1813" t="str">
        <f>IFERROR(VLOOKUP(VALUE(J1813),'Site Info'!$A:$G,4,FALSE),"")</f>
        <v>BOWLING GREEN</v>
      </c>
      <c r="M1813" t="str">
        <f>IFERROR(VLOOKUP(VALUE(J1813),'Site Info'!$A:$G,5,FALSE),"")</f>
        <v>KY</v>
      </c>
      <c r="N1813" t="str">
        <f>IFERROR(VLOOKUP(VALUE(J1813),'Site Info'!$A:$G,6,FALSE),"")</f>
        <v>42103-6025</v>
      </c>
      <c r="O1813">
        <f>IFERROR(VLOOKUP(VALUE(J1813),'Site Info'!$A:$G,7,FALSE),"")</f>
        <v>2707817775</v>
      </c>
    </row>
    <row r="1814" spans="1:15" x14ac:dyDescent="0.45">
      <c r="A1814" t="s">
        <v>6468</v>
      </c>
      <c r="B1814" t="s">
        <v>6469</v>
      </c>
      <c r="C1814" t="s">
        <v>6470</v>
      </c>
      <c r="D1814" t="s">
        <v>537</v>
      </c>
      <c r="E1814" s="1">
        <v>46150.437037037038</v>
      </c>
      <c r="F1814">
        <v>1547</v>
      </c>
      <c r="G1814" t="s">
        <v>6471</v>
      </c>
      <c r="H1814" t="s">
        <v>15</v>
      </c>
      <c r="I1814" t="s">
        <v>539</v>
      </c>
      <c r="J1814" t="str">
        <f>RIGHT(D1814,4)</f>
        <v>8165</v>
      </c>
      <c r="K1814" t="str">
        <f>IFERROR(VLOOKUP(VALUE(J1814),'Site Info'!$A:$G,3,FALSE),"")</f>
        <v>3201 S LOUISE AVE</v>
      </c>
      <c r="L1814" t="str">
        <f>IFERROR(VLOOKUP(VALUE(J1814),'Site Info'!$A:$G,4,FALSE),"")</f>
        <v>SIOUX FALLS</v>
      </c>
      <c r="M1814" t="str">
        <f>IFERROR(VLOOKUP(VALUE(J1814),'Site Info'!$A:$G,5,FALSE),"")</f>
        <v>SD</v>
      </c>
      <c r="N1814" t="str">
        <f>IFERROR(VLOOKUP(VALUE(J1814),'Site Info'!$A:$G,6,FALSE),"")</f>
        <v>57106-0704</v>
      </c>
      <c r="O1814">
        <f>IFERROR(VLOOKUP(VALUE(J1814),'Site Info'!$A:$G,7,FALSE),"")</f>
        <v>6053620119</v>
      </c>
    </row>
    <row r="1815" spans="1:15" x14ac:dyDescent="0.45">
      <c r="A1815" t="s">
        <v>10344</v>
      </c>
      <c r="B1815" t="s">
        <v>10345</v>
      </c>
      <c r="C1815" t="s">
        <v>10346</v>
      </c>
      <c r="D1815" t="s">
        <v>537</v>
      </c>
      <c r="E1815" s="1">
        <v>46151.788229166668</v>
      </c>
      <c r="F1815">
        <v>1547</v>
      </c>
      <c r="G1815" t="s">
        <v>10347</v>
      </c>
      <c r="H1815" t="s">
        <v>15</v>
      </c>
      <c r="I1815" t="s">
        <v>539</v>
      </c>
      <c r="J1815" t="str">
        <f>RIGHT(D1815,4)</f>
        <v>8165</v>
      </c>
      <c r="K1815" t="str">
        <f>IFERROR(VLOOKUP(VALUE(J1815),'Site Info'!$A:$G,3,FALSE),"")</f>
        <v>3201 S LOUISE AVE</v>
      </c>
      <c r="L1815" t="str">
        <f>IFERROR(VLOOKUP(VALUE(J1815),'Site Info'!$A:$G,4,FALSE),"")</f>
        <v>SIOUX FALLS</v>
      </c>
      <c r="M1815" t="str">
        <f>IFERROR(VLOOKUP(VALUE(J1815),'Site Info'!$A:$G,5,FALSE),"")</f>
        <v>SD</v>
      </c>
      <c r="N1815" t="str">
        <f>IFERROR(VLOOKUP(VALUE(J1815),'Site Info'!$A:$G,6,FALSE),"")</f>
        <v>57106-0704</v>
      </c>
      <c r="O1815">
        <f>IFERROR(VLOOKUP(VALUE(J1815),'Site Info'!$A:$G,7,FALSE),"")</f>
        <v>6053620119</v>
      </c>
    </row>
    <row r="1816" spans="1:15" x14ac:dyDescent="0.45">
      <c r="A1816" t="s">
        <v>10444</v>
      </c>
      <c r="B1816" t="s">
        <v>10445</v>
      </c>
      <c r="C1816" t="s">
        <v>10446</v>
      </c>
      <c r="D1816" t="s">
        <v>537</v>
      </c>
      <c r="E1816" s="1">
        <v>46153.096585648149</v>
      </c>
      <c r="F1816">
        <v>1547</v>
      </c>
      <c r="G1816" t="s">
        <v>10447</v>
      </c>
      <c r="H1816" t="s">
        <v>15</v>
      </c>
      <c r="I1816" t="s">
        <v>539</v>
      </c>
      <c r="J1816" t="str">
        <f>RIGHT(D1816,4)</f>
        <v>8165</v>
      </c>
      <c r="K1816" t="str">
        <f>IFERROR(VLOOKUP(VALUE(J1816),'Site Info'!$A:$G,3,FALSE),"")</f>
        <v>3201 S LOUISE AVE</v>
      </c>
      <c r="L1816" t="str">
        <f>IFERROR(VLOOKUP(VALUE(J1816),'Site Info'!$A:$G,4,FALSE),"")</f>
        <v>SIOUX FALLS</v>
      </c>
      <c r="M1816" t="str">
        <f>IFERROR(VLOOKUP(VALUE(J1816),'Site Info'!$A:$G,5,FALSE),"")</f>
        <v>SD</v>
      </c>
      <c r="N1816" t="str">
        <f>IFERROR(VLOOKUP(VALUE(J1816),'Site Info'!$A:$G,6,FALSE),"")</f>
        <v>57106-0704</v>
      </c>
      <c r="O1816">
        <f>IFERROR(VLOOKUP(VALUE(J1816),'Site Info'!$A:$G,7,FALSE),"")</f>
        <v>6053620119</v>
      </c>
    </row>
    <row r="1817" spans="1:15" x14ac:dyDescent="0.45">
      <c r="A1817" t="s">
        <v>5916</v>
      </c>
      <c r="B1817" t="s">
        <v>5917</v>
      </c>
      <c r="C1817" t="s">
        <v>5918</v>
      </c>
      <c r="D1817" t="s">
        <v>537</v>
      </c>
      <c r="E1817" s="1">
        <v>46153.171898148146</v>
      </c>
      <c r="F1817">
        <v>1547</v>
      </c>
      <c r="G1817" t="s">
        <v>5919</v>
      </c>
      <c r="H1817" t="s">
        <v>15</v>
      </c>
      <c r="I1817" t="s">
        <v>539</v>
      </c>
      <c r="J1817" t="str">
        <f>RIGHT(D1817,4)</f>
        <v>8165</v>
      </c>
      <c r="K1817" t="str">
        <f>IFERROR(VLOOKUP(VALUE(J1817),'Site Info'!$A:$G,3,FALSE),"")</f>
        <v>3201 S LOUISE AVE</v>
      </c>
      <c r="L1817" t="str">
        <f>IFERROR(VLOOKUP(VALUE(J1817),'Site Info'!$A:$G,4,FALSE),"")</f>
        <v>SIOUX FALLS</v>
      </c>
      <c r="M1817" t="str">
        <f>IFERROR(VLOOKUP(VALUE(J1817),'Site Info'!$A:$G,5,FALSE),"")</f>
        <v>SD</v>
      </c>
      <c r="N1817" t="str">
        <f>IFERROR(VLOOKUP(VALUE(J1817),'Site Info'!$A:$G,6,FALSE),"")</f>
        <v>57106-0704</v>
      </c>
      <c r="O1817">
        <f>IFERROR(VLOOKUP(VALUE(J1817),'Site Info'!$A:$G,7,FALSE),"")</f>
        <v>6053620119</v>
      </c>
    </row>
    <row r="1818" spans="1:15" x14ac:dyDescent="0.45">
      <c r="A1818" t="s">
        <v>2977</v>
      </c>
      <c r="B1818" t="s">
        <v>2978</v>
      </c>
      <c r="C1818" t="s">
        <v>2979</v>
      </c>
      <c r="D1818" t="s">
        <v>537</v>
      </c>
      <c r="E1818" s="1">
        <v>46151.679768518516</v>
      </c>
      <c r="F1818">
        <v>1481</v>
      </c>
      <c r="G1818" t="s">
        <v>2980</v>
      </c>
      <c r="H1818" t="s">
        <v>15</v>
      </c>
      <c r="I1818" t="s">
        <v>539</v>
      </c>
      <c r="J1818" t="str">
        <f>RIGHT(D1818,4)</f>
        <v>8165</v>
      </c>
      <c r="K1818" t="str">
        <f>IFERROR(VLOOKUP(VALUE(J1818),'Site Info'!$A:$G,3,FALSE),"")</f>
        <v>3201 S LOUISE AVE</v>
      </c>
      <c r="L1818" t="str">
        <f>IFERROR(VLOOKUP(VALUE(J1818),'Site Info'!$A:$G,4,FALSE),"")</f>
        <v>SIOUX FALLS</v>
      </c>
      <c r="M1818" t="str">
        <f>IFERROR(VLOOKUP(VALUE(J1818),'Site Info'!$A:$G,5,FALSE),"")</f>
        <v>SD</v>
      </c>
      <c r="N1818" t="str">
        <f>IFERROR(VLOOKUP(VALUE(J1818),'Site Info'!$A:$G,6,FALSE),"")</f>
        <v>57106-0704</v>
      </c>
      <c r="O1818">
        <f>IFERROR(VLOOKUP(VALUE(J1818),'Site Info'!$A:$G,7,FALSE),"")</f>
        <v>6053620119</v>
      </c>
    </row>
    <row r="1819" spans="1:15" x14ac:dyDescent="0.45">
      <c r="A1819" t="s">
        <v>534</v>
      </c>
      <c r="B1819" t="s">
        <v>535</v>
      </c>
      <c r="C1819" t="s">
        <v>536</v>
      </c>
      <c r="D1819" t="s">
        <v>537</v>
      </c>
      <c r="E1819" s="1">
        <v>46152.65452546296</v>
      </c>
      <c r="F1819">
        <v>1481</v>
      </c>
      <c r="G1819" t="s">
        <v>538</v>
      </c>
      <c r="H1819" t="s">
        <v>15</v>
      </c>
      <c r="I1819" t="s">
        <v>539</v>
      </c>
      <c r="J1819" t="str">
        <f>RIGHT(D1819,4)</f>
        <v>8165</v>
      </c>
      <c r="K1819" t="str">
        <f>IFERROR(VLOOKUP(VALUE(J1819),'Site Info'!$A:$G,3,FALSE),"")</f>
        <v>3201 S LOUISE AVE</v>
      </c>
      <c r="L1819" t="str">
        <f>IFERROR(VLOOKUP(VALUE(J1819),'Site Info'!$A:$G,4,FALSE),"")</f>
        <v>SIOUX FALLS</v>
      </c>
      <c r="M1819" t="str">
        <f>IFERROR(VLOOKUP(VALUE(J1819),'Site Info'!$A:$G,5,FALSE),"")</f>
        <v>SD</v>
      </c>
      <c r="N1819" t="str">
        <f>IFERROR(VLOOKUP(VALUE(J1819),'Site Info'!$A:$G,6,FALSE),"")</f>
        <v>57106-0704</v>
      </c>
      <c r="O1819">
        <f>IFERROR(VLOOKUP(VALUE(J1819),'Site Info'!$A:$G,7,FALSE),"")</f>
        <v>6053620119</v>
      </c>
    </row>
    <row r="1820" spans="1:15" x14ac:dyDescent="0.45">
      <c r="A1820" t="s">
        <v>5482</v>
      </c>
      <c r="B1820" t="s">
        <v>5483</v>
      </c>
      <c r="C1820" t="s">
        <v>5484</v>
      </c>
      <c r="D1820" t="s">
        <v>1033</v>
      </c>
      <c r="E1820" s="1">
        <v>46152.626759259256</v>
      </c>
      <c r="F1820">
        <v>1547</v>
      </c>
      <c r="G1820" t="s">
        <v>5485</v>
      </c>
      <c r="H1820" t="s">
        <v>15</v>
      </c>
      <c r="I1820" t="s">
        <v>1035</v>
      </c>
      <c r="J1820" t="str">
        <f>RIGHT(D1820,4)</f>
        <v>6437</v>
      </c>
      <c r="K1820" t="str">
        <f>IFERROR(VLOOKUP(VALUE(J1820),'Site Info'!$A:$G,3,FALSE),"")</f>
        <v>3205 W STATE ROAD 45</v>
      </c>
      <c r="L1820" t="str">
        <f>IFERROR(VLOOKUP(VALUE(J1820),'Site Info'!$A:$G,4,FALSE),"")</f>
        <v>BLOOMINGTON</v>
      </c>
      <c r="M1820" t="str">
        <f>IFERROR(VLOOKUP(VALUE(J1820),'Site Info'!$A:$G,5,FALSE),"")</f>
        <v>IN</v>
      </c>
      <c r="N1820" t="str">
        <f>IFERROR(VLOOKUP(VALUE(J1820),'Site Info'!$A:$G,6,FALSE),"")</f>
        <v>47403-5107</v>
      </c>
      <c r="O1820">
        <f>IFERROR(VLOOKUP(VALUE(J1820),'Site Info'!$A:$G,7,FALSE),"")</f>
        <v>8123310003</v>
      </c>
    </row>
    <row r="1821" spans="1:15" x14ac:dyDescent="0.45">
      <c r="A1821" t="s">
        <v>8997</v>
      </c>
      <c r="B1821" t="s">
        <v>8998</v>
      </c>
      <c r="C1821" t="s">
        <v>8999</v>
      </c>
      <c r="D1821" t="s">
        <v>1033</v>
      </c>
      <c r="E1821" s="1">
        <v>46153.291226851848</v>
      </c>
      <c r="F1821">
        <v>1547</v>
      </c>
      <c r="G1821" t="s">
        <v>9000</v>
      </c>
      <c r="H1821" t="s">
        <v>15</v>
      </c>
      <c r="I1821" t="s">
        <v>1035</v>
      </c>
      <c r="J1821" t="str">
        <f>RIGHT(D1821,4)</f>
        <v>6437</v>
      </c>
      <c r="K1821" t="str">
        <f>IFERROR(VLOOKUP(VALUE(J1821),'Site Info'!$A:$G,3,FALSE),"")</f>
        <v>3205 W STATE ROAD 45</v>
      </c>
      <c r="L1821" t="str">
        <f>IFERROR(VLOOKUP(VALUE(J1821),'Site Info'!$A:$G,4,FALSE),"")</f>
        <v>BLOOMINGTON</v>
      </c>
      <c r="M1821" t="str">
        <f>IFERROR(VLOOKUP(VALUE(J1821),'Site Info'!$A:$G,5,FALSE),"")</f>
        <v>IN</v>
      </c>
      <c r="N1821" t="str">
        <f>IFERROR(VLOOKUP(VALUE(J1821),'Site Info'!$A:$G,6,FALSE),"")</f>
        <v>47403-5107</v>
      </c>
      <c r="O1821">
        <f>IFERROR(VLOOKUP(VALUE(J1821),'Site Info'!$A:$G,7,FALSE),"")</f>
        <v>8123310003</v>
      </c>
    </row>
    <row r="1822" spans="1:15" x14ac:dyDescent="0.45">
      <c r="A1822" t="s">
        <v>8893</v>
      </c>
      <c r="B1822" t="s">
        <v>8894</v>
      </c>
      <c r="C1822" t="s">
        <v>8895</v>
      </c>
      <c r="D1822" t="s">
        <v>1033</v>
      </c>
      <c r="E1822" s="1">
        <v>46153.337106481478</v>
      </c>
      <c r="F1822">
        <v>1547</v>
      </c>
      <c r="G1822" t="s">
        <v>8896</v>
      </c>
      <c r="H1822" t="s">
        <v>15</v>
      </c>
      <c r="I1822" t="s">
        <v>1035</v>
      </c>
      <c r="J1822" t="str">
        <f>RIGHT(D1822,4)</f>
        <v>6437</v>
      </c>
      <c r="K1822" t="str">
        <f>IFERROR(VLOOKUP(VALUE(J1822),'Site Info'!$A:$G,3,FALSE),"")</f>
        <v>3205 W STATE ROAD 45</v>
      </c>
      <c r="L1822" t="str">
        <f>IFERROR(VLOOKUP(VALUE(J1822),'Site Info'!$A:$G,4,FALSE),"")</f>
        <v>BLOOMINGTON</v>
      </c>
      <c r="M1822" t="str">
        <f>IFERROR(VLOOKUP(VALUE(J1822),'Site Info'!$A:$G,5,FALSE),"")</f>
        <v>IN</v>
      </c>
      <c r="N1822" t="str">
        <f>IFERROR(VLOOKUP(VALUE(J1822),'Site Info'!$A:$G,6,FALSE),"")</f>
        <v>47403-5107</v>
      </c>
      <c r="O1822">
        <f>IFERROR(VLOOKUP(VALUE(J1822),'Site Info'!$A:$G,7,FALSE),"")</f>
        <v>8123310003</v>
      </c>
    </row>
    <row r="1823" spans="1:15" x14ac:dyDescent="0.45">
      <c r="A1823" t="s">
        <v>5466</v>
      </c>
      <c r="B1823" t="s">
        <v>5467</v>
      </c>
      <c r="C1823" t="s">
        <v>5468</v>
      </c>
      <c r="D1823" t="s">
        <v>1033</v>
      </c>
      <c r="E1823" s="1">
        <v>46153.366620370369</v>
      </c>
      <c r="F1823">
        <v>1547</v>
      </c>
      <c r="G1823" t="s">
        <v>5469</v>
      </c>
      <c r="H1823" t="s">
        <v>15</v>
      </c>
      <c r="I1823" t="s">
        <v>1035</v>
      </c>
      <c r="J1823" t="str">
        <f>RIGHT(D1823,4)</f>
        <v>6437</v>
      </c>
      <c r="K1823" t="str">
        <f>IFERROR(VLOOKUP(VALUE(J1823),'Site Info'!$A:$G,3,FALSE),"")</f>
        <v>3205 W STATE ROAD 45</v>
      </c>
      <c r="L1823" t="str">
        <f>IFERROR(VLOOKUP(VALUE(J1823),'Site Info'!$A:$G,4,FALSE),"")</f>
        <v>BLOOMINGTON</v>
      </c>
      <c r="M1823" t="str">
        <f>IFERROR(VLOOKUP(VALUE(J1823),'Site Info'!$A:$G,5,FALSE),"")</f>
        <v>IN</v>
      </c>
      <c r="N1823" t="str">
        <f>IFERROR(VLOOKUP(VALUE(J1823),'Site Info'!$A:$G,6,FALSE),"")</f>
        <v>47403-5107</v>
      </c>
      <c r="O1823">
        <f>IFERROR(VLOOKUP(VALUE(J1823),'Site Info'!$A:$G,7,FALSE),"")</f>
        <v>8123310003</v>
      </c>
    </row>
    <row r="1824" spans="1:15" x14ac:dyDescent="0.45">
      <c r="A1824" t="s">
        <v>1030</v>
      </c>
      <c r="B1824" t="s">
        <v>1031</v>
      </c>
      <c r="C1824" t="s">
        <v>1032</v>
      </c>
      <c r="D1824" t="s">
        <v>1033</v>
      </c>
      <c r="E1824" s="1">
        <v>46151.35361111111</v>
      </c>
      <c r="F1824">
        <v>1481</v>
      </c>
      <c r="G1824" t="s">
        <v>1034</v>
      </c>
      <c r="H1824" t="s">
        <v>15</v>
      </c>
      <c r="I1824" t="s">
        <v>1035</v>
      </c>
      <c r="J1824" t="str">
        <f>RIGHT(D1824,4)</f>
        <v>6437</v>
      </c>
      <c r="K1824" t="str">
        <f>IFERROR(VLOOKUP(VALUE(J1824),'Site Info'!$A:$G,3,FALSE),"")</f>
        <v>3205 W STATE ROAD 45</v>
      </c>
      <c r="L1824" t="str">
        <f>IFERROR(VLOOKUP(VALUE(J1824),'Site Info'!$A:$G,4,FALSE),"")</f>
        <v>BLOOMINGTON</v>
      </c>
      <c r="M1824" t="str">
        <f>IFERROR(VLOOKUP(VALUE(J1824),'Site Info'!$A:$G,5,FALSE),"")</f>
        <v>IN</v>
      </c>
      <c r="N1824" t="str">
        <f>IFERROR(VLOOKUP(VALUE(J1824),'Site Info'!$A:$G,6,FALSE),"")</f>
        <v>47403-5107</v>
      </c>
      <c r="O1824">
        <f>IFERROR(VLOOKUP(VALUE(J1824),'Site Info'!$A:$G,7,FALSE),"")</f>
        <v>8123310003</v>
      </c>
    </row>
    <row r="1825" spans="1:15" x14ac:dyDescent="0.45">
      <c r="A1825" t="s">
        <v>16870</v>
      </c>
      <c r="B1825" t="s">
        <v>16871</v>
      </c>
      <c r="C1825" t="s">
        <v>16872</v>
      </c>
      <c r="D1825" t="s">
        <v>1033</v>
      </c>
      <c r="E1825" s="1">
        <v>46153.151192129626</v>
      </c>
      <c r="F1825">
        <v>1481</v>
      </c>
      <c r="G1825" t="s">
        <v>16873</v>
      </c>
      <c r="H1825" t="s">
        <v>15</v>
      </c>
      <c r="I1825" t="s">
        <v>1035</v>
      </c>
      <c r="J1825" t="str">
        <f>RIGHT(D1825,4)</f>
        <v>6437</v>
      </c>
      <c r="K1825" t="str">
        <f>IFERROR(VLOOKUP(VALUE(J1825),'Site Info'!$A:$G,3,FALSE),"")</f>
        <v>3205 W STATE ROAD 45</v>
      </c>
      <c r="L1825" t="str">
        <f>IFERROR(VLOOKUP(VALUE(J1825),'Site Info'!$A:$G,4,FALSE),"")</f>
        <v>BLOOMINGTON</v>
      </c>
      <c r="M1825" t="str">
        <f>IFERROR(VLOOKUP(VALUE(J1825),'Site Info'!$A:$G,5,FALSE),"")</f>
        <v>IN</v>
      </c>
      <c r="N1825" t="str">
        <f>IFERROR(VLOOKUP(VALUE(J1825),'Site Info'!$A:$G,6,FALSE),"")</f>
        <v>47403-5107</v>
      </c>
      <c r="O1825">
        <f>IFERROR(VLOOKUP(VALUE(J1825),'Site Info'!$A:$G,7,FALSE),"")</f>
        <v>8123310003</v>
      </c>
    </row>
    <row r="1826" spans="1:15" x14ac:dyDescent="0.45">
      <c r="A1826" t="s">
        <v>4266</v>
      </c>
      <c r="B1826" t="s">
        <v>4267</v>
      </c>
      <c r="C1826" t="s">
        <v>4268</v>
      </c>
      <c r="D1826" t="s">
        <v>216</v>
      </c>
      <c r="E1826" s="1">
        <v>46151.735347222224</v>
      </c>
      <c r="F1826">
        <v>1547</v>
      </c>
      <c r="G1826" t="s">
        <v>4269</v>
      </c>
      <c r="H1826" t="s">
        <v>15</v>
      </c>
      <c r="I1826" t="s">
        <v>217</v>
      </c>
      <c r="J1826" t="str">
        <f>RIGHT(D1826,4)</f>
        <v>8298</v>
      </c>
      <c r="K1826" t="str">
        <f>IFERROR(VLOOKUP(VALUE(J1826),'Site Info'!$A:$G,3,FALSE),"")</f>
        <v>321 S LARKIN AVE</v>
      </c>
      <c r="L1826" t="str">
        <f>IFERROR(VLOOKUP(VALUE(J1826),'Site Info'!$A:$G,4,FALSE),"")</f>
        <v>JOLIET</v>
      </c>
      <c r="M1826" t="str">
        <f>IFERROR(VLOOKUP(VALUE(J1826),'Site Info'!$A:$G,5,FALSE),"")</f>
        <v>IL</v>
      </c>
      <c r="N1826" t="str">
        <f>IFERROR(VLOOKUP(VALUE(J1826),'Site Info'!$A:$G,6,FALSE),"")</f>
        <v>60436-1249</v>
      </c>
      <c r="O1826">
        <f>IFERROR(VLOOKUP(VALUE(J1826),'Site Info'!$A:$G,7,FALSE),"")</f>
        <v>8157442525</v>
      </c>
    </row>
    <row r="1827" spans="1:15" x14ac:dyDescent="0.45">
      <c r="A1827" t="s">
        <v>4216</v>
      </c>
      <c r="B1827" t="s">
        <v>4217</v>
      </c>
      <c r="C1827" t="s">
        <v>4218</v>
      </c>
      <c r="D1827" t="s">
        <v>216</v>
      </c>
      <c r="E1827" s="1">
        <v>46152.668483796297</v>
      </c>
      <c r="F1827">
        <v>1547</v>
      </c>
      <c r="G1827" t="s">
        <v>4219</v>
      </c>
      <c r="H1827" t="s">
        <v>15</v>
      </c>
      <c r="I1827" t="s">
        <v>217</v>
      </c>
      <c r="J1827" t="str">
        <f>RIGHT(D1827,4)</f>
        <v>8298</v>
      </c>
      <c r="K1827" t="str">
        <f>IFERROR(VLOOKUP(VALUE(J1827),'Site Info'!$A:$G,3,FALSE),"")</f>
        <v>321 S LARKIN AVE</v>
      </c>
      <c r="L1827" t="str">
        <f>IFERROR(VLOOKUP(VALUE(J1827),'Site Info'!$A:$G,4,FALSE),"")</f>
        <v>JOLIET</v>
      </c>
      <c r="M1827" t="str">
        <f>IFERROR(VLOOKUP(VALUE(J1827),'Site Info'!$A:$G,5,FALSE),"")</f>
        <v>IL</v>
      </c>
      <c r="N1827" t="str">
        <f>IFERROR(VLOOKUP(VALUE(J1827),'Site Info'!$A:$G,6,FALSE),"")</f>
        <v>60436-1249</v>
      </c>
      <c r="O1827">
        <f>IFERROR(VLOOKUP(VALUE(J1827),'Site Info'!$A:$G,7,FALSE),"")</f>
        <v>8157442525</v>
      </c>
    </row>
    <row r="1828" spans="1:15" x14ac:dyDescent="0.45">
      <c r="A1828" t="s">
        <v>6306</v>
      </c>
      <c r="B1828" t="s">
        <v>6307</v>
      </c>
      <c r="C1828" t="s">
        <v>6308</v>
      </c>
      <c r="D1828" t="s">
        <v>216</v>
      </c>
      <c r="E1828" s="1">
        <v>46153.373217592591</v>
      </c>
      <c r="F1828">
        <v>1547</v>
      </c>
      <c r="G1828" t="s">
        <v>6309</v>
      </c>
      <c r="H1828" t="s">
        <v>15</v>
      </c>
      <c r="I1828" t="s">
        <v>217</v>
      </c>
      <c r="J1828" t="str">
        <f>RIGHT(D1828,4)</f>
        <v>8298</v>
      </c>
      <c r="K1828" t="str">
        <f>IFERROR(VLOOKUP(VALUE(J1828),'Site Info'!$A:$G,3,FALSE),"")</f>
        <v>321 S LARKIN AVE</v>
      </c>
      <c r="L1828" t="str">
        <f>IFERROR(VLOOKUP(VALUE(J1828),'Site Info'!$A:$G,4,FALSE),"")</f>
        <v>JOLIET</v>
      </c>
      <c r="M1828" t="str">
        <f>IFERROR(VLOOKUP(VALUE(J1828),'Site Info'!$A:$G,5,FALSE),"")</f>
        <v>IL</v>
      </c>
      <c r="N1828" t="str">
        <f>IFERROR(VLOOKUP(VALUE(J1828),'Site Info'!$A:$G,6,FALSE),"")</f>
        <v>60436-1249</v>
      </c>
      <c r="O1828">
        <f>IFERROR(VLOOKUP(VALUE(J1828),'Site Info'!$A:$G,7,FALSE),"")</f>
        <v>8157442525</v>
      </c>
    </row>
    <row r="1829" spans="1:15" x14ac:dyDescent="0.45">
      <c r="A1829" t="s">
        <v>4288</v>
      </c>
      <c r="B1829" t="s">
        <v>4289</v>
      </c>
      <c r="C1829" t="s">
        <v>4290</v>
      </c>
      <c r="D1829" t="s">
        <v>216</v>
      </c>
      <c r="E1829" s="1">
        <v>46153.373564814814</v>
      </c>
      <c r="F1829">
        <v>1547</v>
      </c>
      <c r="G1829" t="s">
        <v>4291</v>
      </c>
      <c r="H1829" t="s">
        <v>15</v>
      </c>
      <c r="I1829" t="s">
        <v>217</v>
      </c>
      <c r="J1829" t="str">
        <f>RIGHT(D1829,4)</f>
        <v>8298</v>
      </c>
      <c r="K1829" t="str">
        <f>IFERROR(VLOOKUP(VALUE(J1829),'Site Info'!$A:$G,3,FALSE),"")</f>
        <v>321 S LARKIN AVE</v>
      </c>
      <c r="L1829" t="str">
        <f>IFERROR(VLOOKUP(VALUE(J1829),'Site Info'!$A:$G,4,FALSE),"")</f>
        <v>JOLIET</v>
      </c>
      <c r="M1829" t="str">
        <f>IFERROR(VLOOKUP(VALUE(J1829),'Site Info'!$A:$G,5,FALSE),"")</f>
        <v>IL</v>
      </c>
      <c r="N1829" t="str">
        <f>IFERROR(VLOOKUP(VALUE(J1829),'Site Info'!$A:$G,6,FALSE),"")</f>
        <v>60436-1249</v>
      </c>
      <c r="O1829">
        <f>IFERROR(VLOOKUP(VALUE(J1829),'Site Info'!$A:$G,7,FALSE),"")</f>
        <v>8157442525</v>
      </c>
    </row>
    <row r="1830" spans="1:15" x14ac:dyDescent="0.45">
      <c r="A1830" t="s">
        <v>1658</v>
      </c>
      <c r="B1830" t="s">
        <v>1659</v>
      </c>
      <c r="C1830" t="s">
        <v>1660</v>
      </c>
      <c r="D1830" t="s">
        <v>216</v>
      </c>
      <c r="E1830" s="1">
        <v>46152.678356481483</v>
      </c>
      <c r="F1830">
        <v>1481</v>
      </c>
      <c r="G1830" t="s">
        <v>1661</v>
      </c>
      <c r="H1830" t="s">
        <v>15</v>
      </c>
      <c r="I1830" t="s">
        <v>217</v>
      </c>
      <c r="J1830" t="str">
        <f>RIGHT(D1830,4)</f>
        <v>8298</v>
      </c>
      <c r="K1830" t="str">
        <f>IFERROR(VLOOKUP(VALUE(J1830),'Site Info'!$A:$G,3,FALSE),"")</f>
        <v>321 S LARKIN AVE</v>
      </c>
      <c r="L1830" t="str">
        <f>IFERROR(VLOOKUP(VALUE(J1830),'Site Info'!$A:$G,4,FALSE),"")</f>
        <v>JOLIET</v>
      </c>
      <c r="M1830" t="str">
        <f>IFERROR(VLOOKUP(VALUE(J1830),'Site Info'!$A:$G,5,FALSE),"")</f>
        <v>IL</v>
      </c>
      <c r="N1830" t="str">
        <f>IFERROR(VLOOKUP(VALUE(J1830),'Site Info'!$A:$G,6,FALSE),"")</f>
        <v>60436-1249</v>
      </c>
      <c r="O1830">
        <f>IFERROR(VLOOKUP(VALUE(J1830),'Site Info'!$A:$G,7,FALSE),"")</f>
        <v>8157442525</v>
      </c>
    </row>
    <row r="1831" spans="1:15" x14ac:dyDescent="0.45">
      <c r="A1831" t="s">
        <v>16504</v>
      </c>
      <c r="B1831" t="s">
        <v>17328</v>
      </c>
      <c r="C1831" t="s">
        <v>17329</v>
      </c>
      <c r="D1831" t="s">
        <v>216</v>
      </c>
      <c r="E1831" s="1">
        <v>46153.335069444445</v>
      </c>
      <c r="F1831">
        <v>1628</v>
      </c>
      <c r="G1831" t="s">
        <v>17330</v>
      </c>
      <c r="H1831" t="s">
        <v>13988</v>
      </c>
      <c r="I1831" t="s">
        <v>217</v>
      </c>
      <c r="J1831" t="str">
        <f>RIGHT(D1831,4)</f>
        <v>8298</v>
      </c>
      <c r="K1831" t="str">
        <f>IFERROR(VLOOKUP(VALUE(J1831),'Site Info'!$A:$G,3,FALSE),"")</f>
        <v>321 S LARKIN AVE</v>
      </c>
      <c r="L1831" t="str">
        <f>IFERROR(VLOOKUP(VALUE(J1831),'Site Info'!$A:$G,4,FALSE),"")</f>
        <v>JOLIET</v>
      </c>
      <c r="M1831" t="str">
        <f>IFERROR(VLOOKUP(VALUE(J1831),'Site Info'!$A:$G,5,FALSE),"")</f>
        <v>IL</v>
      </c>
      <c r="N1831" t="str">
        <f>IFERROR(VLOOKUP(VALUE(J1831),'Site Info'!$A:$G,6,FALSE),"")</f>
        <v>60436-1249</v>
      </c>
      <c r="O1831">
        <f>IFERROR(VLOOKUP(VALUE(J1831),'Site Info'!$A:$G,7,FALSE),"")</f>
        <v>8157442525</v>
      </c>
    </row>
    <row r="1832" spans="1:15" x14ac:dyDescent="0.45">
      <c r="A1832" t="s">
        <v>9249</v>
      </c>
      <c r="B1832" t="s">
        <v>9250</v>
      </c>
      <c r="C1832" t="s">
        <v>9251</v>
      </c>
      <c r="D1832" t="s">
        <v>2087</v>
      </c>
      <c r="E1832" s="1">
        <v>46150.683032407411</v>
      </c>
      <c r="F1832">
        <v>1547</v>
      </c>
      <c r="G1832" t="s">
        <v>9252</v>
      </c>
      <c r="H1832" t="s">
        <v>15</v>
      </c>
      <c r="I1832" t="s">
        <v>2089</v>
      </c>
      <c r="J1832" t="str">
        <f>RIGHT(D1832,4)</f>
        <v>6472</v>
      </c>
      <c r="K1832" t="str">
        <f>IFERROR(VLOOKUP(VALUE(J1832),'Site Info'!$A:$G,3,FALSE),"")</f>
        <v>3221 MANAWA CENTRE DRIVE</v>
      </c>
      <c r="L1832" t="str">
        <f>IFERROR(VLOOKUP(VALUE(J1832),'Site Info'!$A:$G,4,FALSE),"")</f>
        <v>COUNCIL BLUFFS</v>
      </c>
      <c r="M1832" t="str">
        <f>IFERROR(VLOOKUP(VALUE(J1832),'Site Info'!$A:$G,5,FALSE),"")</f>
        <v>IA</v>
      </c>
      <c r="N1832" t="str">
        <f>IFERROR(VLOOKUP(VALUE(J1832),'Site Info'!$A:$G,6,FALSE),"")</f>
        <v>51501-7672</v>
      </c>
      <c r="O1832">
        <f>IFERROR(VLOOKUP(VALUE(J1832),'Site Info'!$A:$G,7,FALSE),"")</f>
        <v>7123660130</v>
      </c>
    </row>
    <row r="1833" spans="1:15" x14ac:dyDescent="0.45">
      <c r="A1833" t="s">
        <v>11065</v>
      </c>
      <c r="B1833" t="s">
        <v>11066</v>
      </c>
      <c r="C1833" t="s">
        <v>11067</v>
      </c>
      <c r="D1833" t="s">
        <v>2087</v>
      </c>
      <c r="E1833" s="1">
        <v>46153.184386574074</v>
      </c>
      <c r="F1833">
        <v>1547</v>
      </c>
      <c r="G1833" t="s">
        <v>11068</v>
      </c>
      <c r="H1833" t="s">
        <v>15</v>
      </c>
      <c r="I1833" t="s">
        <v>2089</v>
      </c>
      <c r="J1833" t="str">
        <f>RIGHT(D1833,4)</f>
        <v>6472</v>
      </c>
      <c r="K1833" t="str">
        <f>IFERROR(VLOOKUP(VALUE(J1833),'Site Info'!$A:$G,3,FALSE),"")</f>
        <v>3221 MANAWA CENTRE DRIVE</v>
      </c>
      <c r="L1833" t="str">
        <f>IFERROR(VLOOKUP(VALUE(J1833),'Site Info'!$A:$G,4,FALSE),"")</f>
        <v>COUNCIL BLUFFS</v>
      </c>
      <c r="M1833" t="str">
        <f>IFERROR(VLOOKUP(VALUE(J1833),'Site Info'!$A:$G,5,FALSE),"")</f>
        <v>IA</v>
      </c>
      <c r="N1833" t="str">
        <f>IFERROR(VLOOKUP(VALUE(J1833),'Site Info'!$A:$G,6,FALSE),"")</f>
        <v>51501-7672</v>
      </c>
      <c r="O1833">
        <f>IFERROR(VLOOKUP(VALUE(J1833),'Site Info'!$A:$G,7,FALSE),"")</f>
        <v>7123660130</v>
      </c>
    </row>
    <row r="1834" spans="1:15" x14ac:dyDescent="0.45">
      <c r="A1834" t="s">
        <v>11069</v>
      </c>
      <c r="B1834" t="s">
        <v>11070</v>
      </c>
      <c r="C1834" t="s">
        <v>11071</v>
      </c>
      <c r="D1834" t="s">
        <v>2087</v>
      </c>
      <c r="E1834" s="1">
        <v>46153.339259259257</v>
      </c>
      <c r="F1834">
        <v>1547</v>
      </c>
      <c r="G1834" t="s">
        <v>11072</v>
      </c>
      <c r="H1834" t="s">
        <v>15</v>
      </c>
      <c r="I1834" t="s">
        <v>2089</v>
      </c>
      <c r="J1834" t="str">
        <f>RIGHT(D1834,4)</f>
        <v>6472</v>
      </c>
      <c r="K1834" t="str">
        <f>IFERROR(VLOOKUP(VALUE(J1834),'Site Info'!$A:$G,3,FALSE),"")</f>
        <v>3221 MANAWA CENTRE DRIVE</v>
      </c>
      <c r="L1834" t="str">
        <f>IFERROR(VLOOKUP(VALUE(J1834),'Site Info'!$A:$G,4,FALSE),"")</f>
        <v>COUNCIL BLUFFS</v>
      </c>
      <c r="M1834" t="str">
        <f>IFERROR(VLOOKUP(VALUE(J1834),'Site Info'!$A:$G,5,FALSE),"")</f>
        <v>IA</v>
      </c>
      <c r="N1834" t="str">
        <f>IFERROR(VLOOKUP(VALUE(J1834),'Site Info'!$A:$G,6,FALSE),"")</f>
        <v>51501-7672</v>
      </c>
      <c r="O1834">
        <f>IFERROR(VLOOKUP(VALUE(J1834),'Site Info'!$A:$G,7,FALSE),"")</f>
        <v>7123660130</v>
      </c>
    </row>
    <row r="1835" spans="1:15" x14ac:dyDescent="0.45">
      <c r="A1835" t="s">
        <v>11057</v>
      </c>
      <c r="B1835" t="s">
        <v>11058</v>
      </c>
      <c r="C1835" t="s">
        <v>11059</v>
      </c>
      <c r="D1835" t="s">
        <v>2087</v>
      </c>
      <c r="E1835" s="1">
        <v>46153.359178240738</v>
      </c>
      <c r="F1835">
        <v>1547</v>
      </c>
      <c r="G1835" t="s">
        <v>11060</v>
      </c>
      <c r="H1835" t="s">
        <v>15</v>
      </c>
      <c r="I1835" t="s">
        <v>2089</v>
      </c>
      <c r="J1835" t="str">
        <f>RIGHT(D1835,4)</f>
        <v>6472</v>
      </c>
      <c r="K1835" t="str">
        <f>IFERROR(VLOOKUP(VALUE(J1835),'Site Info'!$A:$G,3,FALSE),"")</f>
        <v>3221 MANAWA CENTRE DRIVE</v>
      </c>
      <c r="L1835" t="str">
        <f>IFERROR(VLOOKUP(VALUE(J1835),'Site Info'!$A:$G,4,FALSE),"")</f>
        <v>COUNCIL BLUFFS</v>
      </c>
      <c r="M1835" t="str">
        <f>IFERROR(VLOOKUP(VALUE(J1835),'Site Info'!$A:$G,5,FALSE),"")</f>
        <v>IA</v>
      </c>
      <c r="N1835" t="str">
        <f>IFERROR(VLOOKUP(VALUE(J1835),'Site Info'!$A:$G,6,FALSE),"")</f>
        <v>51501-7672</v>
      </c>
      <c r="O1835">
        <f>IFERROR(VLOOKUP(VALUE(J1835),'Site Info'!$A:$G,7,FALSE),"")</f>
        <v>7123660130</v>
      </c>
    </row>
    <row r="1836" spans="1:15" x14ac:dyDescent="0.45">
      <c r="A1836" t="s">
        <v>2084</v>
      </c>
      <c r="B1836" t="s">
        <v>2085</v>
      </c>
      <c r="C1836" t="s">
        <v>2086</v>
      </c>
      <c r="D1836" t="s">
        <v>2087</v>
      </c>
      <c r="E1836" s="1">
        <v>46153.37363425926</v>
      </c>
      <c r="F1836">
        <v>1481</v>
      </c>
      <c r="G1836" t="s">
        <v>2088</v>
      </c>
      <c r="H1836" t="s">
        <v>15</v>
      </c>
      <c r="I1836" t="s">
        <v>2089</v>
      </c>
      <c r="J1836" t="str">
        <f>RIGHT(D1836,4)</f>
        <v>6472</v>
      </c>
      <c r="K1836" t="str">
        <f>IFERROR(VLOOKUP(VALUE(J1836),'Site Info'!$A:$G,3,FALSE),"")</f>
        <v>3221 MANAWA CENTRE DRIVE</v>
      </c>
      <c r="L1836" t="str">
        <f>IFERROR(VLOOKUP(VALUE(J1836),'Site Info'!$A:$G,4,FALSE),"")</f>
        <v>COUNCIL BLUFFS</v>
      </c>
      <c r="M1836" t="str">
        <f>IFERROR(VLOOKUP(VALUE(J1836),'Site Info'!$A:$G,5,FALSE),"")</f>
        <v>IA</v>
      </c>
      <c r="N1836" t="str">
        <f>IFERROR(VLOOKUP(VALUE(J1836),'Site Info'!$A:$G,6,FALSE),"")</f>
        <v>51501-7672</v>
      </c>
      <c r="O1836">
        <f>IFERROR(VLOOKUP(VALUE(J1836),'Site Info'!$A:$G,7,FALSE),"")</f>
        <v>7123660130</v>
      </c>
    </row>
    <row r="1837" spans="1:15" x14ac:dyDescent="0.45">
      <c r="A1837" t="s">
        <v>3843</v>
      </c>
      <c r="B1837" t="s">
        <v>3844</v>
      </c>
      <c r="C1837" t="s">
        <v>3845</v>
      </c>
      <c r="D1837" t="s">
        <v>2087</v>
      </c>
      <c r="E1837" s="1">
        <v>46153.375983796293</v>
      </c>
      <c r="F1837">
        <v>1481</v>
      </c>
      <c r="G1837" t="s">
        <v>3846</v>
      </c>
      <c r="H1837" t="s">
        <v>15</v>
      </c>
      <c r="I1837" t="s">
        <v>2089</v>
      </c>
      <c r="J1837" t="str">
        <f>RIGHT(D1837,4)</f>
        <v>6472</v>
      </c>
      <c r="K1837" t="str">
        <f>IFERROR(VLOOKUP(VALUE(J1837),'Site Info'!$A:$G,3,FALSE),"")</f>
        <v>3221 MANAWA CENTRE DRIVE</v>
      </c>
      <c r="L1837" t="str">
        <f>IFERROR(VLOOKUP(VALUE(J1837),'Site Info'!$A:$G,4,FALSE),"")</f>
        <v>COUNCIL BLUFFS</v>
      </c>
      <c r="M1837" t="str">
        <f>IFERROR(VLOOKUP(VALUE(J1837),'Site Info'!$A:$G,5,FALSE),"")</f>
        <v>IA</v>
      </c>
      <c r="N1837" t="str">
        <f>IFERROR(VLOOKUP(VALUE(J1837),'Site Info'!$A:$G,6,FALSE),"")</f>
        <v>51501-7672</v>
      </c>
      <c r="O1837">
        <f>IFERROR(VLOOKUP(VALUE(J1837),'Site Info'!$A:$G,7,FALSE),"")</f>
        <v>7123660130</v>
      </c>
    </row>
    <row r="1838" spans="1:15" x14ac:dyDescent="0.45">
      <c r="A1838" t="s">
        <v>12722</v>
      </c>
      <c r="B1838" t="s">
        <v>12723</v>
      </c>
      <c r="C1838" t="s">
        <v>12724</v>
      </c>
      <c r="D1838" t="s">
        <v>1589</v>
      </c>
      <c r="E1838" s="1">
        <v>46151.451157407406</v>
      </c>
      <c r="F1838">
        <v>1547</v>
      </c>
      <c r="G1838" t="s">
        <v>12725</v>
      </c>
      <c r="H1838" t="s">
        <v>15</v>
      </c>
      <c r="I1838" t="s">
        <v>1591</v>
      </c>
      <c r="J1838" t="str">
        <f>RIGHT(D1838,4)</f>
        <v>8114</v>
      </c>
      <c r="K1838" t="str">
        <f>IFERROR(VLOOKUP(VALUE(J1838),'Site Info'!$A:$G,3,FALSE),"")</f>
        <v>3222 AMBASSADOR CAFFERY PKWY</v>
      </c>
      <c r="L1838" t="str">
        <f>IFERROR(VLOOKUP(VALUE(J1838),'Site Info'!$A:$G,4,FALSE),"")</f>
        <v>LAFAYETTE</v>
      </c>
      <c r="M1838" t="str">
        <f>IFERROR(VLOOKUP(VALUE(J1838),'Site Info'!$A:$G,5,FALSE),"")</f>
        <v>LA</v>
      </c>
      <c r="N1838" t="str">
        <f>IFERROR(VLOOKUP(VALUE(J1838),'Site Info'!$A:$G,6,FALSE),"")</f>
        <v>70506-7208</v>
      </c>
      <c r="O1838">
        <f>IFERROR(VLOOKUP(VALUE(J1838),'Site Info'!$A:$G,7,FALSE),"")</f>
        <v>3372160633</v>
      </c>
    </row>
    <row r="1839" spans="1:15" x14ac:dyDescent="0.45">
      <c r="A1839" t="s">
        <v>7859</v>
      </c>
      <c r="B1839" t="s">
        <v>7860</v>
      </c>
      <c r="C1839" t="s">
        <v>7861</v>
      </c>
      <c r="D1839" t="s">
        <v>1589</v>
      </c>
      <c r="E1839" s="1">
        <v>46152.470590277779</v>
      </c>
      <c r="F1839">
        <v>1547</v>
      </c>
      <c r="G1839" t="s">
        <v>7862</v>
      </c>
      <c r="H1839" t="s">
        <v>15</v>
      </c>
      <c r="I1839" t="s">
        <v>1591</v>
      </c>
      <c r="J1839" t="str">
        <f>RIGHT(D1839,4)</f>
        <v>8114</v>
      </c>
      <c r="K1839" t="str">
        <f>IFERROR(VLOOKUP(VALUE(J1839),'Site Info'!$A:$G,3,FALSE),"")</f>
        <v>3222 AMBASSADOR CAFFERY PKWY</v>
      </c>
      <c r="L1839" t="str">
        <f>IFERROR(VLOOKUP(VALUE(J1839),'Site Info'!$A:$G,4,FALSE),"")</f>
        <v>LAFAYETTE</v>
      </c>
      <c r="M1839" t="str">
        <f>IFERROR(VLOOKUP(VALUE(J1839),'Site Info'!$A:$G,5,FALSE),"")</f>
        <v>LA</v>
      </c>
      <c r="N1839" t="str">
        <f>IFERROR(VLOOKUP(VALUE(J1839),'Site Info'!$A:$G,6,FALSE),"")</f>
        <v>70506-7208</v>
      </c>
      <c r="O1839">
        <f>IFERROR(VLOOKUP(VALUE(J1839),'Site Info'!$A:$G,7,FALSE),"")</f>
        <v>3372160633</v>
      </c>
    </row>
    <row r="1840" spans="1:15" x14ac:dyDescent="0.45">
      <c r="A1840" t="s">
        <v>4988</v>
      </c>
      <c r="B1840" t="s">
        <v>4989</v>
      </c>
      <c r="C1840" t="s">
        <v>4990</v>
      </c>
      <c r="D1840" t="s">
        <v>1589</v>
      </c>
      <c r="E1840" s="1">
        <v>46152.99113425926</v>
      </c>
      <c r="F1840">
        <v>1547</v>
      </c>
      <c r="G1840" t="s">
        <v>4991</v>
      </c>
      <c r="H1840" t="s">
        <v>15</v>
      </c>
      <c r="I1840" t="s">
        <v>1591</v>
      </c>
      <c r="J1840" t="str">
        <f>RIGHT(D1840,4)</f>
        <v>8114</v>
      </c>
      <c r="K1840" t="str">
        <f>IFERROR(VLOOKUP(VALUE(J1840),'Site Info'!$A:$G,3,FALSE),"")</f>
        <v>3222 AMBASSADOR CAFFERY PKWY</v>
      </c>
      <c r="L1840" t="str">
        <f>IFERROR(VLOOKUP(VALUE(J1840),'Site Info'!$A:$G,4,FALSE),"")</f>
        <v>LAFAYETTE</v>
      </c>
      <c r="M1840" t="str">
        <f>IFERROR(VLOOKUP(VALUE(J1840),'Site Info'!$A:$G,5,FALSE),"")</f>
        <v>LA</v>
      </c>
      <c r="N1840" t="str">
        <f>IFERROR(VLOOKUP(VALUE(J1840),'Site Info'!$A:$G,6,FALSE),"")</f>
        <v>70506-7208</v>
      </c>
      <c r="O1840">
        <f>IFERROR(VLOOKUP(VALUE(J1840),'Site Info'!$A:$G,7,FALSE),"")</f>
        <v>3372160633</v>
      </c>
    </row>
    <row r="1841" spans="1:15" x14ac:dyDescent="0.45">
      <c r="A1841" t="s">
        <v>7397</v>
      </c>
      <c r="B1841" t="s">
        <v>7398</v>
      </c>
      <c r="C1841" t="s">
        <v>7399</v>
      </c>
      <c r="D1841" t="s">
        <v>1589</v>
      </c>
      <c r="E1841" s="1">
        <v>46153.025254629632</v>
      </c>
      <c r="F1841">
        <v>1547</v>
      </c>
      <c r="G1841" t="s">
        <v>7400</v>
      </c>
      <c r="H1841" t="s">
        <v>15</v>
      </c>
      <c r="I1841" t="s">
        <v>1591</v>
      </c>
      <c r="J1841" t="str">
        <f>RIGHT(D1841,4)</f>
        <v>8114</v>
      </c>
      <c r="K1841" t="str">
        <f>IFERROR(VLOOKUP(VALUE(J1841),'Site Info'!$A:$G,3,FALSE),"")</f>
        <v>3222 AMBASSADOR CAFFERY PKWY</v>
      </c>
      <c r="L1841" t="str">
        <f>IFERROR(VLOOKUP(VALUE(J1841),'Site Info'!$A:$G,4,FALSE),"")</f>
        <v>LAFAYETTE</v>
      </c>
      <c r="M1841" t="str">
        <f>IFERROR(VLOOKUP(VALUE(J1841),'Site Info'!$A:$G,5,FALSE),"")</f>
        <v>LA</v>
      </c>
      <c r="N1841" t="str">
        <f>IFERROR(VLOOKUP(VALUE(J1841),'Site Info'!$A:$G,6,FALSE),"")</f>
        <v>70506-7208</v>
      </c>
      <c r="O1841">
        <f>IFERROR(VLOOKUP(VALUE(J1841),'Site Info'!$A:$G,7,FALSE),"")</f>
        <v>3372160633</v>
      </c>
    </row>
    <row r="1842" spans="1:15" x14ac:dyDescent="0.45">
      <c r="A1842" t="s">
        <v>13459</v>
      </c>
      <c r="B1842" t="s">
        <v>13460</v>
      </c>
      <c r="C1842" t="s">
        <v>13461</v>
      </c>
      <c r="D1842" t="s">
        <v>1589</v>
      </c>
      <c r="E1842" s="1">
        <v>46153.350856481484</v>
      </c>
      <c r="F1842">
        <v>1547</v>
      </c>
      <c r="G1842" t="s">
        <v>13462</v>
      </c>
      <c r="H1842" t="s">
        <v>15</v>
      </c>
      <c r="I1842" t="s">
        <v>1591</v>
      </c>
      <c r="J1842" t="str">
        <f>RIGHT(D1842,4)</f>
        <v>8114</v>
      </c>
      <c r="K1842" t="str">
        <f>IFERROR(VLOOKUP(VALUE(J1842),'Site Info'!$A:$G,3,FALSE),"")</f>
        <v>3222 AMBASSADOR CAFFERY PKWY</v>
      </c>
      <c r="L1842" t="str">
        <f>IFERROR(VLOOKUP(VALUE(J1842),'Site Info'!$A:$G,4,FALSE),"")</f>
        <v>LAFAYETTE</v>
      </c>
      <c r="M1842" t="str">
        <f>IFERROR(VLOOKUP(VALUE(J1842),'Site Info'!$A:$G,5,FALSE),"")</f>
        <v>LA</v>
      </c>
      <c r="N1842" t="str">
        <f>IFERROR(VLOOKUP(VALUE(J1842),'Site Info'!$A:$G,6,FALSE),"")</f>
        <v>70506-7208</v>
      </c>
      <c r="O1842">
        <f>IFERROR(VLOOKUP(VALUE(J1842),'Site Info'!$A:$G,7,FALSE),"")</f>
        <v>3372160633</v>
      </c>
    </row>
    <row r="1843" spans="1:15" x14ac:dyDescent="0.45">
      <c r="A1843" t="s">
        <v>2317</v>
      </c>
      <c r="B1843" t="s">
        <v>2318</v>
      </c>
      <c r="C1843" t="s">
        <v>2319</v>
      </c>
      <c r="D1843" t="s">
        <v>1589</v>
      </c>
      <c r="E1843" s="1">
        <v>46153.32708333333</v>
      </c>
      <c r="F1843">
        <v>1481</v>
      </c>
      <c r="G1843" t="s">
        <v>2320</v>
      </c>
      <c r="H1843" t="s">
        <v>15</v>
      </c>
      <c r="I1843" t="s">
        <v>1591</v>
      </c>
      <c r="J1843" t="str">
        <f>RIGHT(D1843,4)</f>
        <v>8114</v>
      </c>
      <c r="K1843" t="str">
        <f>IFERROR(VLOOKUP(VALUE(J1843),'Site Info'!$A:$G,3,FALSE),"")</f>
        <v>3222 AMBASSADOR CAFFERY PKWY</v>
      </c>
      <c r="L1843" t="str">
        <f>IFERROR(VLOOKUP(VALUE(J1843),'Site Info'!$A:$G,4,FALSE),"")</f>
        <v>LAFAYETTE</v>
      </c>
      <c r="M1843" t="str">
        <f>IFERROR(VLOOKUP(VALUE(J1843),'Site Info'!$A:$G,5,FALSE),"")</f>
        <v>LA</v>
      </c>
      <c r="N1843" t="str">
        <f>IFERROR(VLOOKUP(VALUE(J1843),'Site Info'!$A:$G,6,FALSE),"")</f>
        <v>70506-7208</v>
      </c>
      <c r="O1843">
        <f>IFERROR(VLOOKUP(VALUE(J1843),'Site Info'!$A:$G,7,FALSE),"")</f>
        <v>3372160633</v>
      </c>
    </row>
    <row r="1844" spans="1:15" x14ac:dyDescent="0.45">
      <c r="A1844" t="s">
        <v>1586</v>
      </c>
      <c r="B1844" t="s">
        <v>1587</v>
      </c>
      <c r="C1844" t="s">
        <v>1588</v>
      </c>
      <c r="D1844" t="s">
        <v>1589</v>
      </c>
      <c r="E1844" s="1">
        <v>46153.341932870368</v>
      </c>
      <c r="F1844">
        <v>1481</v>
      </c>
      <c r="G1844" t="s">
        <v>1590</v>
      </c>
      <c r="H1844" t="s">
        <v>15</v>
      </c>
      <c r="I1844" t="s">
        <v>1591</v>
      </c>
      <c r="J1844" t="str">
        <f>RIGHT(D1844,4)</f>
        <v>8114</v>
      </c>
      <c r="K1844" t="str">
        <f>IFERROR(VLOOKUP(VALUE(J1844),'Site Info'!$A:$G,3,FALSE),"")</f>
        <v>3222 AMBASSADOR CAFFERY PKWY</v>
      </c>
      <c r="L1844" t="str">
        <f>IFERROR(VLOOKUP(VALUE(J1844),'Site Info'!$A:$G,4,FALSE),"")</f>
        <v>LAFAYETTE</v>
      </c>
      <c r="M1844" t="str">
        <f>IFERROR(VLOOKUP(VALUE(J1844),'Site Info'!$A:$G,5,FALSE),"")</f>
        <v>LA</v>
      </c>
      <c r="N1844" t="str">
        <f>IFERROR(VLOOKUP(VALUE(J1844),'Site Info'!$A:$G,6,FALSE),"")</f>
        <v>70506-7208</v>
      </c>
      <c r="O1844">
        <f>IFERROR(VLOOKUP(VALUE(J1844),'Site Info'!$A:$G,7,FALSE),"")</f>
        <v>3372160633</v>
      </c>
    </row>
    <row r="1845" spans="1:15" x14ac:dyDescent="0.45">
      <c r="A1845" t="s">
        <v>16469</v>
      </c>
      <c r="B1845" t="s">
        <v>17084</v>
      </c>
      <c r="C1845" t="s">
        <v>17085</v>
      </c>
      <c r="D1845" t="s">
        <v>1589</v>
      </c>
      <c r="E1845" s="1">
        <v>46152.571064814816</v>
      </c>
      <c r="F1845">
        <v>1547</v>
      </c>
      <c r="G1845" t="s">
        <v>17086</v>
      </c>
      <c r="H1845" t="s">
        <v>15</v>
      </c>
      <c r="I1845" t="s">
        <v>1591</v>
      </c>
      <c r="J1845" t="str">
        <f>RIGHT(D1845,4)</f>
        <v>8114</v>
      </c>
      <c r="K1845" t="str">
        <f>IFERROR(VLOOKUP(VALUE(J1845),'Site Info'!$A:$G,3,FALSE),"")</f>
        <v>3222 AMBASSADOR CAFFERY PKWY</v>
      </c>
      <c r="L1845" t="str">
        <f>IFERROR(VLOOKUP(VALUE(J1845),'Site Info'!$A:$G,4,FALSE),"")</f>
        <v>LAFAYETTE</v>
      </c>
      <c r="M1845" t="str">
        <f>IFERROR(VLOOKUP(VALUE(J1845),'Site Info'!$A:$G,5,FALSE),"")</f>
        <v>LA</v>
      </c>
      <c r="N1845" t="str">
        <f>IFERROR(VLOOKUP(VALUE(J1845),'Site Info'!$A:$G,6,FALSE),"")</f>
        <v>70506-7208</v>
      </c>
      <c r="O1845">
        <f>IFERROR(VLOOKUP(VALUE(J1845),'Site Info'!$A:$G,7,FALSE),"")</f>
        <v>3372160633</v>
      </c>
    </row>
    <row r="1846" spans="1:15" x14ac:dyDescent="0.45">
      <c r="A1846" t="s">
        <v>4184</v>
      </c>
      <c r="B1846" t="s">
        <v>4185</v>
      </c>
      <c r="C1846" t="s">
        <v>4186</v>
      </c>
      <c r="D1846" t="s">
        <v>4187</v>
      </c>
      <c r="E1846" s="1">
        <v>46152.370092592595</v>
      </c>
      <c r="F1846">
        <v>1547</v>
      </c>
      <c r="G1846" t="s">
        <v>4188</v>
      </c>
      <c r="H1846" t="s">
        <v>15</v>
      </c>
      <c r="I1846" t="s">
        <v>4189</v>
      </c>
      <c r="J1846" t="str">
        <f>RIGHT(D1846,4)</f>
        <v>4939</v>
      </c>
      <c r="K1846" t="str">
        <f>IFERROR(VLOOKUP(VALUE(J1846),'Site Info'!$A:$G,3,FALSE),"")</f>
        <v>3239 GOLIAD RD</v>
      </c>
      <c r="L1846" t="str">
        <f>IFERROR(VLOOKUP(VALUE(J1846),'Site Info'!$A:$G,4,FALSE),"")</f>
        <v>SAN ANTONIO</v>
      </c>
      <c r="M1846" t="str">
        <f>IFERROR(VLOOKUP(VALUE(J1846),'Site Info'!$A:$G,5,FALSE),"")</f>
        <v>TX</v>
      </c>
      <c r="N1846" t="str">
        <f>IFERROR(VLOOKUP(VALUE(J1846),'Site Info'!$A:$G,6,FALSE),"")</f>
        <v>78223-0000</v>
      </c>
      <c r="O1846">
        <f>IFERROR(VLOOKUP(VALUE(J1846),'Site Info'!$A:$G,7,FALSE),"")</f>
        <v>2105070482</v>
      </c>
    </row>
    <row r="1847" spans="1:15" x14ac:dyDescent="0.45">
      <c r="A1847" t="s">
        <v>6410</v>
      </c>
      <c r="B1847" t="s">
        <v>6411</v>
      </c>
      <c r="C1847" t="s">
        <v>6412</v>
      </c>
      <c r="D1847" t="s">
        <v>4187</v>
      </c>
      <c r="E1847" s="1">
        <v>46152.458738425928</v>
      </c>
      <c r="F1847">
        <v>1547</v>
      </c>
      <c r="G1847" t="s">
        <v>6413</v>
      </c>
      <c r="H1847" t="s">
        <v>15</v>
      </c>
      <c r="I1847" t="s">
        <v>4189</v>
      </c>
      <c r="J1847" t="str">
        <f>RIGHT(D1847,4)</f>
        <v>4939</v>
      </c>
      <c r="K1847" t="str">
        <f>IFERROR(VLOOKUP(VALUE(J1847),'Site Info'!$A:$G,3,FALSE),"")</f>
        <v>3239 GOLIAD RD</v>
      </c>
      <c r="L1847" t="str">
        <f>IFERROR(VLOOKUP(VALUE(J1847),'Site Info'!$A:$G,4,FALSE),"")</f>
        <v>SAN ANTONIO</v>
      </c>
      <c r="M1847" t="str">
        <f>IFERROR(VLOOKUP(VALUE(J1847),'Site Info'!$A:$G,5,FALSE),"")</f>
        <v>TX</v>
      </c>
      <c r="N1847" t="str">
        <f>IFERROR(VLOOKUP(VALUE(J1847),'Site Info'!$A:$G,6,FALSE),"")</f>
        <v>78223-0000</v>
      </c>
      <c r="O1847">
        <f>IFERROR(VLOOKUP(VALUE(J1847),'Site Info'!$A:$G,7,FALSE),"")</f>
        <v>2105070482</v>
      </c>
    </row>
    <row r="1848" spans="1:15" x14ac:dyDescent="0.45">
      <c r="A1848" t="s">
        <v>12846</v>
      </c>
      <c r="B1848" t="s">
        <v>12847</v>
      </c>
      <c r="C1848" t="s">
        <v>12848</v>
      </c>
      <c r="D1848" t="s">
        <v>4187</v>
      </c>
      <c r="E1848" s="1">
        <v>46152.669687499998</v>
      </c>
      <c r="F1848">
        <v>1547</v>
      </c>
      <c r="G1848" t="s">
        <v>12849</v>
      </c>
      <c r="H1848" t="s">
        <v>15</v>
      </c>
      <c r="I1848" t="s">
        <v>4189</v>
      </c>
      <c r="J1848" t="str">
        <f>RIGHT(D1848,4)</f>
        <v>4939</v>
      </c>
      <c r="K1848" t="str">
        <f>IFERROR(VLOOKUP(VALUE(J1848),'Site Info'!$A:$G,3,FALSE),"")</f>
        <v>3239 GOLIAD RD</v>
      </c>
      <c r="L1848" t="str">
        <f>IFERROR(VLOOKUP(VALUE(J1848),'Site Info'!$A:$G,4,FALSE),"")</f>
        <v>SAN ANTONIO</v>
      </c>
      <c r="M1848" t="str">
        <f>IFERROR(VLOOKUP(VALUE(J1848),'Site Info'!$A:$G,5,FALSE),"")</f>
        <v>TX</v>
      </c>
      <c r="N1848" t="str">
        <f>IFERROR(VLOOKUP(VALUE(J1848),'Site Info'!$A:$G,6,FALSE),"")</f>
        <v>78223-0000</v>
      </c>
      <c r="O1848">
        <f>IFERROR(VLOOKUP(VALUE(J1848),'Site Info'!$A:$G,7,FALSE),"")</f>
        <v>2105070482</v>
      </c>
    </row>
    <row r="1849" spans="1:15" x14ac:dyDescent="0.45">
      <c r="A1849" t="s">
        <v>14407</v>
      </c>
      <c r="B1849" t="s">
        <v>14408</v>
      </c>
      <c r="C1849" t="s">
        <v>14409</v>
      </c>
      <c r="D1849" t="s">
        <v>4187</v>
      </c>
      <c r="E1849" s="1">
        <v>46152.69121527778</v>
      </c>
      <c r="F1849">
        <v>1547</v>
      </c>
      <c r="G1849" t="s">
        <v>14410</v>
      </c>
      <c r="H1849" t="s">
        <v>15</v>
      </c>
      <c r="I1849" t="s">
        <v>4189</v>
      </c>
      <c r="J1849" t="str">
        <f>RIGHT(D1849,4)</f>
        <v>4939</v>
      </c>
      <c r="K1849" t="str">
        <f>IFERROR(VLOOKUP(VALUE(J1849),'Site Info'!$A:$G,3,FALSE),"")</f>
        <v>3239 GOLIAD RD</v>
      </c>
      <c r="L1849" t="str">
        <f>IFERROR(VLOOKUP(VALUE(J1849),'Site Info'!$A:$G,4,FALSE),"")</f>
        <v>SAN ANTONIO</v>
      </c>
      <c r="M1849" t="str">
        <f>IFERROR(VLOOKUP(VALUE(J1849),'Site Info'!$A:$G,5,FALSE),"")</f>
        <v>TX</v>
      </c>
      <c r="N1849" t="str">
        <f>IFERROR(VLOOKUP(VALUE(J1849),'Site Info'!$A:$G,6,FALSE),"")</f>
        <v>78223-0000</v>
      </c>
      <c r="O1849">
        <f>IFERROR(VLOOKUP(VALUE(J1849),'Site Info'!$A:$G,7,FALSE),"")</f>
        <v>2105070482</v>
      </c>
    </row>
    <row r="1850" spans="1:15" x14ac:dyDescent="0.45">
      <c r="A1850" t="s">
        <v>16489</v>
      </c>
      <c r="B1850" t="s">
        <v>16544</v>
      </c>
      <c r="C1850" t="s">
        <v>16545</v>
      </c>
      <c r="D1850" t="s">
        <v>4187</v>
      </c>
      <c r="E1850" s="1">
        <v>46151.402627314812</v>
      </c>
      <c r="F1850">
        <v>1628</v>
      </c>
      <c r="G1850" t="s">
        <v>16546</v>
      </c>
      <c r="H1850" t="s">
        <v>13988</v>
      </c>
      <c r="I1850" t="s">
        <v>4189</v>
      </c>
      <c r="J1850" t="str">
        <f>RIGHT(D1850,4)</f>
        <v>4939</v>
      </c>
      <c r="K1850" t="str">
        <f>IFERROR(VLOOKUP(VALUE(J1850),'Site Info'!$A:$G,3,FALSE),"")</f>
        <v>3239 GOLIAD RD</v>
      </c>
      <c r="L1850" t="str">
        <f>IFERROR(VLOOKUP(VALUE(J1850),'Site Info'!$A:$G,4,FALSE),"")</f>
        <v>SAN ANTONIO</v>
      </c>
      <c r="M1850" t="str">
        <f>IFERROR(VLOOKUP(VALUE(J1850),'Site Info'!$A:$G,5,FALSE),"")</f>
        <v>TX</v>
      </c>
      <c r="N1850" t="str">
        <f>IFERROR(VLOOKUP(VALUE(J1850),'Site Info'!$A:$G,6,FALSE),"")</f>
        <v>78223-0000</v>
      </c>
      <c r="O1850">
        <f>IFERROR(VLOOKUP(VALUE(J1850),'Site Info'!$A:$G,7,FALSE),"")</f>
        <v>2105070482</v>
      </c>
    </row>
    <row r="1851" spans="1:15" x14ac:dyDescent="0.45">
      <c r="A1851" t="s">
        <v>12040</v>
      </c>
      <c r="B1851" t="s">
        <v>12041</v>
      </c>
      <c r="C1851" t="s">
        <v>12042</v>
      </c>
      <c r="D1851" t="s">
        <v>278</v>
      </c>
      <c r="E1851" s="1">
        <v>46148.456412037034</v>
      </c>
      <c r="F1851">
        <v>1547</v>
      </c>
      <c r="G1851" t="s">
        <v>12043</v>
      </c>
      <c r="H1851" t="s">
        <v>15</v>
      </c>
      <c r="I1851" t="s">
        <v>279</v>
      </c>
      <c r="J1851" t="str">
        <f>RIGHT(D1851,4)</f>
        <v>4770</v>
      </c>
      <c r="K1851" t="str">
        <f>IFERROR(VLOOKUP(VALUE(J1851),'Site Info'!$A:$G,3,FALSE),"")</f>
        <v>3247 23RD AVE</v>
      </c>
      <c r="L1851" t="str">
        <f>IFERROR(VLOOKUP(VALUE(J1851),'Site Info'!$A:$G,4,FALSE),"")</f>
        <v>EVANS</v>
      </c>
      <c r="M1851" t="str">
        <f>IFERROR(VLOOKUP(VALUE(J1851),'Site Info'!$A:$G,5,FALSE),"")</f>
        <v>CO</v>
      </c>
      <c r="N1851" t="str">
        <f>IFERROR(VLOOKUP(VALUE(J1851),'Site Info'!$A:$G,6,FALSE),"")</f>
        <v>80620-1733</v>
      </c>
      <c r="O1851">
        <f>IFERROR(VLOOKUP(VALUE(J1851),'Site Info'!$A:$G,7,FALSE),"")</f>
        <v>9703301011</v>
      </c>
    </row>
    <row r="1852" spans="1:15" x14ac:dyDescent="0.45">
      <c r="A1852" t="s">
        <v>6985</v>
      </c>
      <c r="B1852" t="s">
        <v>6986</v>
      </c>
      <c r="C1852" t="s">
        <v>6987</v>
      </c>
      <c r="D1852" t="s">
        <v>278</v>
      </c>
      <c r="E1852" s="1">
        <v>46151.683148148149</v>
      </c>
      <c r="F1852">
        <v>1547</v>
      </c>
      <c r="G1852" t="s">
        <v>6988</v>
      </c>
      <c r="H1852" t="s">
        <v>15</v>
      </c>
      <c r="I1852" t="s">
        <v>279</v>
      </c>
      <c r="J1852" t="str">
        <f>RIGHT(D1852,4)</f>
        <v>4770</v>
      </c>
      <c r="K1852" t="str">
        <f>IFERROR(VLOOKUP(VALUE(J1852),'Site Info'!$A:$G,3,FALSE),"")</f>
        <v>3247 23RD AVE</v>
      </c>
      <c r="L1852" t="str">
        <f>IFERROR(VLOOKUP(VALUE(J1852),'Site Info'!$A:$G,4,FALSE),"")</f>
        <v>EVANS</v>
      </c>
      <c r="M1852" t="str">
        <f>IFERROR(VLOOKUP(VALUE(J1852),'Site Info'!$A:$G,5,FALSE),"")</f>
        <v>CO</v>
      </c>
      <c r="N1852" t="str">
        <f>IFERROR(VLOOKUP(VALUE(J1852),'Site Info'!$A:$G,6,FALSE),"")</f>
        <v>80620-1733</v>
      </c>
      <c r="O1852">
        <f>IFERROR(VLOOKUP(VALUE(J1852),'Site Info'!$A:$G,7,FALSE),"")</f>
        <v>9703301011</v>
      </c>
    </row>
    <row r="1853" spans="1:15" x14ac:dyDescent="0.45">
      <c r="A1853" t="s">
        <v>9589</v>
      </c>
      <c r="B1853" t="s">
        <v>9590</v>
      </c>
      <c r="C1853" t="s">
        <v>9591</v>
      </c>
      <c r="D1853" t="s">
        <v>278</v>
      </c>
      <c r="E1853" s="1">
        <v>46151.743796296294</v>
      </c>
      <c r="F1853">
        <v>1547</v>
      </c>
      <c r="G1853" t="s">
        <v>9592</v>
      </c>
      <c r="H1853" t="s">
        <v>15</v>
      </c>
      <c r="I1853" t="s">
        <v>279</v>
      </c>
      <c r="J1853" t="str">
        <f>RIGHT(D1853,4)</f>
        <v>4770</v>
      </c>
      <c r="K1853" t="str">
        <f>IFERROR(VLOOKUP(VALUE(J1853),'Site Info'!$A:$G,3,FALSE),"")</f>
        <v>3247 23RD AVE</v>
      </c>
      <c r="L1853" t="str">
        <f>IFERROR(VLOOKUP(VALUE(J1853),'Site Info'!$A:$G,4,FALSE),"")</f>
        <v>EVANS</v>
      </c>
      <c r="M1853" t="str">
        <f>IFERROR(VLOOKUP(VALUE(J1853),'Site Info'!$A:$G,5,FALSE),"")</f>
        <v>CO</v>
      </c>
      <c r="N1853" t="str">
        <f>IFERROR(VLOOKUP(VALUE(J1853),'Site Info'!$A:$G,6,FALSE),"")</f>
        <v>80620-1733</v>
      </c>
      <c r="O1853">
        <f>IFERROR(VLOOKUP(VALUE(J1853),'Site Info'!$A:$G,7,FALSE),"")</f>
        <v>9703301011</v>
      </c>
    </row>
    <row r="1854" spans="1:15" x14ac:dyDescent="0.45">
      <c r="A1854" t="s">
        <v>9415</v>
      </c>
      <c r="B1854" t="s">
        <v>9416</v>
      </c>
      <c r="C1854" t="s">
        <v>9417</v>
      </c>
      <c r="D1854" t="s">
        <v>278</v>
      </c>
      <c r="E1854" s="1">
        <v>46151.749421296299</v>
      </c>
      <c r="F1854">
        <v>1547</v>
      </c>
      <c r="G1854" t="s">
        <v>9418</v>
      </c>
      <c r="H1854" t="s">
        <v>15</v>
      </c>
      <c r="I1854" t="s">
        <v>279</v>
      </c>
      <c r="J1854" t="str">
        <f>RIGHT(D1854,4)</f>
        <v>4770</v>
      </c>
      <c r="K1854" t="str">
        <f>IFERROR(VLOOKUP(VALUE(J1854),'Site Info'!$A:$G,3,FALSE),"")</f>
        <v>3247 23RD AVE</v>
      </c>
      <c r="L1854" t="str">
        <f>IFERROR(VLOOKUP(VALUE(J1854),'Site Info'!$A:$G,4,FALSE),"")</f>
        <v>EVANS</v>
      </c>
      <c r="M1854" t="str">
        <f>IFERROR(VLOOKUP(VALUE(J1854),'Site Info'!$A:$G,5,FALSE),"")</f>
        <v>CO</v>
      </c>
      <c r="N1854" t="str">
        <f>IFERROR(VLOOKUP(VALUE(J1854),'Site Info'!$A:$G,6,FALSE),"")</f>
        <v>80620-1733</v>
      </c>
      <c r="O1854">
        <f>IFERROR(VLOOKUP(VALUE(J1854),'Site Info'!$A:$G,7,FALSE),"")</f>
        <v>9703301011</v>
      </c>
    </row>
    <row r="1855" spans="1:15" x14ac:dyDescent="0.45">
      <c r="A1855" t="s">
        <v>12592</v>
      </c>
      <c r="B1855" t="s">
        <v>12593</v>
      </c>
      <c r="C1855" t="s">
        <v>12594</v>
      </c>
      <c r="D1855" t="s">
        <v>278</v>
      </c>
      <c r="E1855" s="1">
        <v>46152.740949074076</v>
      </c>
      <c r="F1855">
        <v>1547</v>
      </c>
      <c r="G1855" t="s">
        <v>12595</v>
      </c>
      <c r="H1855" t="s">
        <v>15</v>
      </c>
      <c r="I1855" t="s">
        <v>279</v>
      </c>
      <c r="J1855" t="str">
        <f>RIGHT(D1855,4)</f>
        <v>4770</v>
      </c>
      <c r="K1855" t="str">
        <f>IFERROR(VLOOKUP(VALUE(J1855),'Site Info'!$A:$G,3,FALSE),"")</f>
        <v>3247 23RD AVE</v>
      </c>
      <c r="L1855" t="str">
        <f>IFERROR(VLOOKUP(VALUE(J1855),'Site Info'!$A:$G,4,FALSE),"")</f>
        <v>EVANS</v>
      </c>
      <c r="M1855" t="str">
        <f>IFERROR(VLOOKUP(VALUE(J1855),'Site Info'!$A:$G,5,FALSE),"")</f>
        <v>CO</v>
      </c>
      <c r="N1855" t="str">
        <f>IFERROR(VLOOKUP(VALUE(J1855),'Site Info'!$A:$G,6,FALSE),"")</f>
        <v>80620-1733</v>
      </c>
      <c r="O1855">
        <f>IFERROR(VLOOKUP(VALUE(J1855),'Site Info'!$A:$G,7,FALSE),"")</f>
        <v>9703301011</v>
      </c>
    </row>
    <row r="1856" spans="1:15" x14ac:dyDescent="0.45">
      <c r="A1856" t="s">
        <v>12480</v>
      </c>
      <c r="B1856" t="s">
        <v>12481</v>
      </c>
      <c r="C1856" t="s">
        <v>12482</v>
      </c>
      <c r="D1856" t="s">
        <v>278</v>
      </c>
      <c r="E1856" s="1">
        <v>46153.357141203705</v>
      </c>
      <c r="F1856">
        <v>1547</v>
      </c>
      <c r="G1856" t="s">
        <v>12483</v>
      </c>
      <c r="H1856" t="s">
        <v>15</v>
      </c>
      <c r="I1856" t="s">
        <v>279</v>
      </c>
      <c r="J1856" t="str">
        <f>RIGHT(D1856,4)</f>
        <v>4770</v>
      </c>
      <c r="K1856" t="str">
        <f>IFERROR(VLOOKUP(VALUE(J1856),'Site Info'!$A:$G,3,FALSE),"")</f>
        <v>3247 23RD AVE</v>
      </c>
      <c r="L1856" t="str">
        <f>IFERROR(VLOOKUP(VALUE(J1856),'Site Info'!$A:$G,4,FALSE),"")</f>
        <v>EVANS</v>
      </c>
      <c r="M1856" t="str">
        <f>IFERROR(VLOOKUP(VALUE(J1856),'Site Info'!$A:$G,5,FALSE),"")</f>
        <v>CO</v>
      </c>
      <c r="N1856" t="str">
        <f>IFERROR(VLOOKUP(VALUE(J1856),'Site Info'!$A:$G,6,FALSE),"")</f>
        <v>80620-1733</v>
      </c>
      <c r="O1856">
        <f>IFERROR(VLOOKUP(VALUE(J1856),'Site Info'!$A:$G,7,FALSE),"")</f>
        <v>9703301011</v>
      </c>
    </row>
    <row r="1857" spans="1:15" x14ac:dyDescent="0.45">
      <c r="A1857" t="s">
        <v>13291</v>
      </c>
      <c r="B1857" t="s">
        <v>13292</v>
      </c>
      <c r="C1857" t="s">
        <v>13293</v>
      </c>
      <c r="D1857" t="s">
        <v>278</v>
      </c>
      <c r="E1857" s="1">
        <v>46153.361192129632</v>
      </c>
      <c r="F1857">
        <v>1547</v>
      </c>
      <c r="G1857" t="s">
        <v>13294</v>
      </c>
      <c r="H1857" t="s">
        <v>15</v>
      </c>
      <c r="I1857" t="s">
        <v>279</v>
      </c>
      <c r="J1857" t="str">
        <f>RIGHT(D1857,4)</f>
        <v>4770</v>
      </c>
      <c r="K1857" t="str">
        <f>IFERROR(VLOOKUP(VALUE(J1857),'Site Info'!$A:$G,3,FALSE),"")</f>
        <v>3247 23RD AVE</v>
      </c>
      <c r="L1857" t="str">
        <f>IFERROR(VLOOKUP(VALUE(J1857),'Site Info'!$A:$G,4,FALSE),"")</f>
        <v>EVANS</v>
      </c>
      <c r="M1857" t="str">
        <f>IFERROR(VLOOKUP(VALUE(J1857),'Site Info'!$A:$G,5,FALSE),"")</f>
        <v>CO</v>
      </c>
      <c r="N1857" t="str">
        <f>IFERROR(VLOOKUP(VALUE(J1857),'Site Info'!$A:$G,6,FALSE),"")</f>
        <v>80620-1733</v>
      </c>
      <c r="O1857">
        <f>IFERROR(VLOOKUP(VALUE(J1857),'Site Info'!$A:$G,7,FALSE),"")</f>
        <v>9703301011</v>
      </c>
    </row>
    <row r="1858" spans="1:15" x14ac:dyDescent="0.45">
      <c r="A1858" t="s">
        <v>1476</v>
      </c>
      <c r="B1858" t="s">
        <v>1477</v>
      </c>
      <c r="C1858" t="s">
        <v>1478</v>
      </c>
      <c r="D1858" t="s">
        <v>278</v>
      </c>
      <c r="E1858" s="1">
        <v>46153.373900462961</v>
      </c>
      <c r="F1858">
        <v>1481</v>
      </c>
      <c r="G1858" t="s">
        <v>1479</v>
      </c>
      <c r="H1858" t="s">
        <v>15</v>
      </c>
      <c r="I1858" t="s">
        <v>279</v>
      </c>
      <c r="J1858" t="str">
        <f>RIGHT(D1858,4)</f>
        <v>4770</v>
      </c>
      <c r="K1858" t="str">
        <f>IFERROR(VLOOKUP(VALUE(J1858),'Site Info'!$A:$G,3,FALSE),"")</f>
        <v>3247 23RD AVE</v>
      </c>
      <c r="L1858" t="str">
        <f>IFERROR(VLOOKUP(VALUE(J1858),'Site Info'!$A:$G,4,FALSE),"")</f>
        <v>EVANS</v>
      </c>
      <c r="M1858" t="str">
        <f>IFERROR(VLOOKUP(VALUE(J1858),'Site Info'!$A:$G,5,FALSE),"")</f>
        <v>CO</v>
      </c>
      <c r="N1858" t="str">
        <f>IFERROR(VLOOKUP(VALUE(J1858),'Site Info'!$A:$G,6,FALSE),"")</f>
        <v>80620-1733</v>
      </c>
      <c r="O1858">
        <f>IFERROR(VLOOKUP(VALUE(J1858),'Site Info'!$A:$G,7,FALSE),"")</f>
        <v>9703301011</v>
      </c>
    </row>
    <row r="1859" spans="1:15" x14ac:dyDescent="0.45">
      <c r="A1859" t="s">
        <v>12834</v>
      </c>
      <c r="B1859" t="s">
        <v>12835</v>
      </c>
      <c r="C1859" t="s">
        <v>12836</v>
      </c>
      <c r="D1859" t="s">
        <v>2568</v>
      </c>
      <c r="E1859" s="1">
        <v>46146.172233796293</v>
      </c>
      <c r="F1859">
        <v>1548</v>
      </c>
      <c r="G1859" t="s">
        <v>12837</v>
      </c>
      <c r="H1859" t="s">
        <v>15</v>
      </c>
      <c r="I1859" t="s">
        <v>2570</v>
      </c>
      <c r="J1859" t="str">
        <f>RIGHT(D1859,4)</f>
        <v>8245</v>
      </c>
      <c r="K1859" t="str">
        <f>IFERROR(VLOOKUP(VALUE(J1859),'Site Info'!$A:$G,3,FALSE),"")</f>
        <v>325 E RICHEY RD</v>
      </c>
      <c r="L1859" t="str">
        <f>IFERROR(VLOOKUP(VALUE(J1859),'Site Info'!$A:$G,4,FALSE),"")</f>
        <v>HOUSTON</v>
      </c>
      <c r="M1859" t="str">
        <f>IFERROR(VLOOKUP(VALUE(J1859),'Site Info'!$A:$G,5,FALSE),"")</f>
        <v>TX</v>
      </c>
      <c r="N1859" t="str">
        <f>IFERROR(VLOOKUP(VALUE(J1859),'Site Info'!$A:$G,6,FALSE),"")</f>
        <v>77073-6038</v>
      </c>
      <c r="O1859">
        <f>IFERROR(VLOOKUP(VALUE(J1859),'Site Info'!$A:$G,7,FALSE),"")</f>
        <v>2818218777</v>
      </c>
    </row>
    <row r="1860" spans="1:15" x14ac:dyDescent="0.45">
      <c r="A1860" t="s">
        <v>10476</v>
      </c>
      <c r="B1860" t="s">
        <v>10477</v>
      </c>
      <c r="C1860" t="s">
        <v>10478</v>
      </c>
      <c r="D1860" t="s">
        <v>2568</v>
      </c>
      <c r="E1860" s="1">
        <v>46152.617847222224</v>
      </c>
      <c r="F1860">
        <v>1547</v>
      </c>
      <c r="G1860" t="s">
        <v>10479</v>
      </c>
      <c r="H1860" t="s">
        <v>15</v>
      </c>
      <c r="I1860" t="s">
        <v>2570</v>
      </c>
      <c r="J1860" t="str">
        <f>RIGHT(D1860,4)</f>
        <v>8245</v>
      </c>
      <c r="K1860" t="str">
        <f>IFERROR(VLOOKUP(VALUE(J1860),'Site Info'!$A:$G,3,FALSE),"")</f>
        <v>325 E RICHEY RD</v>
      </c>
      <c r="L1860" t="str">
        <f>IFERROR(VLOOKUP(VALUE(J1860),'Site Info'!$A:$G,4,FALSE),"")</f>
        <v>HOUSTON</v>
      </c>
      <c r="M1860" t="str">
        <f>IFERROR(VLOOKUP(VALUE(J1860),'Site Info'!$A:$G,5,FALSE),"")</f>
        <v>TX</v>
      </c>
      <c r="N1860" t="str">
        <f>IFERROR(VLOOKUP(VALUE(J1860),'Site Info'!$A:$G,6,FALSE),"")</f>
        <v>77073-6038</v>
      </c>
      <c r="O1860">
        <f>IFERROR(VLOOKUP(VALUE(J1860),'Site Info'!$A:$G,7,FALSE),"")</f>
        <v>2818218777</v>
      </c>
    </row>
    <row r="1861" spans="1:15" x14ac:dyDescent="0.45">
      <c r="A1861" t="s">
        <v>11956</v>
      </c>
      <c r="B1861" t="s">
        <v>11957</v>
      </c>
      <c r="C1861" t="s">
        <v>11958</v>
      </c>
      <c r="D1861" t="s">
        <v>2568</v>
      </c>
      <c r="E1861" s="1">
        <v>46152.66783564815</v>
      </c>
      <c r="F1861">
        <v>1547</v>
      </c>
      <c r="G1861" t="s">
        <v>11959</v>
      </c>
      <c r="H1861" t="s">
        <v>15</v>
      </c>
      <c r="I1861" t="s">
        <v>2570</v>
      </c>
      <c r="J1861" t="str">
        <f>RIGHT(D1861,4)</f>
        <v>8245</v>
      </c>
      <c r="K1861" t="str">
        <f>IFERROR(VLOOKUP(VALUE(J1861),'Site Info'!$A:$G,3,FALSE),"")</f>
        <v>325 E RICHEY RD</v>
      </c>
      <c r="L1861" t="str">
        <f>IFERROR(VLOOKUP(VALUE(J1861),'Site Info'!$A:$G,4,FALSE),"")</f>
        <v>HOUSTON</v>
      </c>
      <c r="M1861" t="str">
        <f>IFERROR(VLOOKUP(VALUE(J1861),'Site Info'!$A:$G,5,FALSE),"")</f>
        <v>TX</v>
      </c>
      <c r="N1861" t="str">
        <f>IFERROR(VLOOKUP(VALUE(J1861),'Site Info'!$A:$G,6,FALSE),"")</f>
        <v>77073-6038</v>
      </c>
      <c r="O1861">
        <f>IFERROR(VLOOKUP(VALUE(J1861),'Site Info'!$A:$G,7,FALSE),"")</f>
        <v>2818218777</v>
      </c>
    </row>
    <row r="1862" spans="1:15" x14ac:dyDescent="0.45">
      <c r="A1862" t="s">
        <v>13054</v>
      </c>
      <c r="B1862" t="s">
        <v>13055</v>
      </c>
      <c r="C1862" t="s">
        <v>13056</v>
      </c>
      <c r="D1862" t="s">
        <v>2568</v>
      </c>
      <c r="E1862" s="1">
        <v>46152.947627314818</v>
      </c>
      <c r="F1862">
        <v>1547</v>
      </c>
      <c r="G1862" t="s">
        <v>13057</v>
      </c>
      <c r="H1862" t="s">
        <v>15</v>
      </c>
      <c r="I1862" t="s">
        <v>2570</v>
      </c>
      <c r="J1862" t="str">
        <f>RIGHT(D1862,4)</f>
        <v>8245</v>
      </c>
      <c r="K1862" t="str">
        <f>IFERROR(VLOOKUP(VALUE(J1862),'Site Info'!$A:$G,3,FALSE),"")</f>
        <v>325 E RICHEY RD</v>
      </c>
      <c r="L1862" t="str">
        <f>IFERROR(VLOOKUP(VALUE(J1862),'Site Info'!$A:$G,4,FALSE),"")</f>
        <v>HOUSTON</v>
      </c>
      <c r="M1862" t="str">
        <f>IFERROR(VLOOKUP(VALUE(J1862),'Site Info'!$A:$G,5,FALSE),"")</f>
        <v>TX</v>
      </c>
      <c r="N1862" t="str">
        <f>IFERROR(VLOOKUP(VALUE(J1862),'Site Info'!$A:$G,6,FALSE),"")</f>
        <v>77073-6038</v>
      </c>
      <c r="O1862">
        <f>IFERROR(VLOOKUP(VALUE(J1862),'Site Info'!$A:$G,7,FALSE),"")</f>
        <v>2818218777</v>
      </c>
    </row>
    <row r="1863" spans="1:15" x14ac:dyDescent="0.45">
      <c r="A1863" t="s">
        <v>12516</v>
      </c>
      <c r="B1863" t="s">
        <v>12517</v>
      </c>
      <c r="C1863" t="s">
        <v>12518</v>
      </c>
      <c r="D1863" t="s">
        <v>2568</v>
      </c>
      <c r="E1863" s="1">
        <v>46153.197118055556</v>
      </c>
      <c r="F1863">
        <v>1547</v>
      </c>
      <c r="G1863" t="s">
        <v>12519</v>
      </c>
      <c r="H1863" t="s">
        <v>15</v>
      </c>
      <c r="I1863" t="s">
        <v>2570</v>
      </c>
      <c r="J1863" t="str">
        <f>RIGHT(D1863,4)</f>
        <v>8245</v>
      </c>
      <c r="K1863" t="str">
        <f>IFERROR(VLOOKUP(VALUE(J1863),'Site Info'!$A:$G,3,FALSE),"")</f>
        <v>325 E RICHEY RD</v>
      </c>
      <c r="L1863" t="str">
        <f>IFERROR(VLOOKUP(VALUE(J1863),'Site Info'!$A:$G,4,FALSE),"")</f>
        <v>HOUSTON</v>
      </c>
      <c r="M1863" t="str">
        <f>IFERROR(VLOOKUP(VALUE(J1863),'Site Info'!$A:$G,5,FALSE),"")</f>
        <v>TX</v>
      </c>
      <c r="N1863" t="str">
        <f>IFERROR(VLOOKUP(VALUE(J1863),'Site Info'!$A:$G,6,FALSE),"")</f>
        <v>77073-6038</v>
      </c>
      <c r="O1863">
        <f>IFERROR(VLOOKUP(VALUE(J1863),'Site Info'!$A:$G,7,FALSE),"")</f>
        <v>2818218777</v>
      </c>
    </row>
    <row r="1864" spans="1:15" x14ac:dyDescent="0.45">
      <c r="A1864" t="s">
        <v>4142</v>
      </c>
      <c r="B1864" t="s">
        <v>4143</v>
      </c>
      <c r="C1864" t="s">
        <v>4144</v>
      </c>
      <c r="D1864" t="s">
        <v>2568</v>
      </c>
      <c r="E1864" s="1">
        <v>46153.344965277778</v>
      </c>
      <c r="F1864">
        <v>1547</v>
      </c>
      <c r="G1864" t="s">
        <v>4145</v>
      </c>
      <c r="H1864" t="s">
        <v>15</v>
      </c>
      <c r="I1864" t="s">
        <v>2570</v>
      </c>
      <c r="J1864" t="str">
        <f>RIGHT(D1864,4)</f>
        <v>8245</v>
      </c>
      <c r="K1864" t="str">
        <f>IFERROR(VLOOKUP(VALUE(J1864),'Site Info'!$A:$G,3,FALSE),"")</f>
        <v>325 E RICHEY RD</v>
      </c>
      <c r="L1864" t="str">
        <f>IFERROR(VLOOKUP(VALUE(J1864),'Site Info'!$A:$G,4,FALSE),"")</f>
        <v>HOUSTON</v>
      </c>
      <c r="M1864" t="str">
        <f>IFERROR(VLOOKUP(VALUE(J1864),'Site Info'!$A:$G,5,FALSE),"")</f>
        <v>TX</v>
      </c>
      <c r="N1864" t="str">
        <f>IFERROR(VLOOKUP(VALUE(J1864),'Site Info'!$A:$G,6,FALSE),"")</f>
        <v>77073-6038</v>
      </c>
      <c r="O1864">
        <f>IFERROR(VLOOKUP(VALUE(J1864),'Site Info'!$A:$G,7,FALSE),"")</f>
        <v>2818218777</v>
      </c>
    </row>
    <row r="1865" spans="1:15" x14ac:dyDescent="0.45">
      <c r="A1865" t="s">
        <v>3771</v>
      </c>
      <c r="B1865" t="s">
        <v>3772</v>
      </c>
      <c r="C1865" t="s">
        <v>3773</v>
      </c>
      <c r="D1865" t="s">
        <v>2568</v>
      </c>
      <c r="E1865" s="1">
        <v>46152.692766203705</v>
      </c>
      <c r="F1865">
        <v>1481</v>
      </c>
      <c r="G1865" t="s">
        <v>3774</v>
      </c>
      <c r="H1865" t="s">
        <v>15</v>
      </c>
      <c r="I1865" t="s">
        <v>2570</v>
      </c>
      <c r="J1865" t="str">
        <f>RIGHT(D1865,4)</f>
        <v>8245</v>
      </c>
      <c r="K1865" t="str">
        <f>IFERROR(VLOOKUP(VALUE(J1865),'Site Info'!$A:$G,3,FALSE),"")</f>
        <v>325 E RICHEY RD</v>
      </c>
      <c r="L1865" t="str">
        <f>IFERROR(VLOOKUP(VALUE(J1865),'Site Info'!$A:$G,4,FALSE),"")</f>
        <v>HOUSTON</v>
      </c>
      <c r="M1865" t="str">
        <f>IFERROR(VLOOKUP(VALUE(J1865),'Site Info'!$A:$G,5,FALSE),"")</f>
        <v>TX</v>
      </c>
      <c r="N1865" t="str">
        <f>IFERROR(VLOOKUP(VALUE(J1865),'Site Info'!$A:$G,6,FALSE),"")</f>
        <v>77073-6038</v>
      </c>
      <c r="O1865">
        <f>IFERROR(VLOOKUP(VALUE(J1865),'Site Info'!$A:$G,7,FALSE),"")</f>
        <v>2818218777</v>
      </c>
    </row>
    <row r="1866" spans="1:15" x14ac:dyDescent="0.45">
      <c r="A1866" t="s">
        <v>2565</v>
      </c>
      <c r="B1866" t="s">
        <v>2566</v>
      </c>
      <c r="C1866" t="s">
        <v>2567</v>
      </c>
      <c r="D1866" t="s">
        <v>2568</v>
      </c>
      <c r="E1866" s="1">
        <v>46153.1796412037</v>
      </c>
      <c r="F1866">
        <v>1481</v>
      </c>
      <c r="G1866" t="s">
        <v>2569</v>
      </c>
      <c r="H1866" t="s">
        <v>15</v>
      </c>
      <c r="I1866" t="s">
        <v>2570</v>
      </c>
      <c r="J1866" t="str">
        <f>RIGHT(D1866,4)</f>
        <v>8245</v>
      </c>
      <c r="K1866" t="str">
        <f>IFERROR(VLOOKUP(VALUE(J1866),'Site Info'!$A:$G,3,FALSE),"")</f>
        <v>325 E RICHEY RD</v>
      </c>
      <c r="L1866" t="str">
        <f>IFERROR(VLOOKUP(VALUE(J1866),'Site Info'!$A:$G,4,FALSE),"")</f>
        <v>HOUSTON</v>
      </c>
      <c r="M1866" t="str">
        <f>IFERROR(VLOOKUP(VALUE(J1866),'Site Info'!$A:$G,5,FALSE),"")</f>
        <v>TX</v>
      </c>
      <c r="N1866" t="str">
        <f>IFERROR(VLOOKUP(VALUE(J1866),'Site Info'!$A:$G,6,FALSE),"")</f>
        <v>77073-6038</v>
      </c>
      <c r="O1866">
        <f>IFERROR(VLOOKUP(VALUE(J1866),'Site Info'!$A:$G,7,FALSE),"")</f>
        <v>2818218777</v>
      </c>
    </row>
    <row r="1867" spans="1:15" x14ac:dyDescent="0.45">
      <c r="A1867" t="s">
        <v>8183</v>
      </c>
      <c r="B1867" t="s">
        <v>8184</v>
      </c>
      <c r="C1867" t="s">
        <v>8185</v>
      </c>
      <c r="D1867" t="s">
        <v>2448</v>
      </c>
      <c r="E1867" s="1">
        <v>46151.623402777775</v>
      </c>
      <c r="F1867">
        <v>1548</v>
      </c>
      <c r="G1867" t="s">
        <v>8186</v>
      </c>
      <c r="H1867" t="s">
        <v>15</v>
      </c>
      <c r="I1867" t="s">
        <v>2450</v>
      </c>
      <c r="J1867" t="str">
        <f>RIGHT(D1867,4)</f>
        <v>6331</v>
      </c>
      <c r="K1867" t="str">
        <f>IFERROR(VLOOKUP(VALUE(J1867),'Site Info'!$A:$G,3,FALSE),"")</f>
        <v>3300 BRUMBACK BLVD</v>
      </c>
      <c r="L1867" t="str">
        <f>IFERROR(VLOOKUP(VALUE(J1867),'Site Info'!$A:$G,4,FALSE),"")</f>
        <v>KENOSHA</v>
      </c>
      <c r="M1867" t="str">
        <f>IFERROR(VLOOKUP(VALUE(J1867),'Site Info'!$A:$G,5,FALSE),"")</f>
        <v>WI</v>
      </c>
      <c r="N1867" t="str">
        <f>IFERROR(VLOOKUP(VALUE(J1867),'Site Info'!$A:$G,6,FALSE),"")</f>
        <v>53144-4815</v>
      </c>
      <c r="O1867">
        <f>IFERROR(VLOOKUP(VALUE(J1867),'Site Info'!$A:$G,7,FALSE),"")</f>
        <v>2626546213</v>
      </c>
    </row>
    <row r="1868" spans="1:15" x14ac:dyDescent="0.45">
      <c r="A1868" t="s">
        <v>6903</v>
      </c>
      <c r="B1868" t="s">
        <v>6904</v>
      </c>
      <c r="C1868" t="s">
        <v>6905</v>
      </c>
      <c r="D1868" t="s">
        <v>2448</v>
      </c>
      <c r="E1868" s="1">
        <v>46151.789722222224</v>
      </c>
      <c r="F1868">
        <v>1547</v>
      </c>
      <c r="G1868" t="s">
        <v>6906</v>
      </c>
      <c r="H1868" t="s">
        <v>15</v>
      </c>
      <c r="I1868" t="s">
        <v>2450</v>
      </c>
      <c r="J1868" t="str">
        <f>RIGHT(D1868,4)</f>
        <v>6331</v>
      </c>
      <c r="K1868" t="str">
        <f>IFERROR(VLOOKUP(VALUE(J1868),'Site Info'!$A:$G,3,FALSE),"")</f>
        <v>3300 BRUMBACK BLVD</v>
      </c>
      <c r="L1868" t="str">
        <f>IFERROR(VLOOKUP(VALUE(J1868),'Site Info'!$A:$G,4,FALSE),"")</f>
        <v>KENOSHA</v>
      </c>
      <c r="M1868" t="str">
        <f>IFERROR(VLOOKUP(VALUE(J1868),'Site Info'!$A:$G,5,FALSE),"")</f>
        <v>WI</v>
      </c>
      <c r="N1868" t="str">
        <f>IFERROR(VLOOKUP(VALUE(J1868),'Site Info'!$A:$G,6,FALSE),"")</f>
        <v>53144-4815</v>
      </c>
      <c r="O1868">
        <f>IFERROR(VLOOKUP(VALUE(J1868),'Site Info'!$A:$G,7,FALSE),"")</f>
        <v>2626546213</v>
      </c>
    </row>
    <row r="1869" spans="1:15" x14ac:dyDescent="0.45">
      <c r="A1869" t="s">
        <v>6963</v>
      </c>
      <c r="B1869" t="s">
        <v>6964</v>
      </c>
      <c r="C1869" t="s">
        <v>6965</v>
      </c>
      <c r="D1869" t="s">
        <v>2448</v>
      </c>
      <c r="E1869" s="1">
        <v>46152.796435185184</v>
      </c>
      <c r="F1869">
        <v>1547</v>
      </c>
      <c r="G1869" t="s">
        <v>6966</v>
      </c>
      <c r="H1869" t="s">
        <v>15</v>
      </c>
      <c r="I1869" t="s">
        <v>2450</v>
      </c>
      <c r="J1869" t="str">
        <f>RIGHT(D1869,4)</f>
        <v>6331</v>
      </c>
      <c r="K1869" t="str">
        <f>IFERROR(VLOOKUP(VALUE(J1869),'Site Info'!$A:$G,3,FALSE),"")</f>
        <v>3300 BRUMBACK BLVD</v>
      </c>
      <c r="L1869" t="str">
        <f>IFERROR(VLOOKUP(VALUE(J1869),'Site Info'!$A:$G,4,FALSE),"")</f>
        <v>KENOSHA</v>
      </c>
      <c r="M1869" t="str">
        <f>IFERROR(VLOOKUP(VALUE(J1869),'Site Info'!$A:$G,5,FALSE),"")</f>
        <v>WI</v>
      </c>
      <c r="N1869" t="str">
        <f>IFERROR(VLOOKUP(VALUE(J1869),'Site Info'!$A:$G,6,FALSE),"")</f>
        <v>53144-4815</v>
      </c>
      <c r="O1869">
        <f>IFERROR(VLOOKUP(VALUE(J1869),'Site Info'!$A:$G,7,FALSE),"")</f>
        <v>2626546213</v>
      </c>
    </row>
    <row r="1870" spans="1:15" x14ac:dyDescent="0.45">
      <c r="A1870" t="s">
        <v>2445</v>
      </c>
      <c r="B1870" t="s">
        <v>2446</v>
      </c>
      <c r="C1870" t="s">
        <v>2447</v>
      </c>
      <c r="D1870" t="s">
        <v>2448</v>
      </c>
      <c r="E1870" s="1">
        <v>46150.494641203702</v>
      </c>
      <c r="F1870">
        <v>1481</v>
      </c>
      <c r="G1870" t="s">
        <v>2449</v>
      </c>
      <c r="H1870" t="s">
        <v>15</v>
      </c>
      <c r="I1870" t="s">
        <v>2450</v>
      </c>
      <c r="J1870" t="str">
        <f>RIGHT(D1870,4)</f>
        <v>6331</v>
      </c>
      <c r="K1870" t="str">
        <f>IFERROR(VLOOKUP(VALUE(J1870),'Site Info'!$A:$G,3,FALSE),"")</f>
        <v>3300 BRUMBACK BLVD</v>
      </c>
      <c r="L1870" t="str">
        <f>IFERROR(VLOOKUP(VALUE(J1870),'Site Info'!$A:$G,4,FALSE),"")</f>
        <v>KENOSHA</v>
      </c>
      <c r="M1870" t="str">
        <f>IFERROR(VLOOKUP(VALUE(J1870),'Site Info'!$A:$G,5,FALSE),"")</f>
        <v>WI</v>
      </c>
      <c r="N1870" t="str">
        <f>IFERROR(VLOOKUP(VALUE(J1870),'Site Info'!$A:$G,6,FALSE),"")</f>
        <v>53144-4815</v>
      </c>
      <c r="O1870">
        <f>IFERROR(VLOOKUP(VALUE(J1870),'Site Info'!$A:$G,7,FALSE),"")</f>
        <v>2626546213</v>
      </c>
    </row>
    <row r="1871" spans="1:15" x14ac:dyDescent="0.45">
      <c r="A1871" t="s">
        <v>12180</v>
      </c>
      <c r="B1871" t="s">
        <v>12181</v>
      </c>
      <c r="C1871" t="s">
        <v>12182</v>
      </c>
      <c r="D1871" t="s">
        <v>27</v>
      </c>
      <c r="E1871" s="1">
        <v>46151.63821759259</v>
      </c>
      <c r="F1871">
        <v>1547</v>
      </c>
      <c r="G1871" t="s">
        <v>12183</v>
      </c>
      <c r="H1871" t="s">
        <v>15</v>
      </c>
      <c r="I1871" t="s">
        <v>29</v>
      </c>
      <c r="J1871" t="str">
        <f>RIGHT(D1871,4)</f>
        <v>6422</v>
      </c>
      <c r="K1871" t="str">
        <f>IFERROR(VLOOKUP(VALUE(J1871),'Site Info'!$A:$G,3,FALSE),"")</f>
        <v>3310 N 4TH ST</v>
      </c>
      <c r="L1871" t="str">
        <f>IFERROR(VLOOKUP(VALUE(J1871),'Site Info'!$A:$G,4,FALSE),"")</f>
        <v>LONGVIEW</v>
      </c>
      <c r="M1871" t="str">
        <f>IFERROR(VLOOKUP(VALUE(J1871),'Site Info'!$A:$G,5,FALSE),"")</f>
        <v>TX</v>
      </c>
      <c r="N1871" t="str">
        <f>IFERROR(VLOOKUP(VALUE(J1871),'Site Info'!$A:$G,6,FALSE),"")</f>
        <v>75605-7954</v>
      </c>
      <c r="O1871">
        <f>IFERROR(VLOOKUP(VALUE(J1871),'Site Info'!$A:$G,7,FALSE),"")</f>
        <v>9036635588</v>
      </c>
    </row>
    <row r="1872" spans="1:15" x14ac:dyDescent="0.45">
      <c r="A1872" t="s">
        <v>12966</v>
      </c>
      <c r="B1872" t="s">
        <v>12967</v>
      </c>
      <c r="C1872" t="s">
        <v>12968</v>
      </c>
      <c r="D1872" t="s">
        <v>27</v>
      </c>
      <c r="E1872" s="1">
        <v>46151.807696759257</v>
      </c>
      <c r="F1872">
        <v>1547</v>
      </c>
      <c r="G1872" t="s">
        <v>12969</v>
      </c>
      <c r="H1872" t="s">
        <v>15</v>
      </c>
      <c r="I1872" t="s">
        <v>29</v>
      </c>
      <c r="J1872" t="str">
        <f>RIGHT(D1872,4)</f>
        <v>6422</v>
      </c>
      <c r="K1872" t="str">
        <f>IFERROR(VLOOKUP(VALUE(J1872),'Site Info'!$A:$G,3,FALSE),"")</f>
        <v>3310 N 4TH ST</v>
      </c>
      <c r="L1872" t="str">
        <f>IFERROR(VLOOKUP(VALUE(J1872),'Site Info'!$A:$G,4,FALSE),"")</f>
        <v>LONGVIEW</v>
      </c>
      <c r="M1872" t="str">
        <f>IFERROR(VLOOKUP(VALUE(J1872),'Site Info'!$A:$G,5,FALSE),"")</f>
        <v>TX</v>
      </c>
      <c r="N1872" t="str">
        <f>IFERROR(VLOOKUP(VALUE(J1872),'Site Info'!$A:$G,6,FALSE),"")</f>
        <v>75605-7954</v>
      </c>
      <c r="O1872">
        <f>IFERROR(VLOOKUP(VALUE(J1872),'Site Info'!$A:$G,7,FALSE),"")</f>
        <v>9036635588</v>
      </c>
    </row>
    <row r="1873" spans="1:15" x14ac:dyDescent="0.45">
      <c r="A1873" t="s">
        <v>12124</v>
      </c>
      <c r="B1873" t="s">
        <v>12125</v>
      </c>
      <c r="C1873" t="s">
        <v>12126</v>
      </c>
      <c r="D1873" t="s">
        <v>27</v>
      </c>
      <c r="E1873" s="1">
        <v>46153.070034722223</v>
      </c>
      <c r="F1873">
        <v>1547</v>
      </c>
      <c r="G1873" t="s">
        <v>12127</v>
      </c>
      <c r="H1873" t="s">
        <v>15</v>
      </c>
      <c r="I1873" t="s">
        <v>29</v>
      </c>
      <c r="J1873" t="str">
        <f>RIGHT(D1873,4)</f>
        <v>6422</v>
      </c>
      <c r="K1873" t="str">
        <f>IFERROR(VLOOKUP(VALUE(J1873),'Site Info'!$A:$G,3,FALSE),"")</f>
        <v>3310 N 4TH ST</v>
      </c>
      <c r="L1873" t="str">
        <f>IFERROR(VLOOKUP(VALUE(J1873),'Site Info'!$A:$G,4,FALSE),"")</f>
        <v>LONGVIEW</v>
      </c>
      <c r="M1873" t="str">
        <f>IFERROR(VLOOKUP(VALUE(J1873),'Site Info'!$A:$G,5,FALSE),"")</f>
        <v>TX</v>
      </c>
      <c r="N1873" t="str">
        <f>IFERROR(VLOOKUP(VALUE(J1873),'Site Info'!$A:$G,6,FALSE),"")</f>
        <v>75605-7954</v>
      </c>
      <c r="O1873">
        <f>IFERROR(VLOOKUP(VALUE(J1873),'Site Info'!$A:$G,7,FALSE),"")</f>
        <v>9036635588</v>
      </c>
    </row>
    <row r="1874" spans="1:15" x14ac:dyDescent="0.45">
      <c r="A1874" t="s">
        <v>10136</v>
      </c>
      <c r="B1874" t="s">
        <v>10137</v>
      </c>
      <c r="C1874" t="s">
        <v>10138</v>
      </c>
      <c r="D1874" t="s">
        <v>27</v>
      </c>
      <c r="E1874" s="1">
        <v>46153.325173611112</v>
      </c>
      <c r="F1874">
        <v>1547</v>
      </c>
      <c r="G1874" t="s">
        <v>10139</v>
      </c>
      <c r="H1874" t="s">
        <v>15</v>
      </c>
      <c r="I1874" t="s">
        <v>29</v>
      </c>
      <c r="J1874" t="str">
        <f>RIGHT(D1874,4)</f>
        <v>6422</v>
      </c>
      <c r="K1874" t="str">
        <f>IFERROR(VLOOKUP(VALUE(J1874),'Site Info'!$A:$G,3,FALSE),"")</f>
        <v>3310 N 4TH ST</v>
      </c>
      <c r="L1874" t="str">
        <f>IFERROR(VLOOKUP(VALUE(J1874),'Site Info'!$A:$G,4,FALSE),"")</f>
        <v>LONGVIEW</v>
      </c>
      <c r="M1874" t="str">
        <f>IFERROR(VLOOKUP(VALUE(J1874),'Site Info'!$A:$G,5,FALSE),"")</f>
        <v>TX</v>
      </c>
      <c r="N1874" t="str">
        <f>IFERROR(VLOOKUP(VALUE(J1874),'Site Info'!$A:$G,6,FALSE),"")</f>
        <v>75605-7954</v>
      </c>
      <c r="O1874">
        <f>IFERROR(VLOOKUP(VALUE(J1874),'Site Info'!$A:$G,7,FALSE),"")</f>
        <v>9036635588</v>
      </c>
    </row>
    <row r="1875" spans="1:15" x14ac:dyDescent="0.45">
      <c r="A1875" t="s">
        <v>9447</v>
      </c>
      <c r="B1875" t="s">
        <v>9448</v>
      </c>
      <c r="C1875" t="s">
        <v>9449</v>
      </c>
      <c r="D1875" t="s">
        <v>27</v>
      </c>
      <c r="E1875" s="1">
        <v>46153.354398148149</v>
      </c>
      <c r="F1875">
        <v>1547</v>
      </c>
      <c r="G1875" t="s">
        <v>9450</v>
      </c>
      <c r="H1875" t="s">
        <v>15</v>
      </c>
      <c r="I1875" t="s">
        <v>29</v>
      </c>
      <c r="J1875" t="str">
        <f>RIGHT(D1875,4)</f>
        <v>6422</v>
      </c>
      <c r="K1875" t="str">
        <f>IFERROR(VLOOKUP(VALUE(J1875),'Site Info'!$A:$G,3,FALSE),"")</f>
        <v>3310 N 4TH ST</v>
      </c>
      <c r="L1875" t="str">
        <f>IFERROR(VLOOKUP(VALUE(J1875),'Site Info'!$A:$G,4,FALSE),"")</f>
        <v>LONGVIEW</v>
      </c>
      <c r="M1875" t="str">
        <f>IFERROR(VLOOKUP(VALUE(J1875),'Site Info'!$A:$G,5,FALSE),"")</f>
        <v>TX</v>
      </c>
      <c r="N1875" t="str">
        <f>IFERROR(VLOOKUP(VALUE(J1875),'Site Info'!$A:$G,6,FALSE),"")</f>
        <v>75605-7954</v>
      </c>
      <c r="O1875">
        <f>IFERROR(VLOOKUP(VALUE(J1875),'Site Info'!$A:$G,7,FALSE),"")</f>
        <v>9036635588</v>
      </c>
    </row>
    <row r="1876" spans="1:15" x14ac:dyDescent="0.45">
      <c r="A1876" t="s">
        <v>3553</v>
      </c>
      <c r="B1876" t="s">
        <v>3554</v>
      </c>
      <c r="C1876" t="s">
        <v>3555</v>
      </c>
      <c r="D1876" t="s">
        <v>27</v>
      </c>
      <c r="E1876" s="1">
        <v>46151.564247685186</v>
      </c>
      <c r="F1876">
        <v>1481</v>
      </c>
      <c r="G1876" t="s">
        <v>3556</v>
      </c>
      <c r="H1876" t="s">
        <v>15</v>
      </c>
      <c r="I1876" t="s">
        <v>29</v>
      </c>
      <c r="J1876" t="str">
        <f>RIGHT(D1876,4)</f>
        <v>6422</v>
      </c>
      <c r="K1876" t="str">
        <f>IFERROR(VLOOKUP(VALUE(J1876),'Site Info'!$A:$G,3,FALSE),"")</f>
        <v>3310 N 4TH ST</v>
      </c>
      <c r="L1876" t="str">
        <f>IFERROR(VLOOKUP(VALUE(J1876),'Site Info'!$A:$G,4,FALSE),"")</f>
        <v>LONGVIEW</v>
      </c>
      <c r="M1876" t="str">
        <f>IFERROR(VLOOKUP(VALUE(J1876),'Site Info'!$A:$G,5,FALSE),"")</f>
        <v>TX</v>
      </c>
      <c r="N1876" t="str">
        <f>IFERROR(VLOOKUP(VALUE(J1876),'Site Info'!$A:$G,6,FALSE),"")</f>
        <v>75605-7954</v>
      </c>
      <c r="O1876">
        <f>IFERROR(VLOOKUP(VALUE(J1876),'Site Info'!$A:$G,7,FALSE),"")</f>
        <v>9036635588</v>
      </c>
    </row>
    <row r="1877" spans="1:15" x14ac:dyDescent="0.45">
      <c r="A1877" t="s">
        <v>984</v>
      </c>
      <c r="B1877" t="s">
        <v>985</v>
      </c>
      <c r="C1877" t="s">
        <v>986</v>
      </c>
      <c r="D1877" t="s">
        <v>27</v>
      </c>
      <c r="E1877" s="1">
        <v>46152.588680555556</v>
      </c>
      <c r="F1877">
        <v>1481</v>
      </c>
      <c r="G1877" t="s">
        <v>987</v>
      </c>
      <c r="H1877" t="s">
        <v>15</v>
      </c>
      <c r="I1877" t="s">
        <v>29</v>
      </c>
      <c r="J1877" t="str">
        <f>RIGHT(D1877,4)</f>
        <v>6422</v>
      </c>
      <c r="K1877" t="str">
        <f>IFERROR(VLOOKUP(VALUE(J1877),'Site Info'!$A:$G,3,FALSE),"")</f>
        <v>3310 N 4TH ST</v>
      </c>
      <c r="L1877" t="str">
        <f>IFERROR(VLOOKUP(VALUE(J1877),'Site Info'!$A:$G,4,FALSE),"")</f>
        <v>LONGVIEW</v>
      </c>
      <c r="M1877" t="str">
        <f>IFERROR(VLOOKUP(VALUE(J1877),'Site Info'!$A:$G,5,FALSE),"")</f>
        <v>TX</v>
      </c>
      <c r="N1877" t="str">
        <f>IFERROR(VLOOKUP(VALUE(J1877),'Site Info'!$A:$G,6,FALSE),"")</f>
        <v>75605-7954</v>
      </c>
      <c r="O1877">
        <f>IFERROR(VLOOKUP(VALUE(J1877),'Site Info'!$A:$G,7,FALSE),"")</f>
        <v>9036635588</v>
      </c>
    </row>
    <row r="1878" spans="1:15" x14ac:dyDescent="0.45">
      <c r="A1878" t="s">
        <v>924</v>
      </c>
      <c r="B1878" t="s">
        <v>925</v>
      </c>
      <c r="C1878" t="s">
        <v>926</v>
      </c>
      <c r="D1878" t="s">
        <v>27</v>
      </c>
      <c r="E1878" s="1">
        <v>46152.617175925923</v>
      </c>
      <c r="F1878">
        <v>1481</v>
      </c>
      <c r="G1878" t="s">
        <v>927</v>
      </c>
      <c r="H1878" t="s">
        <v>15</v>
      </c>
      <c r="I1878" t="s">
        <v>29</v>
      </c>
      <c r="J1878" t="str">
        <f>RIGHT(D1878,4)</f>
        <v>6422</v>
      </c>
      <c r="K1878" t="str">
        <f>IFERROR(VLOOKUP(VALUE(J1878),'Site Info'!$A:$G,3,FALSE),"")</f>
        <v>3310 N 4TH ST</v>
      </c>
      <c r="L1878" t="str">
        <f>IFERROR(VLOOKUP(VALUE(J1878),'Site Info'!$A:$G,4,FALSE),"")</f>
        <v>LONGVIEW</v>
      </c>
      <c r="M1878" t="str">
        <f>IFERROR(VLOOKUP(VALUE(J1878),'Site Info'!$A:$G,5,FALSE),"")</f>
        <v>TX</v>
      </c>
      <c r="N1878" t="str">
        <f>IFERROR(VLOOKUP(VALUE(J1878),'Site Info'!$A:$G,6,FALSE),"")</f>
        <v>75605-7954</v>
      </c>
      <c r="O1878">
        <f>IFERROR(VLOOKUP(VALUE(J1878),'Site Info'!$A:$G,7,FALSE),"")</f>
        <v>9036635588</v>
      </c>
    </row>
    <row r="1879" spans="1:15" x14ac:dyDescent="0.45">
      <c r="A1879" t="s">
        <v>24</v>
      </c>
      <c r="B1879" t="s">
        <v>25</v>
      </c>
      <c r="C1879" t="s">
        <v>26</v>
      </c>
      <c r="D1879" t="s">
        <v>27</v>
      </c>
      <c r="E1879" s="1">
        <v>46153.233240740738</v>
      </c>
      <c r="F1879">
        <v>1481</v>
      </c>
      <c r="G1879" t="s">
        <v>28</v>
      </c>
      <c r="H1879" t="s">
        <v>15</v>
      </c>
      <c r="I1879" t="s">
        <v>29</v>
      </c>
      <c r="J1879" t="str">
        <f>RIGHT(D1879,4)</f>
        <v>6422</v>
      </c>
      <c r="K1879" t="str">
        <f>IFERROR(VLOOKUP(VALUE(J1879),'Site Info'!$A:$G,3,FALSE),"")</f>
        <v>3310 N 4TH ST</v>
      </c>
      <c r="L1879" t="str">
        <f>IFERROR(VLOOKUP(VALUE(J1879),'Site Info'!$A:$G,4,FALSE),"")</f>
        <v>LONGVIEW</v>
      </c>
      <c r="M1879" t="str">
        <f>IFERROR(VLOOKUP(VALUE(J1879),'Site Info'!$A:$G,5,FALSE),"")</f>
        <v>TX</v>
      </c>
      <c r="N1879" t="str">
        <f>IFERROR(VLOOKUP(VALUE(J1879),'Site Info'!$A:$G,6,FALSE),"")</f>
        <v>75605-7954</v>
      </c>
      <c r="O1879">
        <f>IFERROR(VLOOKUP(VALUE(J1879),'Site Info'!$A:$G,7,FALSE),"")</f>
        <v>9036635588</v>
      </c>
    </row>
    <row r="1880" spans="1:15" x14ac:dyDescent="0.45">
      <c r="A1880" t="s">
        <v>16842</v>
      </c>
      <c r="B1880" t="s">
        <v>16843</v>
      </c>
      <c r="C1880" t="s">
        <v>16844</v>
      </c>
      <c r="D1880" t="s">
        <v>27</v>
      </c>
      <c r="E1880" s="1">
        <v>46132.468738425923</v>
      </c>
      <c r="F1880">
        <v>1481</v>
      </c>
      <c r="G1880" t="s">
        <v>16845</v>
      </c>
      <c r="H1880" t="s">
        <v>15</v>
      </c>
      <c r="I1880" t="s">
        <v>29</v>
      </c>
      <c r="J1880" t="str">
        <f>RIGHT(D1880,4)</f>
        <v>6422</v>
      </c>
      <c r="K1880" t="str">
        <f>IFERROR(VLOOKUP(VALUE(J1880),'Site Info'!$A:$G,3,FALSE),"")</f>
        <v>3310 N 4TH ST</v>
      </c>
      <c r="L1880" t="str">
        <f>IFERROR(VLOOKUP(VALUE(J1880),'Site Info'!$A:$G,4,FALSE),"")</f>
        <v>LONGVIEW</v>
      </c>
      <c r="M1880" t="str">
        <f>IFERROR(VLOOKUP(VALUE(J1880),'Site Info'!$A:$G,5,FALSE),"")</f>
        <v>TX</v>
      </c>
      <c r="N1880" t="str">
        <f>IFERROR(VLOOKUP(VALUE(J1880),'Site Info'!$A:$G,6,FALSE),"")</f>
        <v>75605-7954</v>
      </c>
      <c r="O1880">
        <f>IFERROR(VLOOKUP(VALUE(J1880),'Site Info'!$A:$G,7,FALSE),"")</f>
        <v>9036635588</v>
      </c>
    </row>
    <row r="1881" spans="1:15" x14ac:dyDescent="0.45">
      <c r="A1881" t="s">
        <v>16477</v>
      </c>
      <c r="B1881" t="s">
        <v>16846</v>
      </c>
      <c r="C1881" t="s">
        <v>16847</v>
      </c>
      <c r="D1881" t="s">
        <v>27</v>
      </c>
      <c r="E1881" s="1">
        <v>46146.508738425924</v>
      </c>
      <c r="F1881">
        <v>1481</v>
      </c>
      <c r="G1881" t="s">
        <v>16848</v>
      </c>
      <c r="H1881" t="s">
        <v>15</v>
      </c>
      <c r="I1881" t="s">
        <v>29</v>
      </c>
      <c r="J1881" t="str">
        <f>RIGHT(D1881,4)</f>
        <v>6422</v>
      </c>
      <c r="K1881" t="str">
        <f>IFERROR(VLOOKUP(VALUE(J1881),'Site Info'!$A:$G,3,FALSE),"")</f>
        <v>3310 N 4TH ST</v>
      </c>
      <c r="L1881" t="str">
        <f>IFERROR(VLOOKUP(VALUE(J1881),'Site Info'!$A:$G,4,FALSE),"")</f>
        <v>LONGVIEW</v>
      </c>
      <c r="M1881" t="str">
        <f>IFERROR(VLOOKUP(VALUE(J1881),'Site Info'!$A:$G,5,FALSE),"")</f>
        <v>TX</v>
      </c>
      <c r="N1881" t="str">
        <f>IFERROR(VLOOKUP(VALUE(J1881),'Site Info'!$A:$G,6,FALSE),"")</f>
        <v>75605-7954</v>
      </c>
      <c r="O1881">
        <f>IFERROR(VLOOKUP(VALUE(J1881),'Site Info'!$A:$G,7,FALSE),"")</f>
        <v>9036635588</v>
      </c>
    </row>
    <row r="1882" spans="1:15" x14ac:dyDescent="0.45">
      <c r="A1882" t="s">
        <v>11980</v>
      </c>
      <c r="B1882" t="s">
        <v>11981</v>
      </c>
      <c r="C1882" t="s">
        <v>11982</v>
      </c>
      <c r="D1882" t="s">
        <v>1127</v>
      </c>
      <c r="E1882" s="1">
        <v>46151.587048611109</v>
      </c>
      <c r="F1882">
        <v>1547</v>
      </c>
      <c r="G1882" t="s">
        <v>11983</v>
      </c>
      <c r="H1882" t="s">
        <v>15</v>
      </c>
      <c r="I1882" t="s">
        <v>1129</v>
      </c>
      <c r="J1882" t="str">
        <f>RIGHT(D1882,4)</f>
        <v>6512</v>
      </c>
      <c r="K1882" t="str">
        <f>IFERROR(VLOOKUP(VALUE(J1882),'Site Info'!$A:$G,3,FALSE),"")</f>
        <v>3315 LG HIGHWAY</v>
      </c>
      <c r="L1882" t="str">
        <f>IFERROR(VLOOKUP(VALUE(J1882),'Site Info'!$A:$G,4,FALSE),"")</f>
        <v>CLARKSVILLE</v>
      </c>
      <c r="M1882" t="str">
        <f>IFERROR(VLOOKUP(VALUE(J1882),'Site Info'!$A:$G,5,FALSE),"")</f>
        <v>TN</v>
      </c>
      <c r="N1882" t="str">
        <f>IFERROR(VLOOKUP(VALUE(J1882),'Site Info'!$A:$G,6,FALSE),"")</f>
        <v>37040-5507</v>
      </c>
      <c r="O1882">
        <f>IFERROR(VLOOKUP(VALUE(J1882),'Site Info'!$A:$G,7,FALSE),"")</f>
        <v>9315520733</v>
      </c>
    </row>
    <row r="1883" spans="1:15" x14ac:dyDescent="0.45">
      <c r="A1883" t="s">
        <v>11606</v>
      </c>
      <c r="B1883" t="s">
        <v>11607</v>
      </c>
      <c r="C1883" t="s">
        <v>11608</v>
      </c>
      <c r="D1883" t="s">
        <v>1127</v>
      </c>
      <c r="E1883" s="1">
        <v>46151.791666666664</v>
      </c>
      <c r="F1883">
        <v>1547</v>
      </c>
      <c r="G1883" t="s">
        <v>11609</v>
      </c>
      <c r="H1883" t="s">
        <v>15</v>
      </c>
      <c r="I1883" t="s">
        <v>1129</v>
      </c>
      <c r="J1883" t="str">
        <f>RIGHT(D1883,4)</f>
        <v>6512</v>
      </c>
      <c r="K1883" t="str">
        <f>IFERROR(VLOOKUP(VALUE(J1883),'Site Info'!$A:$G,3,FALSE),"")</f>
        <v>3315 LG HIGHWAY</v>
      </c>
      <c r="L1883" t="str">
        <f>IFERROR(VLOOKUP(VALUE(J1883),'Site Info'!$A:$G,4,FALSE),"")</f>
        <v>CLARKSVILLE</v>
      </c>
      <c r="M1883" t="str">
        <f>IFERROR(VLOOKUP(VALUE(J1883),'Site Info'!$A:$G,5,FALSE),"")</f>
        <v>TN</v>
      </c>
      <c r="N1883" t="str">
        <f>IFERROR(VLOOKUP(VALUE(J1883),'Site Info'!$A:$G,6,FALSE),"")</f>
        <v>37040-5507</v>
      </c>
      <c r="O1883">
        <f>IFERROR(VLOOKUP(VALUE(J1883),'Site Info'!$A:$G,7,FALSE),"")</f>
        <v>9315520733</v>
      </c>
    </row>
    <row r="1884" spans="1:15" x14ac:dyDescent="0.45">
      <c r="A1884" t="s">
        <v>12000</v>
      </c>
      <c r="B1884" t="s">
        <v>12001</v>
      </c>
      <c r="C1884" t="s">
        <v>12002</v>
      </c>
      <c r="D1884" t="s">
        <v>1127</v>
      </c>
      <c r="E1884" s="1">
        <v>46152.666180555556</v>
      </c>
      <c r="F1884">
        <v>1547</v>
      </c>
      <c r="G1884" t="s">
        <v>12003</v>
      </c>
      <c r="H1884" t="s">
        <v>15</v>
      </c>
      <c r="I1884" t="s">
        <v>1129</v>
      </c>
      <c r="J1884" t="str">
        <f>RIGHT(D1884,4)</f>
        <v>6512</v>
      </c>
      <c r="K1884" t="str">
        <f>IFERROR(VLOOKUP(VALUE(J1884),'Site Info'!$A:$G,3,FALSE),"")</f>
        <v>3315 LG HIGHWAY</v>
      </c>
      <c r="L1884" t="str">
        <f>IFERROR(VLOOKUP(VALUE(J1884),'Site Info'!$A:$G,4,FALSE),"")</f>
        <v>CLARKSVILLE</v>
      </c>
      <c r="M1884" t="str">
        <f>IFERROR(VLOOKUP(VALUE(J1884),'Site Info'!$A:$G,5,FALSE),"")</f>
        <v>TN</v>
      </c>
      <c r="N1884" t="str">
        <f>IFERROR(VLOOKUP(VALUE(J1884),'Site Info'!$A:$G,6,FALSE),"")</f>
        <v>37040-5507</v>
      </c>
      <c r="O1884">
        <f>IFERROR(VLOOKUP(VALUE(J1884),'Site Info'!$A:$G,7,FALSE),"")</f>
        <v>9315520733</v>
      </c>
    </row>
    <row r="1885" spans="1:15" x14ac:dyDescent="0.45">
      <c r="A1885" t="s">
        <v>6719</v>
      </c>
      <c r="B1885" t="s">
        <v>6720</v>
      </c>
      <c r="C1885" t="s">
        <v>6721</v>
      </c>
      <c r="D1885" t="s">
        <v>1127</v>
      </c>
      <c r="E1885" s="1">
        <v>46153.179930555554</v>
      </c>
      <c r="F1885">
        <v>1547</v>
      </c>
      <c r="G1885" t="s">
        <v>6722</v>
      </c>
      <c r="H1885" t="s">
        <v>15</v>
      </c>
      <c r="I1885" t="s">
        <v>1129</v>
      </c>
      <c r="J1885" t="str">
        <f>RIGHT(D1885,4)</f>
        <v>6512</v>
      </c>
      <c r="K1885" t="str">
        <f>IFERROR(VLOOKUP(VALUE(J1885),'Site Info'!$A:$G,3,FALSE),"")</f>
        <v>3315 LG HIGHWAY</v>
      </c>
      <c r="L1885" t="str">
        <f>IFERROR(VLOOKUP(VALUE(J1885),'Site Info'!$A:$G,4,FALSE),"")</f>
        <v>CLARKSVILLE</v>
      </c>
      <c r="M1885" t="str">
        <f>IFERROR(VLOOKUP(VALUE(J1885),'Site Info'!$A:$G,5,FALSE),"")</f>
        <v>TN</v>
      </c>
      <c r="N1885" t="str">
        <f>IFERROR(VLOOKUP(VALUE(J1885),'Site Info'!$A:$G,6,FALSE),"")</f>
        <v>37040-5507</v>
      </c>
      <c r="O1885">
        <f>IFERROR(VLOOKUP(VALUE(J1885),'Site Info'!$A:$G,7,FALSE),"")</f>
        <v>9315520733</v>
      </c>
    </row>
    <row r="1886" spans="1:15" x14ac:dyDescent="0.45">
      <c r="A1886" t="s">
        <v>12364</v>
      </c>
      <c r="B1886" t="s">
        <v>12365</v>
      </c>
      <c r="C1886" t="s">
        <v>12366</v>
      </c>
      <c r="D1886" t="s">
        <v>1127</v>
      </c>
      <c r="E1886" s="1">
        <v>46153.358611111114</v>
      </c>
      <c r="F1886">
        <v>1547</v>
      </c>
      <c r="G1886" t="s">
        <v>12367</v>
      </c>
      <c r="H1886" t="s">
        <v>15</v>
      </c>
      <c r="I1886" t="s">
        <v>1129</v>
      </c>
      <c r="J1886" t="str">
        <f>RIGHT(D1886,4)</f>
        <v>6512</v>
      </c>
      <c r="K1886" t="str">
        <f>IFERROR(VLOOKUP(VALUE(J1886),'Site Info'!$A:$G,3,FALSE),"")</f>
        <v>3315 LG HIGHWAY</v>
      </c>
      <c r="L1886" t="str">
        <f>IFERROR(VLOOKUP(VALUE(J1886),'Site Info'!$A:$G,4,FALSE),"")</f>
        <v>CLARKSVILLE</v>
      </c>
      <c r="M1886" t="str">
        <f>IFERROR(VLOOKUP(VALUE(J1886),'Site Info'!$A:$G,5,FALSE),"")</f>
        <v>TN</v>
      </c>
      <c r="N1886" t="str">
        <f>IFERROR(VLOOKUP(VALUE(J1886),'Site Info'!$A:$G,6,FALSE),"")</f>
        <v>37040-5507</v>
      </c>
      <c r="O1886">
        <f>IFERROR(VLOOKUP(VALUE(J1886),'Site Info'!$A:$G,7,FALSE),"")</f>
        <v>9315520733</v>
      </c>
    </row>
    <row r="1887" spans="1:15" x14ac:dyDescent="0.45">
      <c r="A1887" t="s">
        <v>1124</v>
      </c>
      <c r="B1887" t="s">
        <v>1125</v>
      </c>
      <c r="C1887" t="s">
        <v>1126</v>
      </c>
      <c r="D1887" t="s">
        <v>1127</v>
      </c>
      <c r="E1887" s="1">
        <v>46153.34207175926</v>
      </c>
      <c r="F1887">
        <v>1481</v>
      </c>
      <c r="G1887" t="s">
        <v>1128</v>
      </c>
      <c r="H1887" t="s">
        <v>15</v>
      </c>
      <c r="I1887" t="s">
        <v>1129</v>
      </c>
      <c r="J1887" t="str">
        <f>RIGHT(D1887,4)</f>
        <v>6512</v>
      </c>
      <c r="K1887" t="str">
        <f>IFERROR(VLOOKUP(VALUE(J1887),'Site Info'!$A:$G,3,FALSE),"")</f>
        <v>3315 LG HIGHWAY</v>
      </c>
      <c r="L1887" t="str">
        <f>IFERROR(VLOOKUP(VALUE(J1887),'Site Info'!$A:$G,4,FALSE),"")</f>
        <v>CLARKSVILLE</v>
      </c>
      <c r="M1887" t="str">
        <f>IFERROR(VLOOKUP(VALUE(J1887),'Site Info'!$A:$G,5,FALSE),"")</f>
        <v>TN</v>
      </c>
      <c r="N1887" t="str">
        <f>IFERROR(VLOOKUP(VALUE(J1887),'Site Info'!$A:$G,6,FALSE),"")</f>
        <v>37040-5507</v>
      </c>
      <c r="O1887">
        <f>IFERROR(VLOOKUP(VALUE(J1887),'Site Info'!$A:$G,7,FALSE),"")</f>
        <v>9315520733</v>
      </c>
    </row>
    <row r="1888" spans="1:15" x14ac:dyDescent="0.45">
      <c r="A1888" t="s">
        <v>2144</v>
      </c>
      <c r="B1888" t="s">
        <v>2145</v>
      </c>
      <c r="C1888" t="s">
        <v>2146</v>
      </c>
      <c r="D1888" t="s">
        <v>1127</v>
      </c>
      <c r="E1888" s="1">
        <v>46153.364351851851</v>
      </c>
      <c r="F1888">
        <v>1481</v>
      </c>
      <c r="G1888" t="s">
        <v>2147</v>
      </c>
      <c r="H1888" t="s">
        <v>15</v>
      </c>
      <c r="I1888" t="s">
        <v>1129</v>
      </c>
      <c r="J1888" t="str">
        <f>RIGHT(D1888,4)</f>
        <v>6512</v>
      </c>
      <c r="K1888" t="str">
        <f>IFERROR(VLOOKUP(VALUE(J1888),'Site Info'!$A:$G,3,FALSE),"")</f>
        <v>3315 LG HIGHWAY</v>
      </c>
      <c r="L1888" t="str">
        <f>IFERROR(VLOOKUP(VALUE(J1888),'Site Info'!$A:$G,4,FALSE),"")</f>
        <v>CLARKSVILLE</v>
      </c>
      <c r="M1888" t="str">
        <f>IFERROR(VLOOKUP(VALUE(J1888),'Site Info'!$A:$G,5,FALSE),"")</f>
        <v>TN</v>
      </c>
      <c r="N1888" t="str">
        <f>IFERROR(VLOOKUP(VALUE(J1888),'Site Info'!$A:$G,6,FALSE),"")</f>
        <v>37040-5507</v>
      </c>
      <c r="O1888">
        <f>IFERROR(VLOOKUP(VALUE(J1888),'Site Info'!$A:$G,7,FALSE),"")</f>
        <v>9315520733</v>
      </c>
    </row>
    <row r="1889" spans="1:15" x14ac:dyDescent="0.45">
      <c r="A1889" t="s">
        <v>10759</v>
      </c>
      <c r="B1889" t="s">
        <v>10760</v>
      </c>
      <c r="C1889" t="s">
        <v>10761</v>
      </c>
      <c r="D1889" t="s">
        <v>3590</v>
      </c>
      <c r="E1889" s="1">
        <v>46153.061261574076</v>
      </c>
      <c r="F1889">
        <v>1547</v>
      </c>
      <c r="G1889" t="s">
        <v>10762</v>
      </c>
      <c r="H1889" t="s">
        <v>15</v>
      </c>
      <c r="I1889" t="s">
        <v>3592</v>
      </c>
      <c r="J1889" t="str">
        <f>RIGHT(D1889,4)</f>
        <v>6674</v>
      </c>
      <c r="K1889" t="str">
        <f>IFERROR(VLOOKUP(VALUE(J1889),'Site Info'!$A:$G,3,FALSE),"")</f>
        <v>333 SAW MILL RIVER RD</v>
      </c>
      <c r="L1889" t="str">
        <f>IFERROR(VLOOKUP(VALUE(J1889),'Site Info'!$A:$G,4,FALSE),"")</f>
        <v>ELMSFORD</v>
      </c>
      <c r="M1889" t="str">
        <f>IFERROR(VLOOKUP(VALUE(J1889),'Site Info'!$A:$G,5,FALSE),"")</f>
        <v>NY</v>
      </c>
      <c r="N1889" t="str">
        <f>IFERROR(VLOOKUP(VALUE(J1889),'Site Info'!$A:$G,6,FALSE),"")</f>
        <v>10523-1516</v>
      </c>
      <c r="O1889">
        <f>IFERROR(VLOOKUP(VALUE(J1889),'Site Info'!$A:$G,7,FALSE),"")</f>
        <v>9145920023</v>
      </c>
    </row>
    <row r="1890" spans="1:15" x14ac:dyDescent="0.45">
      <c r="A1890" t="s">
        <v>11598</v>
      </c>
      <c r="B1890" t="s">
        <v>11599</v>
      </c>
      <c r="C1890" t="s">
        <v>11600</v>
      </c>
      <c r="D1890" t="s">
        <v>3590</v>
      </c>
      <c r="E1890" s="1">
        <v>46153.270902777775</v>
      </c>
      <c r="F1890">
        <v>1547</v>
      </c>
      <c r="G1890" t="s">
        <v>11601</v>
      </c>
      <c r="H1890" t="s">
        <v>15</v>
      </c>
      <c r="I1890" t="s">
        <v>3592</v>
      </c>
      <c r="J1890" t="str">
        <f>RIGHT(D1890,4)</f>
        <v>6674</v>
      </c>
      <c r="K1890" t="str">
        <f>IFERROR(VLOOKUP(VALUE(J1890),'Site Info'!$A:$G,3,FALSE),"")</f>
        <v>333 SAW MILL RIVER RD</v>
      </c>
      <c r="L1890" t="str">
        <f>IFERROR(VLOOKUP(VALUE(J1890),'Site Info'!$A:$G,4,FALSE),"")</f>
        <v>ELMSFORD</v>
      </c>
      <c r="M1890" t="str">
        <f>IFERROR(VLOOKUP(VALUE(J1890),'Site Info'!$A:$G,5,FALSE),"")</f>
        <v>NY</v>
      </c>
      <c r="N1890" t="str">
        <f>IFERROR(VLOOKUP(VALUE(J1890),'Site Info'!$A:$G,6,FALSE),"")</f>
        <v>10523-1516</v>
      </c>
      <c r="O1890">
        <f>IFERROR(VLOOKUP(VALUE(J1890),'Site Info'!$A:$G,7,FALSE),"")</f>
        <v>9145920023</v>
      </c>
    </row>
    <row r="1891" spans="1:15" x14ac:dyDescent="0.45">
      <c r="A1891" t="s">
        <v>10210</v>
      </c>
      <c r="B1891" t="s">
        <v>10211</v>
      </c>
      <c r="C1891" t="s">
        <v>10212</v>
      </c>
      <c r="D1891" t="s">
        <v>3590</v>
      </c>
      <c r="E1891" s="1">
        <v>46153.372800925928</v>
      </c>
      <c r="F1891">
        <v>1547</v>
      </c>
      <c r="G1891" t="s">
        <v>10213</v>
      </c>
      <c r="H1891" t="s">
        <v>15</v>
      </c>
      <c r="I1891" t="s">
        <v>3592</v>
      </c>
      <c r="J1891" t="str">
        <f>RIGHT(D1891,4)</f>
        <v>6674</v>
      </c>
      <c r="K1891" t="str">
        <f>IFERROR(VLOOKUP(VALUE(J1891),'Site Info'!$A:$G,3,FALSE),"")</f>
        <v>333 SAW MILL RIVER RD</v>
      </c>
      <c r="L1891" t="str">
        <f>IFERROR(VLOOKUP(VALUE(J1891),'Site Info'!$A:$G,4,FALSE),"")</f>
        <v>ELMSFORD</v>
      </c>
      <c r="M1891" t="str">
        <f>IFERROR(VLOOKUP(VALUE(J1891),'Site Info'!$A:$G,5,FALSE),"")</f>
        <v>NY</v>
      </c>
      <c r="N1891" t="str">
        <f>IFERROR(VLOOKUP(VALUE(J1891),'Site Info'!$A:$G,6,FALSE),"")</f>
        <v>10523-1516</v>
      </c>
      <c r="O1891">
        <f>IFERROR(VLOOKUP(VALUE(J1891),'Site Info'!$A:$G,7,FALSE),"")</f>
        <v>9145920023</v>
      </c>
    </row>
    <row r="1892" spans="1:15" x14ac:dyDescent="0.45">
      <c r="A1892" t="s">
        <v>3587</v>
      </c>
      <c r="B1892" t="s">
        <v>3588</v>
      </c>
      <c r="C1892" t="s">
        <v>3589</v>
      </c>
      <c r="D1892" t="s">
        <v>3590</v>
      </c>
      <c r="E1892" s="1">
        <v>46152.870057870372</v>
      </c>
      <c r="F1892">
        <v>1481</v>
      </c>
      <c r="G1892" t="s">
        <v>3591</v>
      </c>
      <c r="H1892" t="s">
        <v>15</v>
      </c>
      <c r="I1892" t="s">
        <v>3592</v>
      </c>
      <c r="J1892" t="str">
        <f>RIGHT(D1892,4)</f>
        <v>6674</v>
      </c>
      <c r="K1892" t="str">
        <f>IFERROR(VLOOKUP(VALUE(J1892),'Site Info'!$A:$G,3,FALSE),"")</f>
        <v>333 SAW MILL RIVER RD</v>
      </c>
      <c r="L1892" t="str">
        <f>IFERROR(VLOOKUP(VALUE(J1892),'Site Info'!$A:$G,4,FALSE),"")</f>
        <v>ELMSFORD</v>
      </c>
      <c r="M1892" t="str">
        <f>IFERROR(VLOOKUP(VALUE(J1892),'Site Info'!$A:$G,5,FALSE),"")</f>
        <v>NY</v>
      </c>
      <c r="N1892" t="str">
        <f>IFERROR(VLOOKUP(VALUE(J1892),'Site Info'!$A:$G,6,FALSE),"")</f>
        <v>10523-1516</v>
      </c>
      <c r="O1892">
        <f>IFERROR(VLOOKUP(VALUE(J1892),'Site Info'!$A:$G,7,FALSE),"")</f>
        <v>9145920023</v>
      </c>
    </row>
    <row r="1893" spans="1:15" x14ac:dyDescent="0.45">
      <c r="A1893" t="s">
        <v>3751</v>
      </c>
      <c r="B1893" t="s">
        <v>3752</v>
      </c>
      <c r="C1893" t="s">
        <v>3753</v>
      </c>
      <c r="D1893" t="s">
        <v>3590</v>
      </c>
      <c r="E1893" s="1">
        <v>46153.259988425925</v>
      </c>
      <c r="F1893">
        <v>1481</v>
      </c>
      <c r="G1893" t="s">
        <v>3754</v>
      </c>
      <c r="H1893" t="s">
        <v>15</v>
      </c>
      <c r="I1893" t="s">
        <v>3592</v>
      </c>
      <c r="J1893" t="str">
        <f>RIGHT(D1893,4)</f>
        <v>6674</v>
      </c>
      <c r="K1893" t="str">
        <f>IFERROR(VLOOKUP(VALUE(J1893),'Site Info'!$A:$G,3,FALSE),"")</f>
        <v>333 SAW MILL RIVER RD</v>
      </c>
      <c r="L1893" t="str">
        <f>IFERROR(VLOOKUP(VALUE(J1893),'Site Info'!$A:$G,4,FALSE),"")</f>
        <v>ELMSFORD</v>
      </c>
      <c r="M1893" t="str">
        <f>IFERROR(VLOOKUP(VALUE(J1893),'Site Info'!$A:$G,5,FALSE),"")</f>
        <v>NY</v>
      </c>
      <c r="N1893" t="str">
        <f>IFERROR(VLOOKUP(VALUE(J1893),'Site Info'!$A:$G,6,FALSE),"")</f>
        <v>10523-1516</v>
      </c>
      <c r="O1893">
        <f>IFERROR(VLOOKUP(VALUE(J1893),'Site Info'!$A:$G,7,FALSE),"")</f>
        <v>9145920023</v>
      </c>
    </row>
    <row r="1894" spans="1:15" x14ac:dyDescent="0.45">
      <c r="A1894" t="s">
        <v>12224</v>
      </c>
      <c r="B1894" t="s">
        <v>12225</v>
      </c>
      <c r="C1894" t="s">
        <v>12226</v>
      </c>
      <c r="D1894" t="s">
        <v>2260</v>
      </c>
      <c r="E1894" s="1">
        <v>46152.48269675926</v>
      </c>
      <c r="F1894">
        <v>1547</v>
      </c>
      <c r="G1894" t="s">
        <v>12227</v>
      </c>
      <c r="H1894" t="s">
        <v>15</v>
      </c>
      <c r="I1894" t="s">
        <v>2262</v>
      </c>
      <c r="J1894" t="str">
        <f>RIGHT(D1894,4)</f>
        <v>6350</v>
      </c>
      <c r="K1894" t="str">
        <f>IFERROR(VLOOKUP(VALUE(J1894),'Site Info'!$A:$G,3,FALSE),"")</f>
        <v>3333 N US HIGHWAY 75</v>
      </c>
      <c r="L1894" t="str">
        <f>IFERROR(VLOOKUP(VALUE(J1894),'Site Info'!$A:$G,4,FALSE),"")</f>
        <v>SHERMAN</v>
      </c>
      <c r="M1894" t="str">
        <f>IFERROR(VLOOKUP(VALUE(J1894),'Site Info'!$A:$G,5,FALSE),"")</f>
        <v>TX</v>
      </c>
      <c r="N1894" t="str">
        <f>IFERROR(VLOOKUP(VALUE(J1894),'Site Info'!$A:$G,6,FALSE),"")</f>
        <v>75090-2525</v>
      </c>
      <c r="O1894">
        <f>IFERROR(VLOOKUP(VALUE(J1894),'Site Info'!$A:$G,7,FALSE),"")</f>
        <v>9038130444</v>
      </c>
    </row>
    <row r="1895" spans="1:15" x14ac:dyDescent="0.45">
      <c r="A1895" t="s">
        <v>12564</v>
      </c>
      <c r="B1895" t="s">
        <v>12565</v>
      </c>
      <c r="C1895" t="s">
        <v>12566</v>
      </c>
      <c r="D1895" t="s">
        <v>2260</v>
      </c>
      <c r="E1895" s="1">
        <v>46152.680879629632</v>
      </c>
      <c r="F1895">
        <v>1547</v>
      </c>
      <c r="G1895" t="s">
        <v>12567</v>
      </c>
      <c r="H1895" t="s">
        <v>15</v>
      </c>
      <c r="I1895" t="s">
        <v>2262</v>
      </c>
      <c r="J1895" t="str">
        <f>RIGHT(D1895,4)</f>
        <v>6350</v>
      </c>
      <c r="K1895" t="str">
        <f>IFERROR(VLOOKUP(VALUE(J1895),'Site Info'!$A:$G,3,FALSE),"")</f>
        <v>3333 N US HIGHWAY 75</v>
      </c>
      <c r="L1895" t="str">
        <f>IFERROR(VLOOKUP(VALUE(J1895),'Site Info'!$A:$G,4,FALSE),"")</f>
        <v>SHERMAN</v>
      </c>
      <c r="M1895" t="str">
        <f>IFERROR(VLOOKUP(VALUE(J1895),'Site Info'!$A:$G,5,FALSE),"")</f>
        <v>TX</v>
      </c>
      <c r="N1895" t="str">
        <f>IFERROR(VLOOKUP(VALUE(J1895),'Site Info'!$A:$G,6,FALSE),"")</f>
        <v>75090-2525</v>
      </c>
      <c r="O1895">
        <f>IFERROR(VLOOKUP(VALUE(J1895),'Site Info'!$A:$G,7,FALSE),"")</f>
        <v>9038130444</v>
      </c>
    </row>
    <row r="1896" spans="1:15" x14ac:dyDescent="0.45">
      <c r="A1896" t="s">
        <v>13567</v>
      </c>
      <c r="B1896" t="s">
        <v>13568</v>
      </c>
      <c r="C1896" t="s">
        <v>13569</v>
      </c>
      <c r="D1896" t="s">
        <v>2260</v>
      </c>
      <c r="E1896" s="1">
        <v>46153.166516203702</v>
      </c>
      <c r="F1896">
        <v>1547</v>
      </c>
      <c r="G1896" t="s">
        <v>13570</v>
      </c>
      <c r="H1896" t="s">
        <v>15</v>
      </c>
      <c r="I1896" t="s">
        <v>2262</v>
      </c>
      <c r="J1896" t="str">
        <f>RIGHT(D1896,4)</f>
        <v>6350</v>
      </c>
      <c r="K1896" t="str">
        <f>IFERROR(VLOOKUP(VALUE(J1896),'Site Info'!$A:$G,3,FALSE),"")</f>
        <v>3333 N US HIGHWAY 75</v>
      </c>
      <c r="L1896" t="str">
        <f>IFERROR(VLOOKUP(VALUE(J1896),'Site Info'!$A:$G,4,FALSE),"")</f>
        <v>SHERMAN</v>
      </c>
      <c r="M1896" t="str">
        <f>IFERROR(VLOOKUP(VALUE(J1896),'Site Info'!$A:$G,5,FALSE),"")</f>
        <v>TX</v>
      </c>
      <c r="N1896" t="str">
        <f>IFERROR(VLOOKUP(VALUE(J1896),'Site Info'!$A:$G,6,FALSE),"")</f>
        <v>75090-2525</v>
      </c>
      <c r="O1896">
        <f>IFERROR(VLOOKUP(VALUE(J1896),'Site Info'!$A:$G,7,FALSE),"")</f>
        <v>9038130444</v>
      </c>
    </row>
    <row r="1897" spans="1:15" x14ac:dyDescent="0.45">
      <c r="A1897" t="s">
        <v>13231</v>
      </c>
      <c r="B1897" t="s">
        <v>13232</v>
      </c>
      <c r="C1897" t="s">
        <v>13233</v>
      </c>
      <c r="D1897" t="s">
        <v>2260</v>
      </c>
      <c r="E1897" s="1">
        <v>46153.372465277775</v>
      </c>
      <c r="F1897">
        <v>1547</v>
      </c>
      <c r="G1897" t="s">
        <v>13234</v>
      </c>
      <c r="H1897" t="s">
        <v>15</v>
      </c>
      <c r="I1897" t="s">
        <v>2262</v>
      </c>
      <c r="J1897" t="str">
        <f>RIGHT(D1897,4)</f>
        <v>6350</v>
      </c>
      <c r="K1897" t="str">
        <f>IFERROR(VLOOKUP(VALUE(J1897),'Site Info'!$A:$G,3,FALSE),"")</f>
        <v>3333 N US HIGHWAY 75</v>
      </c>
      <c r="L1897" t="str">
        <f>IFERROR(VLOOKUP(VALUE(J1897),'Site Info'!$A:$G,4,FALSE),"")</f>
        <v>SHERMAN</v>
      </c>
      <c r="M1897" t="str">
        <f>IFERROR(VLOOKUP(VALUE(J1897),'Site Info'!$A:$G,5,FALSE),"")</f>
        <v>TX</v>
      </c>
      <c r="N1897" t="str">
        <f>IFERROR(VLOOKUP(VALUE(J1897),'Site Info'!$A:$G,6,FALSE),"")</f>
        <v>75090-2525</v>
      </c>
      <c r="O1897">
        <f>IFERROR(VLOOKUP(VALUE(J1897),'Site Info'!$A:$G,7,FALSE),"")</f>
        <v>9038130444</v>
      </c>
    </row>
    <row r="1898" spans="1:15" x14ac:dyDescent="0.45">
      <c r="A1898" t="s">
        <v>2571</v>
      </c>
      <c r="B1898" t="s">
        <v>2572</v>
      </c>
      <c r="C1898" t="s">
        <v>2573</v>
      </c>
      <c r="D1898" t="s">
        <v>2260</v>
      </c>
      <c r="E1898" s="1">
        <v>46152.588009259256</v>
      </c>
      <c r="F1898">
        <v>1481</v>
      </c>
      <c r="G1898" t="s">
        <v>2574</v>
      </c>
      <c r="H1898" t="s">
        <v>15</v>
      </c>
      <c r="I1898" t="s">
        <v>2262</v>
      </c>
      <c r="J1898" t="str">
        <f>RIGHT(D1898,4)</f>
        <v>6350</v>
      </c>
      <c r="K1898" t="str">
        <f>IFERROR(VLOOKUP(VALUE(J1898),'Site Info'!$A:$G,3,FALSE),"")</f>
        <v>3333 N US HIGHWAY 75</v>
      </c>
      <c r="L1898" t="str">
        <f>IFERROR(VLOOKUP(VALUE(J1898),'Site Info'!$A:$G,4,FALSE),"")</f>
        <v>SHERMAN</v>
      </c>
      <c r="M1898" t="str">
        <f>IFERROR(VLOOKUP(VALUE(J1898),'Site Info'!$A:$G,5,FALSE),"")</f>
        <v>TX</v>
      </c>
      <c r="N1898" t="str">
        <f>IFERROR(VLOOKUP(VALUE(J1898),'Site Info'!$A:$G,6,FALSE),"")</f>
        <v>75090-2525</v>
      </c>
      <c r="O1898">
        <f>IFERROR(VLOOKUP(VALUE(J1898),'Site Info'!$A:$G,7,FALSE),"")</f>
        <v>9038130444</v>
      </c>
    </row>
    <row r="1899" spans="1:15" x14ac:dyDescent="0.45">
      <c r="A1899" t="s">
        <v>14359</v>
      </c>
      <c r="B1899" t="s">
        <v>14360</v>
      </c>
      <c r="C1899" t="s">
        <v>14361</v>
      </c>
      <c r="D1899" t="s">
        <v>2260</v>
      </c>
      <c r="E1899" s="1">
        <v>46153.165081018517</v>
      </c>
      <c r="F1899">
        <v>1481</v>
      </c>
      <c r="G1899" t="s">
        <v>14362</v>
      </c>
      <c r="H1899" t="s">
        <v>15</v>
      </c>
      <c r="I1899" t="s">
        <v>2262</v>
      </c>
      <c r="J1899" t="str">
        <f>RIGHT(D1899,4)</f>
        <v>6350</v>
      </c>
      <c r="K1899" t="str">
        <f>IFERROR(VLOOKUP(VALUE(J1899),'Site Info'!$A:$G,3,FALSE),"")</f>
        <v>3333 N US HIGHWAY 75</v>
      </c>
      <c r="L1899" t="str">
        <f>IFERROR(VLOOKUP(VALUE(J1899),'Site Info'!$A:$G,4,FALSE),"")</f>
        <v>SHERMAN</v>
      </c>
      <c r="M1899" t="str">
        <f>IFERROR(VLOOKUP(VALUE(J1899),'Site Info'!$A:$G,5,FALSE),"")</f>
        <v>TX</v>
      </c>
      <c r="N1899" t="str">
        <f>IFERROR(VLOOKUP(VALUE(J1899),'Site Info'!$A:$G,6,FALSE),"")</f>
        <v>75090-2525</v>
      </c>
      <c r="O1899">
        <f>IFERROR(VLOOKUP(VALUE(J1899),'Site Info'!$A:$G,7,FALSE),"")</f>
        <v>9038130444</v>
      </c>
    </row>
    <row r="1900" spans="1:15" x14ac:dyDescent="0.45">
      <c r="A1900" t="s">
        <v>2257</v>
      </c>
      <c r="B1900" t="s">
        <v>2258</v>
      </c>
      <c r="C1900" t="s">
        <v>2259</v>
      </c>
      <c r="D1900" t="s">
        <v>2260</v>
      </c>
      <c r="E1900" s="1">
        <v>46153.353437500002</v>
      </c>
      <c r="F1900">
        <v>1481</v>
      </c>
      <c r="G1900" t="s">
        <v>2261</v>
      </c>
      <c r="H1900" t="s">
        <v>15</v>
      </c>
      <c r="I1900" t="s">
        <v>2262</v>
      </c>
      <c r="J1900" t="str">
        <f>RIGHT(D1900,4)</f>
        <v>6350</v>
      </c>
      <c r="K1900" t="str">
        <f>IFERROR(VLOOKUP(VALUE(J1900),'Site Info'!$A:$G,3,FALSE),"")</f>
        <v>3333 N US HIGHWAY 75</v>
      </c>
      <c r="L1900" t="str">
        <f>IFERROR(VLOOKUP(VALUE(J1900),'Site Info'!$A:$G,4,FALSE),"")</f>
        <v>SHERMAN</v>
      </c>
      <c r="M1900" t="str">
        <f>IFERROR(VLOOKUP(VALUE(J1900),'Site Info'!$A:$G,5,FALSE),"")</f>
        <v>TX</v>
      </c>
      <c r="N1900" t="str">
        <f>IFERROR(VLOOKUP(VALUE(J1900),'Site Info'!$A:$G,6,FALSE),"")</f>
        <v>75090-2525</v>
      </c>
      <c r="O1900">
        <f>IFERROR(VLOOKUP(VALUE(J1900),'Site Info'!$A:$G,7,FALSE),"")</f>
        <v>9038130444</v>
      </c>
    </row>
    <row r="1901" spans="1:15" x14ac:dyDescent="0.45">
      <c r="A1901" t="s">
        <v>16739</v>
      </c>
      <c r="B1901" t="s">
        <v>16768</v>
      </c>
      <c r="C1901" t="s">
        <v>16769</v>
      </c>
      <c r="D1901" t="s">
        <v>2260</v>
      </c>
      <c r="E1901" s="1">
        <v>46153.026689814818</v>
      </c>
      <c r="F1901">
        <v>1628</v>
      </c>
      <c r="G1901" t="s">
        <v>16770</v>
      </c>
      <c r="H1901" t="s">
        <v>13988</v>
      </c>
      <c r="I1901" t="s">
        <v>2262</v>
      </c>
      <c r="J1901" t="str">
        <f>RIGHT(D1901,4)</f>
        <v>6350</v>
      </c>
      <c r="K1901" t="str">
        <f>IFERROR(VLOOKUP(VALUE(J1901),'Site Info'!$A:$G,3,FALSE),"")</f>
        <v>3333 N US HIGHWAY 75</v>
      </c>
      <c r="L1901" t="str">
        <f>IFERROR(VLOOKUP(VALUE(J1901),'Site Info'!$A:$G,4,FALSE),"")</f>
        <v>SHERMAN</v>
      </c>
      <c r="M1901" t="str">
        <f>IFERROR(VLOOKUP(VALUE(J1901),'Site Info'!$A:$G,5,FALSE),"")</f>
        <v>TX</v>
      </c>
      <c r="N1901" t="str">
        <f>IFERROR(VLOOKUP(VALUE(J1901),'Site Info'!$A:$G,6,FALSE),"")</f>
        <v>75090-2525</v>
      </c>
      <c r="O1901">
        <f>IFERROR(VLOOKUP(VALUE(J1901),'Site Info'!$A:$G,7,FALSE),"")</f>
        <v>9038130444</v>
      </c>
    </row>
    <row r="1902" spans="1:15" x14ac:dyDescent="0.45">
      <c r="A1902" t="s">
        <v>14017</v>
      </c>
      <c r="B1902" t="s">
        <v>14018</v>
      </c>
      <c r="C1902" t="s">
        <v>14019</v>
      </c>
      <c r="D1902" t="s">
        <v>1199</v>
      </c>
      <c r="E1902" s="1">
        <v>46151.730416666665</v>
      </c>
      <c r="F1902">
        <v>1547</v>
      </c>
      <c r="G1902" t="s">
        <v>14020</v>
      </c>
      <c r="H1902" t="s">
        <v>15</v>
      </c>
      <c r="I1902" t="s">
        <v>1201</v>
      </c>
      <c r="J1902" t="str">
        <f>RIGHT(D1902,4)</f>
        <v>4711</v>
      </c>
      <c r="K1902" t="str">
        <f>IFERROR(VLOOKUP(VALUE(J1902),'Site Info'!$A:$G,3,FALSE),"")</f>
        <v>3345 VIRGINIA BEACH BLVD</v>
      </c>
      <c r="L1902" t="str">
        <f>IFERROR(VLOOKUP(VALUE(J1902),'Site Info'!$A:$G,4,FALSE),"")</f>
        <v>VIRGINIA BEACH</v>
      </c>
      <c r="M1902" t="str">
        <f>IFERROR(VLOOKUP(VALUE(J1902),'Site Info'!$A:$G,5,FALSE),"")</f>
        <v>VA</v>
      </c>
      <c r="N1902" t="str">
        <f>IFERROR(VLOOKUP(VALUE(J1902),'Site Info'!$A:$G,6,FALSE),"")</f>
        <v>23452-5616</v>
      </c>
      <c r="O1902">
        <f>IFERROR(VLOOKUP(VALUE(J1902),'Site Info'!$A:$G,7,FALSE),"")</f>
        <v>7576319791</v>
      </c>
    </row>
    <row r="1903" spans="1:15" x14ac:dyDescent="0.45">
      <c r="A1903" t="s">
        <v>12708</v>
      </c>
      <c r="B1903" t="s">
        <v>12709</v>
      </c>
      <c r="C1903" t="s">
        <v>12710</v>
      </c>
      <c r="D1903" t="s">
        <v>1199</v>
      </c>
      <c r="E1903" s="1">
        <v>46152.309039351851</v>
      </c>
      <c r="F1903">
        <v>1547</v>
      </c>
      <c r="G1903" t="s">
        <v>12711</v>
      </c>
      <c r="H1903" t="s">
        <v>15</v>
      </c>
      <c r="I1903" t="s">
        <v>1201</v>
      </c>
      <c r="J1903" t="str">
        <f>RIGHT(D1903,4)</f>
        <v>4711</v>
      </c>
      <c r="K1903" t="str">
        <f>IFERROR(VLOOKUP(VALUE(J1903),'Site Info'!$A:$G,3,FALSE),"")</f>
        <v>3345 VIRGINIA BEACH BLVD</v>
      </c>
      <c r="L1903" t="str">
        <f>IFERROR(VLOOKUP(VALUE(J1903),'Site Info'!$A:$G,4,FALSE),"")</f>
        <v>VIRGINIA BEACH</v>
      </c>
      <c r="M1903" t="str">
        <f>IFERROR(VLOOKUP(VALUE(J1903),'Site Info'!$A:$G,5,FALSE),"")</f>
        <v>VA</v>
      </c>
      <c r="N1903" t="str">
        <f>IFERROR(VLOOKUP(VALUE(J1903),'Site Info'!$A:$G,6,FALSE),"")</f>
        <v>23452-5616</v>
      </c>
      <c r="O1903">
        <f>IFERROR(VLOOKUP(VALUE(J1903),'Site Info'!$A:$G,7,FALSE),"")</f>
        <v>7576319791</v>
      </c>
    </row>
    <row r="1904" spans="1:15" x14ac:dyDescent="0.45">
      <c r="A1904" t="s">
        <v>14001</v>
      </c>
      <c r="B1904" t="s">
        <v>14002</v>
      </c>
      <c r="C1904" t="s">
        <v>14003</v>
      </c>
      <c r="D1904" t="s">
        <v>1199</v>
      </c>
      <c r="E1904" s="1">
        <v>46152.478483796294</v>
      </c>
      <c r="F1904">
        <v>1547</v>
      </c>
      <c r="G1904" t="s">
        <v>14004</v>
      </c>
      <c r="H1904" t="s">
        <v>15</v>
      </c>
      <c r="I1904" t="s">
        <v>1201</v>
      </c>
      <c r="J1904" t="str">
        <f>RIGHT(D1904,4)</f>
        <v>4711</v>
      </c>
      <c r="K1904" t="str">
        <f>IFERROR(VLOOKUP(VALUE(J1904),'Site Info'!$A:$G,3,FALSE),"")</f>
        <v>3345 VIRGINIA BEACH BLVD</v>
      </c>
      <c r="L1904" t="str">
        <f>IFERROR(VLOOKUP(VALUE(J1904),'Site Info'!$A:$G,4,FALSE),"")</f>
        <v>VIRGINIA BEACH</v>
      </c>
      <c r="M1904" t="str">
        <f>IFERROR(VLOOKUP(VALUE(J1904),'Site Info'!$A:$G,5,FALSE),"")</f>
        <v>VA</v>
      </c>
      <c r="N1904" t="str">
        <f>IFERROR(VLOOKUP(VALUE(J1904),'Site Info'!$A:$G,6,FALSE),"")</f>
        <v>23452-5616</v>
      </c>
      <c r="O1904">
        <f>IFERROR(VLOOKUP(VALUE(J1904),'Site Info'!$A:$G,7,FALSE),"")</f>
        <v>7576319791</v>
      </c>
    </row>
    <row r="1905" spans="1:15" x14ac:dyDescent="0.45">
      <c r="A1905" t="s">
        <v>12704</v>
      </c>
      <c r="B1905" t="s">
        <v>12705</v>
      </c>
      <c r="C1905" t="s">
        <v>12706</v>
      </c>
      <c r="D1905" t="s">
        <v>1199</v>
      </c>
      <c r="E1905" s="1">
        <v>46153.276273148149</v>
      </c>
      <c r="F1905">
        <v>1547</v>
      </c>
      <c r="G1905" t="s">
        <v>12707</v>
      </c>
      <c r="H1905" t="s">
        <v>15</v>
      </c>
      <c r="I1905" t="s">
        <v>1201</v>
      </c>
      <c r="J1905" t="str">
        <f>RIGHT(D1905,4)</f>
        <v>4711</v>
      </c>
      <c r="K1905" t="str">
        <f>IFERROR(VLOOKUP(VALUE(J1905),'Site Info'!$A:$G,3,FALSE),"")</f>
        <v>3345 VIRGINIA BEACH BLVD</v>
      </c>
      <c r="L1905" t="str">
        <f>IFERROR(VLOOKUP(VALUE(J1905),'Site Info'!$A:$G,4,FALSE),"")</f>
        <v>VIRGINIA BEACH</v>
      </c>
      <c r="M1905" t="str">
        <f>IFERROR(VLOOKUP(VALUE(J1905),'Site Info'!$A:$G,5,FALSE),"")</f>
        <v>VA</v>
      </c>
      <c r="N1905" t="str">
        <f>IFERROR(VLOOKUP(VALUE(J1905),'Site Info'!$A:$G,6,FALSE),"")</f>
        <v>23452-5616</v>
      </c>
      <c r="O1905">
        <f>IFERROR(VLOOKUP(VALUE(J1905),'Site Info'!$A:$G,7,FALSE),"")</f>
        <v>7576319791</v>
      </c>
    </row>
    <row r="1906" spans="1:15" x14ac:dyDescent="0.45">
      <c r="A1906" t="s">
        <v>1554</v>
      </c>
      <c r="B1906" t="s">
        <v>1555</v>
      </c>
      <c r="C1906" t="s">
        <v>1556</v>
      </c>
      <c r="D1906" t="s">
        <v>1199</v>
      </c>
      <c r="E1906" s="1">
        <v>46153.128692129627</v>
      </c>
      <c r="F1906">
        <v>1481</v>
      </c>
      <c r="G1906" t="s">
        <v>1557</v>
      </c>
      <c r="H1906" t="s">
        <v>15</v>
      </c>
      <c r="I1906" t="s">
        <v>1201</v>
      </c>
      <c r="J1906" t="str">
        <f>RIGHT(D1906,4)</f>
        <v>4711</v>
      </c>
      <c r="K1906" t="str">
        <f>IFERROR(VLOOKUP(VALUE(J1906),'Site Info'!$A:$G,3,FALSE),"")</f>
        <v>3345 VIRGINIA BEACH BLVD</v>
      </c>
      <c r="L1906" t="str">
        <f>IFERROR(VLOOKUP(VALUE(J1906),'Site Info'!$A:$G,4,FALSE),"")</f>
        <v>VIRGINIA BEACH</v>
      </c>
      <c r="M1906" t="str">
        <f>IFERROR(VLOOKUP(VALUE(J1906),'Site Info'!$A:$G,5,FALSE),"")</f>
        <v>VA</v>
      </c>
      <c r="N1906" t="str">
        <f>IFERROR(VLOOKUP(VALUE(J1906),'Site Info'!$A:$G,6,FALSE),"")</f>
        <v>23452-5616</v>
      </c>
      <c r="O1906">
        <f>IFERROR(VLOOKUP(VALUE(J1906),'Site Info'!$A:$G,7,FALSE),"")</f>
        <v>7576319791</v>
      </c>
    </row>
    <row r="1907" spans="1:15" x14ac:dyDescent="0.45">
      <c r="A1907" t="s">
        <v>1196</v>
      </c>
      <c r="B1907" t="s">
        <v>1197</v>
      </c>
      <c r="C1907" t="s">
        <v>1198</v>
      </c>
      <c r="D1907" t="s">
        <v>1199</v>
      </c>
      <c r="E1907" s="1">
        <v>46153.235046296293</v>
      </c>
      <c r="F1907">
        <v>1481</v>
      </c>
      <c r="G1907" t="s">
        <v>1200</v>
      </c>
      <c r="H1907" t="s">
        <v>15</v>
      </c>
      <c r="I1907" t="s">
        <v>1201</v>
      </c>
      <c r="J1907" t="str">
        <f>RIGHT(D1907,4)</f>
        <v>4711</v>
      </c>
      <c r="K1907" t="str">
        <f>IFERROR(VLOOKUP(VALUE(J1907),'Site Info'!$A:$G,3,FALSE),"")</f>
        <v>3345 VIRGINIA BEACH BLVD</v>
      </c>
      <c r="L1907" t="str">
        <f>IFERROR(VLOOKUP(VALUE(J1907),'Site Info'!$A:$G,4,FALSE),"")</f>
        <v>VIRGINIA BEACH</v>
      </c>
      <c r="M1907" t="str">
        <f>IFERROR(VLOOKUP(VALUE(J1907),'Site Info'!$A:$G,5,FALSE),"")</f>
        <v>VA</v>
      </c>
      <c r="N1907" t="str">
        <f>IFERROR(VLOOKUP(VALUE(J1907),'Site Info'!$A:$G,6,FALSE),"")</f>
        <v>23452-5616</v>
      </c>
      <c r="O1907">
        <f>IFERROR(VLOOKUP(VALUE(J1907),'Site Info'!$A:$G,7,FALSE),"")</f>
        <v>7576319791</v>
      </c>
    </row>
    <row r="1908" spans="1:15" x14ac:dyDescent="0.45">
      <c r="A1908" t="s">
        <v>8677</v>
      </c>
      <c r="B1908" t="s">
        <v>8678</v>
      </c>
      <c r="C1908" t="s">
        <v>8679</v>
      </c>
      <c r="D1908" t="s">
        <v>8674</v>
      </c>
      <c r="E1908" s="1">
        <v>46107.284849537034</v>
      </c>
      <c r="F1908">
        <v>1547</v>
      </c>
      <c r="G1908" t="s">
        <v>8680</v>
      </c>
      <c r="H1908" t="s">
        <v>15</v>
      </c>
      <c r="I1908" t="s">
        <v>8676</v>
      </c>
      <c r="J1908" t="str">
        <f>RIGHT(D1908,4)</f>
        <v>6228</v>
      </c>
      <c r="K1908" t="str">
        <f>IFERROR(VLOOKUP(VALUE(J1908),'Site Info'!$A:$G,3,FALSE),"")</f>
        <v>335 N MILWAUKEE AVE</v>
      </c>
      <c r="L1908" t="str">
        <f>IFERROR(VLOOKUP(VALUE(J1908),'Site Info'!$A:$G,4,FALSE),"")</f>
        <v>VERNON HILLS</v>
      </c>
      <c r="M1908" t="str">
        <f>IFERROR(VLOOKUP(VALUE(J1908),'Site Info'!$A:$G,5,FALSE),"")</f>
        <v>IL</v>
      </c>
      <c r="N1908" t="str">
        <f>IFERROR(VLOOKUP(VALUE(J1908),'Site Info'!$A:$G,6,FALSE),"")</f>
        <v>60061-1561</v>
      </c>
      <c r="O1908">
        <f>IFERROR(VLOOKUP(VALUE(J1908),'Site Info'!$A:$G,7,FALSE),"")</f>
        <v>8479559260</v>
      </c>
    </row>
    <row r="1909" spans="1:15" x14ac:dyDescent="0.45">
      <c r="A1909" t="s">
        <v>11168</v>
      </c>
      <c r="B1909" t="s">
        <v>11169</v>
      </c>
      <c r="C1909" t="s">
        <v>11170</v>
      </c>
      <c r="D1909" t="s">
        <v>8674</v>
      </c>
      <c r="E1909" s="1">
        <v>46151.790659722225</v>
      </c>
      <c r="F1909">
        <v>1547</v>
      </c>
      <c r="G1909" t="s">
        <v>11171</v>
      </c>
      <c r="H1909" t="s">
        <v>15</v>
      </c>
      <c r="I1909" t="s">
        <v>8676</v>
      </c>
      <c r="J1909" t="str">
        <f>RIGHT(D1909,4)</f>
        <v>6228</v>
      </c>
      <c r="K1909" t="str">
        <f>IFERROR(VLOOKUP(VALUE(J1909),'Site Info'!$A:$G,3,FALSE),"")</f>
        <v>335 N MILWAUKEE AVE</v>
      </c>
      <c r="L1909" t="str">
        <f>IFERROR(VLOOKUP(VALUE(J1909),'Site Info'!$A:$G,4,FALSE),"")</f>
        <v>VERNON HILLS</v>
      </c>
      <c r="M1909" t="str">
        <f>IFERROR(VLOOKUP(VALUE(J1909),'Site Info'!$A:$G,5,FALSE),"")</f>
        <v>IL</v>
      </c>
      <c r="N1909" t="str">
        <f>IFERROR(VLOOKUP(VALUE(J1909),'Site Info'!$A:$G,6,FALSE),"")</f>
        <v>60061-1561</v>
      </c>
      <c r="O1909">
        <f>IFERROR(VLOOKUP(VALUE(J1909),'Site Info'!$A:$G,7,FALSE),"")</f>
        <v>8479559260</v>
      </c>
    </row>
    <row r="1910" spans="1:15" x14ac:dyDescent="0.45">
      <c r="A1910" t="s">
        <v>9733</v>
      </c>
      <c r="B1910" t="s">
        <v>9734</v>
      </c>
      <c r="C1910" t="s">
        <v>9735</v>
      </c>
      <c r="D1910" t="s">
        <v>8674</v>
      </c>
      <c r="E1910" s="1">
        <v>46152.654733796298</v>
      </c>
      <c r="F1910">
        <v>1547</v>
      </c>
      <c r="G1910" t="s">
        <v>9736</v>
      </c>
      <c r="H1910" t="s">
        <v>15</v>
      </c>
      <c r="I1910" t="s">
        <v>8676</v>
      </c>
      <c r="J1910" t="str">
        <f>RIGHT(D1910,4)</f>
        <v>6228</v>
      </c>
      <c r="K1910" t="str">
        <f>IFERROR(VLOOKUP(VALUE(J1910),'Site Info'!$A:$G,3,FALSE),"")</f>
        <v>335 N MILWAUKEE AVE</v>
      </c>
      <c r="L1910" t="str">
        <f>IFERROR(VLOOKUP(VALUE(J1910),'Site Info'!$A:$G,4,FALSE),"")</f>
        <v>VERNON HILLS</v>
      </c>
      <c r="M1910" t="str">
        <f>IFERROR(VLOOKUP(VALUE(J1910),'Site Info'!$A:$G,5,FALSE),"")</f>
        <v>IL</v>
      </c>
      <c r="N1910" t="str">
        <f>IFERROR(VLOOKUP(VALUE(J1910),'Site Info'!$A:$G,6,FALSE),"")</f>
        <v>60061-1561</v>
      </c>
      <c r="O1910">
        <f>IFERROR(VLOOKUP(VALUE(J1910),'Site Info'!$A:$G,7,FALSE),"")</f>
        <v>8479559260</v>
      </c>
    </row>
    <row r="1911" spans="1:15" x14ac:dyDescent="0.45">
      <c r="A1911" t="s">
        <v>12878</v>
      </c>
      <c r="B1911" t="s">
        <v>12879</v>
      </c>
      <c r="C1911" t="s">
        <v>12880</v>
      </c>
      <c r="D1911" t="s">
        <v>8674</v>
      </c>
      <c r="E1911" s="1">
        <v>46152.94159722222</v>
      </c>
      <c r="F1911">
        <v>1547</v>
      </c>
      <c r="G1911" t="s">
        <v>12881</v>
      </c>
      <c r="H1911" t="s">
        <v>15</v>
      </c>
      <c r="I1911" t="s">
        <v>8676</v>
      </c>
      <c r="J1911" t="str">
        <f>RIGHT(D1911,4)</f>
        <v>6228</v>
      </c>
      <c r="K1911" t="str">
        <f>IFERROR(VLOOKUP(VALUE(J1911),'Site Info'!$A:$G,3,FALSE),"")</f>
        <v>335 N MILWAUKEE AVE</v>
      </c>
      <c r="L1911" t="str">
        <f>IFERROR(VLOOKUP(VALUE(J1911),'Site Info'!$A:$G,4,FALSE),"")</f>
        <v>VERNON HILLS</v>
      </c>
      <c r="M1911" t="str">
        <f>IFERROR(VLOOKUP(VALUE(J1911),'Site Info'!$A:$G,5,FALSE),"")</f>
        <v>IL</v>
      </c>
      <c r="N1911" t="str">
        <f>IFERROR(VLOOKUP(VALUE(J1911),'Site Info'!$A:$G,6,FALSE),"")</f>
        <v>60061-1561</v>
      </c>
      <c r="O1911">
        <f>IFERROR(VLOOKUP(VALUE(J1911),'Site Info'!$A:$G,7,FALSE),"")</f>
        <v>8479559260</v>
      </c>
    </row>
    <row r="1912" spans="1:15" x14ac:dyDescent="0.45">
      <c r="A1912" t="s">
        <v>8671</v>
      </c>
      <c r="B1912" t="s">
        <v>8672</v>
      </c>
      <c r="C1912" t="s">
        <v>8673</v>
      </c>
      <c r="D1912" t="s">
        <v>8674</v>
      </c>
      <c r="E1912" s="1">
        <v>46153.296527777777</v>
      </c>
      <c r="F1912">
        <v>1547</v>
      </c>
      <c r="G1912" t="s">
        <v>8675</v>
      </c>
      <c r="H1912" t="s">
        <v>15</v>
      </c>
      <c r="I1912" t="s">
        <v>8676</v>
      </c>
      <c r="J1912" t="str">
        <f>RIGHT(D1912,4)</f>
        <v>6228</v>
      </c>
      <c r="K1912" t="str">
        <f>IFERROR(VLOOKUP(VALUE(J1912),'Site Info'!$A:$G,3,FALSE),"")</f>
        <v>335 N MILWAUKEE AVE</v>
      </c>
      <c r="L1912" t="str">
        <f>IFERROR(VLOOKUP(VALUE(J1912),'Site Info'!$A:$G,4,FALSE),"")</f>
        <v>VERNON HILLS</v>
      </c>
      <c r="M1912" t="str">
        <f>IFERROR(VLOOKUP(VALUE(J1912),'Site Info'!$A:$G,5,FALSE),"")</f>
        <v>IL</v>
      </c>
      <c r="N1912" t="str">
        <f>IFERROR(VLOOKUP(VALUE(J1912),'Site Info'!$A:$G,6,FALSE),"")</f>
        <v>60061-1561</v>
      </c>
      <c r="O1912">
        <f>IFERROR(VLOOKUP(VALUE(J1912),'Site Info'!$A:$G,7,FALSE),"")</f>
        <v>8479559260</v>
      </c>
    </row>
    <row r="1913" spans="1:15" x14ac:dyDescent="0.45">
      <c r="A1913" t="s">
        <v>9814</v>
      </c>
      <c r="B1913" t="s">
        <v>9815</v>
      </c>
      <c r="C1913" t="s">
        <v>9816</v>
      </c>
      <c r="D1913" t="s">
        <v>8674</v>
      </c>
      <c r="E1913" s="1">
        <v>46153.319513888891</v>
      </c>
      <c r="F1913">
        <v>1547</v>
      </c>
      <c r="G1913" t="s">
        <v>9817</v>
      </c>
      <c r="H1913" t="s">
        <v>15</v>
      </c>
      <c r="I1913" t="s">
        <v>8676</v>
      </c>
      <c r="J1913" t="str">
        <f>RIGHT(D1913,4)</f>
        <v>6228</v>
      </c>
      <c r="K1913" t="str">
        <f>IFERROR(VLOOKUP(VALUE(J1913),'Site Info'!$A:$G,3,FALSE),"")</f>
        <v>335 N MILWAUKEE AVE</v>
      </c>
      <c r="L1913" t="str">
        <f>IFERROR(VLOOKUP(VALUE(J1913),'Site Info'!$A:$G,4,FALSE),"")</f>
        <v>VERNON HILLS</v>
      </c>
      <c r="M1913" t="str">
        <f>IFERROR(VLOOKUP(VALUE(J1913),'Site Info'!$A:$G,5,FALSE),"")</f>
        <v>IL</v>
      </c>
      <c r="N1913" t="str">
        <f>IFERROR(VLOOKUP(VALUE(J1913),'Site Info'!$A:$G,6,FALSE),"")</f>
        <v>60061-1561</v>
      </c>
      <c r="O1913">
        <f>IFERROR(VLOOKUP(VALUE(J1913),'Site Info'!$A:$G,7,FALSE),"")</f>
        <v>8479559260</v>
      </c>
    </row>
    <row r="1914" spans="1:15" x14ac:dyDescent="0.45">
      <c r="A1914" t="s">
        <v>13711</v>
      </c>
      <c r="B1914" t="s">
        <v>13712</v>
      </c>
      <c r="C1914" t="s">
        <v>13713</v>
      </c>
      <c r="D1914" t="s">
        <v>8674</v>
      </c>
      <c r="E1914" s="1">
        <v>46153.331446759257</v>
      </c>
      <c r="F1914">
        <v>1547</v>
      </c>
      <c r="G1914" t="s">
        <v>13714</v>
      </c>
      <c r="H1914" t="s">
        <v>15</v>
      </c>
      <c r="I1914" t="s">
        <v>8676</v>
      </c>
      <c r="J1914" t="str">
        <f>RIGHT(D1914,4)</f>
        <v>6228</v>
      </c>
      <c r="K1914" t="str">
        <f>IFERROR(VLOOKUP(VALUE(J1914),'Site Info'!$A:$G,3,FALSE),"")</f>
        <v>335 N MILWAUKEE AVE</v>
      </c>
      <c r="L1914" t="str">
        <f>IFERROR(VLOOKUP(VALUE(J1914),'Site Info'!$A:$G,4,FALSE),"")</f>
        <v>VERNON HILLS</v>
      </c>
      <c r="M1914" t="str">
        <f>IFERROR(VLOOKUP(VALUE(J1914),'Site Info'!$A:$G,5,FALSE),"")</f>
        <v>IL</v>
      </c>
      <c r="N1914" t="str">
        <f>IFERROR(VLOOKUP(VALUE(J1914),'Site Info'!$A:$G,6,FALSE),"")</f>
        <v>60061-1561</v>
      </c>
      <c r="O1914">
        <f>IFERROR(VLOOKUP(VALUE(J1914),'Site Info'!$A:$G,7,FALSE),"")</f>
        <v>8479559260</v>
      </c>
    </row>
    <row r="1915" spans="1:15" x14ac:dyDescent="0.45">
      <c r="A1915" t="s">
        <v>13523</v>
      </c>
      <c r="B1915" t="s">
        <v>13524</v>
      </c>
      <c r="C1915" t="s">
        <v>13525</v>
      </c>
      <c r="D1915" t="s">
        <v>8674</v>
      </c>
      <c r="E1915" s="1">
        <v>46153.333958333336</v>
      </c>
      <c r="F1915">
        <v>1547</v>
      </c>
      <c r="G1915" t="s">
        <v>13526</v>
      </c>
      <c r="H1915" t="s">
        <v>15</v>
      </c>
      <c r="I1915" t="s">
        <v>8676</v>
      </c>
      <c r="J1915" t="str">
        <f>RIGHT(D1915,4)</f>
        <v>6228</v>
      </c>
      <c r="K1915" t="str">
        <f>IFERROR(VLOOKUP(VALUE(J1915),'Site Info'!$A:$G,3,FALSE),"")</f>
        <v>335 N MILWAUKEE AVE</v>
      </c>
      <c r="L1915" t="str">
        <f>IFERROR(VLOOKUP(VALUE(J1915),'Site Info'!$A:$G,4,FALSE),"")</f>
        <v>VERNON HILLS</v>
      </c>
      <c r="M1915" t="str">
        <f>IFERROR(VLOOKUP(VALUE(J1915),'Site Info'!$A:$G,5,FALSE),"")</f>
        <v>IL</v>
      </c>
      <c r="N1915" t="str">
        <f>IFERROR(VLOOKUP(VALUE(J1915),'Site Info'!$A:$G,6,FALSE),"")</f>
        <v>60061-1561</v>
      </c>
      <c r="O1915">
        <f>IFERROR(VLOOKUP(VALUE(J1915),'Site Info'!$A:$G,7,FALSE),"")</f>
        <v>8479559260</v>
      </c>
    </row>
    <row r="1916" spans="1:15" x14ac:dyDescent="0.45">
      <c r="A1916" t="s">
        <v>6404</v>
      </c>
      <c r="B1916" t="s">
        <v>6405</v>
      </c>
      <c r="C1916" t="s">
        <v>6406</v>
      </c>
      <c r="D1916" t="s">
        <v>6407</v>
      </c>
      <c r="E1916" s="1">
        <v>46153.274363425924</v>
      </c>
      <c r="F1916">
        <v>1547</v>
      </c>
      <c r="G1916" t="s">
        <v>6408</v>
      </c>
      <c r="H1916" t="s">
        <v>15</v>
      </c>
      <c r="I1916" t="s">
        <v>6409</v>
      </c>
      <c r="J1916" t="str">
        <f>RIGHT(D1916,4)</f>
        <v>4780</v>
      </c>
      <c r="K1916" t="str">
        <f>IFERROR(VLOOKUP(VALUE(J1916),'Site Info'!$A:$G,3,FALSE),"")</f>
        <v>3383 BUFORD DR</v>
      </c>
      <c r="L1916" t="str">
        <f>IFERROR(VLOOKUP(VALUE(J1916),'Site Info'!$A:$G,4,FALSE),"")</f>
        <v>BUFORD</v>
      </c>
      <c r="M1916" t="str">
        <f>IFERROR(VLOOKUP(VALUE(J1916),'Site Info'!$A:$G,5,FALSE),"")</f>
        <v>GA</v>
      </c>
      <c r="N1916" t="str">
        <f>IFERROR(VLOOKUP(VALUE(J1916),'Site Info'!$A:$G,6,FALSE),"")</f>
        <v>30519-4985</v>
      </c>
      <c r="O1916">
        <f>IFERROR(VLOOKUP(VALUE(J1916),'Site Info'!$A:$G,7,FALSE),"")</f>
        <v>7708317122</v>
      </c>
    </row>
    <row r="1917" spans="1:15" x14ac:dyDescent="0.45">
      <c r="A1917" t="s">
        <v>6192</v>
      </c>
      <c r="B1917" t="s">
        <v>6193</v>
      </c>
      <c r="C1917" t="s">
        <v>6194</v>
      </c>
      <c r="D1917" t="s">
        <v>2278</v>
      </c>
      <c r="E1917" s="1">
        <v>46152.55877314815</v>
      </c>
      <c r="F1917">
        <v>1547</v>
      </c>
      <c r="G1917" t="s">
        <v>6195</v>
      </c>
      <c r="H1917" t="s">
        <v>15</v>
      </c>
      <c r="I1917" t="s">
        <v>2280</v>
      </c>
      <c r="J1917" t="str">
        <f>RIGHT(D1917,4)</f>
        <v>4761</v>
      </c>
      <c r="K1917" t="str">
        <f>IFERROR(VLOOKUP(VALUE(J1917),'Site Info'!$A:$G,3,FALSE),"")</f>
        <v>3400 W MAIN ST</v>
      </c>
      <c r="L1917" t="str">
        <f>IFERROR(VLOOKUP(VALUE(J1917),'Site Info'!$A:$G,4,FALSE),"")</f>
        <v>NORMAN</v>
      </c>
      <c r="M1917" t="str">
        <f>IFERROR(VLOOKUP(VALUE(J1917),'Site Info'!$A:$G,5,FALSE),"")</f>
        <v>OK</v>
      </c>
      <c r="N1917" t="str">
        <f>IFERROR(VLOOKUP(VALUE(J1917),'Site Info'!$A:$G,6,FALSE),"")</f>
        <v>73072-4808</v>
      </c>
      <c r="O1917">
        <f>IFERROR(VLOOKUP(VALUE(J1917),'Site Info'!$A:$G,7,FALSE),"")</f>
        <v>4053078374</v>
      </c>
    </row>
    <row r="1918" spans="1:15" x14ac:dyDescent="0.45">
      <c r="A1918" t="s">
        <v>6360</v>
      </c>
      <c r="B1918" t="s">
        <v>6361</v>
      </c>
      <c r="C1918" t="s">
        <v>6362</v>
      </c>
      <c r="D1918" t="s">
        <v>2278</v>
      </c>
      <c r="E1918" s="1">
        <v>46152.696898148148</v>
      </c>
      <c r="F1918">
        <v>1547</v>
      </c>
      <c r="G1918" t="s">
        <v>6363</v>
      </c>
      <c r="H1918" t="s">
        <v>15</v>
      </c>
      <c r="I1918" t="s">
        <v>2280</v>
      </c>
      <c r="J1918" t="str">
        <f>RIGHT(D1918,4)</f>
        <v>4761</v>
      </c>
      <c r="K1918" t="str">
        <f>IFERROR(VLOOKUP(VALUE(J1918),'Site Info'!$A:$G,3,FALSE),"")</f>
        <v>3400 W MAIN ST</v>
      </c>
      <c r="L1918" t="str">
        <f>IFERROR(VLOOKUP(VALUE(J1918),'Site Info'!$A:$G,4,FALSE),"")</f>
        <v>NORMAN</v>
      </c>
      <c r="M1918" t="str">
        <f>IFERROR(VLOOKUP(VALUE(J1918),'Site Info'!$A:$G,5,FALSE),"")</f>
        <v>OK</v>
      </c>
      <c r="N1918" t="str">
        <f>IFERROR(VLOOKUP(VALUE(J1918),'Site Info'!$A:$G,6,FALSE),"")</f>
        <v>73072-4808</v>
      </c>
      <c r="O1918">
        <f>IFERROR(VLOOKUP(VALUE(J1918),'Site Info'!$A:$G,7,FALSE),"")</f>
        <v>4053078374</v>
      </c>
    </row>
    <row r="1919" spans="1:15" x14ac:dyDescent="0.45">
      <c r="A1919" t="s">
        <v>5400</v>
      </c>
      <c r="B1919" t="s">
        <v>5401</v>
      </c>
      <c r="C1919" t="s">
        <v>5402</v>
      </c>
      <c r="D1919" t="s">
        <v>2278</v>
      </c>
      <c r="E1919" s="1">
        <v>46153.321817129632</v>
      </c>
      <c r="F1919">
        <v>1547</v>
      </c>
      <c r="G1919" t="s">
        <v>5403</v>
      </c>
      <c r="H1919" t="s">
        <v>15</v>
      </c>
      <c r="I1919" t="s">
        <v>2280</v>
      </c>
      <c r="J1919" t="str">
        <f>RIGHT(D1919,4)</f>
        <v>4761</v>
      </c>
      <c r="K1919" t="str">
        <f>IFERROR(VLOOKUP(VALUE(J1919),'Site Info'!$A:$G,3,FALSE),"")</f>
        <v>3400 W MAIN ST</v>
      </c>
      <c r="L1919" t="str">
        <f>IFERROR(VLOOKUP(VALUE(J1919),'Site Info'!$A:$G,4,FALSE),"")</f>
        <v>NORMAN</v>
      </c>
      <c r="M1919" t="str">
        <f>IFERROR(VLOOKUP(VALUE(J1919),'Site Info'!$A:$G,5,FALSE),"")</f>
        <v>OK</v>
      </c>
      <c r="N1919" t="str">
        <f>IFERROR(VLOOKUP(VALUE(J1919),'Site Info'!$A:$G,6,FALSE),"")</f>
        <v>73072-4808</v>
      </c>
      <c r="O1919">
        <f>IFERROR(VLOOKUP(VALUE(J1919),'Site Info'!$A:$G,7,FALSE),"")</f>
        <v>4053078374</v>
      </c>
    </row>
    <row r="1920" spans="1:15" x14ac:dyDescent="0.45">
      <c r="A1920" t="s">
        <v>6352</v>
      </c>
      <c r="B1920" t="s">
        <v>6353</v>
      </c>
      <c r="C1920" t="s">
        <v>6354</v>
      </c>
      <c r="D1920" t="s">
        <v>2278</v>
      </c>
      <c r="E1920" s="1">
        <v>46153.369270833333</v>
      </c>
      <c r="F1920">
        <v>1547</v>
      </c>
      <c r="G1920" t="s">
        <v>6355</v>
      </c>
      <c r="H1920" t="s">
        <v>15</v>
      </c>
      <c r="I1920" t="s">
        <v>2280</v>
      </c>
      <c r="J1920" t="str">
        <f>RIGHT(D1920,4)</f>
        <v>4761</v>
      </c>
      <c r="K1920" t="str">
        <f>IFERROR(VLOOKUP(VALUE(J1920),'Site Info'!$A:$G,3,FALSE),"")</f>
        <v>3400 W MAIN ST</v>
      </c>
      <c r="L1920" t="str">
        <f>IFERROR(VLOOKUP(VALUE(J1920),'Site Info'!$A:$G,4,FALSE),"")</f>
        <v>NORMAN</v>
      </c>
      <c r="M1920" t="str">
        <f>IFERROR(VLOOKUP(VALUE(J1920),'Site Info'!$A:$G,5,FALSE),"")</f>
        <v>OK</v>
      </c>
      <c r="N1920" t="str">
        <f>IFERROR(VLOOKUP(VALUE(J1920),'Site Info'!$A:$G,6,FALSE),"")</f>
        <v>73072-4808</v>
      </c>
      <c r="O1920">
        <f>IFERROR(VLOOKUP(VALUE(J1920),'Site Info'!$A:$G,7,FALSE),"")</f>
        <v>4053078374</v>
      </c>
    </row>
    <row r="1921" spans="1:15" x14ac:dyDescent="0.45">
      <c r="A1921" t="s">
        <v>2275</v>
      </c>
      <c r="B1921" t="s">
        <v>2276</v>
      </c>
      <c r="C1921" t="s">
        <v>2277</v>
      </c>
      <c r="D1921" t="s">
        <v>2278</v>
      </c>
      <c r="E1921" s="1">
        <v>46152.843252314815</v>
      </c>
      <c r="F1921">
        <v>1481</v>
      </c>
      <c r="G1921" t="s">
        <v>2279</v>
      </c>
      <c r="H1921" t="s">
        <v>15</v>
      </c>
      <c r="I1921" t="s">
        <v>2280</v>
      </c>
      <c r="J1921" t="str">
        <f>RIGHT(D1921,4)</f>
        <v>4761</v>
      </c>
      <c r="K1921" t="str">
        <f>IFERROR(VLOOKUP(VALUE(J1921),'Site Info'!$A:$G,3,FALSE),"")</f>
        <v>3400 W MAIN ST</v>
      </c>
      <c r="L1921" t="str">
        <f>IFERROR(VLOOKUP(VALUE(J1921),'Site Info'!$A:$G,4,FALSE),"")</f>
        <v>NORMAN</v>
      </c>
      <c r="M1921" t="str">
        <f>IFERROR(VLOOKUP(VALUE(J1921),'Site Info'!$A:$G,5,FALSE),"")</f>
        <v>OK</v>
      </c>
      <c r="N1921" t="str">
        <f>IFERROR(VLOOKUP(VALUE(J1921),'Site Info'!$A:$G,6,FALSE),"")</f>
        <v>73072-4808</v>
      </c>
      <c r="O1921">
        <f>IFERROR(VLOOKUP(VALUE(J1921),'Site Info'!$A:$G,7,FALSE),"")</f>
        <v>4053078374</v>
      </c>
    </row>
    <row r="1922" spans="1:15" x14ac:dyDescent="0.45">
      <c r="A1922" t="s">
        <v>2711</v>
      </c>
      <c r="B1922" t="s">
        <v>2712</v>
      </c>
      <c r="C1922" t="s">
        <v>2713</v>
      </c>
      <c r="D1922" t="s">
        <v>2278</v>
      </c>
      <c r="E1922" s="1">
        <v>46153.222488425927</v>
      </c>
      <c r="F1922">
        <v>1481</v>
      </c>
      <c r="G1922" t="s">
        <v>2714</v>
      </c>
      <c r="H1922" t="s">
        <v>15</v>
      </c>
      <c r="I1922" t="s">
        <v>2280</v>
      </c>
      <c r="J1922" t="str">
        <f>RIGHT(D1922,4)</f>
        <v>4761</v>
      </c>
      <c r="K1922" t="str">
        <f>IFERROR(VLOOKUP(VALUE(J1922),'Site Info'!$A:$G,3,FALSE),"")</f>
        <v>3400 W MAIN ST</v>
      </c>
      <c r="L1922" t="str">
        <f>IFERROR(VLOOKUP(VALUE(J1922),'Site Info'!$A:$G,4,FALSE),"")</f>
        <v>NORMAN</v>
      </c>
      <c r="M1922" t="str">
        <f>IFERROR(VLOOKUP(VALUE(J1922),'Site Info'!$A:$G,5,FALSE),"")</f>
        <v>OK</v>
      </c>
      <c r="N1922" t="str">
        <f>IFERROR(VLOOKUP(VALUE(J1922),'Site Info'!$A:$G,6,FALSE),"")</f>
        <v>73072-4808</v>
      </c>
      <c r="O1922">
        <f>IFERROR(VLOOKUP(VALUE(J1922),'Site Info'!$A:$G,7,FALSE),"")</f>
        <v>4053078374</v>
      </c>
    </row>
    <row r="1923" spans="1:15" x14ac:dyDescent="0.45">
      <c r="A1923" t="s">
        <v>14249</v>
      </c>
      <c r="B1923" t="s">
        <v>14250</v>
      </c>
      <c r="C1923" t="s">
        <v>14251</v>
      </c>
      <c r="D1923" t="s">
        <v>1487</v>
      </c>
      <c r="E1923" s="1">
        <v>46151.678668981483</v>
      </c>
      <c r="F1923">
        <v>1863</v>
      </c>
      <c r="G1923" t="s">
        <v>14252</v>
      </c>
      <c r="H1923" t="s">
        <v>136</v>
      </c>
      <c r="I1923" t="s">
        <v>1489</v>
      </c>
      <c r="J1923" t="str">
        <f>RIGHT(D1923,4)</f>
        <v>6427</v>
      </c>
      <c r="K1923" t="str">
        <f>IFERROR(VLOOKUP(VALUE(J1923),'Site Info'!$A:$G,3,FALSE),"")</f>
        <v>3410 55TH ST NW</v>
      </c>
      <c r="L1923" t="str">
        <f>IFERROR(VLOOKUP(VALUE(J1923),'Site Info'!$A:$G,4,FALSE),"")</f>
        <v>ROCHESTER</v>
      </c>
      <c r="M1923" t="str">
        <f>IFERROR(VLOOKUP(VALUE(J1923),'Site Info'!$A:$G,5,FALSE),"")</f>
        <v>MN</v>
      </c>
      <c r="N1923" t="str">
        <f>IFERROR(VLOOKUP(VALUE(J1923),'Site Info'!$A:$G,6,FALSE),"")</f>
        <v>55901-0123</v>
      </c>
      <c r="O1923">
        <f>IFERROR(VLOOKUP(VALUE(J1923),'Site Info'!$A:$G,7,FALSE),"")</f>
        <v>5072818355</v>
      </c>
    </row>
    <row r="1924" spans="1:15" x14ac:dyDescent="0.45">
      <c r="A1924" t="s">
        <v>10624</v>
      </c>
      <c r="B1924" t="s">
        <v>10625</v>
      </c>
      <c r="C1924" t="s">
        <v>10626</v>
      </c>
      <c r="D1924" t="s">
        <v>1487</v>
      </c>
      <c r="E1924" s="1">
        <v>46150.441192129627</v>
      </c>
      <c r="F1924">
        <v>1547</v>
      </c>
      <c r="G1924" t="s">
        <v>10627</v>
      </c>
      <c r="H1924" t="s">
        <v>15</v>
      </c>
      <c r="I1924" t="s">
        <v>1489</v>
      </c>
      <c r="J1924" t="str">
        <f>RIGHT(D1924,4)</f>
        <v>6427</v>
      </c>
      <c r="K1924" t="str">
        <f>IFERROR(VLOOKUP(VALUE(J1924),'Site Info'!$A:$G,3,FALSE),"")</f>
        <v>3410 55TH ST NW</v>
      </c>
      <c r="L1924" t="str">
        <f>IFERROR(VLOOKUP(VALUE(J1924),'Site Info'!$A:$G,4,FALSE),"")</f>
        <v>ROCHESTER</v>
      </c>
      <c r="M1924" t="str">
        <f>IFERROR(VLOOKUP(VALUE(J1924),'Site Info'!$A:$G,5,FALSE),"")</f>
        <v>MN</v>
      </c>
      <c r="N1924" t="str">
        <f>IFERROR(VLOOKUP(VALUE(J1924),'Site Info'!$A:$G,6,FALSE),"")</f>
        <v>55901-0123</v>
      </c>
      <c r="O1924">
        <f>IFERROR(VLOOKUP(VALUE(J1924),'Site Info'!$A:$G,7,FALSE),"")</f>
        <v>5072818355</v>
      </c>
    </row>
    <row r="1925" spans="1:15" x14ac:dyDescent="0.45">
      <c r="A1925" t="s">
        <v>11578</v>
      </c>
      <c r="B1925" t="s">
        <v>11579</v>
      </c>
      <c r="C1925" t="s">
        <v>11580</v>
      </c>
      <c r="D1925" t="s">
        <v>1487</v>
      </c>
      <c r="E1925" s="1">
        <v>46151.6330787037</v>
      </c>
      <c r="F1925">
        <v>1547</v>
      </c>
      <c r="G1925" t="s">
        <v>11581</v>
      </c>
      <c r="H1925" t="s">
        <v>15</v>
      </c>
      <c r="I1925" t="s">
        <v>1489</v>
      </c>
      <c r="J1925" t="str">
        <f>RIGHT(D1925,4)</f>
        <v>6427</v>
      </c>
      <c r="K1925" t="str">
        <f>IFERROR(VLOOKUP(VALUE(J1925),'Site Info'!$A:$G,3,FALSE),"")</f>
        <v>3410 55TH ST NW</v>
      </c>
      <c r="L1925" t="str">
        <f>IFERROR(VLOOKUP(VALUE(J1925),'Site Info'!$A:$G,4,FALSE),"")</f>
        <v>ROCHESTER</v>
      </c>
      <c r="M1925" t="str">
        <f>IFERROR(VLOOKUP(VALUE(J1925),'Site Info'!$A:$G,5,FALSE),"")</f>
        <v>MN</v>
      </c>
      <c r="N1925" t="str">
        <f>IFERROR(VLOOKUP(VALUE(J1925),'Site Info'!$A:$G,6,FALSE),"")</f>
        <v>55901-0123</v>
      </c>
      <c r="O1925">
        <f>IFERROR(VLOOKUP(VALUE(J1925),'Site Info'!$A:$G,7,FALSE),"")</f>
        <v>5072818355</v>
      </c>
    </row>
    <row r="1926" spans="1:15" x14ac:dyDescent="0.45">
      <c r="A1926" t="s">
        <v>11660</v>
      </c>
      <c r="B1926" t="s">
        <v>11661</v>
      </c>
      <c r="C1926" t="s">
        <v>11662</v>
      </c>
      <c r="D1926" t="s">
        <v>1487</v>
      </c>
      <c r="E1926" s="1">
        <v>46151.753078703703</v>
      </c>
      <c r="F1926">
        <v>1547</v>
      </c>
      <c r="G1926" t="s">
        <v>11663</v>
      </c>
      <c r="H1926" t="s">
        <v>15</v>
      </c>
      <c r="I1926" t="s">
        <v>1489</v>
      </c>
      <c r="J1926" t="str">
        <f>RIGHT(D1926,4)</f>
        <v>6427</v>
      </c>
      <c r="K1926" t="str">
        <f>IFERROR(VLOOKUP(VALUE(J1926),'Site Info'!$A:$G,3,FALSE),"")</f>
        <v>3410 55TH ST NW</v>
      </c>
      <c r="L1926" t="str">
        <f>IFERROR(VLOOKUP(VALUE(J1926),'Site Info'!$A:$G,4,FALSE),"")</f>
        <v>ROCHESTER</v>
      </c>
      <c r="M1926" t="str">
        <f>IFERROR(VLOOKUP(VALUE(J1926),'Site Info'!$A:$G,5,FALSE),"")</f>
        <v>MN</v>
      </c>
      <c r="N1926" t="str">
        <f>IFERROR(VLOOKUP(VALUE(J1926),'Site Info'!$A:$G,6,FALSE),"")</f>
        <v>55901-0123</v>
      </c>
      <c r="O1926">
        <f>IFERROR(VLOOKUP(VALUE(J1926),'Site Info'!$A:$G,7,FALSE),"")</f>
        <v>5072818355</v>
      </c>
    </row>
    <row r="1927" spans="1:15" x14ac:dyDescent="0.45">
      <c r="A1927" t="s">
        <v>11816</v>
      </c>
      <c r="B1927" t="s">
        <v>11817</v>
      </c>
      <c r="C1927" t="s">
        <v>11818</v>
      </c>
      <c r="D1927" t="s">
        <v>1487</v>
      </c>
      <c r="E1927" s="1">
        <v>46153.331250000003</v>
      </c>
      <c r="F1927">
        <v>1547</v>
      </c>
      <c r="G1927" t="s">
        <v>11819</v>
      </c>
      <c r="H1927" t="s">
        <v>15</v>
      </c>
      <c r="I1927" t="s">
        <v>1489</v>
      </c>
      <c r="J1927" t="str">
        <f>RIGHT(D1927,4)</f>
        <v>6427</v>
      </c>
      <c r="K1927" t="str">
        <f>IFERROR(VLOOKUP(VALUE(J1927),'Site Info'!$A:$G,3,FALSE),"")</f>
        <v>3410 55TH ST NW</v>
      </c>
      <c r="L1927" t="str">
        <f>IFERROR(VLOOKUP(VALUE(J1927),'Site Info'!$A:$G,4,FALSE),"")</f>
        <v>ROCHESTER</v>
      </c>
      <c r="M1927" t="str">
        <f>IFERROR(VLOOKUP(VALUE(J1927),'Site Info'!$A:$G,5,FALSE),"")</f>
        <v>MN</v>
      </c>
      <c r="N1927" t="str">
        <f>IFERROR(VLOOKUP(VALUE(J1927),'Site Info'!$A:$G,6,FALSE),"")</f>
        <v>55901-0123</v>
      </c>
      <c r="O1927">
        <f>IFERROR(VLOOKUP(VALUE(J1927),'Site Info'!$A:$G,7,FALSE),"")</f>
        <v>5072818355</v>
      </c>
    </row>
    <row r="1928" spans="1:15" x14ac:dyDescent="0.45">
      <c r="A1928" t="s">
        <v>12116</v>
      </c>
      <c r="B1928" t="s">
        <v>12117</v>
      </c>
      <c r="C1928" t="s">
        <v>12118</v>
      </c>
      <c r="D1928" t="s">
        <v>1487</v>
      </c>
      <c r="E1928" s="1">
        <v>46153.3672337963</v>
      </c>
      <c r="F1928">
        <v>1547</v>
      </c>
      <c r="G1928" t="s">
        <v>12119</v>
      </c>
      <c r="H1928" t="s">
        <v>15</v>
      </c>
      <c r="I1928" t="s">
        <v>1489</v>
      </c>
      <c r="J1928" t="str">
        <f>RIGHT(D1928,4)</f>
        <v>6427</v>
      </c>
      <c r="K1928" t="str">
        <f>IFERROR(VLOOKUP(VALUE(J1928),'Site Info'!$A:$G,3,FALSE),"")</f>
        <v>3410 55TH ST NW</v>
      </c>
      <c r="L1928" t="str">
        <f>IFERROR(VLOOKUP(VALUE(J1928),'Site Info'!$A:$G,4,FALSE),"")</f>
        <v>ROCHESTER</v>
      </c>
      <c r="M1928" t="str">
        <f>IFERROR(VLOOKUP(VALUE(J1928),'Site Info'!$A:$G,5,FALSE),"")</f>
        <v>MN</v>
      </c>
      <c r="N1928" t="str">
        <f>IFERROR(VLOOKUP(VALUE(J1928),'Site Info'!$A:$G,6,FALSE),"")</f>
        <v>55901-0123</v>
      </c>
      <c r="O1928">
        <f>IFERROR(VLOOKUP(VALUE(J1928),'Site Info'!$A:$G,7,FALSE),"")</f>
        <v>5072818355</v>
      </c>
    </row>
    <row r="1929" spans="1:15" x14ac:dyDescent="0.45">
      <c r="A1929" t="s">
        <v>2293</v>
      </c>
      <c r="B1929" t="s">
        <v>2294</v>
      </c>
      <c r="C1929" t="s">
        <v>2295</v>
      </c>
      <c r="D1929" t="s">
        <v>1487</v>
      </c>
      <c r="E1929" s="1">
        <v>46150.462962962964</v>
      </c>
      <c r="F1929">
        <v>1481</v>
      </c>
      <c r="G1929" t="s">
        <v>2296</v>
      </c>
      <c r="H1929" t="s">
        <v>15</v>
      </c>
      <c r="I1929" t="s">
        <v>1489</v>
      </c>
      <c r="J1929" t="str">
        <f>RIGHT(D1929,4)</f>
        <v>6427</v>
      </c>
      <c r="K1929" t="str">
        <f>IFERROR(VLOOKUP(VALUE(J1929),'Site Info'!$A:$G,3,FALSE),"")</f>
        <v>3410 55TH ST NW</v>
      </c>
      <c r="L1929" t="str">
        <f>IFERROR(VLOOKUP(VALUE(J1929),'Site Info'!$A:$G,4,FALSE),"")</f>
        <v>ROCHESTER</v>
      </c>
      <c r="M1929" t="str">
        <f>IFERROR(VLOOKUP(VALUE(J1929),'Site Info'!$A:$G,5,FALSE),"")</f>
        <v>MN</v>
      </c>
      <c r="N1929" t="str">
        <f>IFERROR(VLOOKUP(VALUE(J1929),'Site Info'!$A:$G,6,FALSE),"")</f>
        <v>55901-0123</v>
      </c>
      <c r="O1929">
        <f>IFERROR(VLOOKUP(VALUE(J1929),'Site Info'!$A:$G,7,FALSE),"")</f>
        <v>5072818355</v>
      </c>
    </row>
    <row r="1930" spans="1:15" x14ac:dyDescent="0.45">
      <c r="A1930" t="s">
        <v>1484</v>
      </c>
      <c r="B1930" t="s">
        <v>1485</v>
      </c>
      <c r="C1930" t="s">
        <v>1486</v>
      </c>
      <c r="D1930" t="s">
        <v>1487</v>
      </c>
      <c r="E1930" s="1">
        <v>46153.370138888888</v>
      </c>
      <c r="F1930">
        <v>1481</v>
      </c>
      <c r="G1930" t="s">
        <v>1488</v>
      </c>
      <c r="H1930" t="s">
        <v>15</v>
      </c>
      <c r="I1930" t="s">
        <v>1489</v>
      </c>
      <c r="J1930" t="str">
        <f>RIGHT(D1930,4)</f>
        <v>6427</v>
      </c>
      <c r="K1930" t="str">
        <f>IFERROR(VLOOKUP(VALUE(J1930),'Site Info'!$A:$G,3,FALSE),"")</f>
        <v>3410 55TH ST NW</v>
      </c>
      <c r="L1930" t="str">
        <f>IFERROR(VLOOKUP(VALUE(J1930),'Site Info'!$A:$G,4,FALSE),"")</f>
        <v>ROCHESTER</v>
      </c>
      <c r="M1930" t="str">
        <f>IFERROR(VLOOKUP(VALUE(J1930),'Site Info'!$A:$G,5,FALSE),"")</f>
        <v>MN</v>
      </c>
      <c r="N1930" t="str">
        <f>IFERROR(VLOOKUP(VALUE(J1930),'Site Info'!$A:$G,6,FALSE),"")</f>
        <v>55901-0123</v>
      </c>
      <c r="O1930">
        <f>IFERROR(VLOOKUP(VALUE(J1930),'Site Info'!$A:$G,7,FALSE),"")</f>
        <v>5072818355</v>
      </c>
    </row>
    <row r="1931" spans="1:15" x14ac:dyDescent="0.45">
      <c r="A1931" t="s">
        <v>6130</v>
      </c>
      <c r="B1931" t="s">
        <v>6131</v>
      </c>
      <c r="C1931" t="s">
        <v>6132</v>
      </c>
      <c r="D1931" t="s">
        <v>6133</v>
      </c>
      <c r="E1931" s="1">
        <v>46151.790659722225</v>
      </c>
      <c r="F1931">
        <v>1547</v>
      </c>
      <c r="G1931" t="s">
        <v>6134</v>
      </c>
      <c r="H1931" t="s">
        <v>15</v>
      </c>
      <c r="I1931" t="s">
        <v>6135</v>
      </c>
      <c r="J1931" t="str">
        <f>RIGHT(D1931,4)</f>
        <v>6418</v>
      </c>
      <c r="K1931" t="str">
        <f>IFERROR(VLOOKUP(VALUE(J1931),'Site Info'!$A:$G,3,FALSE),"")</f>
        <v>3415 N ROCK RD</v>
      </c>
      <c r="L1931" t="str">
        <f>IFERROR(VLOOKUP(VALUE(J1931),'Site Info'!$A:$G,4,FALSE),"")</f>
        <v>WICHITA</v>
      </c>
      <c r="M1931" t="str">
        <f>IFERROR(VLOOKUP(VALUE(J1931),'Site Info'!$A:$G,5,FALSE),"")</f>
        <v>KS</v>
      </c>
      <c r="N1931" t="str">
        <f>IFERROR(VLOOKUP(VALUE(J1931),'Site Info'!$A:$G,6,FALSE),"")</f>
        <v>67226-1325</v>
      </c>
      <c r="O1931">
        <f>IFERROR(VLOOKUP(VALUE(J1931),'Site Info'!$A:$G,7,FALSE),"")</f>
        <v>3166346007</v>
      </c>
    </row>
    <row r="1932" spans="1:15" x14ac:dyDescent="0.45">
      <c r="A1932" t="s">
        <v>6585</v>
      </c>
      <c r="B1932" t="s">
        <v>6586</v>
      </c>
      <c r="C1932" t="s">
        <v>6587</v>
      </c>
      <c r="D1932" t="s">
        <v>6133</v>
      </c>
      <c r="E1932" s="1">
        <v>46152.661562499998</v>
      </c>
      <c r="F1932">
        <v>1547</v>
      </c>
      <c r="G1932" t="s">
        <v>6588</v>
      </c>
      <c r="H1932" t="s">
        <v>15</v>
      </c>
      <c r="I1932" t="s">
        <v>6135</v>
      </c>
      <c r="J1932" t="str">
        <f>RIGHT(D1932,4)</f>
        <v>6418</v>
      </c>
      <c r="K1932" t="str">
        <f>IFERROR(VLOOKUP(VALUE(J1932),'Site Info'!$A:$G,3,FALSE),"")</f>
        <v>3415 N ROCK RD</v>
      </c>
      <c r="L1932" t="str">
        <f>IFERROR(VLOOKUP(VALUE(J1932),'Site Info'!$A:$G,4,FALSE),"")</f>
        <v>WICHITA</v>
      </c>
      <c r="M1932" t="str">
        <f>IFERROR(VLOOKUP(VALUE(J1932),'Site Info'!$A:$G,5,FALSE),"")</f>
        <v>KS</v>
      </c>
      <c r="N1932" t="str">
        <f>IFERROR(VLOOKUP(VALUE(J1932),'Site Info'!$A:$G,6,FALSE),"")</f>
        <v>67226-1325</v>
      </c>
      <c r="O1932">
        <f>IFERROR(VLOOKUP(VALUE(J1932),'Site Info'!$A:$G,7,FALSE),"")</f>
        <v>3166346007</v>
      </c>
    </row>
    <row r="1933" spans="1:15" x14ac:dyDescent="0.45">
      <c r="A1933" t="s">
        <v>6254</v>
      </c>
      <c r="B1933" t="s">
        <v>6255</v>
      </c>
      <c r="C1933" t="s">
        <v>6256</v>
      </c>
      <c r="D1933" t="s">
        <v>6133</v>
      </c>
      <c r="E1933" s="1">
        <v>46152.87939814815</v>
      </c>
      <c r="F1933">
        <v>1547</v>
      </c>
      <c r="G1933" t="s">
        <v>6257</v>
      </c>
      <c r="H1933" t="s">
        <v>15</v>
      </c>
      <c r="I1933" t="s">
        <v>6135</v>
      </c>
      <c r="J1933" t="str">
        <f>RIGHT(D1933,4)</f>
        <v>6418</v>
      </c>
      <c r="K1933" t="str">
        <f>IFERROR(VLOOKUP(VALUE(J1933),'Site Info'!$A:$G,3,FALSE),"")</f>
        <v>3415 N ROCK RD</v>
      </c>
      <c r="L1933" t="str">
        <f>IFERROR(VLOOKUP(VALUE(J1933),'Site Info'!$A:$G,4,FALSE),"")</f>
        <v>WICHITA</v>
      </c>
      <c r="M1933" t="str">
        <f>IFERROR(VLOOKUP(VALUE(J1933),'Site Info'!$A:$G,5,FALSE),"")</f>
        <v>KS</v>
      </c>
      <c r="N1933" t="str">
        <f>IFERROR(VLOOKUP(VALUE(J1933),'Site Info'!$A:$G,6,FALSE),"")</f>
        <v>67226-1325</v>
      </c>
      <c r="O1933">
        <f>IFERROR(VLOOKUP(VALUE(J1933),'Site Info'!$A:$G,7,FALSE),"")</f>
        <v>3166346007</v>
      </c>
    </row>
    <row r="1934" spans="1:15" x14ac:dyDescent="0.45">
      <c r="A1934" t="s">
        <v>9878</v>
      </c>
      <c r="B1934" t="s">
        <v>9879</v>
      </c>
      <c r="C1934" t="s">
        <v>9880</v>
      </c>
      <c r="D1934" t="s">
        <v>6133</v>
      </c>
      <c r="E1934" s="1">
        <v>46153.302858796298</v>
      </c>
      <c r="F1934">
        <v>1547</v>
      </c>
      <c r="G1934" t="s">
        <v>9881</v>
      </c>
      <c r="H1934" t="s">
        <v>15</v>
      </c>
      <c r="I1934" t="s">
        <v>6135</v>
      </c>
      <c r="J1934" t="str">
        <f>RIGHT(D1934,4)</f>
        <v>6418</v>
      </c>
      <c r="K1934" t="str">
        <f>IFERROR(VLOOKUP(VALUE(J1934),'Site Info'!$A:$G,3,FALSE),"")</f>
        <v>3415 N ROCK RD</v>
      </c>
      <c r="L1934" t="str">
        <f>IFERROR(VLOOKUP(VALUE(J1934),'Site Info'!$A:$G,4,FALSE),"")</f>
        <v>WICHITA</v>
      </c>
      <c r="M1934" t="str">
        <f>IFERROR(VLOOKUP(VALUE(J1934),'Site Info'!$A:$G,5,FALSE),"")</f>
        <v>KS</v>
      </c>
      <c r="N1934" t="str">
        <f>IFERROR(VLOOKUP(VALUE(J1934),'Site Info'!$A:$G,6,FALSE),"")</f>
        <v>67226-1325</v>
      </c>
      <c r="O1934">
        <f>IFERROR(VLOOKUP(VALUE(J1934),'Site Info'!$A:$G,7,FALSE),"")</f>
        <v>3166346007</v>
      </c>
    </row>
    <row r="1935" spans="1:15" x14ac:dyDescent="0.45">
      <c r="A1935" t="s">
        <v>6172</v>
      </c>
      <c r="B1935" t="s">
        <v>6173</v>
      </c>
      <c r="C1935" t="s">
        <v>6174</v>
      </c>
      <c r="D1935" t="s">
        <v>6133</v>
      </c>
      <c r="E1935" s="1">
        <v>46153.366469907407</v>
      </c>
      <c r="F1935">
        <v>1547</v>
      </c>
      <c r="G1935" t="s">
        <v>6175</v>
      </c>
      <c r="H1935" t="s">
        <v>15</v>
      </c>
      <c r="I1935" t="s">
        <v>6135</v>
      </c>
      <c r="J1935" t="str">
        <f>RIGHT(D1935,4)</f>
        <v>6418</v>
      </c>
      <c r="K1935" t="str">
        <f>IFERROR(VLOOKUP(VALUE(J1935),'Site Info'!$A:$G,3,FALSE),"")</f>
        <v>3415 N ROCK RD</v>
      </c>
      <c r="L1935" t="str">
        <f>IFERROR(VLOOKUP(VALUE(J1935),'Site Info'!$A:$G,4,FALSE),"")</f>
        <v>WICHITA</v>
      </c>
      <c r="M1935" t="str">
        <f>IFERROR(VLOOKUP(VALUE(J1935),'Site Info'!$A:$G,5,FALSE),"")</f>
        <v>KS</v>
      </c>
      <c r="N1935" t="str">
        <f>IFERROR(VLOOKUP(VALUE(J1935),'Site Info'!$A:$G,6,FALSE),"")</f>
        <v>67226-1325</v>
      </c>
      <c r="O1935">
        <f>IFERROR(VLOOKUP(VALUE(J1935),'Site Info'!$A:$G,7,FALSE),"")</f>
        <v>3166346007</v>
      </c>
    </row>
    <row r="1936" spans="1:15" x14ac:dyDescent="0.45">
      <c r="A1936" t="s">
        <v>10584</v>
      </c>
      <c r="B1936" t="s">
        <v>10585</v>
      </c>
      <c r="C1936" t="s">
        <v>10586</v>
      </c>
      <c r="D1936" t="s">
        <v>921</v>
      </c>
      <c r="E1936" s="1">
        <v>46151.461481481485</v>
      </c>
      <c r="F1936">
        <v>1547</v>
      </c>
      <c r="G1936" t="s">
        <v>10587</v>
      </c>
      <c r="H1936" t="s">
        <v>15</v>
      </c>
      <c r="I1936" t="s">
        <v>923</v>
      </c>
      <c r="J1936" t="str">
        <f>RIGHT(D1936,4)</f>
        <v>6609</v>
      </c>
      <c r="K1936" t="str">
        <f>IFERROR(VLOOKUP(VALUE(J1936),'Site Info'!$A:$G,3,FALSE),"")</f>
        <v>34220 MONTEREY AVE</v>
      </c>
      <c r="L1936" t="str">
        <f>IFERROR(VLOOKUP(VALUE(J1936),'Site Info'!$A:$G,4,FALSE),"")</f>
        <v>PALM DESERT</v>
      </c>
      <c r="M1936" t="str">
        <f>IFERROR(VLOOKUP(VALUE(J1936),'Site Info'!$A:$G,5,FALSE),"")</f>
        <v>CA</v>
      </c>
      <c r="N1936" t="str">
        <f>IFERROR(VLOOKUP(VALUE(J1936),'Site Info'!$A:$G,6,FALSE),"")</f>
        <v>92211-2096</v>
      </c>
      <c r="O1936">
        <f>IFERROR(VLOOKUP(VALUE(J1936),'Site Info'!$A:$G,7,FALSE),"")</f>
        <v>7607707146</v>
      </c>
    </row>
    <row r="1937" spans="1:15" x14ac:dyDescent="0.45">
      <c r="A1937" t="s">
        <v>10714</v>
      </c>
      <c r="B1937" t="s">
        <v>10715</v>
      </c>
      <c r="C1937" t="s">
        <v>10716</v>
      </c>
      <c r="D1937" t="s">
        <v>921</v>
      </c>
      <c r="E1937" s="1">
        <v>46151.498206018521</v>
      </c>
      <c r="F1937">
        <v>1547</v>
      </c>
      <c r="G1937" t="s">
        <v>10717</v>
      </c>
      <c r="H1937" t="s">
        <v>15</v>
      </c>
      <c r="I1937" t="s">
        <v>923</v>
      </c>
      <c r="J1937" t="str">
        <f>RIGHT(D1937,4)</f>
        <v>6609</v>
      </c>
      <c r="K1937" t="str">
        <f>IFERROR(VLOOKUP(VALUE(J1937),'Site Info'!$A:$G,3,FALSE),"")</f>
        <v>34220 MONTEREY AVE</v>
      </c>
      <c r="L1937" t="str">
        <f>IFERROR(VLOOKUP(VALUE(J1937),'Site Info'!$A:$G,4,FALSE),"")</f>
        <v>PALM DESERT</v>
      </c>
      <c r="M1937" t="str">
        <f>IFERROR(VLOOKUP(VALUE(J1937),'Site Info'!$A:$G,5,FALSE),"")</f>
        <v>CA</v>
      </c>
      <c r="N1937" t="str">
        <f>IFERROR(VLOOKUP(VALUE(J1937),'Site Info'!$A:$G,6,FALSE),"")</f>
        <v>92211-2096</v>
      </c>
      <c r="O1937">
        <f>IFERROR(VLOOKUP(VALUE(J1937),'Site Info'!$A:$G,7,FALSE),"")</f>
        <v>7607707146</v>
      </c>
    </row>
    <row r="1938" spans="1:15" x14ac:dyDescent="0.45">
      <c r="A1938" t="s">
        <v>966</v>
      </c>
      <c r="B1938" t="s">
        <v>967</v>
      </c>
      <c r="C1938" t="s">
        <v>968</v>
      </c>
      <c r="D1938" t="s">
        <v>921</v>
      </c>
      <c r="E1938" s="1">
        <v>46150.836412037039</v>
      </c>
      <c r="F1938">
        <v>1481</v>
      </c>
      <c r="G1938" t="s">
        <v>969</v>
      </c>
      <c r="H1938" t="s">
        <v>15</v>
      </c>
      <c r="I1938" t="s">
        <v>923</v>
      </c>
      <c r="J1938" t="str">
        <f>RIGHT(D1938,4)</f>
        <v>6609</v>
      </c>
      <c r="K1938" t="str">
        <f>IFERROR(VLOOKUP(VALUE(J1938),'Site Info'!$A:$G,3,FALSE),"")</f>
        <v>34220 MONTEREY AVE</v>
      </c>
      <c r="L1938" t="str">
        <f>IFERROR(VLOOKUP(VALUE(J1938),'Site Info'!$A:$G,4,FALSE),"")</f>
        <v>PALM DESERT</v>
      </c>
      <c r="M1938" t="str">
        <f>IFERROR(VLOOKUP(VALUE(J1938),'Site Info'!$A:$G,5,FALSE),"")</f>
        <v>CA</v>
      </c>
      <c r="N1938" t="str">
        <f>IFERROR(VLOOKUP(VALUE(J1938),'Site Info'!$A:$G,6,FALSE),"")</f>
        <v>92211-2096</v>
      </c>
      <c r="O1938">
        <f>IFERROR(VLOOKUP(VALUE(J1938),'Site Info'!$A:$G,7,FALSE),"")</f>
        <v>7607707146</v>
      </c>
    </row>
    <row r="1939" spans="1:15" x14ac:dyDescent="0.45">
      <c r="A1939" t="s">
        <v>976</v>
      </c>
      <c r="B1939" t="s">
        <v>977</v>
      </c>
      <c r="C1939" t="s">
        <v>978</v>
      </c>
      <c r="D1939" t="s">
        <v>921</v>
      </c>
      <c r="E1939" s="1">
        <v>46153.271840277775</v>
      </c>
      <c r="F1939">
        <v>1481</v>
      </c>
      <c r="G1939" t="s">
        <v>979</v>
      </c>
      <c r="H1939" t="s">
        <v>15</v>
      </c>
      <c r="I1939" t="s">
        <v>923</v>
      </c>
      <c r="J1939" t="str">
        <f>RIGHT(D1939,4)</f>
        <v>6609</v>
      </c>
      <c r="K1939" t="str">
        <f>IFERROR(VLOOKUP(VALUE(J1939),'Site Info'!$A:$G,3,FALSE),"")</f>
        <v>34220 MONTEREY AVE</v>
      </c>
      <c r="L1939" t="str">
        <f>IFERROR(VLOOKUP(VALUE(J1939),'Site Info'!$A:$G,4,FALSE),"")</f>
        <v>PALM DESERT</v>
      </c>
      <c r="M1939" t="str">
        <f>IFERROR(VLOOKUP(VALUE(J1939),'Site Info'!$A:$G,5,FALSE),"")</f>
        <v>CA</v>
      </c>
      <c r="N1939" t="str">
        <f>IFERROR(VLOOKUP(VALUE(J1939),'Site Info'!$A:$G,6,FALSE),"")</f>
        <v>92211-2096</v>
      </c>
      <c r="O1939">
        <f>IFERROR(VLOOKUP(VALUE(J1939),'Site Info'!$A:$G,7,FALSE),"")</f>
        <v>7607707146</v>
      </c>
    </row>
    <row r="1940" spans="1:15" x14ac:dyDescent="0.45">
      <c r="A1940" t="s">
        <v>918</v>
      </c>
      <c r="B1940" t="s">
        <v>919</v>
      </c>
      <c r="C1940" t="s">
        <v>920</v>
      </c>
      <c r="D1940" t="s">
        <v>921</v>
      </c>
      <c r="E1940" s="1">
        <v>46153.344409722224</v>
      </c>
      <c r="F1940">
        <v>1481</v>
      </c>
      <c r="G1940" t="s">
        <v>922</v>
      </c>
      <c r="H1940" t="s">
        <v>15</v>
      </c>
      <c r="I1940" t="s">
        <v>923</v>
      </c>
      <c r="J1940" t="str">
        <f>RIGHT(D1940,4)</f>
        <v>6609</v>
      </c>
      <c r="K1940" t="str">
        <f>IFERROR(VLOOKUP(VALUE(J1940),'Site Info'!$A:$G,3,FALSE),"")</f>
        <v>34220 MONTEREY AVE</v>
      </c>
      <c r="L1940" t="str">
        <f>IFERROR(VLOOKUP(VALUE(J1940),'Site Info'!$A:$G,4,FALSE),"")</f>
        <v>PALM DESERT</v>
      </c>
      <c r="M1940" t="str">
        <f>IFERROR(VLOOKUP(VALUE(J1940),'Site Info'!$A:$G,5,FALSE),"")</f>
        <v>CA</v>
      </c>
      <c r="N1940" t="str">
        <f>IFERROR(VLOOKUP(VALUE(J1940),'Site Info'!$A:$G,6,FALSE),"")</f>
        <v>92211-2096</v>
      </c>
      <c r="O1940">
        <f>IFERROR(VLOOKUP(VALUE(J1940),'Site Info'!$A:$G,7,FALSE),"")</f>
        <v>7607707146</v>
      </c>
    </row>
    <row r="1941" spans="1:15" x14ac:dyDescent="0.45">
      <c r="A1941" t="s">
        <v>8165</v>
      </c>
      <c r="B1941" t="s">
        <v>8166</v>
      </c>
      <c r="C1941" t="s">
        <v>8167</v>
      </c>
      <c r="D1941" t="s">
        <v>3298</v>
      </c>
      <c r="E1941" s="1">
        <v>46151.760497685187</v>
      </c>
      <c r="F1941">
        <v>1547</v>
      </c>
      <c r="G1941" t="s">
        <v>8168</v>
      </c>
      <c r="H1941" t="s">
        <v>15</v>
      </c>
      <c r="I1941" t="s">
        <v>3300</v>
      </c>
      <c r="J1941" t="str">
        <f>RIGHT(D1941,4)</f>
        <v>8192</v>
      </c>
      <c r="K1941" t="str">
        <f>IFERROR(VLOOKUP(VALUE(J1941),'Site Info'!$A:$G,3,FALSE),"")</f>
        <v>3440 ROSS CLARK CIR</v>
      </c>
      <c r="L1941" t="str">
        <f>IFERROR(VLOOKUP(VALUE(J1941),'Site Info'!$A:$G,4,FALSE),"")</f>
        <v>DOTHAN</v>
      </c>
      <c r="M1941" t="str">
        <f>IFERROR(VLOOKUP(VALUE(J1941),'Site Info'!$A:$G,5,FALSE),"")</f>
        <v>AL</v>
      </c>
      <c r="N1941" t="str">
        <f>IFERROR(VLOOKUP(VALUE(J1941),'Site Info'!$A:$G,6,FALSE),"")</f>
        <v>36303-2525</v>
      </c>
      <c r="O1941">
        <f>IFERROR(VLOOKUP(VALUE(J1941),'Site Info'!$A:$G,7,FALSE),"")</f>
        <v>3346715005</v>
      </c>
    </row>
    <row r="1942" spans="1:15" x14ac:dyDescent="0.45">
      <c r="A1942" t="s">
        <v>8241</v>
      </c>
      <c r="B1942" t="s">
        <v>8242</v>
      </c>
      <c r="C1942" t="s">
        <v>8243</v>
      </c>
      <c r="D1942" t="s">
        <v>3298</v>
      </c>
      <c r="E1942" s="1">
        <v>46152.673877314817</v>
      </c>
      <c r="F1942">
        <v>1547</v>
      </c>
      <c r="G1942" t="s">
        <v>8244</v>
      </c>
      <c r="H1942" t="s">
        <v>15</v>
      </c>
      <c r="I1942" t="s">
        <v>3300</v>
      </c>
      <c r="J1942" t="str">
        <f>RIGHT(D1942,4)</f>
        <v>8192</v>
      </c>
      <c r="K1942" t="str">
        <f>IFERROR(VLOOKUP(VALUE(J1942),'Site Info'!$A:$G,3,FALSE),"")</f>
        <v>3440 ROSS CLARK CIR</v>
      </c>
      <c r="L1942" t="str">
        <f>IFERROR(VLOOKUP(VALUE(J1942),'Site Info'!$A:$G,4,FALSE),"")</f>
        <v>DOTHAN</v>
      </c>
      <c r="M1942" t="str">
        <f>IFERROR(VLOOKUP(VALUE(J1942),'Site Info'!$A:$G,5,FALSE),"")</f>
        <v>AL</v>
      </c>
      <c r="N1942" t="str">
        <f>IFERROR(VLOOKUP(VALUE(J1942),'Site Info'!$A:$G,6,FALSE),"")</f>
        <v>36303-2525</v>
      </c>
      <c r="O1942">
        <f>IFERROR(VLOOKUP(VALUE(J1942),'Site Info'!$A:$G,7,FALSE),"")</f>
        <v>3346715005</v>
      </c>
    </row>
    <row r="1943" spans="1:15" x14ac:dyDescent="0.45">
      <c r="A1943" t="s">
        <v>9037</v>
      </c>
      <c r="B1943" t="s">
        <v>9038</v>
      </c>
      <c r="C1943" t="s">
        <v>9039</v>
      </c>
      <c r="D1943" t="s">
        <v>3298</v>
      </c>
      <c r="E1943" s="1">
        <v>46153.308217592596</v>
      </c>
      <c r="F1943">
        <v>1547</v>
      </c>
      <c r="G1943" t="s">
        <v>9040</v>
      </c>
      <c r="H1943" t="s">
        <v>15</v>
      </c>
      <c r="I1943" t="s">
        <v>3300</v>
      </c>
      <c r="J1943" t="str">
        <f>RIGHT(D1943,4)</f>
        <v>8192</v>
      </c>
      <c r="K1943" t="str">
        <f>IFERROR(VLOOKUP(VALUE(J1943),'Site Info'!$A:$G,3,FALSE),"")</f>
        <v>3440 ROSS CLARK CIR</v>
      </c>
      <c r="L1943" t="str">
        <f>IFERROR(VLOOKUP(VALUE(J1943),'Site Info'!$A:$G,4,FALSE),"")</f>
        <v>DOTHAN</v>
      </c>
      <c r="M1943" t="str">
        <f>IFERROR(VLOOKUP(VALUE(J1943),'Site Info'!$A:$G,5,FALSE),"")</f>
        <v>AL</v>
      </c>
      <c r="N1943" t="str">
        <f>IFERROR(VLOOKUP(VALUE(J1943),'Site Info'!$A:$G,6,FALSE),"")</f>
        <v>36303-2525</v>
      </c>
      <c r="O1943">
        <f>IFERROR(VLOOKUP(VALUE(J1943),'Site Info'!$A:$G,7,FALSE),"")</f>
        <v>3346715005</v>
      </c>
    </row>
    <row r="1944" spans="1:15" x14ac:dyDescent="0.45">
      <c r="A1944" t="s">
        <v>7097</v>
      </c>
      <c r="B1944" t="s">
        <v>7098</v>
      </c>
      <c r="C1944" t="s">
        <v>7099</v>
      </c>
      <c r="D1944" t="s">
        <v>3298</v>
      </c>
      <c r="E1944" s="1">
        <v>46153.342627314814</v>
      </c>
      <c r="F1944">
        <v>1547</v>
      </c>
      <c r="G1944" t="s">
        <v>7100</v>
      </c>
      <c r="H1944" t="s">
        <v>15</v>
      </c>
      <c r="I1944" t="s">
        <v>3300</v>
      </c>
      <c r="J1944" t="str">
        <f>RIGHT(D1944,4)</f>
        <v>8192</v>
      </c>
      <c r="K1944" t="str">
        <f>IFERROR(VLOOKUP(VALUE(J1944),'Site Info'!$A:$G,3,FALSE),"")</f>
        <v>3440 ROSS CLARK CIR</v>
      </c>
      <c r="L1944" t="str">
        <f>IFERROR(VLOOKUP(VALUE(J1944),'Site Info'!$A:$G,4,FALSE),"")</f>
        <v>DOTHAN</v>
      </c>
      <c r="M1944" t="str">
        <f>IFERROR(VLOOKUP(VALUE(J1944),'Site Info'!$A:$G,5,FALSE),"")</f>
        <v>AL</v>
      </c>
      <c r="N1944" t="str">
        <f>IFERROR(VLOOKUP(VALUE(J1944),'Site Info'!$A:$G,6,FALSE),"")</f>
        <v>36303-2525</v>
      </c>
      <c r="O1944">
        <f>IFERROR(VLOOKUP(VALUE(J1944),'Site Info'!$A:$G,7,FALSE),"")</f>
        <v>3346715005</v>
      </c>
    </row>
    <row r="1945" spans="1:15" x14ac:dyDescent="0.45">
      <c r="A1945" t="s">
        <v>3295</v>
      </c>
      <c r="B1945" t="s">
        <v>3296</v>
      </c>
      <c r="C1945" t="s">
        <v>3297</v>
      </c>
      <c r="D1945" t="s">
        <v>3298</v>
      </c>
      <c r="E1945" s="1">
        <v>46153.189884259256</v>
      </c>
      <c r="F1945">
        <v>1481</v>
      </c>
      <c r="G1945" t="s">
        <v>3299</v>
      </c>
      <c r="H1945" t="s">
        <v>15</v>
      </c>
      <c r="I1945" t="s">
        <v>3300</v>
      </c>
      <c r="J1945" t="str">
        <f>RIGHT(D1945,4)</f>
        <v>8192</v>
      </c>
      <c r="K1945" t="str">
        <f>IFERROR(VLOOKUP(VALUE(J1945),'Site Info'!$A:$G,3,FALSE),"")</f>
        <v>3440 ROSS CLARK CIR</v>
      </c>
      <c r="L1945" t="str">
        <f>IFERROR(VLOOKUP(VALUE(J1945),'Site Info'!$A:$G,4,FALSE),"")</f>
        <v>DOTHAN</v>
      </c>
      <c r="M1945" t="str">
        <f>IFERROR(VLOOKUP(VALUE(J1945),'Site Info'!$A:$G,5,FALSE),"")</f>
        <v>AL</v>
      </c>
      <c r="N1945" t="str">
        <f>IFERROR(VLOOKUP(VALUE(J1945),'Site Info'!$A:$G,6,FALSE),"")</f>
        <v>36303-2525</v>
      </c>
      <c r="O1945">
        <f>IFERROR(VLOOKUP(VALUE(J1945),'Site Info'!$A:$G,7,FALSE),"")</f>
        <v>3346715005</v>
      </c>
    </row>
    <row r="1946" spans="1:15" x14ac:dyDescent="0.45">
      <c r="A1946" t="s">
        <v>7957</v>
      </c>
      <c r="B1946" t="s">
        <v>7958</v>
      </c>
      <c r="C1946" t="s">
        <v>7959</v>
      </c>
      <c r="D1946" t="s">
        <v>3364</v>
      </c>
      <c r="E1946" s="1">
        <v>46148.235150462962</v>
      </c>
      <c r="F1946">
        <v>1547</v>
      </c>
      <c r="G1946" t="s">
        <v>7960</v>
      </c>
      <c r="H1946" t="s">
        <v>15</v>
      </c>
      <c r="I1946" t="s">
        <v>3366</v>
      </c>
      <c r="J1946" t="str">
        <f>RIGHT(D1946,4)</f>
        <v>6517</v>
      </c>
      <c r="K1946" t="str">
        <f>IFERROR(VLOOKUP(VALUE(J1946),'Site Info'!$A:$G,3,FALSE),"")</f>
        <v>3446 PENTAGON BLVD</v>
      </c>
      <c r="L1946" t="str">
        <f>IFERROR(VLOOKUP(VALUE(J1946),'Site Info'!$A:$G,4,FALSE),"")</f>
        <v>BEAVERCREEK</v>
      </c>
      <c r="M1946" t="str">
        <f>IFERROR(VLOOKUP(VALUE(J1946),'Site Info'!$A:$G,5,FALSE),"")</f>
        <v>OH</v>
      </c>
      <c r="N1946" t="str">
        <f>IFERROR(VLOOKUP(VALUE(J1946),'Site Info'!$A:$G,6,FALSE),"")</f>
        <v>45431-1704</v>
      </c>
      <c r="O1946">
        <f>IFERROR(VLOOKUP(VALUE(J1946),'Site Info'!$A:$G,7,FALSE),"")</f>
        <v>9374261511</v>
      </c>
    </row>
    <row r="1947" spans="1:15" x14ac:dyDescent="0.45">
      <c r="A1947" t="s">
        <v>12656</v>
      </c>
      <c r="B1947" t="s">
        <v>12657</v>
      </c>
      <c r="C1947" t="s">
        <v>12658</v>
      </c>
      <c r="D1947" t="s">
        <v>3364</v>
      </c>
      <c r="E1947" s="1">
        <v>46151.650543981479</v>
      </c>
      <c r="F1947">
        <v>1547</v>
      </c>
      <c r="G1947" t="s">
        <v>12659</v>
      </c>
      <c r="H1947" t="s">
        <v>15</v>
      </c>
      <c r="I1947" t="s">
        <v>3366</v>
      </c>
      <c r="J1947" t="str">
        <f>RIGHT(D1947,4)</f>
        <v>6517</v>
      </c>
      <c r="K1947" t="str">
        <f>IFERROR(VLOOKUP(VALUE(J1947),'Site Info'!$A:$G,3,FALSE),"")</f>
        <v>3446 PENTAGON BLVD</v>
      </c>
      <c r="L1947" t="str">
        <f>IFERROR(VLOOKUP(VALUE(J1947),'Site Info'!$A:$G,4,FALSE),"")</f>
        <v>BEAVERCREEK</v>
      </c>
      <c r="M1947" t="str">
        <f>IFERROR(VLOOKUP(VALUE(J1947),'Site Info'!$A:$G,5,FALSE),"")</f>
        <v>OH</v>
      </c>
      <c r="N1947" t="str">
        <f>IFERROR(VLOOKUP(VALUE(J1947),'Site Info'!$A:$G,6,FALSE),"")</f>
        <v>45431-1704</v>
      </c>
      <c r="O1947">
        <f>IFERROR(VLOOKUP(VALUE(J1947),'Site Info'!$A:$G,7,FALSE),"")</f>
        <v>9374261511</v>
      </c>
    </row>
    <row r="1948" spans="1:15" x14ac:dyDescent="0.45">
      <c r="A1948" t="s">
        <v>9141</v>
      </c>
      <c r="B1948" t="s">
        <v>9142</v>
      </c>
      <c r="C1948" t="s">
        <v>9143</v>
      </c>
      <c r="D1948" t="s">
        <v>3364</v>
      </c>
      <c r="E1948" s="1">
        <v>46153.134895833333</v>
      </c>
      <c r="F1948">
        <v>1547</v>
      </c>
      <c r="G1948" t="s">
        <v>9144</v>
      </c>
      <c r="H1948" t="s">
        <v>15</v>
      </c>
      <c r="I1948" t="s">
        <v>3366</v>
      </c>
      <c r="J1948" t="str">
        <f>RIGHT(D1948,4)</f>
        <v>6517</v>
      </c>
      <c r="K1948" t="str">
        <f>IFERROR(VLOOKUP(VALUE(J1948),'Site Info'!$A:$G,3,FALSE),"")</f>
        <v>3446 PENTAGON BLVD</v>
      </c>
      <c r="L1948" t="str">
        <f>IFERROR(VLOOKUP(VALUE(J1948),'Site Info'!$A:$G,4,FALSE),"")</f>
        <v>BEAVERCREEK</v>
      </c>
      <c r="M1948" t="str">
        <f>IFERROR(VLOOKUP(VALUE(J1948),'Site Info'!$A:$G,5,FALSE),"")</f>
        <v>OH</v>
      </c>
      <c r="N1948" t="str">
        <f>IFERROR(VLOOKUP(VALUE(J1948),'Site Info'!$A:$G,6,FALSE),"")</f>
        <v>45431-1704</v>
      </c>
      <c r="O1948">
        <f>IFERROR(VLOOKUP(VALUE(J1948),'Site Info'!$A:$G,7,FALSE),"")</f>
        <v>9374261511</v>
      </c>
    </row>
    <row r="1949" spans="1:15" x14ac:dyDescent="0.45">
      <c r="A1949" t="s">
        <v>8309</v>
      </c>
      <c r="B1949" t="s">
        <v>8310</v>
      </c>
      <c r="C1949" t="s">
        <v>8311</v>
      </c>
      <c r="D1949" t="s">
        <v>3364</v>
      </c>
      <c r="E1949" s="1">
        <v>46153.365648148145</v>
      </c>
      <c r="F1949">
        <v>1547</v>
      </c>
      <c r="G1949" t="s">
        <v>8312</v>
      </c>
      <c r="H1949" t="s">
        <v>15</v>
      </c>
      <c r="I1949" t="s">
        <v>3366</v>
      </c>
      <c r="J1949" t="str">
        <f>RIGHT(D1949,4)</f>
        <v>6517</v>
      </c>
      <c r="K1949" t="str">
        <f>IFERROR(VLOOKUP(VALUE(J1949),'Site Info'!$A:$G,3,FALSE),"")</f>
        <v>3446 PENTAGON BLVD</v>
      </c>
      <c r="L1949" t="str">
        <f>IFERROR(VLOOKUP(VALUE(J1949),'Site Info'!$A:$G,4,FALSE),"")</f>
        <v>BEAVERCREEK</v>
      </c>
      <c r="M1949" t="str">
        <f>IFERROR(VLOOKUP(VALUE(J1949),'Site Info'!$A:$G,5,FALSE),"")</f>
        <v>OH</v>
      </c>
      <c r="N1949" t="str">
        <f>IFERROR(VLOOKUP(VALUE(J1949),'Site Info'!$A:$G,6,FALSE),"")</f>
        <v>45431-1704</v>
      </c>
      <c r="O1949">
        <f>IFERROR(VLOOKUP(VALUE(J1949),'Site Info'!$A:$G,7,FALSE),"")</f>
        <v>9374261511</v>
      </c>
    </row>
    <row r="1950" spans="1:15" x14ac:dyDescent="0.45">
      <c r="A1950" t="s">
        <v>3361</v>
      </c>
      <c r="B1950" t="s">
        <v>3362</v>
      </c>
      <c r="C1950" t="s">
        <v>3363</v>
      </c>
      <c r="D1950" t="s">
        <v>3364</v>
      </c>
      <c r="E1950" s="1">
        <v>46150.492893518516</v>
      </c>
      <c r="F1950">
        <v>1481</v>
      </c>
      <c r="G1950" t="s">
        <v>3365</v>
      </c>
      <c r="H1950" t="s">
        <v>15</v>
      </c>
      <c r="I1950" t="s">
        <v>3366</v>
      </c>
      <c r="J1950" t="str">
        <f>RIGHT(D1950,4)</f>
        <v>6517</v>
      </c>
      <c r="K1950" t="str">
        <f>IFERROR(VLOOKUP(VALUE(J1950),'Site Info'!$A:$G,3,FALSE),"")</f>
        <v>3446 PENTAGON BLVD</v>
      </c>
      <c r="L1950" t="str">
        <f>IFERROR(VLOOKUP(VALUE(J1950),'Site Info'!$A:$G,4,FALSE),"")</f>
        <v>BEAVERCREEK</v>
      </c>
      <c r="M1950" t="str">
        <f>IFERROR(VLOOKUP(VALUE(J1950),'Site Info'!$A:$G,5,FALSE),"")</f>
        <v>OH</v>
      </c>
      <c r="N1950" t="str">
        <f>IFERROR(VLOOKUP(VALUE(J1950),'Site Info'!$A:$G,6,FALSE),"")</f>
        <v>45431-1704</v>
      </c>
      <c r="O1950">
        <f>IFERROR(VLOOKUP(VALUE(J1950),'Site Info'!$A:$G,7,FALSE),"")</f>
        <v>9374261511</v>
      </c>
    </row>
    <row r="1951" spans="1:15" x14ac:dyDescent="0.45">
      <c r="A1951" t="s">
        <v>3607</v>
      </c>
      <c r="B1951" t="s">
        <v>3608</v>
      </c>
      <c r="C1951" t="s">
        <v>3609</v>
      </c>
      <c r="D1951" t="s">
        <v>3364</v>
      </c>
      <c r="E1951" s="1">
        <v>46153.373541666668</v>
      </c>
      <c r="F1951">
        <v>1481</v>
      </c>
      <c r="G1951" t="s">
        <v>3610</v>
      </c>
      <c r="H1951" t="s">
        <v>15</v>
      </c>
      <c r="I1951" t="s">
        <v>3366</v>
      </c>
      <c r="J1951" t="str">
        <f>RIGHT(D1951,4)</f>
        <v>6517</v>
      </c>
      <c r="K1951" t="str">
        <f>IFERROR(VLOOKUP(VALUE(J1951),'Site Info'!$A:$G,3,FALSE),"")</f>
        <v>3446 PENTAGON BLVD</v>
      </c>
      <c r="L1951" t="str">
        <f>IFERROR(VLOOKUP(VALUE(J1951),'Site Info'!$A:$G,4,FALSE),"")</f>
        <v>BEAVERCREEK</v>
      </c>
      <c r="M1951" t="str">
        <f>IFERROR(VLOOKUP(VALUE(J1951),'Site Info'!$A:$G,5,FALSE),"")</f>
        <v>OH</v>
      </c>
      <c r="N1951" t="str">
        <f>IFERROR(VLOOKUP(VALUE(J1951),'Site Info'!$A:$G,6,FALSE),"")</f>
        <v>45431-1704</v>
      </c>
      <c r="O1951">
        <f>IFERROR(VLOOKUP(VALUE(J1951),'Site Info'!$A:$G,7,FALSE),"")</f>
        <v>9374261511</v>
      </c>
    </row>
    <row r="1952" spans="1:15" x14ac:dyDescent="0.45">
      <c r="A1952" t="s">
        <v>16435</v>
      </c>
      <c r="B1952" t="s">
        <v>16910</v>
      </c>
      <c r="C1952" t="s">
        <v>16911</v>
      </c>
      <c r="D1952" t="s">
        <v>3364</v>
      </c>
      <c r="E1952" s="1">
        <v>46153.340902777774</v>
      </c>
      <c r="F1952">
        <v>1863</v>
      </c>
      <c r="G1952" t="s">
        <v>16912</v>
      </c>
      <c r="H1952" t="s">
        <v>136</v>
      </c>
      <c r="I1952" t="s">
        <v>3366</v>
      </c>
      <c r="J1952" t="str">
        <f>RIGHT(D1952,4)</f>
        <v>6517</v>
      </c>
      <c r="K1952" t="str">
        <f>IFERROR(VLOOKUP(VALUE(J1952),'Site Info'!$A:$G,3,FALSE),"")</f>
        <v>3446 PENTAGON BLVD</v>
      </c>
      <c r="L1952" t="str">
        <f>IFERROR(VLOOKUP(VALUE(J1952),'Site Info'!$A:$G,4,FALSE),"")</f>
        <v>BEAVERCREEK</v>
      </c>
      <c r="M1952" t="str">
        <f>IFERROR(VLOOKUP(VALUE(J1952),'Site Info'!$A:$G,5,FALSE),"")</f>
        <v>OH</v>
      </c>
      <c r="N1952" t="str">
        <f>IFERROR(VLOOKUP(VALUE(J1952),'Site Info'!$A:$G,6,FALSE),"")</f>
        <v>45431-1704</v>
      </c>
      <c r="O1952">
        <f>IFERROR(VLOOKUP(VALUE(J1952),'Site Info'!$A:$G,7,FALSE),"")</f>
        <v>9374261511</v>
      </c>
    </row>
    <row r="1953" spans="1:15" x14ac:dyDescent="0.45">
      <c r="A1953" t="s">
        <v>16427</v>
      </c>
      <c r="B1953" t="s">
        <v>16913</v>
      </c>
      <c r="C1953" t="s">
        <v>16914</v>
      </c>
      <c r="D1953" t="s">
        <v>3364</v>
      </c>
      <c r="E1953" s="1">
        <v>46151.59652777778</v>
      </c>
      <c r="F1953">
        <v>1547</v>
      </c>
      <c r="G1953" t="s">
        <v>16915</v>
      </c>
      <c r="H1953" t="s">
        <v>15</v>
      </c>
      <c r="I1953" t="s">
        <v>3366</v>
      </c>
      <c r="J1953" t="str">
        <f>RIGHT(D1953,4)</f>
        <v>6517</v>
      </c>
      <c r="K1953" t="str">
        <f>IFERROR(VLOOKUP(VALUE(J1953),'Site Info'!$A:$G,3,FALSE),"")</f>
        <v>3446 PENTAGON BLVD</v>
      </c>
      <c r="L1953" t="str">
        <f>IFERROR(VLOOKUP(VALUE(J1953),'Site Info'!$A:$G,4,FALSE),"")</f>
        <v>BEAVERCREEK</v>
      </c>
      <c r="M1953" t="str">
        <f>IFERROR(VLOOKUP(VALUE(J1953),'Site Info'!$A:$G,5,FALSE),"")</f>
        <v>OH</v>
      </c>
      <c r="N1953" t="str">
        <f>IFERROR(VLOOKUP(VALUE(J1953),'Site Info'!$A:$G,6,FALSE),"")</f>
        <v>45431-1704</v>
      </c>
      <c r="O1953">
        <f>IFERROR(VLOOKUP(VALUE(J1953),'Site Info'!$A:$G,7,FALSE),"")</f>
        <v>9374261511</v>
      </c>
    </row>
    <row r="1954" spans="1:15" x14ac:dyDescent="0.45">
      <c r="A1954" t="s">
        <v>12568</v>
      </c>
      <c r="B1954" t="s">
        <v>12569</v>
      </c>
      <c r="C1954" t="s">
        <v>12570</v>
      </c>
      <c r="D1954" t="s">
        <v>9915</v>
      </c>
      <c r="E1954" s="1">
        <v>46151.661053240743</v>
      </c>
      <c r="F1954">
        <v>1547</v>
      </c>
      <c r="G1954" t="s">
        <v>12571</v>
      </c>
      <c r="H1954" t="s">
        <v>15</v>
      </c>
      <c r="I1954" t="s">
        <v>9917</v>
      </c>
      <c r="J1954" t="str">
        <f>RIGHT(D1954,4)</f>
        <v>8166</v>
      </c>
      <c r="K1954" t="str">
        <f>IFERROR(VLOOKUP(VALUE(J1954),'Site Info'!$A:$G,3,FALSE),"")</f>
        <v>3450 STEVE REYNOLDS BLVD</v>
      </c>
      <c r="L1954" t="str">
        <f>IFERROR(VLOOKUP(VALUE(J1954),'Site Info'!$A:$G,4,FALSE),"")</f>
        <v>DULUTH</v>
      </c>
      <c r="M1954" t="str">
        <f>IFERROR(VLOOKUP(VALUE(J1954),'Site Info'!$A:$G,5,FALSE),"")</f>
        <v>GA</v>
      </c>
      <c r="N1954" t="str">
        <f>IFERROR(VLOOKUP(VALUE(J1954),'Site Info'!$A:$G,6,FALSE),"")</f>
        <v>30096-4510</v>
      </c>
      <c r="O1954">
        <f>IFERROR(VLOOKUP(VALUE(J1954),'Site Info'!$A:$G,7,FALSE),"")</f>
        <v>7704971165</v>
      </c>
    </row>
    <row r="1955" spans="1:15" x14ac:dyDescent="0.45">
      <c r="A1955" t="s">
        <v>9912</v>
      </c>
      <c r="B1955" t="s">
        <v>9913</v>
      </c>
      <c r="C1955" t="s">
        <v>9914</v>
      </c>
      <c r="D1955" t="s">
        <v>9915</v>
      </c>
      <c r="E1955" s="1">
        <v>46153.303136574075</v>
      </c>
      <c r="F1955">
        <v>1547</v>
      </c>
      <c r="G1955" t="s">
        <v>9916</v>
      </c>
      <c r="H1955" t="s">
        <v>15</v>
      </c>
      <c r="I1955" t="s">
        <v>9917</v>
      </c>
      <c r="J1955" t="str">
        <f>RIGHT(D1955,4)</f>
        <v>8166</v>
      </c>
      <c r="K1955" t="str">
        <f>IFERROR(VLOOKUP(VALUE(J1955),'Site Info'!$A:$G,3,FALSE),"")</f>
        <v>3450 STEVE REYNOLDS BLVD</v>
      </c>
      <c r="L1955" t="str">
        <f>IFERROR(VLOOKUP(VALUE(J1955),'Site Info'!$A:$G,4,FALSE),"")</f>
        <v>DULUTH</v>
      </c>
      <c r="M1955" t="str">
        <f>IFERROR(VLOOKUP(VALUE(J1955),'Site Info'!$A:$G,5,FALSE),"")</f>
        <v>GA</v>
      </c>
      <c r="N1955" t="str">
        <f>IFERROR(VLOOKUP(VALUE(J1955),'Site Info'!$A:$G,6,FALSE),"")</f>
        <v>30096-4510</v>
      </c>
      <c r="O1955">
        <f>IFERROR(VLOOKUP(VALUE(J1955),'Site Info'!$A:$G,7,FALSE),"")</f>
        <v>7704971165</v>
      </c>
    </row>
    <row r="1956" spans="1:15" x14ac:dyDescent="0.45">
      <c r="A1956" t="s">
        <v>11436</v>
      </c>
      <c r="B1956" t="s">
        <v>11437</v>
      </c>
      <c r="C1956" t="s">
        <v>11438</v>
      </c>
      <c r="D1956" t="s">
        <v>9915</v>
      </c>
      <c r="E1956" s="1">
        <v>46153.348344907405</v>
      </c>
      <c r="F1956">
        <v>1547</v>
      </c>
      <c r="G1956" t="s">
        <v>11439</v>
      </c>
      <c r="H1956" t="s">
        <v>15</v>
      </c>
      <c r="I1956" t="s">
        <v>9917</v>
      </c>
      <c r="J1956" t="str">
        <f>RIGHT(D1956,4)</f>
        <v>8166</v>
      </c>
      <c r="K1956" t="str">
        <f>IFERROR(VLOOKUP(VALUE(J1956),'Site Info'!$A:$G,3,FALSE),"")</f>
        <v>3450 STEVE REYNOLDS BLVD</v>
      </c>
      <c r="L1956" t="str">
        <f>IFERROR(VLOOKUP(VALUE(J1956),'Site Info'!$A:$G,4,FALSE),"")</f>
        <v>DULUTH</v>
      </c>
      <c r="M1956" t="str">
        <f>IFERROR(VLOOKUP(VALUE(J1956),'Site Info'!$A:$G,5,FALSE),"")</f>
        <v>GA</v>
      </c>
      <c r="N1956" t="str">
        <f>IFERROR(VLOOKUP(VALUE(J1956),'Site Info'!$A:$G,6,FALSE),"")</f>
        <v>30096-4510</v>
      </c>
      <c r="O1956">
        <f>IFERROR(VLOOKUP(VALUE(J1956),'Site Info'!$A:$G,7,FALSE),"")</f>
        <v>7704971165</v>
      </c>
    </row>
    <row r="1957" spans="1:15" x14ac:dyDescent="0.45">
      <c r="A1957" t="s">
        <v>11160</v>
      </c>
      <c r="B1957" t="s">
        <v>11161</v>
      </c>
      <c r="C1957" t="s">
        <v>11162</v>
      </c>
      <c r="D1957" t="s">
        <v>9915</v>
      </c>
      <c r="E1957" s="1">
        <v>46153.350752314815</v>
      </c>
      <c r="F1957">
        <v>1547</v>
      </c>
      <c r="G1957" t="s">
        <v>11163</v>
      </c>
      <c r="H1957" t="s">
        <v>15</v>
      </c>
      <c r="I1957" t="s">
        <v>9917</v>
      </c>
      <c r="J1957" t="str">
        <f>RIGHT(D1957,4)</f>
        <v>8166</v>
      </c>
      <c r="K1957" t="str">
        <f>IFERROR(VLOOKUP(VALUE(J1957),'Site Info'!$A:$G,3,FALSE),"")</f>
        <v>3450 STEVE REYNOLDS BLVD</v>
      </c>
      <c r="L1957" t="str">
        <f>IFERROR(VLOOKUP(VALUE(J1957),'Site Info'!$A:$G,4,FALSE),"")</f>
        <v>DULUTH</v>
      </c>
      <c r="M1957" t="str">
        <f>IFERROR(VLOOKUP(VALUE(J1957),'Site Info'!$A:$G,5,FALSE),"")</f>
        <v>GA</v>
      </c>
      <c r="N1957" t="str">
        <f>IFERROR(VLOOKUP(VALUE(J1957),'Site Info'!$A:$G,6,FALSE),"")</f>
        <v>30096-4510</v>
      </c>
      <c r="O1957">
        <f>IFERROR(VLOOKUP(VALUE(J1957),'Site Info'!$A:$G,7,FALSE),"")</f>
        <v>7704971165</v>
      </c>
    </row>
    <row r="1958" spans="1:15" x14ac:dyDescent="0.45">
      <c r="A1958" t="s">
        <v>9013</v>
      </c>
      <c r="B1958" t="s">
        <v>9014</v>
      </c>
      <c r="C1958" t="s">
        <v>9015</v>
      </c>
      <c r="D1958" t="s">
        <v>973</v>
      </c>
      <c r="E1958" s="1">
        <v>46152.288252314815</v>
      </c>
      <c r="F1958">
        <v>1547</v>
      </c>
      <c r="G1958" t="s">
        <v>9016</v>
      </c>
      <c r="H1958" t="s">
        <v>15</v>
      </c>
      <c r="I1958" t="s">
        <v>975</v>
      </c>
      <c r="J1958" t="str">
        <f>RIGHT(D1958,4)</f>
        <v>6636</v>
      </c>
      <c r="K1958" t="str">
        <f>IFERROR(VLOOKUP(VALUE(J1958),'Site Info'!$A:$G,3,FALSE),"")</f>
        <v>3465 BERLIN TURN PIKE</v>
      </c>
      <c r="L1958" t="str">
        <f>IFERROR(VLOOKUP(VALUE(J1958),'Site Info'!$A:$G,4,FALSE),"")</f>
        <v>NEWINGTON</v>
      </c>
      <c r="M1958" t="str">
        <f>IFERROR(VLOOKUP(VALUE(J1958),'Site Info'!$A:$G,5,FALSE),"")</f>
        <v>CT</v>
      </c>
      <c r="N1958" t="str">
        <f>IFERROR(VLOOKUP(VALUE(J1958),'Site Info'!$A:$G,6,FALSE),"")</f>
        <v>06111-5106</v>
      </c>
      <c r="O1958">
        <f>IFERROR(VLOOKUP(VALUE(J1958),'Site Info'!$A:$G,7,FALSE),"")</f>
        <v>8606678809</v>
      </c>
    </row>
    <row r="1959" spans="1:15" x14ac:dyDescent="0.45">
      <c r="A1959" t="s">
        <v>9005</v>
      </c>
      <c r="B1959" t="s">
        <v>9006</v>
      </c>
      <c r="C1959" t="s">
        <v>9007</v>
      </c>
      <c r="D1959" t="s">
        <v>973</v>
      </c>
      <c r="E1959" s="1">
        <v>46153.28297453704</v>
      </c>
      <c r="F1959">
        <v>1547</v>
      </c>
      <c r="G1959" t="s">
        <v>9008</v>
      </c>
      <c r="H1959" t="s">
        <v>15</v>
      </c>
      <c r="I1959" t="s">
        <v>975</v>
      </c>
      <c r="J1959" t="str">
        <f>RIGHT(D1959,4)</f>
        <v>6636</v>
      </c>
      <c r="K1959" t="str">
        <f>IFERROR(VLOOKUP(VALUE(J1959),'Site Info'!$A:$G,3,FALSE),"")</f>
        <v>3465 BERLIN TURN PIKE</v>
      </c>
      <c r="L1959" t="str">
        <f>IFERROR(VLOOKUP(VALUE(J1959),'Site Info'!$A:$G,4,FALSE),"")</f>
        <v>NEWINGTON</v>
      </c>
      <c r="M1959" t="str">
        <f>IFERROR(VLOOKUP(VALUE(J1959),'Site Info'!$A:$G,5,FALSE),"")</f>
        <v>CT</v>
      </c>
      <c r="N1959" t="str">
        <f>IFERROR(VLOOKUP(VALUE(J1959),'Site Info'!$A:$G,6,FALSE),"")</f>
        <v>06111-5106</v>
      </c>
      <c r="O1959">
        <f>IFERROR(VLOOKUP(VALUE(J1959),'Site Info'!$A:$G,7,FALSE),"")</f>
        <v>8606678809</v>
      </c>
    </row>
    <row r="1960" spans="1:15" x14ac:dyDescent="0.45">
      <c r="A1960" t="s">
        <v>3791</v>
      </c>
      <c r="B1960" t="s">
        <v>3792</v>
      </c>
      <c r="C1960" t="s">
        <v>3793</v>
      </c>
      <c r="D1960" t="s">
        <v>973</v>
      </c>
      <c r="E1960" s="1">
        <v>46152.866631944446</v>
      </c>
      <c r="F1960">
        <v>1481</v>
      </c>
      <c r="G1960" t="s">
        <v>3794</v>
      </c>
      <c r="H1960" t="s">
        <v>15</v>
      </c>
      <c r="I1960" t="s">
        <v>975</v>
      </c>
      <c r="J1960" t="str">
        <f>RIGHT(D1960,4)</f>
        <v>6636</v>
      </c>
      <c r="K1960" t="str">
        <f>IFERROR(VLOOKUP(VALUE(J1960),'Site Info'!$A:$G,3,FALSE),"")</f>
        <v>3465 BERLIN TURN PIKE</v>
      </c>
      <c r="L1960" t="str">
        <f>IFERROR(VLOOKUP(VALUE(J1960),'Site Info'!$A:$G,4,FALSE),"")</f>
        <v>NEWINGTON</v>
      </c>
      <c r="M1960" t="str">
        <f>IFERROR(VLOOKUP(VALUE(J1960),'Site Info'!$A:$G,5,FALSE),"")</f>
        <v>CT</v>
      </c>
      <c r="N1960" t="str">
        <f>IFERROR(VLOOKUP(VALUE(J1960),'Site Info'!$A:$G,6,FALSE),"")</f>
        <v>06111-5106</v>
      </c>
      <c r="O1960">
        <f>IFERROR(VLOOKUP(VALUE(J1960),'Site Info'!$A:$G,7,FALSE),"")</f>
        <v>8606678809</v>
      </c>
    </row>
    <row r="1961" spans="1:15" x14ac:dyDescent="0.45">
      <c r="A1961" t="s">
        <v>970</v>
      </c>
      <c r="B1961" t="s">
        <v>971</v>
      </c>
      <c r="C1961" t="s">
        <v>972</v>
      </c>
      <c r="D1961" t="s">
        <v>973</v>
      </c>
      <c r="E1961" s="1">
        <v>46153.360729166663</v>
      </c>
      <c r="F1961">
        <v>1481</v>
      </c>
      <c r="G1961" t="s">
        <v>974</v>
      </c>
      <c r="H1961" t="s">
        <v>15</v>
      </c>
      <c r="I1961" t="s">
        <v>975</v>
      </c>
      <c r="J1961" t="str">
        <f>RIGHT(D1961,4)</f>
        <v>6636</v>
      </c>
      <c r="K1961" t="str">
        <f>IFERROR(VLOOKUP(VALUE(J1961),'Site Info'!$A:$G,3,FALSE),"")</f>
        <v>3465 BERLIN TURN PIKE</v>
      </c>
      <c r="L1961" t="str">
        <f>IFERROR(VLOOKUP(VALUE(J1961),'Site Info'!$A:$G,4,FALSE),"")</f>
        <v>NEWINGTON</v>
      </c>
      <c r="M1961" t="str">
        <f>IFERROR(VLOOKUP(VALUE(J1961),'Site Info'!$A:$G,5,FALSE),"")</f>
        <v>CT</v>
      </c>
      <c r="N1961" t="str">
        <f>IFERROR(VLOOKUP(VALUE(J1961),'Site Info'!$A:$G,6,FALSE),"")</f>
        <v>06111-5106</v>
      </c>
      <c r="O1961">
        <f>IFERROR(VLOOKUP(VALUE(J1961),'Site Info'!$A:$G,7,FALSE),"")</f>
        <v>8606678809</v>
      </c>
    </row>
    <row r="1962" spans="1:15" x14ac:dyDescent="0.45">
      <c r="A1962" t="s">
        <v>4124</v>
      </c>
      <c r="B1962" t="s">
        <v>4125</v>
      </c>
      <c r="C1962" t="s">
        <v>4126</v>
      </c>
      <c r="D1962" t="s">
        <v>185</v>
      </c>
      <c r="E1962" s="1">
        <v>46153.341458333336</v>
      </c>
      <c r="F1962">
        <v>1547</v>
      </c>
      <c r="G1962" t="s">
        <v>4127</v>
      </c>
      <c r="H1962" t="s">
        <v>15</v>
      </c>
      <c r="I1962" t="s">
        <v>186</v>
      </c>
      <c r="J1962" t="str">
        <f>RIGHT(D1962,4)</f>
        <v>6203</v>
      </c>
      <c r="K1962" t="str">
        <f>IFERROR(VLOOKUP(VALUE(J1962),'Site Info'!$A:$G,3,FALSE),"")</f>
        <v>350 HARBISON BLVD</v>
      </c>
      <c r="L1962" t="str">
        <f>IFERROR(VLOOKUP(VALUE(J1962),'Site Info'!$A:$G,4,FALSE),"")</f>
        <v>COLUMBIA</v>
      </c>
      <c r="M1962" t="str">
        <f>IFERROR(VLOOKUP(VALUE(J1962),'Site Info'!$A:$G,5,FALSE),"")</f>
        <v>SC</v>
      </c>
      <c r="N1962" t="str">
        <f>IFERROR(VLOOKUP(VALUE(J1962),'Site Info'!$A:$G,6,FALSE),"")</f>
        <v>29212-2248</v>
      </c>
      <c r="O1962">
        <f>IFERROR(VLOOKUP(VALUE(J1962),'Site Info'!$A:$G,7,FALSE),"")</f>
        <v>8037499838</v>
      </c>
    </row>
    <row r="1963" spans="1:15" x14ac:dyDescent="0.45">
      <c r="A1963" t="s">
        <v>13163</v>
      </c>
      <c r="B1963" t="s">
        <v>13164</v>
      </c>
      <c r="C1963" t="s">
        <v>13165</v>
      </c>
      <c r="D1963" t="s">
        <v>185</v>
      </c>
      <c r="E1963" s="1">
        <v>46153.356793981482</v>
      </c>
      <c r="F1963">
        <v>1547</v>
      </c>
      <c r="G1963" t="s">
        <v>13166</v>
      </c>
      <c r="H1963" t="s">
        <v>15</v>
      </c>
      <c r="I1963" t="s">
        <v>186</v>
      </c>
      <c r="J1963" t="str">
        <f>RIGHT(D1963,4)</f>
        <v>6203</v>
      </c>
      <c r="K1963" t="str">
        <f>IFERROR(VLOOKUP(VALUE(J1963),'Site Info'!$A:$G,3,FALSE),"")</f>
        <v>350 HARBISON BLVD</v>
      </c>
      <c r="L1963" t="str">
        <f>IFERROR(VLOOKUP(VALUE(J1963),'Site Info'!$A:$G,4,FALSE),"")</f>
        <v>COLUMBIA</v>
      </c>
      <c r="M1963" t="str">
        <f>IFERROR(VLOOKUP(VALUE(J1963),'Site Info'!$A:$G,5,FALSE),"")</f>
        <v>SC</v>
      </c>
      <c r="N1963" t="str">
        <f>IFERROR(VLOOKUP(VALUE(J1963),'Site Info'!$A:$G,6,FALSE),"")</f>
        <v>29212-2248</v>
      </c>
      <c r="O1963">
        <f>IFERROR(VLOOKUP(VALUE(J1963),'Site Info'!$A:$G,7,FALSE),"")</f>
        <v>8037499838</v>
      </c>
    </row>
    <row r="1964" spans="1:15" x14ac:dyDescent="0.45">
      <c r="A1964" t="s">
        <v>9189</v>
      </c>
      <c r="B1964" t="s">
        <v>9190</v>
      </c>
      <c r="C1964" t="s">
        <v>9191</v>
      </c>
      <c r="D1964" t="s">
        <v>185</v>
      </c>
      <c r="E1964" s="1">
        <v>46153.364421296297</v>
      </c>
      <c r="F1964">
        <v>1547</v>
      </c>
      <c r="G1964" t="s">
        <v>9192</v>
      </c>
      <c r="H1964" t="s">
        <v>15</v>
      </c>
      <c r="I1964" t="s">
        <v>186</v>
      </c>
      <c r="J1964" t="str">
        <f>RIGHT(D1964,4)</f>
        <v>6203</v>
      </c>
      <c r="K1964" t="str">
        <f>IFERROR(VLOOKUP(VALUE(J1964),'Site Info'!$A:$G,3,FALSE),"")</f>
        <v>350 HARBISON BLVD</v>
      </c>
      <c r="L1964" t="str">
        <f>IFERROR(VLOOKUP(VALUE(J1964),'Site Info'!$A:$G,4,FALSE),"")</f>
        <v>COLUMBIA</v>
      </c>
      <c r="M1964" t="str">
        <f>IFERROR(VLOOKUP(VALUE(J1964),'Site Info'!$A:$G,5,FALSE),"")</f>
        <v>SC</v>
      </c>
      <c r="N1964" t="str">
        <f>IFERROR(VLOOKUP(VALUE(J1964),'Site Info'!$A:$G,6,FALSE),"")</f>
        <v>29212-2248</v>
      </c>
      <c r="O1964">
        <f>IFERROR(VLOOKUP(VALUE(J1964),'Site Info'!$A:$G,7,FALSE),"")</f>
        <v>8037499838</v>
      </c>
    </row>
    <row r="1965" spans="1:15" x14ac:dyDescent="0.45">
      <c r="A1965" t="s">
        <v>11216</v>
      </c>
      <c r="B1965" t="s">
        <v>11217</v>
      </c>
      <c r="C1965" t="s">
        <v>11218</v>
      </c>
      <c r="D1965" t="s">
        <v>185</v>
      </c>
      <c r="E1965" s="1">
        <v>46153.374143518522</v>
      </c>
      <c r="F1965">
        <v>1547</v>
      </c>
      <c r="G1965" t="s">
        <v>11219</v>
      </c>
      <c r="H1965" t="s">
        <v>15</v>
      </c>
      <c r="I1965" t="s">
        <v>186</v>
      </c>
      <c r="J1965" t="str">
        <f>RIGHT(D1965,4)</f>
        <v>6203</v>
      </c>
      <c r="K1965" t="str">
        <f>IFERROR(VLOOKUP(VALUE(J1965),'Site Info'!$A:$G,3,FALSE),"")</f>
        <v>350 HARBISON BLVD</v>
      </c>
      <c r="L1965" t="str">
        <f>IFERROR(VLOOKUP(VALUE(J1965),'Site Info'!$A:$G,4,FALSE),"")</f>
        <v>COLUMBIA</v>
      </c>
      <c r="M1965" t="str">
        <f>IFERROR(VLOOKUP(VALUE(J1965),'Site Info'!$A:$G,5,FALSE),"")</f>
        <v>SC</v>
      </c>
      <c r="N1965" t="str">
        <f>IFERROR(VLOOKUP(VALUE(J1965),'Site Info'!$A:$G,6,FALSE),"")</f>
        <v>29212-2248</v>
      </c>
      <c r="O1965">
        <f>IFERROR(VLOOKUP(VALUE(J1965),'Site Info'!$A:$G,7,FALSE),"")</f>
        <v>8037499838</v>
      </c>
    </row>
    <row r="1966" spans="1:15" x14ac:dyDescent="0.45">
      <c r="A1966" t="s">
        <v>3759</v>
      </c>
      <c r="B1966" t="s">
        <v>3760</v>
      </c>
      <c r="C1966" t="s">
        <v>3761</v>
      </c>
      <c r="D1966" t="s">
        <v>185</v>
      </c>
      <c r="E1966" s="1">
        <v>46151.708449074074</v>
      </c>
      <c r="F1966">
        <v>1481</v>
      </c>
      <c r="G1966" t="s">
        <v>3762</v>
      </c>
      <c r="H1966" t="s">
        <v>15</v>
      </c>
      <c r="I1966" t="s">
        <v>186</v>
      </c>
      <c r="J1966" t="str">
        <f>RIGHT(D1966,4)</f>
        <v>6203</v>
      </c>
      <c r="K1966" t="str">
        <f>IFERROR(VLOOKUP(VALUE(J1966),'Site Info'!$A:$G,3,FALSE),"")</f>
        <v>350 HARBISON BLVD</v>
      </c>
      <c r="L1966" t="str">
        <f>IFERROR(VLOOKUP(VALUE(J1966),'Site Info'!$A:$G,4,FALSE),"")</f>
        <v>COLUMBIA</v>
      </c>
      <c r="M1966" t="str">
        <f>IFERROR(VLOOKUP(VALUE(J1966),'Site Info'!$A:$G,5,FALSE),"")</f>
        <v>SC</v>
      </c>
      <c r="N1966" t="str">
        <f>IFERROR(VLOOKUP(VALUE(J1966),'Site Info'!$A:$G,6,FALSE),"")</f>
        <v>29212-2248</v>
      </c>
      <c r="O1966">
        <f>IFERROR(VLOOKUP(VALUE(J1966),'Site Info'!$A:$G,7,FALSE),"")</f>
        <v>8037499838</v>
      </c>
    </row>
    <row r="1967" spans="1:15" x14ac:dyDescent="0.45">
      <c r="A1967" t="s">
        <v>5834</v>
      </c>
      <c r="B1967" t="s">
        <v>5835</v>
      </c>
      <c r="C1967" t="s">
        <v>5836</v>
      </c>
      <c r="D1967" t="s">
        <v>1815</v>
      </c>
      <c r="E1967" s="1">
        <v>46151.54965277778</v>
      </c>
      <c r="F1967">
        <v>1547</v>
      </c>
      <c r="G1967" t="s">
        <v>5837</v>
      </c>
      <c r="H1967" t="s">
        <v>15</v>
      </c>
      <c r="I1967" t="s">
        <v>1817</v>
      </c>
      <c r="J1967" t="str">
        <f>RIGHT(D1967,4)</f>
        <v>4763</v>
      </c>
      <c r="K1967" t="str">
        <f>IFERROR(VLOOKUP(VALUE(J1967),'Site Info'!$A:$G,3,FALSE),"")</f>
        <v>351 HIGHWAY 6</v>
      </c>
      <c r="L1967" t="str">
        <f>IFERROR(VLOOKUP(VALUE(J1967),'Site Info'!$A:$G,4,FALSE),"")</f>
        <v>SUGAR LAND</v>
      </c>
      <c r="M1967" t="str">
        <f>IFERROR(VLOOKUP(VALUE(J1967),'Site Info'!$A:$G,5,FALSE),"")</f>
        <v>TX</v>
      </c>
      <c r="N1967" t="str">
        <f>IFERROR(VLOOKUP(VALUE(J1967),'Site Info'!$A:$G,6,FALSE),"")</f>
        <v>77478-4933</v>
      </c>
      <c r="O1967">
        <f>IFERROR(VLOOKUP(VALUE(J1967),'Site Info'!$A:$G,7,FALSE),"")</f>
        <v>2812952525</v>
      </c>
    </row>
    <row r="1968" spans="1:15" x14ac:dyDescent="0.45">
      <c r="A1968" t="s">
        <v>5646</v>
      </c>
      <c r="B1968" t="s">
        <v>5647</v>
      </c>
      <c r="C1968" t="s">
        <v>5648</v>
      </c>
      <c r="D1968" t="s">
        <v>1815</v>
      </c>
      <c r="E1968" s="1">
        <v>46152.585173611114</v>
      </c>
      <c r="F1968">
        <v>1547</v>
      </c>
      <c r="G1968" t="s">
        <v>5649</v>
      </c>
      <c r="H1968" t="s">
        <v>15</v>
      </c>
      <c r="I1968" t="s">
        <v>1817</v>
      </c>
      <c r="J1968" t="str">
        <f>RIGHT(D1968,4)</f>
        <v>4763</v>
      </c>
      <c r="K1968" t="str">
        <f>IFERROR(VLOOKUP(VALUE(J1968),'Site Info'!$A:$G,3,FALSE),"")</f>
        <v>351 HIGHWAY 6</v>
      </c>
      <c r="L1968" t="str">
        <f>IFERROR(VLOOKUP(VALUE(J1968),'Site Info'!$A:$G,4,FALSE),"")</f>
        <v>SUGAR LAND</v>
      </c>
      <c r="M1968" t="str">
        <f>IFERROR(VLOOKUP(VALUE(J1968),'Site Info'!$A:$G,5,FALSE),"")</f>
        <v>TX</v>
      </c>
      <c r="N1968" t="str">
        <f>IFERROR(VLOOKUP(VALUE(J1968),'Site Info'!$A:$G,6,FALSE),"")</f>
        <v>77478-4933</v>
      </c>
      <c r="O1968">
        <f>IFERROR(VLOOKUP(VALUE(J1968),'Site Info'!$A:$G,7,FALSE),"")</f>
        <v>2812952525</v>
      </c>
    </row>
    <row r="1969" spans="1:15" x14ac:dyDescent="0.45">
      <c r="A1969" t="s">
        <v>6176</v>
      </c>
      <c r="B1969" t="s">
        <v>6177</v>
      </c>
      <c r="C1969" t="s">
        <v>6178</v>
      </c>
      <c r="D1969" t="s">
        <v>1815</v>
      </c>
      <c r="E1969" s="1">
        <v>46152.818761574075</v>
      </c>
      <c r="F1969">
        <v>1547</v>
      </c>
      <c r="G1969" t="s">
        <v>6179</v>
      </c>
      <c r="H1969" t="s">
        <v>15</v>
      </c>
      <c r="I1969" t="s">
        <v>1817</v>
      </c>
      <c r="J1969" t="str">
        <f>RIGHT(D1969,4)</f>
        <v>4763</v>
      </c>
      <c r="K1969" t="str">
        <f>IFERROR(VLOOKUP(VALUE(J1969),'Site Info'!$A:$G,3,FALSE),"")</f>
        <v>351 HIGHWAY 6</v>
      </c>
      <c r="L1969" t="str">
        <f>IFERROR(VLOOKUP(VALUE(J1969),'Site Info'!$A:$G,4,FALSE),"")</f>
        <v>SUGAR LAND</v>
      </c>
      <c r="M1969" t="str">
        <f>IFERROR(VLOOKUP(VALUE(J1969),'Site Info'!$A:$G,5,FALSE),"")</f>
        <v>TX</v>
      </c>
      <c r="N1969" t="str">
        <f>IFERROR(VLOOKUP(VALUE(J1969),'Site Info'!$A:$G,6,FALSE),"")</f>
        <v>77478-4933</v>
      </c>
      <c r="O1969">
        <f>IFERROR(VLOOKUP(VALUE(J1969),'Site Info'!$A:$G,7,FALSE),"")</f>
        <v>2812952525</v>
      </c>
    </row>
    <row r="1970" spans="1:15" x14ac:dyDescent="0.45">
      <c r="A1970" t="s">
        <v>5768</v>
      </c>
      <c r="B1970" t="s">
        <v>5769</v>
      </c>
      <c r="C1970" t="s">
        <v>5770</v>
      </c>
      <c r="D1970" t="s">
        <v>1815</v>
      </c>
      <c r="E1970" s="1">
        <v>46153.337523148148</v>
      </c>
      <c r="F1970">
        <v>1547</v>
      </c>
      <c r="G1970" t="s">
        <v>5771</v>
      </c>
      <c r="H1970" t="s">
        <v>15</v>
      </c>
      <c r="I1970" t="s">
        <v>1817</v>
      </c>
      <c r="J1970" t="str">
        <f>RIGHT(D1970,4)</f>
        <v>4763</v>
      </c>
      <c r="K1970" t="str">
        <f>IFERROR(VLOOKUP(VALUE(J1970),'Site Info'!$A:$G,3,FALSE),"")</f>
        <v>351 HIGHWAY 6</v>
      </c>
      <c r="L1970" t="str">
        <f>IFERROR(VLOOKUP(VALUE(J1970),'Site Info'!$A:$G,4,FALSE),"")</f>
        <v>SUGAR LAND</v>
      </c>
      <c r="M1970" t="str">
        <f>IFERROR(VLOOKUP(VALUE(J1970),'Site Info'!$A:$G,5,FALSE),"")</f>
        <v>TX</v>
      </c>
      <c r="N1970" t="str">
        <f>IFERROR(VLOOKUP(VALUE(J1970),'Site Info'!$A:$G,6,FALSE),"")</f>
        <v>77478-4933</v>
      </c>
      <c r="O1970">
        <f>IFERROR(VLOOKUP(VALUE(J1970),'Site Info'!$A:$G,7,FALSE),"")</f>
        <v>2812952525</v>
      </c>
    </row>
    <row r="1971" spans="1:15" x14ac:dyDescent="0.45">
      <c r="A1971" t="s">
        <v>1812</v>
      </c>
      <c r="B1971" t="s">
        <v>1813</v>
      </c>
      <c r="C1971" t="s">
        <v>1814</v>
      </c>
      <c r="D1971" t="s">
        <v>1815</v>
      </c>
      <c r="E1971" s="1">
        <v>46151.562384259261</v>
      </c>
      <c r="F1971">
        <v>1481</v>
      </c>
      <c r="G1971" t="s">
        <v>1816</v>
      </c>
      <c r="H1971" t="s">
        <v>15</v>
      </c>
      <c r="I1971" t="s">
        <v>1817</v>
      </c>
      <c r="J1971" t="str">
        <f>RIGHT(D1971,4)</f>
        <v>4763</v>
      </c>
      <c r="K1971" t="str">
        <f>IFERROR(VLOOKUP(VALUE(J1971),'Site Info'!$A:$G,3,FALSE),"")</f>
        <v>351 HIGHWAY 6</v>
      </c>
      <c r="L1971" t="str">
        <f>IFERROR(VLOOKUP(VALUE(J1971),'Site Info'!$A:$G,4,FALSE),"")</f>
        <v>SUGAR LAND</v>
      </c>
      <c r="M1971" t="str">
        <f>IFERROR(VLOOKUP(VALUE(J1971),'Site Info'!$A:$G,5,FALSE),"")</f>
        <v>TX</v>
      </c>
      <c r="N1971" t="str">
        <f>IFERROR(VLOOKUP(VALUE(J1971),'Site Info'!$A:$G,6,FALSE),"")</f>
        <v>77478-4933</v>
      </c>
      <c r="O1971">
        <f>IFERROR(VLOOKUP(VALUE(J1971),'Site Info'!$A:$G,7,FALSE),"")</f>
        <v>2812952525</v>
      </c>
    </row>
    <row r="1972" spans="1:15" x14ac:dyDescent="0.45">
      <c r="A1972" t="s">
        <v>3491</v>
      </c>
      <c r="B1972" t="s">
        <v>3492</v>
      </c>
      <c r="C1972" t="s">
        <v>3493</v>
      </c>
      <c r="D1972" t="s">
        <v>1815</v>
      </c>
      <c r="E1972" s="1">
        <v>46152.634016203701</v>
      </c>
      <c r="F1972">
        <v>1481</v>
      </c>
      <c r="G1972" t="s">
        <v>3494</v>
      </c>
      <c r="H1972" t="s">
        <v>15</v>
      </c>
      <c r="I1972" t="s">
        <v>1817</v>
      </c>
      <c r="J1972" t="str">
        <f>RIGHT(D1972,4)</f>
        <v>4763</v>
      </c>
      <c r="K1972" t="str">
        <f>IFERROR(VLOOKUP(VALUE(J1972),'Site Info'!$A:$G,3,FALSE),"")</f>
        <v>351 HIGHWAY 6</v>
      </c>
      <c r="L1972" t="str">
        <f>IFERROR(VLOOKUP(VALUE(J1972),'Site Info'!$A:$G,4,FALSE),"")</f>
        <v>SUGAR LAND</v>
      </c>
      <c r="M1972" t="str">
        <f>IFERROR(VLOOKUP(VALUE(J1972),'Site Info'!$A:$G,5,FALSE),"")</f>
        <v>TX</v>
      </c>
      <c r="N1972" t="str">
        <f>IFERROR(VLOOKUP(VALUE(J1972),'Site Info'!$A:$G,6,FALSE),"")</f>
        <v>77478-4933</v>
      </c>
      <c r="O1972">
        <f>IFERROR(VLOOKUP(VALUE(J1972),'Site Info'!$A:$G,7,FALSE),"")</f>
        <v>2812952525</v>
      </c>
    </row>
    <row r="1973" spans="1:15" x14ac:dyDescent="0.45">
      <c r="A1973" t="s">
        <v>2321</v>
      </c>
      <c r="B1973" t="s">
        <v>2322</v>
      </c>
      <c r="C1973" t="s">
        <v>2323</v>
      </c>
      <c r="D1973" t="s">
        <v>1815</v>
      </c>
      <c r="E1973" s="1">
        <v>46153.2502662037</v>
      </c>
      <c r="F1973">
        <v>1481</v>
      </c>
      <c r="G1973" t="s">
        <v>2324</v>
      </c>
      <c r="H1973" t="s">
        <v>15</v>
      </c>
      <c r="I1973" t="s">
        <v>1817</v>
      </c>
      <c r="J1973" t="str">
        <f>RIGHT(D1973,4)</f>
        <v>4763</v>
      </c>
      <c r="K1973" t="str">
        <f>IFERROR(VLOOKUP(VALUE(J1973),'Site Info'!$A:$G,3,FALSE),"")</f>
        <v>351 HIGHWAY 6</v>
      </c>
      <c r="L1973" t="str">
        <f>IFERROR(VLOOKUP(VALUE(J1973),'Site Info'!$A:$G,4,FALSE),"")</f>
        <v>SUGAR LAND</v>
      </c>
      <c r="M1973" t="str">
        <f>IFERROR(VLOOKUP(VALUE(J1973),'Site Info'!$A:$G,5,FALSE),"")</f>
        <v>TX</v>
      </c>
      <c r="N1973" t="str">
        <f>IFERROR(VLOOKUP(VALUE(J1973),'Site Info'!$A:$G,6,FALSE),"")</f>
        <v>77478-4933</v>
      </c>
      <c r="O1973">
        <f>IFERROR(VLOOKUP(VALUE(J1973),'Site Info'!$A:$G,7,FALSE),"")</f>
        <v>2812952525</v>
      </c>
    </row>
    <row r="1974" spans="1:15" x14ac:dyDescent="0.45">
      <c r="A1974" t="s">
        <v>16412</v>
      </c>
      <c r="B1974" t="s">
        <v>16413</v>
      </c>
      <c r="C1974" t="s">
        <v>16414</v>
      </c>
      <c r="D1974" t="s">
        <v>1815</v>
      </c>
      <c r="E1974" s="1">
        <v>46153.283993055556</v>
      </c>
      <c r="F1974">
        <v>1547</v>
      </c>
      <c r="G1974" t="s">
        <v>16415</v>
      </c>
      <c r="H1974" t="s">
        <v>15</v>
      </c>
      <c r="I1974" t="s">
        <v>1817</v>
      </c>
      <c r="J1974" t="str">
        <f>RIGHT(D1974,4)</f>
        <v>4763</v>
      </c>
      <c r="K1974" t="str">
        <f>IFERROR(VLOOKUP(VALUE(J1974),'Site Info'!$A:$G,3,FALSE),"")</f>
        <v>351 HIGHWAY 6</v>
      </c>
      <c r="L1974" t="str">
        <f>IFERROR(VLOOKUP(VALUE(J1974),'Site Info'!$A:$G,4,FALSE),"")</f>
        <v>SUGAR LAND</v>
      </c>
      <c r="M1974" t="str">
        <f>IFERROR(VLOOKUP(VALUE(J1974),'Site Info'!$A:$G,5,FALSE),"")</f>
        <v>TX</v>
      </c>
      <c r="N1974" t="str">
        <f>IFERROR(VLOOKUP(VALUE(J1974),'Site Info'!$A:$G,6,FALSE),"")</f>
        <v>77478-4933</v>
      </c>
      <c r="O1974">
        <f>IFERROR(VLOOKUP(VALUE(J1974),'Site Info'!$A:$G,7,FALSE),"")</f>
        <v>2812952525</v>
      </c>
    </row>
    <row r="1975" spans="1:15" x14ac:dyDescent="0.45">
      <c r="A1975" t="s">
        <v>4146</v>
      </c>
      <c r="B1975" t="s">
        <v>4147</v>
      </c>
      <c r="C1975" t="s">
        <v>4148</v>
      </c>
      <c r="D1975" t="s">
        <v>1639</v>
      </c>
      <c r="E1975" s="1">
        <v>46149.774050925924</v>
      </c>
      <c r="F1975">
        <v>1547</v>
      </c>
      <c r="G1975" t="s">
        <v>4149</v>
      </c>
      <c r="H1975" t="s">
        <v>15</v>
      </c>
      <c r="I1975" t="s">
        <v>1641</v>
      </c>
      <c r="J1975" t="str">
        <f>RIGHT(D1975,4)</f>
        <v>4794</v>
      </c>
      <c r="K1975" t="str">
        <f>IFERROR(VLOOKUP(VALUE(J1975),'Site Info'!$A:$G,3,FALSE),"")</f>
        <v>3530 LAKELAND HIGHLANDS RD</v>
      </c>
      <c r="L1975" t="str">
        <f>IFERROR(VLOOKUP(VALUE(J1975),'Site Info'!$A:$G,4,FALSE),"")</f>
        <v>LAKELAND</v>
      </c>
      <c r="M1975" t="str">
        <f>IFERROR(VLOOKUP(VALUE(J1975),'Site Info'!$A:$G,5,FALSE),"")</f>
        <v>FL</v>
      </c>
      <c r="N1975" t="str">
        <f>IFERROR(VLOOKUP(VALUE(J1975),'Site Info'!$A:$G,6,FALSE),"")</f>
        <v>33803-4313</v>
      </c>
      <c r="O1975">
        <f>IFERROR(VLOOKUP(VALUE(J1975),'Site Info'!$A:$G,7,FALSE),"")</f>
        <v>8636444730</v>
      </c>
    </row>
    <row r="1976" spans="1:15" x14ac:dyDescent="0.45">
      <c r="A1976" t="s">
        <v>4528</v>
      </c>
      <c r="B1976" t="s">
        <v>4529</v>
      </c>
      <c r="C1976" t="s">
        <v>4530</v>
      </c>
      <c r="D1976" t="s">
        <v>1639</v>
      </c>
      <c r="E1976" s="1">
        <v>46152.421226851853</v>
      </c>
      <c r="F1976">
        <v>1547</v>
      </c>
      <c r="G1976" t="s">
        <v>4531</v>
      </c>
      <c r="H1976" t="s">
        <v>15</v>
      </c>
      <c r="I1976" t="s">
        <v>1641</v>
      </c>
      <c r="J1976" t="str">
        <f>RIGHT(D1976,4)</f>
        <v>4794</v>
      </c>
      <c r="K1976" t="str">
        <f>IFERROR(VLOOKUP(VALUE(J1976),'Site Info'!$A:$G,3,FALSE),"")</f>
        <v>3530 LAKELAND HIGHLANDS RD</v>
      </c>
      <c r="L1976" t="str">
        <f>IFERROR(VLOOKUP(VALUE(J1976),'Site Info'!$A:$G,4,FALSE),"")</f>
        <v>LAKELAND</v>
      </c>
      <c r="M1976" t="str">
        <f>IFERROR(VLOOKUP(VALUE(J1976),'Site Info'!$A:$G,5,FALSE),"")</f>
        <v>FL</v>
      </c>
      <c r="N1976" t="str">
        <f>IFERROR(VLOOKUP(VALUE(J1976),'Site Info'!$A:$G,6,FALSE),"")</f>
        <v>33803-4313</v>
      </c>
      <c r="O1976">
        <f>IFERROR(VLOOKUP(VALUE(J1976),'Site Info'!$A:$G,7,FALSE),"")</f>
        <v>8636444730</v>
      </c>
    </row>
    <row r="1977" spans="1:15" x14ac:dyDescent="0.45">
      <c r="A1977" t="s">
        <v>4512</v>
      </c>
      <c r="B1977" t="s">
        <v>4513</v>
      </c>
      <c r="C1977" t="s">
        <v>4514</v>
      </c>
      <c r="D1977" t="s">
        <v>1639</v>
      </c>
      <c r="E1977" s="1">
        <v>46153.270127314812</v>
      </c>
      <c r="F1977">
        <v>1547</v>
      </c>
      <c r="G1977" t="s">
        <v>4515</v>
      </c>
      <c r="H1977" t="s">
        <v>15</v>
      </c>
      <c r="I1977" t="s">
        <v>1641</v>
      </c>
      <c r="J1977" t="str">
        <f>RIGHT(D1977,4)</f>
        <v>4794</v>
      </c>
      <c r="K1977" t="str">
        <f>IFERROR(VLOOKUP(VALUE(J1977),'Site Info'!$A:$G,3,FALSE),"")</f>
        <v>3530 LAKELAND HIGHLANDS RD</v>
      </c>
      <c r="L1977" t="str">
        <f>IFERROR(VLOOKUP(VALUE(J1977),'Site Info'!$A:$G,4,FALSE),"")</f>
        <v>LAKELAND</v>
      </c>
      <c r="M1977" t="str">
        <f>IFERROR(VLOOKUP(VALUE(J1977),'Site Info'!$A:$G,5,FALSE),"")</f>
        <v>FL</v>
      </c>
      <c r="N1977" t="str">
        <f>IFERROR(VLOOKUP(VALUE(J1977),'Site Info'!$A:$G,6,FALSE),"")</f>
        <v>33803-4313</v>
      </c>
      <c r="O1977">
        <f>IFERROR(VLOOKUP(VALUE(J1977),'Site Info'!$A:$G,7,FALSE),"")</f>
        <v>8636444730</v>
      </c>
    </row>
    <row r="1978" spans="1:15" x14ac:dyDescent="0.45">
      <c r="A1978" t="s">
        <v>4884</v>
      </c>
      <c r="B1978" t="s">
        <v>4885</v>
      </c>
      <c r="C1978" t="s">
        <v>4886</v>
      </c>
      <c r="D1978" t="s">
        <v>1639</v>
      </c>
      <c r="E1978" s="1">
        <v>46153.351423611108</v>
      </c>
      <c r="F1978">
        <v>1547</v>
      </c>
      <c r="G1978" t="s">
        <v>4887</v>
      </c>
      <c r="H1978" t="s">
        <v>15</v>
      </c>
      <c r="I1978" t="s">
        <v>1641</v>
      </c>
      <c r="J1978" t="str">
        <f>RIGHT(D1978,4)</f>
        <v>4794</v>
      </c>
      <c r="K1978" t="str">
        <f>IFERROR(VLOOKUP(VALUE(J1978),'Site Info'!$A:$G,3,FALSE),"")</f>
        <v>3530 LAKELAND HIGHLANDS RD</v>
      </c>
      <c r="L1978" t="str">
        <f>IFERROR(VLOOKUP(VALUE(J1978),'Site Info'!$A:$G,4,FALSE),"")</f>
        <v>LAKELAND</v>
      </c>
      <c r="M1978" t="str">
        <f>IFERROR(VLOOKUP(VALUE(J1978),'Site Info'!$A:$G,5,FALSE),"")</f>
        <v>FL</v>
      </c>
      <c r="N1978" t="str">
        <f>IFERROR(VLOOKUP(VALUE(J1978),'Site Info'!$A:$G,6,FALSE),"")</f>
        <v>33803-4313</v>
      </c>
      <c r="O1978">
        <f>IFERROR(VLOOKUP(VALUE(J1978),'Site Info'!$A:$G,7,FALSE),"")</f>
        <v>8636444730</v>
      </c>
    </row>
    <row r="1979" spans="1:15" x14ac:dyDescent="0.45">
      <c r="A1979" t="s">
        <v>4912</v>
      </c>
      <c r="B1979" t="s">
        <v>4913</v>
      </c>
      <c r="C1979" t="s">
        <v>4914</v>
      </c>
      <c r="D1979" t="s">
        <v>1639</v>
      </c>
      <c r="E1979" s="1">
        <v>46153.370104166665</v>
      </c>
      <c r="F1979">
        <v>1547</v>
      </c>
      <c r="G1979" t="s">
        <v>4915</v>
      </c>
      <c r="H1979" t="s">
        <v>15</v>
      </c>
      <c r="I1979" t="s">
        <v>1641</v>
      </c>
      <c r="J1979" t="str">
        <f>RIGHT(D1979,4)</f>
        <v>4794</v>
      </c>
      <c r="K1979" t="str">
        <f>IFERROR(VLOOKUP(VALUE(J1979),'Site Info'!$A:$G,3,FALSE),"")</f>
        <v>3530 LAKELAND HIGHLANDS RD</v>
      </c>
      <c r="L1979" t="str">
        <f>IFERROR(VLOOKUP(VALUE(J1979),'Site Info'!$A:$G,4,FALSE),"")</f>
        <v>LAKELAND</v>
      </c>
      <c r="M1979" t="str">
        <f>IFERROR(VLOOKUP(VALUE(J1979),'Site Info'!$A:$G,5,FALSE),"")</f>
        <v>FL</v>
      </c>
      <c r="N1979" t="str">
        <f>IFERROR(VLOOKUP(VALUE(J1979),'Site Info'!$A:$G,6,FALSE),"")</f>
        <v>33803-4313</v>
      </c>
      <c r="O1979">
        <f>IFERROR(VLOOKUP(VALUE(J1979),'Site Info'!$A:$G,7,FALSE),"")</f>
        <v>8636444730</v>
      </c>
    </row>
    <row r="1980" spans="1:15" x14ac:dyDescent="0.45">
      <c r="A1980" t="s">
        <v>1636</v>
      </c>
      <c r="B1980" t="s">
        <v>1637</v>
      </c>
      <c r="C1980" t="s">
        <v>1638</v>
      </c>
      <c r="D1980" t="s">
        <v>1639</v>
      </c>
      <c r="E1980" s="1">
        <v>46153.348599537036</v>
      </c>
      <c r="F1980">
        <v>1481</v>
      </c>
      <c r="G1980" t="s">
        <v>1640</v>
      </c>
      <c r="H1980" t="s">
        <v>15</v>
      </c>
      <c r="I1980" t="s">
        <v>1641</v>
      </c>
      <c r="J1980" t="str">
        <f>RIGHT(D1980,4)</f>
        <v>4794</v>
      </c>
      <c r="K1980" t="str">
        <f>IFERROR(VLOOKUP(VALUE(J1980),'Site Info'!$A:$G,3,FALSE),"")</f>
        <v>3530 LAKELAND HIGHLANDS RD</v>
      </c>
      <c r="L1980" t="str">
        <f>IFERROR(VLOOKUP(VALUE(J1980),'Site Info'!$A:$G,4,FALSE),"")</f>
        <v>LAKELAND</v>
      </c>
      <c r="M1980" t="str">
        <f>IFERROR(VLOOKUP(VALUE(J1980),'Site Info'!$A:$G,5,FALSE),"")</f>
        <v>FL</v>
      </c>
      <c r="N1980" t="str">
        <f>IFERROR(VLOOKUP(VALUE(J1980),'Site Info'!$A:$G,6,FALSE),"")</f>
        <v>33803-4313</v>
      </c>
      <c r="O1980">
        <f>IFERROR(VLOOKUP(VALUE(J1980),'Site Info'!$A:$G,7,FALSE),"")</f>
        <v>8636444730</v>
      </c>
    </row>
    <row r="1981" spans="1:15" x14ac:dyDescent="0.45">
      <c r="A1981" t="s">
        <v>16443</v>
      </c>
      <c r="B1981" t="s">
        <v>16444</v>
      </c>
      <c r="C1981" t="s">
        <v>16445</v>
      </c>
      <c r="D1981" t="s">
        <v>1639</v>
      </c>
      <c r="E1981" s="1">
        <v>46152.640416666669</v>
      </c>
      <c r="F1981">
        <v>1481</v>
      </c>
      <c r="G1981" t="s">
        <v>16446</v>
      </c>
      <c r="H1981" t="s">
        <v>15</v>
      </c>
      <c r="I1981" t="s">
        <v>1641</v>
      </c>
      <c r="J1981" t="str">
        <f>RIGHT(D1981,4)</f>
        <v>4794</v>
      </c>
      <c r="K1981" t="str">
        <f>IFERROR(VLOOKUP(VALUE(J1981),'Site Info'!$A:$G,3,FALSE),"")</f>
        <v>3530 LAKELAND HIGHLANDS RD</v>
      </c>
      <c r="L1981" t="str">
        <f>IFERROR(VLOOKUP(VALUE(J1981),'Site Info'!$A:$G,4,FALSE),"")</f>
        <v>LAKELAND</v>
      </c>
      <c r="M1981" t="str">
        <f>IFERROR(VLOOKUP(VALUE(J1981),'Site Info'!$A:$G,5,FALSE),"")</f>
        <v>FL</v>
      </c>
      <c r="N1981" t="str">
        <f>IFERROR(VLOOKUP(VALUE(J1981),'Site Info'!$A:$G,6,FALSE),"")</f>
        <v>33803-4313</v>
      </c>
      <c r="O1981">
        <f>IFERROR(VLOOKUP(VALUE(J1981),'Site Info'!$A:$G,7,FALSE),"")</f>
        <v>8636444730</v>
      </c>
    </row>
    <row r="1982" spans="1:15" x14ac:dyDescent="0.45">
      <c r="A1982" t="s">
        <v>13046</v>
      </c>
      <c r="B1982" t="s">
        <v>13047</v>
      </c>
      <c r="C1982" t="s">
        <v>13048</v>
      </c>
      <c r="D1982" t="s">
        <v>240</v>
      </c>
      <c r="E1982" s="1">
        <v>46152.146817129629</v>
      </c>
      <c r="F1982">
        <v>1547</v>
      </c>
      <c r="G1982" t="s">
        <v>13049</v>
      </c>
      <c r="H1982" t="s">
        <v>15</v>
      </c>
      <c r="I1982" t="s">
        <v>242</v>
      </c>
      <c r="J1982" t="str">
        <f>RIGHT(D1982,4)</f>
        <v>6434</v>
      </c>
      <c r="K1982" t="str">
        <f>IFERROR(VLOOKUP(VALUE(J1982),'Site Info'!$A:$G,3,FALSE),"")</f>
        <v>3535 RUSSETT GRN</v>
      </c>
      <c r="L1982" t="str">
        <f>IFERROR(VLOOKUP(VALUE(J1982),'Site Info'!$A:$G,4,FALSE),"")</f>
        <v>LAUREL</v>
      </c>
      <c r="M1982" t="str">
        <f>IFERROR(VLOOKUP(VALUE(J1982),'Site Info'!$A:$G,5,FALSE),"")</f>
        <v>MD</v>
      </c>
      <c r="N1982" t="str">
        <f>IFERROR(VLOOKUP(VALUE(J1982),'Site Info'!$A:$G,6,FALSE),"")</f>
        <v>20724-1810</v>
      </c>
      <c r="O1982">
        <f>IFERROR(VLOOKUP(VALUE(J1982),'Site Info'!$A:$G,7,FALSE),"")</f>
        <v>3016042060</v>
      </c>
    </row>
    <row r="1983" spans="1:15" x14ac:dyDescent="0.45">
      <c r="A1983" t="s">
        <v>13415</v>
      </c>
      <c r="B1983" t="s">
        <v>13416</v>
      </c>
      <c r="C1983" t="s">
        <v>13417</v>
      </c>
      <c r="D1983" t="s">
        <v>240</v>
      </c>
      <c r="E1983" s="1">
        <v>46152.596122685187</v>
      </c>
      <c r="F1983">
        <v>1547</v>
      </c>
      <c r="G1983" t="s">
        <v>13418</v>
      </c>
      <c r="H1983" t="s">
        <v>15</v>
      </c>
      <c r="I1983" t="s">
        <v>242</v>
      </c>
      <c r="J1983" t="str">
        <f>RIGHT(D1983,4)</f>
        <v>6434</v>
      </c>
      <c r="K1983" t="str">
        <f>IFERROR(VLOOKUP(VALUE(J1983),'Site Info'!$A:$G,3,FALSE),"")</f>
        <v>3535 RUSSETT GRN</v>
      </c>
      <c r="L1983" t="str">
        <f>IFERROR(VLOOKUP(VALUE(J1983),'Site Info'!$A:$G,4,FALSE),"")</f>
        <v>LAUREL</v>
      </c>
      <c r="M1983" t="str">
        <f>IFERROR(VLOOKUP(VALUE(J1983),'Site Info'!$A:$G,5,FALSE),"")</f>
        <v>MD</v>
      </c>
      <c r="N1983" t="str">
        <f>IFERROR(VLOOKUP(VALUE(J1983),'Site Info'!$A:$G,6,FALSE),"")</f>
        <v>20724-1810</v>
      </c>
      <c r="O1983">
        <f>IFERROR(VLOOKUP(VALUE(J1983),'Site Info'!$A:$G,7,FALSE),"")</f>
        <v>3016042060</v>
      </c>
    </row>
    <row r="1984" spans="1:15" x14ac:dyDescent="0.45">
      <c r="A1984" t="s">
        <v>11964</v>
      </c>
      <c r="B1984" t="s">
        <v>11965</v>
      </c>
      <c r="C1984" t="s">
        <v>11966</v>
      </c>
      <c r="D1984" t="s">
        <v>240</v>
      </c>
      <c r="E1984" s="1">
        <v>46153.193854166668</v>
      </c>
      <c r="F1984">
        <v>1547</v>
      </c>
      <c r="G1984" t="s">
        <v>11967</v>
      </c>
      <c r="H1984" t="s">
        <v>15</v>
      </c>
      <c r="I1984" t="s">
        <v>242</v>
      </c>
      <c r="J1984" t="str">
        <f>RIGHT(D1984,4)</f>
        <v>6434</v>
      </c>
      <c r="K1984" t="str">
        <f>IFERROR(VLOOKUP(VALUE(J1984),'Site Info'!$A:$G,3,FALSE),"")</f>
        <v>3535 RUSSETT GRN</v>
      </c>
      <c r="L1984" t="str">
        <f>IFERROR(VLOOKUP(VALUE(J1984),'Site Info'!$A:$G,4,FALSE),"")</f>
        <v>LAUREL</v>
      </c>
      <c r="M1984" t="str">
        <f>IFERROR(VLOOKUP(VALUE(J1984),'Site Info'!$A:$G,5,FALSE),"")</f>
        <v>MD</v>
      </c>
      <c r="N1984" t="str">
        <f>IFERROR(VLOOKUP(VALUE(J1984),'Site Info'!$A:$G,6,FALSE),"")</f>
        <v>20724-1810</v>
      </c>
      <c r="O1984">
        <f>IFERROR(VLOOKUP(VALUE(J1984),'Site Info'!$A:$G,7,FALSE),"")</f>
        <v>3016042060</v>
      </c>
    </row>
    <row r="1985" spans="1:15" x14ac:dyDescent="0.45">
      <c r="A1985" t="s">
        <v>13102</v>
      </c>
      <c r="B1985" t="s">
        <v>13103</v>
      </c>
      <c r="C1985" t="s">
        <v>13104</v>
      </c>
      <c r="D1985" t="s">
        <v>240</v>
      </c>
      <c r="E1985" s="1">
        <v>46153.293229166666</v>
      </c>
      <c r="F1985">
        <v>1547</v>
      </c>
      <c r="G1985" t="s">
        <v>13105</v>
      </c>
      <c r="H1985" t="s">
        <v>15</v>
      </c>
      <c r="I1985" t="s">
        <v>13106</v>
      </c>
      <c r="J1985" t="str">
        <f>RIGHT(D1985,4)</f>
        <v>6434</v>
      </c>
      <c r="K1985" t="str">
        <f>IFERROR(VLOOKUP(VALUE(J1985),'Site Info'!$A:$G,3,FALSE),"")</f>
        <v>3535 RUSSETT GRN</v>
      </c>
      <c r="L1985" t="str">
        <f>IFERROR(VLOOKUP(VALUE(J1985),'Site Info'!$A:$G,4,FALSE),"")</f>
        <v>LAUREL</v>
      </c>
      <c r="M1985" t="str">
        <f>IFERROR(VLOOKUP(VALUE(J1985),'Site Info'!$A:$G,5,FALSE),"")</f>
        <v>MD</v>
      </c>
      <c r="N1985" t="str">
        <f>IFERROR(VLOOKUP(VALUE(J1985),'Site Info'!$A:$G,6,FALSE),"")</f>
        <v>20724-1810</v>
      </c>
      <c r="O1985">
        <f>IFERROR(VLOOKUP(VALUE(J1985),'Site Info'!$A:$G,7,FALSE),"")</f>
        <v>3016042060</v>
      </c>
    </row>
    <row r="1986" spans="1:15" x14ac:dyDescent="0.45">
      <c r="A1986" t="s">
        <v>11996</v>
      </c>
      <c r="B1986" t="s">
        <v>11997</v>
      </c>
      <c r="C1986" t="s">
        <v>11998</v>
      </c>
      <c r="D1986" t="s">
        <v>240</v>
      </c>
      <c r="E1986" s="1">
        <v>46153.303043981483</v>
      </c>
      <c r="F1986">
        <v>1547</v>
      </c>
      <c r="G1986" t="s">
        <v>11999</v>
      </c>
      <c r="H1986" t="s">
        <v>15</v>
      </c>
      <c r="I1986" t="s">
        <v>242</v>
      </c>
      <c r="J1986" t="str">
        <f>RIGHT(D1986,4)</f>
        <v>6434</v>
      </c>
      <c r="K1986" t="str">
        <f>IFERROR(VLOOKUP(VALUE(J1986),'Site Info'!$A:$G,3,FALSE),"")</f>
        <v>3535 RUSSETT GRN</v>
      </c>
      <c r="L1986" t="str">
        <f>IFERROR(VLOOKUP(VALUE(J1986),'Site Info'!$A:$G,4,FALSE),"")</f>
        <v>LAUREL</v>
      </c>
      <c r="M1986" t="str">
        <f>IFERROR(VLOOKUP(VALUE(J1986),'Site Info'!$A:$G,5,FALSE),"")</f>
        <v>MD</v>
      </c>
      <c r="N1986" t="str">
        <f>IFERROR(VLOOKUP(VALUE(J1986),'Site Info'!$A:$G,6,FALSE),"")</f>
        <v>20724-1810</v>
      </c>
      <c r="O1986">
        <f>IFERROR(VLOOKUP(VALUE(J1986),'Site Info'!$A:$G,7,FALSE),"")</f>
        <v>3016042060</v>
      </c>
    </row>
    <row r="1987" spans="1:15" x14ac:dyDescent="0.45">
      <c r="A1987" t="s">
        <v>1226</v>
      </c>
      <c r="B1987" t="s">
        <v>1227</v>
      </c>
      <c r="C1987" t="s">
        <v>1228</v>
      </c>
      <c r="D1987" t="s">
        <v>240</v>
      </c>
      <c r="E1987" s="1">
        <v>46148.333101851851</v>
      </c>
      <c r="F1987">
        <v>1481</v>
      </c>
      <c r="G1987" t="s">
        <v>1229</v>
      </c>
      <c r="H1987" t="s">
        <v>15</v>
      </c>
      <c r="I1987" t="s">
        <v>242</v>
      </c>
      <c r="J1987" t="str">
        <f>RIGHT(D1987,4)</f>
        <v>6434</v>
      </c>
      <c r="K1987" t="str">
        <f>IFERROR(VLOOKUP(VALUE(J1987),'Site Info'!$A:$G,3,FALSE),"")</f>
        <v>3535 RUSSETT GRN</v>
      </c>
      <c r="L1987" t="str">
        <f>IFERROR(VLOOKUP(VALUE(J1987),'Site Info'!$A:$G,4,FALSE),"")</f>
        <v>LAUREL</v>
      </c>
      <c r="M1987" t="str">
        <f>IFERROR(VLOOKUP(VALUE(J1987),'Site Info'!$A:$G,5,FALSE),"")</f>
        <v>MD</v>
      </c>
      <c r="N1987" t="str">
        <f>IFERROR(VLOOKUP(VALUE(J1987),'Site Info'!$A:$G,6,FALSE),"")</f>
        <v>20724-1810</v>
      </c>
      <c r="O1987">
        <f>IFERROR(VLOOKUP(VALUE(J1987),'Site Info'!$A:$G,7,FALSE),"")</f>
        <v>3016042060</v>
      </c>
    </row>
    <row r="1988" spans="1:15" x14ac:dyDescent="0.45">
      <c r="A1988" t="s">
        <v>96</v>
      </c>
      <c r="B1988" t="s">
        <v>238</v>
      </c>
      <c r="C1988" t="s">
        <v>239</v>
      </c>
      <c r="D1988" t="s">
        <v>240</v>
      </c>
      <c r="E1988" s="1">
        <v>46152.85292824074</v>
      </c>
      <c r="F1988">
        <v>1481</v>
      </c>
      <c r="G1988" t="s">
        <v>241</v>
      </c>
      <c r="H1988" t="s">
        <v>15</v>
      </c>
      <c r="I1988" t="s">
        <v>242</v>
      </c>
      <c r="J1988" t="str">
        <f>RIGHT(D1988,4)</f>
        <v>6434</v>
      </c>
      <c r="K1988" t="str">
        <f>IFERROR(VLOOKUP(VALUE(J1988),'Site Info'!$A:$G,3,FALSE),"")</f>
        <v>3535 RUSSETT GRN</v>
      </c>
      <c r="L1988" t="str">
        <f>IFERROR(VLOOKUP(VALUE(J1988),'Site Info'!$A:$G,4,FALSE),"")</f>
        <v>LAUREL</v>
      </c>
      <c r="M1988" t="str">
        <f>IFERROR(VLOOKUP(VALUE(J1988),'Site Info'!$A:$G,5,FALSE),"")</f>
        <v>MD</v>
      </c>
      <c r="N1988" t="str">
        <f>IFERROR(VLOOKUP(VALUE(J1988),'Site Info'!$A:$G,6,FALSE),"")</f>
        <v>20724-1810</v>
      </c>
      <c r="O1988">
        <f>IFERROR(VLOOKUP(VALUE(J1988),'Site Info'!$A:$G,7,FALSE),"")</f>
        <v>3016042060</v>
      </c>
    </row>
    <row r="1989" spans="1:15" x14ac:dyDescent="0.45">
      <c r="A1989" t="s">
        <v>96</v>
      </c>
      <c r="B1989" t="s">
        <v>132</v>
      </c>
      <c r="C1989" t="s">
        <v>133</v>
      </c>
      <c r="D1989" t="s">
        <v>134</v>
      </c>
      <c r="E1989" s="1">
        <v>46151.537962962961</v>
      </c>
      <c r="F1989">
        <v>1863</v>
      </c>
      <c r="G1989" t="s">
        <v>135</v>
      </c>
      <c r="H1989" t="s">
        <v>136</v>
      </c>
      <c r="I1989" t="s">
        <v>137</v>
      </c>
      <c r="J1989" t="str">
        <f>RIGHT(D1989,4)</f>
        <v>6415</v>
      </c>
      <c r="K1989" t="str">
        <f>IFERROR(VLOOKUP(VALUE(J1989),'Site Info'!$A:$G,3,FALSE),"")</f>
        <v>3536 HAMMONS BLVD</v>
      </c>
      <c r="L1989" t="str">
        <f>IFERROR(VLOOKUP(VALUE(J1989),'Site Info'!$A:$G,4,FALSE),"")</f>
        <v>JOPLIN</v>
      </c>
      <c r="M1989" t="str">
        <f>IFERROR(VLOOKUP(VALUE(J1989),'Site Info'!$A:$G,5,FALSE),"")</f>
        <v>MO</v>
      </c>
      <c r="N1989" t="str">
        <f>IFERROR(VLOOKUP(VALUE(J1989),'Site Info'!$A:$G,6,FALSE),"")</f>
        <v>64804-4451</v>
      </c>
      <c r="O1989">
        <f>IFERROR(VLOOKUP(VALUE(J1989),'Site Info'!$A:$G,7,FALSE),"")</f>
        <v>4176236200</v>
      </c>
    </row>
    <row r="1990" spans="1:15" x14ac:dyDescent="0.45">
      <c r="A1990" t="s">
        <v>8505</v>
      </c>
      <c r="B1990" t="s">
        <v>8506</v>
      </c>
      <c r="C1990" t="s">
        <v>8507</v>
      </c>
      <c r="D1990" t="s">
        <v>134</v>
      </c>
      <c r="E1990" s="1">
        <v>46152.661979166667</v>
      </c>
      <c r="F1990">
        <v>1547</v>
      </c>
      <c r="G1990" t="s">
        <v>8508</v>
      </c>
      <c r="H1990" t="s">
        <v>15</v>
      </c>
      <c r="I1990" t="s">
        <v>137</v>
      </c>
      <c r="J1990" t="str">
        <f>RIGHT(D1990,4)</f>
        <v>6415</v>
      </c>
      <c r="K1990" t="str">
        <f>IFERROR(VLOOKUP(VALUE(J1990),'Site Info'!$A:$G,3,FALSE),"")</f>
        <v>3536 HAMMONS BLVD</v>
      </c>
      <c r="L1990" t="str">
        <f>IFERROR(VLOOKUP(VALUE(J1990),'Site Info'!$A:$G,4,FALSE),"")</f>
        <v>JOPLIN</v>
      </c>
      <c r="M1990" t="str">
        <f>IFERROR(VLOOKUP(VALUE(J1990),'Site Info'!$A:$G,5,FALSE),"")</f>
        <v>MO</v>
      </c>
      <c r="N1990" t="str">
        <f>IFERROR(VLOOKUP(VALUE(J1990),'Site Info'!$A:$G,6,FALSE),"")</f>
        <v>64804-4451</v>
      </c>
      <c r="O1990">
        <f>IFERROR(VLOOKUP(VALUE(J1990),'Site Info'!$A:$G,7,FALSE),"")</f>
        <v>4176236200</v>
      </c>
    </row>
    <row r="1991" spans="1:15" x14ac:dyDescent="0.45">
      <c r="A1991" t="s">
        <v>8457</v>
      </c>
      <c r="B1991" t="s">
        <v>8458</v>
      </c>
      <c r="C1991" t="s">
        <v>8459</v>
      </c>
      <c r="D1991" t="s">
        <v>134</v>
      </c>
      <c r="E1991" s="1">
        <v>46153.261562500003</v>
      </c>
      <c r="F1991">
        <v>1547</v>
      </c>
      <c r="G1991" t="s">
        <v>8460</v>
      </c>
      <c r="H1991" t="s">
        <v>15</v>
      </c>
      <c r="I1991" t="s">
        <v>137</v>
      </c>
      <c r="J1991" t="str">
        <f>RIGHT(D1991,4)</f>
        <v>6415</v>
      </c>
      <c r="K1991" t="str">
        <f>IFERROR(VLOOKUP(VALUE(J1991),'Site Info'!$A:$G,3,FALSE),"")</f>
        <v>3536 HAMMONS BLVD</v>
      </c>
      <c r="L1991" t="str">
        <f>IFERROR(VLOOKUP(VALUE(J1991),'Site Info'!$A:$G,4,FALSE),"")</f>
        <v>JOPLIN</v>
      </c>
      <c r="M1991" t="str">
        <f>IFERROR(VLOOKUP(VALUE(J1991),'Site Info'!$A:$G,5,FALSE),"")</f>
        <v>MO</v>
      </c>
      <c r="N1991" t="str">
        <f>IFERROR(VLOOKUP(VALUE(J1991),'Site Info'!$A:$G,6,FALSE),"")</f>
        <v>64804-4451</v>
      </c>
      <c r="O1991">
        <f>IFERROR(VLOOKUP(VALUE(J1991),'Site Info'!$A:$G,7,FALSE),"")</f>
        <v>4176236200</v>
      </c>
    </row>
    <row r="1992" spans="1:15" x14ac:dyDescent="0.45">
      <c r="A1992" t="s">
        <v>8749</v>
      </c>
      <c r="B1992" t="s">
        <v>8750</v>
      </c>
      <c r="C1992" t="s">
        <v>8751</v>
      </c>
      <c r="D1992" t="s">
        <v>134</v>
      </c>
      <c r="E1992" s="1">
        <v>46153.320648148147</v>
      </c>
      <c r="F1992">
        <v>1547</v>
      </c>
      <c r="G1992" t="s">
        <v>8752</v>
      </c>
      <c r="H1992" t="s">
        <v>15</v>
      </c>
      <c r="I1992" t="s">
        <v>137</v>
      </c>
      <c r="J1992" t="str">
        <f>RIGHT(D1992,4)</f>
        <v>6415</v>
      </c>
      <c r="K1992" t="str">
        <f>IFERROR(VLOOKUP(VALUE(J1992),'Site Info'!$A:$G,3,FALSE),"")</f>
        <v>3536 HAMMONS BLVD</v>
      </c>
      <c r="L1992" t="str">
        <f>IFERROR(VLOOKUP(VALUE(J1992),'Site Info'!$A:$G,4,FALSE),"")</f>
        <v>JOPLIN</v>
      </c>
      <c r="M1992" t="str">
        <f>IFERROR(VLOOKUP(VALUE(J1992),'Site Info'!$A:$G,5,FALSE),"")</f>
        <v>MO</v>
      </c>
      <c r="N1992" t="str">
        <f>IFERROR(VLOOKUP(VALUE(J1992),'Site Info'!$A:$G,6,FALSE),"")</f>
        <v>64804-4451</v>
      </c>
      <c r="O1992">
        <f>IFERROR(VLOOKUP(VALUE(J1992),'Site Info'!$A:$G,7,FALSE),"")</f>
        <v>4176236200</v>
      </c>
    </row>
    <row r="1993" spans="1:15" x14ac:dyDescent="0.45">
      <c r="A1993" t="s">
        <v>6731</v>
      </c>
      <c r="B1993" t="s">
        <v>6732</v>
      </c>
      <c r="C1993" t="s">
        <v>6733</v>
      </c>
      <c r="D1993" t="s">
        <v>134</v>
      </c>
      <c r="E1993" s="1">
        <v>46153.369930555556</v>
      </c>
      <c r="F1993">
        <v>1547</v>
      </c>
      <c r="G1993" t="s">
        <v>6734</v>
      </c>
      <c r="H1993" t="s">
        <v>15</v>
      </c>
      <c r="I1993" t="s">
        <v>137</v>
      </c>
      <c r="J1993" t="str">
        <f>RIGHT(D1993,4)</f>
        <v>6415</v>
      </c>
      <c r="K1993" t="str">
        <f>IFERROR(VLOOKUP(VALUE(J1993),'Site Info'!$A:$G,3,FALSE),"")</f>
        <v>3536 HAMMONS BLVD</v>
      </c>
      <c r="L1993" t="str">
        <f>IFERROR(VLOOKUP(VALUE(J1993),'Site Info'!$A:$G,4,FALSE),"")</f>
        <v>JOPLIN</v>
      </c>
      <c r="M1993" t="str">
        <f>IFERROR(VLOOKUP(VALUE(J1993),'Site Info'!$A:$G,5,FALSE),"")</f>
        <v>MO</v>
      </c>
      <c r="N1993" t="str">
        <f>IFERROR(VLOOKUP(VALUE(J1993),'Site Info'!$A:$G,6,FALSE),"")</f>
        <v>64804-4451</v>
      </c>
      <c r="O1993">
        <f>IFERROR(VLOOKUP(VALUE(J1993),'Site Info'!$A:$G,7,FALSE),"")</f>
        <v>4176236200</v>
      </c>
    </row>
    <row r="1994" spans="1:15" x14ac:dyDescent="0.45">
      <c r="A1994" t="s">
        <v>1880</v>
      </c>
      <c r="B1994" t="s">
        <v>1881</v>
      </c>
      <c r="C1994" t="s">
        <v>1882</v>
      </c>
      <c r="D1994" t="s">
        <v>134</v>
      </c>
      <c r="E1994" s="1">
        <v>46153.223935185182</v>
      </c>
      <c r="F1994">
        <v>1481</v>
      </c>
      <c r="G1994" t="s">
        <v>1883</v>
      </c>
      <c r="H1994" t="s">
        <v>15</v>
      </c>
      <c r="I1994" t="s">
        <v>137</v>
      </c>
      <c r="J1994" t="str">
        <f>RIGHT(D1994,4)</f>
        <v>6415</v>
      </c>
      <c r="K1994" t="str">
        <f>IFERROR(VLOOKUP(VALUE(J1994),'Site Info'!$A:$G,3,FALSE),"")</f>
        <v>3536 HAMMONS BLVD</v>
      </c>
      <c r="L1994" t="str">
        <f>IFERROR(VLOOKUP(VALUE(J1994),'Site Info'!$A:$G,4,FALSE),"")</f>
        <v>JOPLIN</v>
      </c>
      <c r="M1994" t="str">
        <f>IFERROR(VLOOKUP(VALUE(J1994),'Site Info'!$A:$G,5,FALSE),"")</f>
        <v>MO</v>
      </c>
      <c r="N1994" t="str">
        <f>IFERROR(VLOOKUP(VALUE(J1994),'Site Info'!$A:$G,6,FALSE),"")</f>
        <v>64804-4451</v>
      </c>
      <c r="O1994">
        <f>IFERROR(VLOOKUP(VALUE(J1994),'Site Info'!$A:$G,7,FALSE),"")</f>
        <v>4176236200</v>
      </c>
    </row>
    <row r="1995" spans="1:15" x14ac:dyDescent="0.45">
      <c r="A1995" t="s">
        <v>9407</v>
      </c>
      <c r="B1995" t="s">
        <v>9408</v>
      </c>
      <c r="C1995" t="s">
        <v>9409</v>
      </c>
      <c r="D1995" t="s">
        <v>2502</v>
      </c>
      <c r="E1995" s="1">
        <v>46151.520092592589</v>
      </c>
      <c r="F1995">
        <v>1547</v>
      </c>
      <c r="G1995" t="s">
        <v>9410</v>
      </c>
      <c r="H1995" t="s">
        <v>15</v>
      </c>
      <c r="I1995" t="s">
        <v>2504</v>
      </c>
      <c r="J1995" t="str">
        <f>RIGHT(D1995,4)</f>
        <v>6414</v>
      </c>
      <c r="K1995" t="str">
        <f>IFERROR(VLOOKUP(VALUE(J1995),'Site Info'!$A:$G,3,FALSE),"")</f>
        <v>3540 E FRANKLIN BLVD</v>
      </c>
      <c r="L1995" t="str">
        <f>IFERROR(VLOOKUP(VALUE(J1995),'Site Info'!$A:$G,4,FALSE),"")</f>
        <v>GASTONIA</v>
      </c>
      <c r="M1995" t="str">
        <f>IFERROR(VLOOKUP(VALUE(J1995),'Site Info'!$A:$G,5,FALSE),"")</f>
        <v>NC</v>
      </c>
      <c r="N1995" t="str">
        <f>IFERROR(VLOOKUP(VALUE(J1995),'Site Info'!$A:$G,6,FALSE),"")</f>
        <v>28056-6297</v>
      </c>
      <c r="O1995">
        <f>IFERROR(VLOOKUP(VALUE(J1995),'Site Info'!$A:$G,7,FALSE),"")</f>
        <v>7048664752</v>
      </c>
    </row>
    <row r="1996" spans="1:15" x14ac:dyDescent="0.45">
      <c r="A1996" t="s">
        <v>2499</v>
      </c>
      <c r="B1996" t="s">
        <v>2500</v>
      </c>
      <c r="C1996" t="s">
        <v>2501</v>
      </c>
      <c r="D1996" t="s">
        <v>2502</v>
      </c>
      <c r="E1996" s="1">
        <v>46153.301863425928</v>
      </c>
      <c r="F1996">
        <v>1481</v>
      </c>
      <c r="G1996" t="s">
        <v>2503</v>
      </c>
      <c r="H1996" t="s">
        <v>15</v>
      </c>
      <c r="I1996" t="s">
        <v>2504</v>
      </c>
      <c r="J1996" t="str">
        <f>RIGHT(D1996,4)</f>
        <v>6414</v>
      </c>
      <c r="K1996" t="str">
        <f>IFERROR(VLOOKUP(VALUE(J1996),'Site Info'!$A:$G,3,FALSE),"")</f>
        <v>3540 E FRANKLIN BLVD</v>
      </c>
      <c r="L1996" t="str">
        <f>IFERROR(VLOOKUP(VALUE(J1996),'Site Info'!$A:$G,4,FALSE),"")</f>
        <v>GASTONIA</v>
      </c>
      <c r="M1996" t="str">
        <f>IFERROR(VLOOKUP(VALUE(J1996),'Site Info'!$A:$G,5,FALSE),"")</f>
        <v>NC</v>
      </c>
      <c r="N1996" t="str">
        <f>IFERROR(VLOOKUP(VALUE(J1996),'Site Info'!$A:$G,6,FALSE),"")</f>
        <v>28056-6297</v>
      </c>
      <c r="O1996">
        <f>IFERROR(VLOOKUP(VALUE(J1996),'Site Info'!$A:$G,7,FALSE),"")</f>
        <v>7048664752</v>
      </c>
    </row>
    <row r="1997" spans="1:15" x14ac:dyDescent="0.45">
      <c r="A1997" t="s">
        <v>13900</v>
      </c>
      <c r="B1997" t="s">
        <v>13901</v>
      </c>
      <c r="C1997" t="s">
        <v>13902</v>
      </c>
      <c r="D1997" t="s">
        <v>427</v>
      </c>
      <c r="E1997" s="1">
        <v>46150.609317129631</v>
      </c>
      <c r="F1997">
        <v>1547</v>
      </c>
      <c r="G1997" t="s">
        <v>13903</v>
      </c>
      <c r="H1997" t="s">
        <v>15</v>
      </c>
      <c r="I1997" t="s">
        <v>429</v>
      </c>
      <c r="J1997" t="str">
        <f>RIGHT(D1997,4)</f>
        <v>6449</v>
      </c>
      <c r="K1997" t="str">
        <f>IFERROR(VLOOKUP(VALUE(J1997),'Site Info'!$A:$G,3,FALSE),"")</f>
        <v>3550 JAMES SANDERS BLVD</v>
      </c>
      <c r="L1997" t="str">
        <f>IFERROR(VLOOKUP(VALUE(J1997),'Site Info'!$A:$G,4,FALSE),"")</f>
        <v>PADUCAH</v>
      </c>
      <c r="M1997" t="str">
        <f>IFERROR(VLOOKUP(VALUE(J1997),'Site Info'!$A:$G,5,FALSE),"")</f>
        <v>KY</v>
      </c>
      <c r="N1997" t="str">
        <f>IFERROR(VLOOKUP(VALUE(J1997),'Site Info'!$A:$G,6,FALSE),"")</f>
        <v>42001-9159</v>
      </c>
      <c r="O1997">
        <f>IFERROR(VLOOKUP(VALUE(J1997),'Site Info'!$A:$G,7,FALSE),"")</f>
        <v>2704446500</v>
      </c>
    </row>
    <row r="1998" spans="1:15" x14ac:dyDescent="0.45">
      <c r="A1998" t="s">
        <v>13755</v>
      </c>
      <c r="B1998" t="s">
        <v>13756</v>
      </c>
      <c r="C1998" t="s">
        <v>13757</v>
      </c>
      <c r="D1998" t="s">
        <v>427</v>
      </c>
      <c r="E1998" s="1">
        <v>46151.589930555558</v>
      </c>
      <c r="F1998">
        <v>1547</v>
      </c>
      <c r="G1998" t="s">
        <v>13758</v>
      </c>
      <c r="H1998" t="s">
        <v>15</v>
      </c>
      <c r="I1998" t="s">
        <v>429</v>
      </c>
      <c r="J1998" t="str">
        <f>RIGHT(D1998,4)</f>
        <v>6449</v>
      </c>
      <c r="K1998" t="str">
        <f>IFERROR(VLOOKUP(VALUE(J1998),'Site Info'!$A:$G,3,FALSE),"")</f>
        <v>3550 JAMES SANDERS BLVD</v>
      </c>
      <c r="L1998" t="str">
        <f>IFERROR(VLOOKUP(VALUE(J1998),'Site Info'!$A:$G,4,FALSE),"")</f>
        <v>PADUCAH</v>
      </c>
      <c r="M1998" t="str">
        <f>IFERROR(VLOOKUP(VALUE(J1998),'Site Info'!$A:$G,5,FALSE),"")</f>
        <v>KY</v>
      </c>
      <c r="N1998" t="str">
        <f>IFERROR(VLOOKUP(VALUE(J1998),'Site Info'!$A:$G,6,FALSE),"")</f>
        <v>42001-9159</v>
      </c>
      <c r="O1998">
        <f>IFERROR(VLOOKUP(VALUE(J1998),'Site Info'!$A:$G,7,FALSE),"")</f>
        <v>2704446500</v>
      </c>
    </row>
    <row r="1999" spans="1:15" x14ac:dyDescent="0.45">
      <c r="A1999" t="s">
        <v>9463</v>
      </c>
      <c r="B1999" t="s">
        <v>9464</v>
      </c>
      <c r="C1999" t="s">
        <v>9465</v>
      </c>
      <c r="D1999" t="s">
        <v>427</v>
      </c>
      <c r="E1999" s="1">
        <v>46152.791446759256</v>
      </c>
      <c r="F1999">
        <v>1547</v>
      </c>
      <c r="G1999" t="s">
        <v>9466</v>
      </c>
      <c r="H1999" t="s">
        <v>15</v>
      </c>
      <c r="I1999" t="s">
        <v>429</v>
      </c>
      <c r="J1999" t="str">
        <f>RIGHT(D1999,4)</f>
        <v>6449</v>
      </c>
      <c r="K1999" t="str">
        <f>IFERROR(VLOOKUP(VALUE(J1999),'Site Info'!$A:$G,3,FALSE),"")</f>
        <v>3550 JAMES SANDERS BLVD</v>
      </c>
      <c r="L1999" t="str">
        <f>IFERROR(VLOOKUP(VALUE(J1999),'Site Info'!$A:$G,4,FALSE),"")</f>
        <v>PADUCAH</v>
      </c>
      <c r="M1999" t="str">
        <f>IFERROR(VLOOKUP(VALUE(J1999),'Site Info'!$A:$G,5,FALSE),"")</f>
        <v>KY</v>
      </c>
      <c r="N1999" t="str">
        <f>IFERROR(VLOOKUP(VALUE(J1999),'Site Info'!$A:$G,6,FALSE),"")</f>
        <v>42001-9159</v>
      </c>
      <c r="O1999">
        <f>IFERROR(VLOOKUP(VALUE(J1999),'Site Info'!$A:$G,7,FALSE),"")</f>
        <v>2704446500</v>
      </c>
    </row>
    <row r="2000" spans="1:15" x14ac:dyDescent="0.45">
      <c r="A2000" t="s">
        <v>11676</v>
      </c>
      <c r="B2000" t="s">
        <v>11677</v>
      </c>
      <c r="C2000" t="s">
        <v>11678</v>
      </c>
      <c r="D2000" t="s">
        <v>427</v>
      </c>
      <c r="E2000" s="1">
        <v>46153.355613425927</v>
      </c>
      <c r="F2000">
        <v>1547</v>
      </c>
      <c r="G2000" t="s">
        <v>11679</v>
      </c>
      <c r="H2000" t="s">
        <v>15</v>
      </c>
      <c r="I2000" t="s">
        <v>429</v>
      </c>
      <c r="J2000" t="str">
        <f>RIGHT(D2000,4)</f>
        <v>6449</v>
      </c>
      <c r="K2000" t="str">
        <f>IFERROR(VLOOKUP(VALUE(J2000),'Site Info'!$A:$G,3,FALSE),"")</f>
        <v>3550 JAMES SANDERS BLVD</v>
      </c>
      <c r="L2000" t="str">
        <f>IFERROR(VLOOKUP(VALUE(J2000),'Site Info'!$A:$G,4,FALSE),"")</f>
        <v>PADUCAH</v>
      </c>
      <c r="M2000" t="str">
        <f>IFERROR(VLOOKUP(VALUE(J2000),'Site Info'!$A:$G,5,FALSE),"")</f>
        <v>KY</v>
      </c>
      <c r="N2000" t="str">
        <f>IFERROR(VLOOKUP(VALUE(J2000),'Site Info'!$A:$G,6,FALSE),"")</f>
        <v>42001-9159</v>
      </c>
      <c r="O2000">
        <f>IFERROR(VLOOKUP(VALUE(J2000),'Site Info'!$A:$G,7,FALSE),"")</f>
        <v>2704446500</v>
      </c>
    </row>
    <row r="2001" spans="1:15" x14ac:dyDescent="0.45">
      <c r="A2001" t="s">
        <v>10945</v>
      </c>
      <c r="B2001" t="s">
        <v>10946</v>
      </c>
      <c r="C2001" t="s">
        <v>10947</v>
      </c>
      <c r="D2001" t="s">
        <v>427</v>
      </c>
      <c r="E2001" s="1">
        <v>46153.367060185185</v>
      </c>
      <c r="F2001">
        <v>1547</v>
      </c>
      <c r="G2001" t="s">
        <v>10948</v>
      </c>
      <c r="H2001" t="s">
        <v>15</v>
      </c>
      <c r="I2001" t="s">
        <v>429</v>
      </c>
      <c r="J2001" t="str">
        <f>RIGHT(D2001,4)</f>
        <v>6449</v>
      </c>
      <c r="K2001" t="str">
        <f>IFERROR(VLOOKUP(VALUE(J2001),'Site Info'!$A:$G,3,FALSE),"")</f>
        <v>3550 JAMES SANDERS BLVD</v>
      </c>
      <c r="L2001" t="str">
        <f>IFERROR(VLOOKUP(VALUE(J2001),'Site Info'!$A:$G,4,FALSE),"")</f>
        <v>PADUCAH</v>
      </c>
      <c r="M2001" t="str">
        <f>IFERROR(VLOOKUP(VALUE(J2001),'Site Info'!$A:$G,5,FALSE),"")</f>
        <v>KY</v>
      </c>
      <c r="N2001" t="str">
        <f>IFERROR(VLOOKUP(VALUE(J2001),'Site Info'!$A:$G,6,FALSE),"")</f>
        <v>42001-9159</v>
      </c>
      <c r="O2001">
        <f>IFERROR(VLOOKUP(VALUE(J2001),'Site Info'!$A:$G,7,FALSE),"")</f>
        <v>2704446500</v>
      </c>
    </row>
    <row r="2002" spans="1:15" x14ac:dyDescent="0.45">
      <c r="A2002" t="s">
        <v>12076</v>
      </c>
      <c r="B2002" t="s">
        <v>12077</v>
      </c>
      <c r="C2002" t="s">
        <v>12078</v>
      </c>
      <c r="D2002" t="s">
        <v>427</v>
      </c>
      <c r="E2002" s="1">
        <v>46153.374039351853</v>
      </c>
      <c r="F2002">
        <v>1547</v>
      </c>
      <c r="G2002" t="s">
        <v>12079</v>
      </c>
      <c r="H2002" t="s">
        <v>15</v>
      </c>
      <c r="I2002" t="s">
        <v>429</v>
      </c>
      <c r="J2002" t="str">
        <f>RIGHT(D2002,4)</f>
        <v>6449</v>
      </c>
      <c r="K2002" t="str">
        <f>IFERROR(VLOOKUP(VALUE(J2002),'Site Info'!$A:$G,3,FALSE),"")</f>
        <v>3550 JAMES SANDERS BLVD</v>
      </c>
      <c r="L2002" t="str">
        <f>IFERROR(VLOOKUP(VALUE(J2002),'Site Info'!$A:$G,4,FALSE),"")</f>
        <v>PADUCAH</v>
      </c>
      <c r="M2002" t="str">
        <f>IFERROR(VLOOKUP(VALUE(J2002),'Site Info'!$A:$G,5,FALSE),"")</f>
        <v>KY</v>
      </c>
      <c r="N2002" t="str">
        <f>IFERROR(VLOOKUP(VALUE(J2002),'Site Info'!$A:$G,6,FALSE),"")</f>
        <v>42001-9159</v>
      </c>
      <c r="O2002">
        <f>IFERROR(VLOOKUP(VALUE(J2002),'Site Info'!$A:$G,7,FALSE),"")</f>
        <v>2704446500</v>
      </c>
    </row>
    <row r="2003" spans="1:15" x14ac:dyDescent="0.45">
      <c r="A2003" t="s">
        <v>424</v>
      </c>
      <c r="B2003" t="s">
        <v>425</v>
      </c>
      <c r="C2003" t="s">
        <v>426</v>
      </c>
      <c r="D2003" t="s">
        <v>427</v>
      </c>
      <c r="E2003" s="1">
        <v>46151.511111111111</v>
      </c>
      <c r="F2003">
        <v>1481</v>
      </c>
      <c r="G2003" t="s">
        <v>428</v>
      </c>
      <c r="H2003" t="s">
        <v>15</v>
      </c>
      <c r="I2003" t="s">
        <v>429</v>
      </c>
      <c r="J2003" t="str">
        <f>RIGHT(D2003,4)</f>
        <v>6449</v>
      </c>
      <c r="K2003" t="str">
        <f>IFERROR(VLOOKUP(VALUE(J2003),'Site Info'!$A:$G,3,FALSE),"")</f>
        <v>3550 JAMES SANDERS BLVD</v>
      </c>
      <c r="L2003" t="str">
        <f>IFERROR(VLOOKUP(VALUE(J2003),'Site Info'!$A:$G,4,FALSE),"")</f>
        <v>PADUCAH</v>
      </c>
      <c r="M2003" t="str">
        <f>IFERROR(VLOOKUP(VALUE(J2003),'Site Info'!$A:$G,5,FALSE),"")</f>
        <v>KY</v>
      </c>
      <c r="N2003" t="str">
        <f>IFERROR(VLOOKUP(VALUE(J2003),'Site Info'!$A:$G,6,FALSE),"")</f>
        <v>42001-9159</v>
      </c>
      <c r="O2003">
        <f>IFERROR(VLOOKUP(VALUE(J2003),'Site Info'!$A:$G,7,FALSE),"")</f>
        <v>2704446500</v>
      </c>
    </row>
    <row r="2004" spans="1:15" x14ac:dyDescent="0.45">
      <c r="A2004" t="s">
        <v>3989</v>
      </c>
      <c r="B2004" t="s">
        <v>3990</v>
      </c>
      <c r="C2004" t="s">
        <v>3991</v>
      </c>
      <c r="D2004" t="s">
        <v>427</v>
      </c>
      <c r="E2004" s="1">
        <v>46153.366412037038</v>
      </c>
      <c r="F2004">
        <v>1481</v>
      </c>
      <c r="G2004" t="s">
        <v>3992</v>
      </c>
      <c r="H2004" t="s">
        <v>15</v>
      </c>
      <c r="I2004" t="s">
        <v>429</v>
      </c>
      <c r="J2004" t="str">
        <f>RIGHT(D2004,4)</f>
        <v>6449</v>
      </c>
      <c r="K2004" t="str">
        <f>IFERROR(VLOOKUP(VALUE(J2004),'Site Info'!$A:$G,3,FALSE),"")</f>
        <v>3550 JAMES SANDERS BLVD</v>
      </c>
      <c r="L2004" t="str">
        <f>IFERROR(VLOOKUP(VALUE(J2004),'Site Info'!$A:$G,4,FALSE),"")</f>
        <v>PADUCAH</v>
      </c>
      <c r="M2004" t="str">
        <f>IFERROR(VLOOKUP(VALUE(J2004),'Site Info'!$A:$G,5,FALSE),"")</f>
        <v>KY</v>
      </c>
      <c r="N2004" t="str">
        <f>IFERROR(VLOOKUP(VALUE(J2004),'Site Info'!$A:$G,6,FALSE),"")</f>
        <v>42001-9159</v>
      </c>
      <c r="O2004">
        <f>IFERROR(VLOOKUP(VALUE(J2004),'Site Info'!$A:$G,7,FALSE),"")</f>
        <v>2704446500</v>
      </c>
    </row>
    <row r="2005" spans="1:15" x14ac:dyDescent="0.45">
      <c r="A2005" t="s">
        <v>6242</v>
      </c>
      <c r="B2005" t="s">
        <v>6243</v>
      </c>
      <c r="C2005" t="s">
        <v>6244</v>
      </c>
      <c r="D2005" t="s">
        <v>739</v>
      </c>
      <c r="E2005" s="1">
        <v>46151.863877314812</v>
      </c>
      <c r="F2005">
        <v>1547</v>
      </c>
      <c r="G2005" t="s">
        <v>6245</v>
      </c>
      <c r="H2005" t="s">
        <v>15</v>
      </c>
      <c r="I2005" t="s">
        <v>741</v>
      </c>
      <c r="J2005" t="str">
        <f>RIGHT(D2005,4)</f>
        <v>8126</v>
      </c>
      <c r="K2005" t="str">
        <f>IFERROR(VLOOKUP(VALUE(J2005),'Site Info'!$A:$G,3,FALSE),"")</f>
        <v>3570 W ALTON GLOOR BLVD</v>
      </c>
      <c r="L2005" t="str">
        <f>IFERROR(VLOOKUP(VALUE(J2005),'Site Info'!$A:$G,4,FALSE),"")</f>
        <v>BROWNSVILLE</v>
      </c>
      <c r="M2005" t="str">
        <f>IFERROR(VLOOKUP(VALUE(J2005),'Site Info'!$A:$G,5,FALSE),"")</f>
        <v>TX</v>
      </c>
      <c r="N2005" t="str">
        <f>IFERROR(VLOOKUP(VALUE(J2005),'Site Info'!$A:$G,6,FALSE),"")</f>
        <v>78520-9286</v>
      </c>
      <c r="O2005">
        <f>IFERROR(VLOOKUP(VALUE(J2005),'Site Info'!$A:$G,7,FALSE),"")</f>
        <v>9563506917</v>
      </c>
    </row>
    <row r="2006" spans="1:15" x14ac:dyDescent="0.45">
      <c r="A2006" t="s">
        <v>4208</v>
      </c>
      <c r="B2006" t="s">
        <v>4209</v>
      </c>
      <c r="C2006" t="s">
        <v>4210</v>
      </c>
      <c r="D2006" t="s">
        <v>739</v>
      </c>
      <c r="E2006" s="1">
        <v>46152.571539351855</v>
      </c>
      <c r="F2006">
        <v>1547</v>
      </c>
      <c r="G2006" t="s">
        <v>4211</v>
      </c>
      <c r="H2006" t="s">
        <v>15</v>
      </c>
      <c r="I2006" t="s">
        <v>741</v>
      </c>
      <c r="J2006" t="str">
        <f>RIGHT(D2006,4)</f>
        <v>8126</v>
      </c>
      <c r="K2006" t="str">
        <f>IFERROR(VLOOKUP(VALUE(J2006),'Site Info'!$A:$G,3,FALSE),"")</f>
        <v>3570 W ALTON GLOOR BLVD</v>
      </c>
      <c r="L2006" t="str">
        <f>IFERROR(VLOOKUP(VALUE(J2006),'Site Info'!$A:$G,4,FALSE),"")</f>
        <v>BROWNSVILLE</v>
      </c>
      <c r="M2006" t="str">
        <f>IFERROR(VLOOKUP(VALUE(J2006),'Site Info'!$A:$G,5,FALSE),"")</f>
        <v>TX</v>
      </c>
      <c r="N2006" t="str">
        <f>IFERROR(VLOOKUP(VALUE(J2006),'Site Info'!$A:$G,6,FALSE),"")</f>
        <v>78520-9286</v>
      </c>
      <c r="O2006">
        <f>IFERROR(VLOOKUP(VALUE(J2006),'Site Info'!$A:$G,7,FALSE),"")</f>
        <v>9563506917</v>
      </c>
    </row>
    <row r="2007" spans="1:15" x14ac:dyDescent="0.45">
      <c r="A2007" t="s">
        <v>4200</v>
      </c>
      <c r="B2007" t="s">
        <v>4201</v>
      </c>
      <c r="C2007" t="s">
        <v>4202</v>
      </c>
      <c r="D2007" t="s">
        <v>739</v>
      </c>
      <c r="E2007" s="1">
        <v>46152.662152777775</v>
      </c>
      <c r="F2007">
        <v>1547</v>
      </c>
      <c r="G2007" t="s">
        <v>4203</v>
      </c>
      <c r="H2007" t="s">
        <v>15</v>
      </c>
      <c r="I2007" t="s">
        <v>741</v>
      </c>
      <c r="J2007" t="str">
        <f>RIGHT(D2007,4)</f>
        <v>8126</v>
      </c>
      <c r="K2007" t="str">
        <f>IFERROR(VLOOKUP(VALUE(J2007),'Site Info'!$A:$G,3,FALSE),"")</f>
        <v>3570 W ALTON GLOOR BLVD</v>
      </c>
      <c r="L2007" t="str">
        <f>IFERROR(VLOOKUP(VALUE(J2007),'Site Info'!$A:$G,4,FALSE),"")</f>
        <v>BROWNSVILLE</v>
      </c>
      <c r="M2007" t="str">
        <f>IFERROR(VLOOKUP(VALUE(J2007),'Site Info'!$A:$G,5,FALSE),"")</f>
        <v>TX</v>
      </c>
      <c r="N2007" t="str">
        <f>IFERROR(VLOOKUP(VALUE(J2007),'Site Info'!$A:$G,6,FALSE),"")</f>
        <v>78520-9286</v>
      </c>
      <c r="O2007">
        <f>IFERROR(VLOOKUP(VALUE(J2007),'Site Info'!$A:$G,7,FALSE),"")</f>
        <v>9563506917</v>
      </c>
    </row>
    <row r="2008" spans="1:15" x14ac:dyDescent="0.45">
      <c r="A2008" t="s">
        <v>6489</v>
      </c>
      <c r="B2008" t="s">
        <v>6490</v>
      </c>
      <c r="C2008" t="s">
        <v>6491</v>
      </c>
      <c r="D2008" t="s">
        <v>739</v>
      </c>
      <c r="E2008" s="1">
        <v>46153.356249999997</v>
      </c>
      <c r="F2008">
        <v>1547</v>
      </c>
      <c r="G2008" t="s">
        <v>6492</v>
      </c>
      <c r="H2008" t="s">
        <v>15</v>
      </c>
      <c r="I2008" t="s">
        <v>741</v>
      </c>
      <c r="J2008" t="str">
        <f>RIGHT(D2008,4)</f>
        <v>8126</v>
      </c>
      <c r="K2008" t="str">
        <f>IFERROR(VLOOKUP(VALUE(J2008),'Site Info'!$A:$G,3,FALSE),"")</f>
        <v>3570 W ALTON GLOOR BLVD</v>
      </c>
      <c r="L2008" t="str">
        <f>IFERROR(VLOOKUP(VALUE(J2008),'Site Info'!$A:$G,4,FALSE),"")</f>
        <v>BROWNSVILLE</v>
      </c>
      <c r="M2008" t="str">
        <f>IFERROR(VLOOKUP(VALUE(J2008),'Site Info'!$A:$G,5,FALSE),"")</f>
        <v>TX</v>
      </c>
      <c r="N2008" t="str">
        <f>IFERROR(VLOOKUP(VALUE(J2008),'Site Info'!$A:$G,6,FALSE),"")</f>
        <v>78520-9286</v>
      </c>
      <c r="O2008">
        <f>IFERROR(VLOOKUP(VALUE(J2008),'Site Info'!$A:$G,7,FALSE),"")</f>
        <v>9563506917</v>
      </c>
    </row>
    <row r="2009" spans="1:15" x14ac:dyDescent="0.45">
      <c r="A2009" t="s">
        <v>736</v>
      </c>
      <c r="B2009" t="s">
        <v>737</v>
      </c>
      <c r="C2009" t="s">
        <v>738</v>
      </c>
      <c r="D2009" t="s">
        <v>739</v>
      </c>
      <c r="E2009" s="1">
        <v>46153.31386574074</v>
      </c>
      <c r="F2009">
        <v>1481</v>
      </c>
      <c r="G2009" t="s">
        <v>740</v>
      </c>
      <c r="H2009" t="s">
        <v>15</v>
      </c>
      <c r="I2009" t="s">
        <v>741</v>
      </c>
      <c r="J2009" t="str">
        <f>RIGHT(D2009,4)</f>
        <v>8126</v>
      </c>
      <c r="K2009" t="str">
        <f>IFERROR(VLOOKUP(VALUE(J2009),'Site Info'!$A:$G,3,FALSE),"")</f>
        <v>3570 W ALTON GLOOR BLVD</v>
      </c>
      <c r="L2009" t="str">
        <f>IFERROR(VLOOKUP(VALUE(J2009),'Site Info'!$A:$G,4,FALSE),"")</f>
        <v>BROWNSVILLE</v>
      </c>
      <c r="M2009" t="str">
        <f>IFERROR(VLOOKUP(VALUE(J2009),'Site Info'!$A:$G,5,FALSE),"")</f>
        <v>TX</v>
      </c>
      <c r="N2009" t="str">
        <f>IFERROR(VLOOKUP(VALUE(J2009),'Site Info'!$A:$G,6,FALSE),"")</f>
        <v>78520-9286</v>
      </c>
      <c r="O2009">
        <f>IFERROR(VLOOKUP(VALUE(J2009),'Site Info'!$A:$G,7,FALSE),"")</f>
        <v>9563506917</v>
      </c>
    </row>
    <row r="2010" spans="1:15" x14ac:dyDescent="0.45">
      <c r="A2010" t="s">
        <v>12188</v>
      </c>
      <c r="B2010" t="s">
        <v>12189</v>
      </c>
      <c r="C2010" t="s">
        <v>12190</v>
      </c>
      <c r="D2010" t="s">
        <v>7508</v>
      </c>
      <c r="E2010" s="1">
        <v>46151.688935185186</v>
      </c>
      <c r="F2010">
        <v>1547</v>
      </c>
      <c r="G2010" t="s">
        <v>12191</v>
      </c>
      <c r="H2010" t="s">
        <v>15</v>
      </c>
      <c r="I2010" t="s">
        <v>7510</v>
      </c>
      <c r="J2010" t="str">
        <f>RIGHT(D2010,4)</f>
        <v>6658</v>
      </c>
      <c r="K2010" t="str">
        <f>IFERROR(VLOOKUP(VALUE(J2010),'Site Info'!$A:$G,3,FALSE),"")</f>
        <v>3600 ONEIL DR</v>
      </c>
      <c r="L2010" t="str">
        <f>IFERROR(VLOOKUP(VALUE(J2010),'Site Info'!$A:$G,4,FALSE),"")</f>
        <v>JACKSON</v>
      </c>
      <c r="M2010" t="str">
        <f>IFERROR(VLOOKUP(VALUE(J2010),'Site Info'!$A:$G,5,FALSE),"")</f>
        <v>MI</v>
      </c>
      <c r="N2010" t="str">
        <f>IFERROR(VLOOKUP(VALUE(J2010),'Site Info'!$A:$G,6,FALSE),"")</f>
        <v>49202-1857</v>
      </c>
      <c r="O2010">
        <f>IFERROR(VLOOKUP(VALUE(J2010),'Site Info'!$A:$G,7,FALSE),"")</f>
        <v>5177886075</v>
      </c>
    </row>
    <row r="2011" spans="1:15" x14ac:dyDescent="0.45">
      <c r="A2011" t="s">
        <v>7505</v>
      </c>
      <c r="B2011" t="s">
        <v>7506</v>
      </c>
      <c r="C2011" t="s">
        <v>7507</v>
      </c>
      <c r="D2011" t="s">
        <v>7508</v>
      </c>
      <c r="E2011" s="1">
        <v>46153.322337962964</v>
      </c>
      <c r="F2011">
        <v>1547</v>
      </c>
      <c r="G2011" t="s">
        <v>7509</v>
      </c>
      <c r="H2011" t="s">
        <v>15</v>
      </c>
      <c r="I2011" t="s">
        <v>7510</v>
      </c>
      <c r="J2011" t="str">
        <f>RIGHT(D2011,4)</f>
        <v>6658</v>
      </c>
      <c r="K2011" t="str">
        <f>IFERROR(VLOOKUP(VALUE(J2011),'Site Info'!$A:$G,3,FALSE),"")</f>
        <v>3600 ONEIL DR</v>
      </c>
      <c r="L2011" t="str">
        <f>IFERROR(VLOOKUP(VALUE(J2011),'Site Info'!$A:$G,4,FALSE),"")</f>
        <v>JACKSON</v>
      </c>
      <c r="M2011" t="str">
        <f>IFERROR(VLOOKUP(VALUE(J2011),'Site Info'!$A:$G,5,FALSE),"")</f>
        <v>MI</v>
      </c>
      <c r="N2011" t="str">
        <f>IFERROR(VLOOKUP(VALUE(J2011),'Site Info'!$A:$G,6,FALSE),"")</f>
        <v>49202-1857</v>
      </c>
      <c r="O2011">
        <f>IFERROR(VLOOKUP(VALUE(J2011),'Site Info'!$A:$G,7,FALSE),"")</f>
        <v>5177886075</v>
      </c>
    </row>
    <row r="2012" spans="1:15" x14ac:dyDescent="0.45">
      <c r="A2012" t="s">
        <v>13812</v>
      </c>
      <c r="B2012" t="s">
        <v>13813</v>
      </c>
      <c r="C2012" t="s">
        <v>13814</v>
      </c>
      <c r="D2012" t="s">
        <v>7508</v>
      </c>
      <c r="E2012" s="1">
        <v>46153.328067129631</v>
      </c>
      <c r="F2012">
        <v>1547</v>
      </c>
      <c r="G2012" t="s">
        <v>13815</v>
      </c>
      <c r="H2012" t="s">
        <v>15</v>
      </c>
      <c r="I2012" t="s">
        <v>7510</v>
      </c>
      <c r="J2012" t="str">
        <f>RIGHT(D2012,4)</f>
        <v>6658</v>
      </c>
      <c r="K2012" t="str">
        <f>IFERROR(VLOOKUP(VALUE(J2012),'Site Info'!$A:$G,3,FALSE),"")</f>
        <v>3600 ONEIL DR</v>
      </c>
      <c r="L2012" t="str">
        <f>IFERROR(VLOOKUP(VALUE(J2012),'Site Info'!$A:$G,4,FALSE),"")</f>
        <v>JACKSON</v>
      </c>
      <c r="M2012" t="str">
        <f>IFERROR(VLOOKUP(VALUE(J2012),'Site Info'!$A:$G,5,FALSE),"")</f>
        <v>MI</v>
      </c>
      <c r="N2012" t="str">
        <f>IFERROR(VLOOKUP(VALUE(J2012),'Site Info'!$A:$G,6,FALSE),"")</f>
        <v>49202-1857</v>
      </c>
      <c r="O2012">
        <f>IFERROR(VLOOKUP(VALUE(J2012),'Site Info'!$A:$G,7,FALSE),"")</f>
        <v>5177886075</v>
      </c>
    </row>
    <row r="2013" spans="1:15" x14ac:dyDescent="0.45">
      <c r="A2013" t="s">
        <v>12726</v>
      </c>
      <c r="B2013" t="s">
        <v>12727</v>
      </c>
      <c r="C2013" t="s">
        <v>12728</v>
      </c>
      <c r="D2013" t="s">
        <v>7508</v>
      </c>
      <c r="E2013" s="1">
        <v>46153.332199074073</v>
      </c>
      <c r="F2013">
        <v>1547</v>
      </c>
      <c r="G2013" t="s">
        <v>12729</v>
      </c>
      <c r="H2013" t="s">
        <v>15</v>
      </c>
      <c r="I2013" t="s">
        <v>7510</v>
      </c>
      <c r="J2013" t="str">
        <f>RIGHT(D2013,4)</f>
        <v>6658</v>
      </c>
      <c r="K2013" t="str">
        <f>IFERROR(VLOOKUP(VALUE(J2013),'Site Info'!$A:$G,3,FALSE),"")</f>
        <v>3600 ONEIL DR</v>
      </c>
      <c r="L2013" t="str">
        <f>IFERROR(VLOOKUP(VALUE(J2013),'Site Info'!$A:$G,4,FALSE),"")</f>
        <v>JACKSON</v>
      </c>
      <c r="M2013" t="str">
        <f>IFERROR(VLOOKUP(VALUE(J2013),'Site Info'!$A:$G,5,FALSE),"")</f>
        <v>MI</v>
      </c>
      <c r="N2013" t="str">
        <f>IFERROR(VLOOKUP(VALUE(J2013),'Site Info'!$A:$G,6,FALSE),"")</f>
        <v>49202-1857</v>
      </c>
      <c r="O2013">
        <f>IFERROR(VLOOKUP(VALUE(J2013),'Site Info'!$A:$G,7,FALSE),"")</f>
        <v>5177886075</v>
      </c>
    </row>
    <row r="2014" spans="1:15" x14ac:dyDescent="0.45">
      <c r="A2014" t="s">
        <v>13727</v>
      </c>
      <c r="B2014" t="s">
        <v>13728</v>
      </c>
      <c r="C2014" t="s">
        <v>13729</v>
      </c>
      <c r="D2014" t="s">
        <v>7508</v>
      </c>
      <c r="E2014" s="1">
        <v>46153.365949074076</v>
      </c>
      <c r="F2014">
        <v>1547</v>
      </c>
      <c r="G2014" t="s">
        <v>13730</v>
      </c>
      <c r="H2014" t="s">
        <v>15</v>
      </c>
      <c r="I2014" t="s">
        <v>7510</v>
      </c>
      <c r="J2014" t="str">
        <f>RIGHT(D2014,4)</f>
        <v>6658</v>
      </c>
      <c r="K2014" t="str">
        <f>IFERROR(VLOOKUP(VALUE(J2014),'Site Info'!$A:$G,3,FALSE),"")</f>
        <v>3600 ONEIL DR</v>
      </c>
      <c r="L2014" t="str">
        <f>IFERROR(VLOOKUP(VALUE(J2014),'Site Info'!$A:$G,4,FALSE),"")</f>
        <v>JACKSON</v>
      </c>
      <c r="M2014" t="str">
        <f>IFERROR(VLOOKUP(VALUE(J2014),'Site Info'!$A:$G,5,FALSE),"")</f>
        <v>MI</v>
      </c>
      <c r="N2014" t="str">
        <f>IFERROR(VLOOKUP(VALUE(J2014),'Site Info'!$A:$G,6,FALSE),"")</f>
        <v>49202-1857</v>
      </c>
      <c r="O2014">
        <f>IFERROR(VLOOKUP(VALUE(J2014),'Site Info'!$A:$G,7,FALSE),"")</f>
        <v>5177886075</v>
      </c>
    </row>
    <row r="2015" spans="1:15" x14ac:dyDescent="0.45">
      <c r="A2015" t="s">
        <v>16504</v>
      </c>
      <c r="B2015" t="s">
        <v>17025</v>
      </c>
      <c r="C2015" t="s">
        <v>17026</v>
      </c>
      <c r="D2015" t="s">
        <v>7508</v>
      </c>
      <c r="E2015" s="1">
        <v>46153.306817129633</v>
      </c>
      <c r="F2015">
        <v>1628</v>
      </c>
      <c r="G2015" t="s">
        <v>17027</v>
      </c>
      <c r="H2015" t="s">
        <v>13988</v>
      </c>
      <c r="I2015" t="s">
        <v>7510</v>
      </c>
      <c r="J2015" t="str">
        <f>RIGHT(D2015,4)</f>
        <v>6658</v>
      </c>
      <c r="K2015" t="str">
        <f>IFERROR(VLOOKUP(VALUE(J2015),'Site Info'!$A:$G,3,FALSE),"")</f>
        <v>3600 ONEIL DR</v>
      </c>
      <c r="L2015" t="str">
        <f>IFERROR(VLOOKUP(VALUE(J2015),'Site Info'!$A:$G,4,FALSE),"")</f>
        <v>JACKSON</v>
      </c>
      <c r="M2015" t="str">
        <f>IFERROR(VLOOKUP(VALUE(J2015),'Site Info'!$A:$G,5,FALSE),"")</f>
        <v>MI</v>
      </c>
      <c r="N2015" t="str">
        <f>IFERROR(VLOOKUP(VALUE(J2015),'Site Info'!$A:$G,6,FALSE),"")</f>
        <v>49202-1857</v>
      </c>
      <c r="O2015">
        <f>IFERROR(VLOOKUP(VALUE(J2015),'Site Info'!$A:$G,7,FALSE),"")</f>
        <v>5177886075</v>
      </c>
    </row>
    <row r="2016" spans="1:15" x14ac:dyDescent="0.45">
      <c r="A2016" t="s">
        <v>6625</v>
      </c>
      <c r="B2016" t="s">
        <v>6626</v>
      </c>
      <c r="C2016" t="s">
        <v>6627</v>
      </c>
      <c r="D2016" t="s">
        <v>6628</v>
      </c>
      <c r="E2016" s="1">
        <v>46151.331516203703</v>
      </c>
      <c r="F2016">
        <v>1547</v>
      </c>
      <c r="G2016" t="s">
        <v>6629</v>
      </c>
      <c r="H2016" t="s">
        <v>15</v>
      </c>
      <c r="I2016" t="s">
        <v>6630</v>
      </c>
      <c r="J2016" t="str">
        <f>RIGHT(D2016,4)</f>
        <v>8295</v>
      </c>
      <c r="K2016" t="str">
        <f>IFERROR(VLOOKUP(VALUE(J2016),'Site Info'!$A:$G,3,FALSE),"")</f>
        <v>3610 SAINT MICHAEL DR</v>
      </c>
      <c r="L2016" t="str">
        <f>IFERROR(VLOOKUP(VALUE(J2016),'Site Info'!$A:$G,4,FALSE),"")</f>
        <v>TEXARKANA</v>
      </c>
      <c r="M2016" t="str">
        <f>IFERROR(VLOOKUP(VALUE(J2016),'Site Info'!$A:$G,5,FALSE),"")</f>
        <v>TX</v>
      </c>
      <c r="N2016" t="str">
        <f>IFERROR(VLOOKUP(VALUE(J2016),'Site Info'!$A:$G,6,FALSE),"")</f>
        <v>75503-2341</v>
      </c>
      <c r="O2016">
        <f>IFERROR(VLOOKUP(VALUE(J2016),'Site Info'!$A:$G,7,FALSE),"")</f>
        <v>9038384338</v>
      </c>
    </row>
    <row r="2017" spans="1:15" x14ac:dyDescent="0.45">
      <c r="A2017" t="s">
        <v>12640</v>
      </c>
      <c r="B2017" t="s">
        <v>12641</v>
      </c>
      <c r="C2017" t="s">
        <v>12642</v>
      </c>
      <c r="D2017" t="s">
        <v>6628</v>
      </c>
      <c r="E2017" s="1">
        <v>46152.192997685182</v>
      </c>
      <c r="F2017">
        <v>1547</v>
      </c>
      <c r="G2017" t="s">
        <v>12643</v>
      </c>
      <c r="H2017" t="s">
        <v>15</v>
      </c>
      <c r="I2017" t="s">
        <v>6630</v>
      </c>
      <c r="J2017" t="str">
        <f>RIGHT(D2017,4)</f>
        <v>8295</v>
      </c>
      <c r="K2017" t="str">
        <f>IFERROR(VLOOKUP(VALUE(J2017),'Site Info'!$A:$G,3,FALSE),"")</f>
        <v>3610 SAINT MICHAEL DR</v>
      </c>
      <c r="L2017" t="str">
        <f>IFERROR(VLOOKUP(VALUE(J2017),'Site Info'!$A:$G,4,FALSE),"")</f>
        <v>TEXARKANA</v>
      </c>
      <c r="M2017" t="str">
        <f>IFERROR(VLOOKUP(VALUE(J2017),'Site Info'!$A:$G,5,FALSE),"")</f>
        <v>TX</v>
      </c>
      <c r="N2017" t="str">
        <f>IFERROR(VLOOKUP(VALUE(J2017),'Site Info'!$A:$G,6,FALSE),"")</f>
        <v>75503-2341</v>
      </c>
      <c r="O2017">
        <f>IFERROR(VLOOKUP(VALUE(J2017),'Site Info'!$A:$G,7,FALSE),"")</f>
        <v>9038384338</v>
      </c>
    </row>
    <row r="2018" spans="1:15" x14ac:dyDescent="0.45">
      <c r="A2018" t="s">
        <v>13283</v>
      </c>
      <c r="B2018" t="s">
        <v>13284</v>
      </c>
      <c r="C2018" t="s">
        <v>13285</v>
      </c>
      <c r="D2018" t="s">
        <v>6628</v>
      </c>
      <c r="E2018" s="1">
        <v>46152.844895833332</v>
      </c>
      <c r="F2018">
        <v>1547</v>
      </c>
      <c r="G2018" t="s">
        <v>13286</v>
      </c>
      <c r="H2018" t="s">
        <v>15</v>
      </c>
      <c r="I2018" t="s">
        <v>6630</v>
      </c>
      <c r="J2018" t="str">
        <f>RIGHT(D2018,4)</f>
        <v>8295</v>
      </c>
      <c r="K2018" t="str">
        <f>IFERROR(VLOOKUP(VALUE(J2018),'Site Info'!$A:$G,3,FALSE),"")</f>
        <v>3610 SAINT MICHAEL DR</v>
      </c>
      <c r="L2018" t="str">
        <f>IFERROR(VLOOKUP(VALUE(J2018),'Site Info'!$A:$G,4,FALSE),"")</f>
        <v>TEXARKANA</v>
      </c>
      <c r="M2018" t="str">
        <f>IFERROR(VLOOKUP(VALUE(J2018),'Site Info'!$A:$G,5,FALSE),"")</f>
        <v>TX</v>
      </c>
      <c r="N2018" t="str">
        <f>IFERROR(VLOOKUP(VALUE(J2018),'Site Info'!$A:$G,6,FALSE),"")</f>
        <v>75503-2341</v>
      </c>
      <c r="O2018">
        <f>IFERROR(VLOOKUP(VALUE(J2018),'Site Info'!$A:$G,7,FALSE),"")</f>
        <v>9038384338</v>
      </c>
    </row>
    <row r="2019" spans="1:15" x14ac:dyDescent="0.45">
      <c r="A2019" t="s">
        <v>12926</v>
      </c>
      <c r="B2019" t="s">
        <v>12927</v>
      </c>
      <c r="C2019" t="s">
        <v>12928</v>
      </c>
      <c r="D2019" t="s">
        <v>6628</v>
      </c>
      <c r="E2019" s="1">
        <v>46153.277604166666</v>
      </c>
      <c r="F2019">
        <v>1547</v>
      </c>
      <c r="G2019" t="s">
        <v>12929</v>
      </c>
      <c r="H2019" t="s">
        <v>15</v>
      </c>
      <c r="I2019" t="s">
        <v>6630</v>
      </c>
      <c r="J2019" t="str">
        <f>RIGHT(D2019,4)</f>
        <v>8295</v>
      </c>
      <c r="K2019" t="str">
        <f>IFERROR(VLOOKUP(VALUE(J2019),'Site Info'!$A:$G,3,FALSE),"")</f>
        <v>3610 SAINT MICHAEL DR</v>
      </c>
      <c r="L2019" t="str">
        <f>IFERROR(VLOOKUP(VALUE(J2019),'Site Info'!$A:$G,4,FALSE),"")</f>
        <v>TEXARKANA</v>
      </c>
      <c r="M2019" t="str">
        <f>IFERROR(VLOOKUP(VALUE(J2019),'Site Info'!$A:$G,5,FALSE),"")</f>
        <v>TX</v>
      </c>
      <c r="N2019" t="str">
        <f>IFERROR(VLOOKUP(VALUE(J2019),'Site Info'!$A:$G,6,FALSE),"")</f>
        <v>75503-2341</v>
      </c>
      <c r="O2019">
        <f>IFERROR(VLOOKUP(VALUE(J2019),'Site Info'!$A:$G,7,FALSE),"")</f>
        <v>9038384338</v>
      </c>
    </row>
    <row r="2020" spans="1:15" x14ac:dyDescent="0.45">
      <c r="A2020" t="s">
        <v>10452</v>
      </c>
      <c r="B2020" t="s">
        <v>10453</v>
      </c>
      <c r="C2020" t="s">
        <v>10454</v>
      </c>
      <c r="D2020" t="s">
        <v>455</v>
      </c>
      <c r="E2020" s="1">
        <v>46151.186666666668</v>
      </c>
      <c r="F2020">
        <v>1547</v>
      </c>
      <c r="G2020" t="s">
        <v>10455</v>
      </c>
      <c r="H2020" t="s">
        <v>15</v>
      </c>
      <c r="I2020" t="s">
        <v>457</v>
      </c>
      <c r="J2020" t="str">
        <f>RIGHT(D2020,4)</f>
        <v>6677</v>
      </c>
      <c r="K2020" t="str">
        <f>IFERROR(VLOOKUP(VALUE(J2020),'Site Info'!$A:$G,3,FALSE),"")</f>
        <v>3621 WILLIAM PENN HWY</v>
      </c>
      <c r="L2020" t="str">
        <f>IFERROR(VLOOKUP(VALUE(J2020),'Site Info'!$A:$G,4,FALSE),"")</f>
        <v>MONROEVILLE</v>
      </c>
      <c r="M2020" t="str">
        <f>IFERROR(VLOOKUP(VALUE(J2020),'Site Info'!$A:$G,5,FALSE),"")</f>
        <v>PA</v>
      </c>
      <c r="N2020" t="str">
        <f>IFERROR(VLOOKUP(VALUE(J2020),'Site Info'!$A:$G,6,FALSE),"")</f>
        <v>15146-2123</v>
      </c>
      <c r="O2020">
        <f>IFERROR(VLOOKUP(VALUE(J2020),'Site Info'!$A:$G,7,FALSE),"")</f>
        <v>4128567162</v>
      </c>
    </row>
    <row r="2021" spans="1:15" x14ac:dyDescent="0.45">
      <c r="A2021" t="s">
        <v>10384</v>
      </c>
      <c r="B2021" t="s">
        <v>10385</v>
      </c>
      <c r="C2021" t="s">
        <v>10386</v>
      </c>
      <c r="D2021" t="s">
        <v>455</v>
      </c>
      <c r="E2021" s="1">
        <v>46152.567511574074</v>
      </c>
      <c r="F2021">
        <v>1547</v>
      </c>
      <c r="G2021" t="s">
        <v>10387</v>
      </c>
      <c r="H2021" t="s">
        <v>15</v>
      </c>
      <c r="I2021" t="s">
        <v>457</v>
      </c>
      <c r="J2021" t="str">
        <f>RIGHT(D2021,4)</f>
        <v>6677</v>
      </c>
      <c r="K2021" t="str">
        <f>IFERROR(VLOOKUP(VALUE(J2021),'Site Info'!$A:$G,3,FALSE),"")</f>
        <v>3621 WILLIAM PENN HWY</v>
      </c>
      <c r="L2021" t="str">
        <f>IFERROR(VLOOKUP(VALUE(J2021),'Site Info'!$A:$G,4,FALSE),"")</f>
        <v>MONROEVILLE</v>
      </c>
      <c r="M2021" t="str">
        <f>IFERROR(VLOOKUP(VALUE(J2021),'Site Info'!$A:$G,5,FALSE),"")</f>
        <v>PA</v>
      </c>
      <c r="N2021" t="str">
        <f>IFERROR(VLOOKUP(VALUE(J2021),'Site Info'!$A:$G,6,FALSE),"")</f>
        <v>15146-2123</v>
      </c>
      <c r="O2021">
        <f>IFERROR(VLOOKUP(VALUE(J2021),'Site Info'!$A:$G,7,FALSE),"")</f>
        <v>4128567162</v>
      </c>
    </row>
    <row r="2022" spans="1:15" x14ac:dyDescent="0.45">
      <c r="A2022" t="s">
        <v>452</v>
      </c>
      <c r="B2022" t="s">
        <v>453</v>
      </c>
      <c r="C2022" t="s">
        <v>454</v>
      </c>
      <c r="D2022" t="s">
        <v>455</v>
      </c>
      <c r="E2022" s="1">
        <v>46149.644560185188</v>
      </c>
      <c r="F2022">
        <v>1481</v>
      </c>
      <c r="G2022" t="s">
        <v>456</v>
      </c>
      <c r="H2022" t="s">
        <v>15</v>
      </c>
      <c r="I2022" t="s">
        <v>457</v>
      </c>
      <c r="J2022" t="str">
        <f>RIGHT(D2022,4)</f>
        <v>6677</v>
      </c>
      <c r="K2022" t="str">
        <f>IFERROR(VLOOKUP(VALUE(J2022),'Site Info'!$A:$G,3,FALSE),"")</f>
        <v>3621 WILLIAM PENN HWY</v>
      </c>
      <c r="L2022" t="str">
        <f>IFERROR(VLOOKUP(VALUE(J2022),'Site Info'!$A:$G,4,FALSE),"")</f>
        <v>MONROEVILLE</v>
      </c>
      <c r="M2022" t="str">
        <f>IFERROR(VLOOKUP(VALUE(J2022),'Site Info'!$A:$G,5,FALSE),"")</f>
        <v>PA</v>
      </c>
      <c r="N2022" t="str">
        <f>IFERROR(VLOOKUP(VALUE(J2022),'Site Info'!$A:$G,6,FALSE),"")</f>
        <v>15146-2123</v>
      </c>
      <c r="O2022">
        <f>IFERROR(VLOOKUP(VALUE(J2022),'Site Info'!$A:$G,7,FALSE),"")</f>
        <v>4128567162</v>
      </c>
    </row>
    <row r="2023" spans="1:15" x14ac:dyDescent="0.45">
      <c r="A2023" t="s">
        <v>2925</v>
      </c>
      <c r="B2023" t="s">
        <v>2926</v>
      </c>
      <c r="C2023" t="s">
        <v>2927</v>
      </c>
      <c r="D2023" t="s">
        <v>455</v>
      </c>
      <c r="E2023" s="1">
        <v>46153.181701388887</v>
      </c>
      <c r="F2023">
        <v>1481</v>
      </c>
      <c r="G2023" t="s">
        <v>2928</v>
      </c>
      <c r="H2023" t="s">
        <v>15</v>
      </c>
      <c r="I2023" t="s">
        <v>457</v>
      </c>
      <c r="J2023" t="str">
        <f>RIGHT(D2023,4)</f>
        <v>6677</v>
      </c>
      <c r="K2023" t="str">
        <f>IFERROR(VLOOKUP(VALUE(J2023),'Site Info'!$A:$G,3,FALSE),"")</f>
        <v>3621 WILLIAM PENN HWY</v>
      </c>
      <c r="L2023" t="str">
        <f>IFERROR(VLOOKUP(VALUE(J2023),'Site Info'!$A:$G,4,FALSE),"")</f>
        <v>MONROEVILLE</v>
      </c>
      <c r="M2023" t="str">
        <f>IFERROR(VLOOKUP(VALUE(J2023),'Site Info'!$A:$G,5,FALSE),"")</f>
        <v>PA</v>
      </c>
      <c r="N2023" t="str">
        <f>IFERROR(VLOOKUP(VALUE(J2023),'Site Info'!$A:$G,6,FALSE),"")</f>
        <v>15146-2123</v>
      </c>
      <c r="O2023">
        <f>IFERROR(VLOOKUP(VALUE(J2023),'Site Info'!$A:$G,7,FALSE),"")</f>
        <v>4128567162</v>
      </c>
    </row>
    <row r="2024" spans="1:15" x14ac:dyDescent="0.45">
      <c r="A2024" t="s">
        <v>11944</v>
      </c>
      <c r="B2024" t="s">
        <v>11945</v>
      </c>
      <c r="C2024" t="s">
        <v>11946</v>
      </c>
      <c r="D2024" t="s">
        <v>379</v>
      </c>
      <c r="E2024" s="1">
        <v>46150.421527777777</v>
      </c>
      <c r="F2024">
        <v>1547</v>
      </c>
      <c r="G2024" t="s">
        <v>11947</v>
      </c>
      <c r="H2024" t="s">
        <v>15</v>
      </c>
      <c r="I2024" t="s">
        <v>381</v>
      </c>
      <c r="J2024" t="str">
        <f>RIGHT(D2024,4)</f>
        <v>8196</v>
      </c>
      <c r="K2024" t="str">
        <f>IFERROR(VLOOKUP(VALUE(J2024),'Site Info'!$A:$G,3,FALSE),"")</f>
        <v>364 COX CREEK PKWY</v>
      </c>
      <c r="L2024" t="str">
        <f>IFERROR(VLOOKUP(VALUE(J2024),'Site Info'!$A:$G,4,FALSE),"")</f>
        <v>FLORENCE</v>
      </c>
      <c r="M2024" t="str">
        <f>IFERROR(VLOOKUP(VALUE(J2024),'Site Info'!$A:$G,5,FALSE),"")</f>
        <v>AL</v>
      </c>
      <c r="N2024" t="str">
        <f>IFERROR(VLOOKUP(VALUE(J2024),'Site Info'!$A:$G,6,FALSE),"")</f>
        <v>35630-1540</v>
      </c>
      <c r="O2024">
        <f>IFERROR(VLOOKUP(VALUE(J2024),'Site Info'!$A:$G,7,FALSE),"")</f>
        <v>2567679960</v>
      </c>
    </row>
    <row r="2025" spans="1:15" x14ac:dyDescent="0.45">
      <c r="A2025" t="s">
        <v>12890</v>
      </c>
      <c r="B2025" t="s">
        <v>12891</v>
      </c>
      <c r="C2025" t="s">
        <v>12892</v>
      </c>
      <c r="D2025" t="s">
        <v>379</v>
      </c>
      <c r="E2025" s="1">
        <v>46152.671273148146</v>
      </c>
      <c r="F2025">
        <v>1547</v>
      </c>
      <c r="G2025" t="s">
        <v>12893</v>
      </c>
      <c r="H2025" t="s">
        <v>15</v>
      </c>
      <c r="I2025" t="s">
        <v>381</v>
      </c>
      <c r="J2025" t="str">
        <f>RIGHT(D2025,4)</f>
        <v>8196</v>
      </c>
      <c r="K2025" t="str">
        <f>IFERROR(VLOOKUP(VALUE(J2025),'Site Info'!$A:$G,3,FALSE),"")</f>
        <v>364 COX CREEK PKWY</v>
      </c>
      <c r="L2025" t="str">
        <f>IFERROR(VLOOKUP(VALUE(J2025),'Site Info'!$A:$G,4,FALSE),"")</f>
        <v>FLORENCE</v>
      </c>
      <c r="M2025" t="str">
        <f>IFERROR(VLOOKUP(VALUE(J2025),'Site Info'!$A:$G,5,FALSE),"")</f>
        <v>AL</v>
      </c>
      <c r="N2025" t="str">
        <f>IFERROR(VLOOKUP(VALUE(J2025),'Site Info'!$A:$G,6,FALSE),"")</f>
        <v>35630-1540</v>
      </c>
      <c r="O2025">
        <f>IFERROR(VLOOKUP(VALUE(J2025),'Site Info'!$A:$G,7,FALSE),"")</f>
        <v>2567679960</v>
      </c>
    </row>
    <row r="2026" spans="1:15" x14ac:dyDescent="0.45">
      <c r="A2026" t="s">
        <v>4892</v>
      </c>
      <c r="B2026" t="s">
        <v>4893</v>
      </c>
      <c r="C2026" t="s">
        <v>4894</v>
      </c>
      <c r="D2026" t="s">
        <v>379</v>
      </c>
      <c r="E2026" s="1">
        <v>46152.792743055557</v>
      </c>
      <c r="F2026">
        <v>1547</v>
      </c>
      <c r="G2026" t="s">
        <v>4895</v>
      </c>
      <c r="H2026" t="s">
        <v>15</v>
      </c>
      <c r="I2026" t="s">
        <v>381</v>
      </c>
      <c r="J2026" t="str">
        <f>RIGHT(D2026,4)</f>
        <v>8196</v>
      </c>
      <c r="K2026" t="str">
        <f>IFERROR(VLOOKUP(VALUE(J2026),'Site Info'!$A:$G,3,FALSE),"")</f>
        <v>364 COX CREEK PKWY</v>
      </c>
      <c r="L2026" t="str">
        <f>IFERROR(VLOOKUP(VALUE(J2026),'Site Info'!$A:$G,4,FALSE),"")</f>
        <v>FLORENCE</v>
      </c>
      <c r="M2026" t="str">
        <f>IFERROR(VLOOKUP(VALUE(J2026),'Site Info'!$A:$G,5,FALSE),"")</f>
        <v>AL</v>
      </c>
      <c r="N2026" t="str">
        <f>IFERROR(VLOOKUP(VALUE(J2026),'Site Info'!$A:$G,6,FALSE),"")</f>
        <v>35630-1540</v>
      </c>
      <c r="O2026">
        <f>IFERROR(VLOOKUP(VALUE(J2026),'Site Info'!$A:$G,7,FALSE),"")</f>
        <v>2567679960</v>
      </c>
    </row>
    <row r="2027" spans="1:15" x14ac:dyDescent="0.45">
      <c r="A2027" t="s">
        <v>12248</v>
      </c>
      <c r="B2027" t="s">
        <v>12249</v>
      </c>
      <c r="C2027" t="s">
        <v>12250</v>
      </c>
      <c r="D2027" t="s">
        <v>379</v>
      </c>
      <c r="E2027" s="1">
        <v>46153.357673611114</v>
      </c>
      <c r="F2027">
        <v>1547</v>
      </c>
      <c r="G2027" t="s">
        <v>12251</v>
      </c>
      <c r="H2027" t="s">
        <v>15</v>
      </c>
      <c r="I2027" t="s">
        <v>381</v>
      </c>
      <c r="J2027" t="str">
        <f>RIGHT(D2027,4)</f>
        <v>8196</v>
      </c>
      <c r="K2027" t="str">
        <f>IFERROR(VLOOKUP(VALUE(J2027),'Site Info'!$A:$G,3,FALSE),"")</f>
        <v>364 COX CREEK PKWY</v>
      </c>
      <c r="L2027" t="str">
        <f>IFERROR(VLOOKUP(VALUE(J2027),'Site Info'!$A:$G,4,FALSE),"")</f>
        <v>FLORENCE</v>
      </c>
      <c r="M2027" t="str">
        <f>IFERROR(VLOOKUP(VALUE(J2027),'Site Info'!$A:$G,5,FALSE),"")</f>
        <v>AL</v>
      </c>
      <c r="N2027" t="str">
        <f>IFERROR(VLOOKUP(VALUE(J2027),'Site Info'!$A:$G,6,FALSE),"")</f>
        <v>35630-1540</v>
      </c>
      <c r="O2027">
        <f>IFERROR(VLOOKUP(VALUE(J2027),'Site Info'!$A:$G,7,FALSE),"")</f>
        <v>2567679960</v>
      </c>
    </row>
    <row r="2028" spans="1:15" x14ac:dyDescent="0.45">
      <c r="A2028" t="s">
        <v>376</v>
      </c>
      <c r="B2028" t="s">
        <v>377</v>
      </c>
      <c r="C2028" t="s">
        <v>378</v>
      </c>
      <c r="D2028" t="s">
        <v>379</v>
      </c>
      <c r="E2028" s="1">
        <v>46150.965185185189</v>
      </c>
      <c r="F2028">
        <v>1481</v>
      </c>
      <c r="G2028" t="s">
        <v>380</v>
      </c>
      <c r="H2028" t="s">
        <v>15</v>
      </c>
      <c r="I2028" t="s">
        <v>381</v>
      </c>
      <c r="J2028" t="str">
        <f>RIGHT(D2028,4)</f>
        <v>8196</v>
      </c>
      <c r="K2028" t="str">
        <f>IFERROR(VLOOKUP(VALUE(J2028),'Site Info'!$A:$G,3,FALSE),"")</f>
        <v>364 COX CREEK PKWY</v>
      </c>
      <c r="L2028" t="str">
        <f>IFERROR(VLOOKUP(VALUE(J2028),'Site Info'!$A:$G,4,FALSE),"")</f>
        <v>FLORENCE</v>
      </c>
      <c r="M2028" t="str">
        <f>IFERROR(VLOOKUP(VALUE(J2028),'Site Info'!$A:$G,5,FALSE),"")</f>
        <v>AL</v>
      </c>
      <c r="N2028" t="str">
        <f>IFERROR(VLOOKUP(VALUE(J2028),'Site Info'!$A:$G,6,FALSE),"")</f>
        <v>35630-1540</v>
      </c>
      <c r="O2028">
        <f>IFERROR(VLOOKUP(VALUE(J2028),'Site Info'!$A:$G,7,FALSE),"")</f>
        <v>2567679960</v>
      </c>
    </row>
    <row r="2029" spans="1:15" x14ac:dyDescent="0.45">
      <c r="A2029" t="s">
        <v>3767</v>
      </c>
      <c r="B2029" t="s">
        <v>3768</v>
      </c>
      <c r="C2029" t="s">
        <v>3769</v>
      </c>
      <c r="D2029" t="s">
        <v>379</v>
      </c>
      <c r="E2029" s="1">
        <v>46152.870787037034</v>
      </c>
      <c r="F2029">
        <v>1481</v>
      </c>
      <c r="G2029" t="s">
        <v>3770</v>
      </c>
      <c r="H2029" t="s">
        <v>15</v>
      </c>
      <c r="I2029" t="s">
        <v>381</v>
      </c>
      <c r="J2029" t="str">
        <f>RIGHT(D2029,4)</f>
        <v>8196</v>
      </c>
      <c r="K2029" t="str">
        <f>IFERROR(VLOOKUP(VALUE(J2029),'Site Info'!$A:$G,3,FALSE),"")</f>
        <v>364 COX CREEK PKWY</v>
      </c>
      <c r="L2029" t="str">
        <f>IFERROR(VLOOKUP(VALUE(J2029),'Site Info'!$A:$G,4,FALSE),"")</f>
        <v>FLORENCE</v>
      </c>
      <c r="M2029" t="str">
        <f>IFERROR(VLOOKUP(VALUE(J2029),'Site Info'!$A:$G,5,FALSE),"")</f>
        <v>AL</v>
      </c>
      <c r="N2029" t="str">
        <f>IFERROR(VLOOKUP(VALUE(J2029),'Site Info'!$A:$G,6,FALSE),"")</f>
        <v>35630-1540</v>
      </c>
      <c r="O2029">
        <f>IFERROR(VLOOKUP(VALUE(J2029),'Site Info'!$A:$G,7,FALSE),"")</f>
        <v>2567679960</v>
      </c>
    </row>
    <row r="2030" spans="1:15" x14ac:dyDescent="0.45">
      <c r="A2030" t="s">
        <v>14241</v>
      </c>
      <c r="B2030" t="s">
        <v>14242</v>
      </c>
      <c r="C2030" t="s">
        <v>14243</v>
      </c>
      <c r="D2030" t="s">
        <v>3632</v>
      </c>
      <c r="E2030" s="1">
        <v>46153.39267361111</v>
      </c>
      <c r="F2030">
        <v>1863</v>
      </c>
      <c r="G2030" t="s">
        <v>14244</v>
      </c>
      <c r="H2030" t="s">
        <v>136</v>
      </c>
      <c r="I2030" t="s">
        <v>3634</v>
      </c>
      <c r="J2030" t="str">
        <f>RIGHT(D2030,4)</f>
        <v>8296</v>
      </c>
      <c r="K2030" t="str">
        <f>IFERROR(VLOOKUP(VALUE(J2030),'Site Info'!$A:$G,3,FALSE),"")</f>
        <v>3660 E SUNSHINE ST</v>
      </c>
      <c r="L2030" t="str">
        <f>IFERROR(VLOOKUP(VALUE(J2030),'Site Info'!$A:$G,4,FALSE),"")</f>
        <v>SPRINGFIELD</v>
      </c>
      <c r="M2030" t="str">
        <f>IFERROR(VLOOKUP(VALUE(J2030),'Site Info'!$A:$G,5,FALSE),"")</f>
        <v>MO</v>
      </c>
      <c r="N2030" t="str">
        <f>IFERROR(VLOOKUP(VALUE(J2030),'Site Info'!$A:$G,6,FALSE),"")</f>
        <v>65809-2820</v>
      </c>
      <c r="O2030">
        <f>IFERROR(VLOOKUP(VALUE(J2030),'Site Info'!$A:$G,7,FALSE),"")</f>
        <v>4178824487</v>
      </c>
    </row>
    <row r="2031" spans="1:15" x14ac:dyDescent="0.45">
      <c r="A2031" t="s">
        <v>7927</v>
      </c>
      <c r="B2031" t="s">
        <v>7928</v>
      </c>
      <c r="C2031" t="s">
        <v>7929</v>
      </c>
      <c r="D2031" t="s">
        <v>3632</v>
      </c>
      <c r="E2031" s="1">
        <v>46151.735034722224</v>
      </c>
      <c r="F2031">
        <v>1547</v>
      </c>
      <c r="G2031" t="s">
        <v>7930</v>
      </c>
      <c r="H2031" t="s">
        <v>15</v>
      </c>
      <c r="I2031" t="s">
        <v>3634</v>
      </c>
      <c r="J2031" t="str">
        <f>RIGHT(D2031,4)</f>
        <v>8296</v>
      </c>
      <c r="K2031" t="str">
        <f>IFERROR(VLOOKUP(VALUE(J2031),'Site Info'!$A:$G,3,FALSE),"")</f>
        <v>3660 E SUNSHINE ST</v>
      </c>
      <c r="L2031" t="str">
        <f>IFERROR(VLOOKUP(VALUE(J2031),'Site Info'!$A:$G,4,FALSE),"")</f>
        <v>SPRINGFIELD</v>
      </c>
      <c r="M2031" t="str">
        <f>IFERROR(VLOOKUP(VALUE(J2031),'Site Info'!$A:$G,5,FALSE),"")</f>
        <v>MO</v>
      </c>
      <c r="N2031" t="str">
        <f>IFERROR(VLOOKUP(VALUE(J2031),'Site Info'!$A:$G,6,FALSE),"")</f>
        <v>65809-2820</v>
      </c>
      <c r="O2031">
        <f>IFERROR(VLOOKUP(VALUE(J2031),'Site Info'!$A:$G,7,FALSE),"")</f>
        <v>4178824487</v>
      </c>
    </row>
    <row r="2032" spans="1:15" x14ac:dyDescent="0.45">
      <c r="A2032" t="s">
        <v>6911</v>
      </c>
      <c r="B2032" t="s">
        <v>6912</v>
      </c>
      <c r="C2032" t="s">
        <v>6913</v>
      </c>
      <c r="D2032" t="s">
        <v>3632</v>
      </c>
      <c r="E2032" s="1">
        <v>46151.854363425926</v>
      </c>
      <c r="F2032">
        <v>1547</v>
      </c>
      <c r="G2032" t="s">
        <v>6914</v>
      </c>
      <c r="H2032" t="s">
        <v>15</v>
      </c>
      <c r="I2032" t="s">
        <v>3634</v>
      </c>
      <c r="J2032" t="str">
        <f>RIGHT(D2032,4)</f>
        <v>8296</v>
      </c>
      <c r="K2032" t="str">
        <f>IFERROR(VLOOKUP(VALUE(J2032),'Site Info'!$A:$G,3,FALSE),"")</f>
        <v>3660 E SUNSHINE ST</v>
      </c>
      <c r="L2032" t="str">
        <f>IFERROR(VLOOKUP(VALUE(J2032),'Site Info'!$A:$G,4,FALSE),"")</f>
        <v>SPRINGFIELD</v>
      </c>
      <c r="M2032" t="str">
        <f>IFERROR(VLOOKUP(VALUE(J2032),'Site Info'!$A:$G,5,FALSE),"")</f>
        <v>MO</v>
      </c>
      <c r="N2032" t="str">
        <f>IFERROR(VLOOKUP(VALUE(J2032),'Site Info'!$A:$G,6,FALSE),"")</f>
        <v>65809-2820</v>
      </c>
      <c r="O2032">
        <f>IFERROR(VLOOKUP(VALUE(J2032),'Site Info'!$A:$G,7,FALSE),"")</f>
        <v>4178824487</v>
      </c>
    </row>
    <row r="2033" spans="1:15" x14ac:dyDescent="0.45">
      <c r="A2033" t="s">
        <v>7919</v>
      </c>
      <c r="B2033" t="s">
        <v>7920</v>
      </c>
      <c r="C2033" t="s">
        <v>7921</v>
      </c>
      <c r="D2033" t="s">
        <v>3632</v>
      </c>
      <c r="E2033" s="1">
        <v>46152.264872685184</v>
      </c>
      <c r="F2033">
        <v>1547</v>
      </c>
      <c r="G2033" t="s">
        <v>7922</v>
      </c>
      <c r="H2033" t="s">
        <v>15</v>
      </c>
      <c r="I2033" t="s">
        <v>3634</v>
      </c>
      <c r="J2033" t="str">
        <f>RIGHT(D2033,4)</f>
        <v>8296</v>
      </c>
      <c r="K2033" t="str">
        <f>IFERROR(VLOOKUP(VALUE(J2033),'Site Info'!$A:$G,3,FALSE),"")</f>
        <v>3660 E SUNSHINE ST</v>
      </c>
      <c r="L2033" t="str">
        <f>IFERROR(VLOOKUP(VALUE(J2033),'Site Info'!$A:$G,4,FALSE),"")</f>
        <v>SPRINGFIELD</v>
      </c>
      <c r="M2033" t="str">
        <f>IFERROR(VLOOKUP(VALUE(J2033),'Site Info'!$A:$G,5,FALSE),"")</f>
        <v>MO</v>
      </c>
      <c r="N2033" t="str">
        <f>IFERROR(VLOOKUP(VALUE(J2033),'Site Info'!$A:$G,6,FALSE),"")</f>
        <v>65809-2820</v>
      </c>
      <c r="O2033">
        <f>IFERROR(VLOOKUP(VALUE(J2033),'Site Info'!$A:$G,7,FALSE),"")</f>
        <v>4178824487</v>
      </c>
    </row>
    <row r="2034" spans="1:15" x14ac:dyDescent="0.45">
      <c r="A2034" t="s">
        <v>7761</v>
      </c>
      <c r="B2034" t="s">
        <v>7762</v>
      </c>
      <c r="C2034" t="s">
        <v>7763</v>
      </c>
      <c r="D2034" t="s">
        <v>3632</v>
      </c>
      <c r="E2034" s="1">
        <v>46152.733472222222</v>
      </c>
      <c r="F2034">
        <v>1547</v>
      </c>
      <c r="G2034" t="s">
        <v>7764</v>
      </c>
      <c r="H2034" t="s">
        <v>15</v>
      </c>
      <c r="I2034" t="s">
        <v>3634</v>
      </c>
      <c r="J2034" t="str">
        <f>RIGHT(D2034,4)</f>
        <v>8296</v>
      </c>
      <c r="K2034" t="str">
        <f>IFERROR(VLOOKUP(VALUE(J2034),'Site Info'!$A:$G,3,FALSE),"")</f>
        <v>3660 E SUNSHINE ST</v>
      </c>
      <c r="L2034" t="str">
        <f>IFERROR(VLOOKUP(VALUE(J2034),'Site Info'!$A:$G,4,FALSE),"")</f>
        <v>SPRINGFIELD</v>
      </c>
      <c r="M2034" t="str">
        <f>IFERROR(VLOOKUP(VALUE(J2034),'Site Info'!$A:$G,5,FALSE),"")</f>
        <v>MO</v>
      </c>
      <c r="N2034" t="str">
        <f>IFERROR(VLOOKUP(VALUE(J2034),'Site Info'!$A:$G,6,FALSE),"")</f>
        <v>65809-2820</v>
      </c>
      <c r="O2034">
        <f>IFERROR(VLOOKUP(VALUE(J2034),'Site Info'!$A:$G,7,FALSE),"")</f>
        <v>4178824487</v>
      </c>
    </row>
    <row r="2035" spans="1:15" x14ac:dyDescent="0.45">
      <c r="A2035" t="s">
        <v>8289</v>
      </c>
      <c r="B2035" t="s">
        <v>8290</v>
      </c>
      <c r="C2035" t="s">
        <v>8291</v>
      </c>
      <c r="D2035" t="s">
        <v>3632</v>
      </c>
      <c r="E2035" s="1">
        <v>46152.874363425923</v>
      </c>
      <c r="F2035">
        <v>1547</v>
      </c>
      <c r="G2035" t="s">
        <v>8292</v>
      </c>
      <c r="H2035" t="s">
        <v>15</v>
      </c>
      <c r="I2035" t="s">
        <v>3634</v>
      </c>
      <c r="J2035" t="str">
        <f>RIGHT(D2035,4)</f>
        <v>8296</v>
      </c>
      <c r="K2035" t="str">
        <f>IFERROR(VLOOKUP(VALUE(J2035),'Site Info'!$A:$G,3,FALSE),"")</f>
        <v>3660 E SUNSHINE ST</v>
      </c>
      <c r="L2035" t="str">
        <f>IFERROR(VLOOKUP(VALUE(J2035),'Site Info'!$A:$G,4,FALSE),"")</f>
        <v>SPRINGFIELD</v>
      </c>
      <c r="M2035" t="str">
        <f>IFERROR(VLOOKUP(VALUE(J2035),'Site Info'!$A:$G,5,FALSE),"")</f>
        <v>MO</v>
      </c>
      <c r="N2035" t="str">
        <f>IFERROR(VLOOKUP(VALUE(J2035),'Site Info'!$A:$G,6,FALSE),"")</f>
        <v>65809-2820</v>
      </c>
      <c r="O2035">
        <f>IFERROR(VLOOKUP(VALUE(J2035),'Site Info'!$A:$G,7,FALSE),"")</f>
        <v>4178824487</v>
      </c>
    </row>
    <row r="2036" spans="1:15" x14ac:dyDescent="0.45">
      <c r="A2036" t="s">
        <v>8099</v>
      </c>
      <c r="B2036" t="s">
        <v>8100</v>
      </c>
      <c r="C2036" t="s">
        <v>8101</v>
      </c>
      <c r="D2036" t="s">
        <v>3632</v>
      </c>
      <c r="E2036" s="1">
        <v>46153.178229166668</v>
      </c>
      <c r="F2036">
        <v>1547</v>
      </c>
      <c r="G2036" t="s">
        <v>8102</v>
      </c>
      <c r="H2036" t="s">
        <v>15</v>
      </c>
      <c r="I2036" t="s">
        <v>3634</v>
      </c>
      <c r="J2036" t="str">
        <f>RIGHT(D2036,4)</f>
        <v>8296</v>
      </c>
      <c r="K2036" t="str">
        <f>IFERROR(VLOOKUP(VALUE(J2036),'Site Info'!$A:$G,3,FALSE),"")</f>
        <v>3660 E SUNSHINE ST</v>
      </c>
      <c r="L2036" t="str">
        <f>IFERROR(VLOOKUP(VALUE(J2036),'Site Info'!$A:$G,4,FALSE),"")</f>
        <v>SPRINGFIELD</v>
      </c>
      <c r="M2036" t="str">
        <f>IFERROR(VLOOKUP(VALUE(J2036),'Site Info'!$A:$G,5,FALSE),"")</f>
        <v>MO</v>
      </c>
      <c r="N2036" t="str">
        <f>IFERROR(VLOOKUP(VALUE(J2036),'Site Info'!$A:$G,6,FALSE),"")</f>
        <v>65809-2820</v>
      </c>
      <c r="O2036">
        <f>IFERROR(VLOOKUP(VALUE(J2036),'Site Info'!$A:$G,7,FALSE),"")</f>
        <v>4178824487</v>
      </c>
    </row>
    <row r="2037" spans="1:15" x14ac:dyDescent="0.45">
      <c r="A2037" t="s">
        <v>3629</v>
      </c>
      <c r="B2037" t="s">
        <v>3630</v>
      </c>
      <c r="C2037" t="s">
        <v>3631</v>
      </c>
      <c r="D2037" t="s">
        <v>3632</v>
      </c>
      <c r="E2037" s="1">
        <v>46153.318611111114</v>
      </c>
      <c r="F2037">
        <v>1481</v>
      </c>
      <c r="G2037" t="s">
        <v>3633</v>
      </c>
      <c r="H2037" t="s">
        <v>15</v>
      </c>
      <c r="I2037" t="s">
        <v>3634</v>
      </c>
      <c r="J2037" t="str">
        <f>RIGHT(D2037,4)</f>
        <v>8296</v>
      </c>
      <c r="K2037" t="str">
        <f>IFERROR(VLOOKUP(VALUE(J2037),'Site Info'!$A:$G,3,FALSE),"")</f>
        <v>3660 E SUNSHINE ST</v>
      </c>
      <c r="L2037" t="str">
        <f>IFERROR(VLOOKUP(VALUE(J2037),'Site Info'!$A:$G,4,FALSE),"")</f>
        <v>SPRINGFIELD</v>
      </c>
      <c r="M2037" t="str">
        <f>IFERROR(VLOOKUP(VALUE(J2037),'Site Info'!$A:$G,5,FALSE),"")</f>
        <v>MO</v>
      </c>
      <c r="N2037" t="str">
        <f>IFERROR(VLOOKUP(VALUE(J2037),'Site Info'!$A:$G,6,FALSE),"")</f>
        <v>65809-2820</v>
      </c>
      <c r="O2037">
        <f>IFERROR(VLOOKUP(VALUE(J2037),'Site Info'!$A:$G,7,FALSE),"")</f>
        <v>4178824487</v>
      </c>
    </row>
    <row r="2038" spans="1:15" x14ac:dyDescent="0.45">
      <c r="A2038" t="s">
        <v>8841</v>
      </c>
      <c r="B2038" t="s">
        <v>8842</v>
      </c>
      <c r="C2038" t="s">
        <v>8843</v>
      </c>
      <c r="D2038" t="s">
        <v>6862</v>
      </c>
      <c r="E2038" s="1">
        <v>46151.29115740741</v>
      </c>
      <c r="F2038">
        <v>1548</v>
      </c>
      <c r="G2038" t="s">
        <v>8844</v>
      </c>
      <c r="H2038" t="s">
        <v>15</v>
      </c>
      <c r="I2038" t="s">
        <v>6864</v>
      </c>
      <c r="J2038" t="str">
        <f>RIGHT(D2038,4)</f>
        <v>4947</v>
      </c>
      <c r="K2038" t="str">
        <f>IFERROR(VLOOKUP(VALUE(J2038),'Site Info'!$A:$G,3,FALSE),"")</f>
        <v>3724 NORTHPOINTE DR</v>
      </c>
      <c r="L2038" t="str">
        <f>IFERROR(VLOOKUP(VALUE(J2038),'Site Info'!$A:$G,4,FALSE),"")</f>
        <v>ZANESVILLE</v>
      </c>
      <c r="M2038" t="str">
        <f>IFERROR(VLOOKUP(VALUE(J2038),'Site Info'!$A:$G,5,FALSE),"")</f>
        <v>OH</v>
      </c>
      <c r="N2038" t="str">
        <f>IFERROR(VLOOKUP(VALUE(J2038),'Site Info'!$A:$G,6,FALSE),"")</f>
        <v>43701-1768</v>
      </c>
      <c r="O2038">
        <f>IFERROR(VLOOKUP(VALUE(J2038),'Site Info'!$A:$G,7,FALSE),"")</f>
        <v>7404527183</v>
      </c>
    </row>
    <row r="2039" spans="1:15" x14ac:dyDescent="0.45">
      <c r="A2039" t="s">
        <v>6859</v>
      </c>
      <c r="B2039" t="s">
        <v>6860</v>
      </c>
      <c r="C2039" t="s">
        <v>6861</v>
      </c>
      <c r="D2039" t="s">
        <v>6862</v>
      </c>
      <c r="E2039" s="1">
        <v>46150.843298611115</v>
      </c>
      <c r="F2039">
        <v>1547</v>
      </c>
      <c r="G2039" t="s">
        <v>6863</v>
      </c>
      <c r="H2039" t="s">
        <v>15</v>
      </c>
      <c r="I2039" t="s">
        <v>6864</v>
      </c>
      <c r="J2039" t="str">
        <f>RIGHT(D2039,4)</f>
        <v>4947</v>
      </c>
      <c r="K2039" t="str">
        <f>IFERROR(VLOOKUP(VALUE(J2039),'Site Info'!$A:$G,3,FALSE),"")</f>
        <v>3724 NORTHPOINTE DR</v>
      </c>
      <c r="L2039" t="str">
        <f>IFERROR(VLOOKUP(VALUE(J2039),'Site Info'!$A:$G,4,FALSE),"")</f>
        <v>ZANESVILLE</v>
      </c>
      <c r="M2039" t="str">
        <f>IFERROR(VLOOKUP(VALUE(J2039),'Site Info'!$A:$G,5,FALSE),"")</f>
        <v>OH</v>
      </c>
      <c r="N2039" t="str">
        <f>IFERROR(VLOOKUP(VALUE(J2039),'Site Info'!$A:$G,6,FALSE),"")</f>
        <v>43701-1768</v>
      </c>
      <c r="O2039">
        <f>IFERROR(VLOOKUP(VALUE(J2039),'Site Info'!$A:$G,7,FALSE),"")</f>
        <v>7404527183</v>
      </c>
    </row>
    <row r="2040" spans="1:15" x14ac:dyDescent="0.45">
      <c r="A2040" t="s">
        <v>7065</v>
      </c>
      <c r="B2040" t="s">
        <v>7066</v>
      </c>
      <c r="C2040" t="s">
        <v>7067</v>
      </c>
      <c r="D2040" t="s">
        <v>6862</v>
      </c>
      <c r="E2040" s="1">
        <v>46152.577291666668</v>
      </c>
      <c r="F2040">
        <v>1547</v>
      </c>
      <c r="G2040" t="s">
        <v>7068</v>
      </c>
      <c r="H2040" t="s">
        <v>15</v>
      </c>
      <c r="I2040" t="s">
        <v>6864</v>
      </c>
      <c r="J2040" t="str">
        <f>RIGHT(D2040,4)</f>
        <v>4947</v>
      </c>
      <c r="K2040" t="str">
        <f>IFERROR(VLOOKUP(VALUE(J2040),'Site Info'!$A:$G,3,FALSE),"")</f>
        <v>3724 NORTHPOINTE DR</v>
      </c>
      <c r="L2040" t="str">
        <f>IFERROR(VLOOKUP(VALUE(J2040),'Site Info'!$A:$G,4,FALSE),"")</f>
        <v>ZANESVILLE</v>
      </c>
      <c r="M2040" t="str">
        <f>IFERROR(VLOOKUP(VALUE(J2040),'Site Info'!$A:$G,5,FALSE),"")</f>
        <v>OH</v>
      </c>
      <c r="N2040" t="str">
        <f>IFERROR(VLOOKUP(VALUE(J2040),'Site Info'!$A:$G,6,FALSE),"")</f>
        <v>43701-1768</v>
      </c>
      <c r="O2040">
        <f>IFERROR(VLOOKUP(VALUE(J2040),'Site Info'!$A:$G,7,FALSE),"")</f>
        <v>7404527183</v>
      </c>
    </row>
    <row r="2041" spans="1:15" x14ac:dyDescent="0.45">
      <c r="A2041" t="s">
        <v>8773</v>
      </c>
      <c r="B2041" t="s">
        <v>8774</v>
      </c>
      <c r="C2041" t="s">
        <v>8775</v>
      </c>
      <c r="D2041" t="s">
        <v>6862</v>
      </c>
      <c r="E2041" s="1">
        <v>46153.234039351853</v>
      </c>
      <c r="F2041">
        <v>1547</v>
      </c>
      <c r="G2041" t="s">
        <v>8776</v>
      </c>
      <c r="H2041" t="s">
        <v>15</v>
      </c>
      <c r="I2041" t="s">
        <v>6864</v>
      </c>
      <c r="J2041" t="str">
        <f>RIGHT(D2041,4)</f>
        <v>4947</v>
      </c>
      <c r="K2041" t="str">
        <f>IFERROR(VLOOKUP(VALUE(J2041),'Site Info'!$A:$G,3,FALSE),"")</f>
        <v>3724 NORTHPOINTE DR</v>
      </c>
      <c r="L2041" t="str">
        <f>IFERROR(VLOOKUP(VALUE(J2041),'Site Info'!$A:$G,4,FALSE),"")</f>
        <v>ZANESVILLE</v>
      </c>
      <c r="M2041" t="str">
        <f>IFERROR(VLOOKUP(VALUE(J2041),'Site Info'!$A:$G,5,FALSE),"")</f>
        <v>OH</v>
      </c>
      <c r="N2041" t="str">
        <f>IFERROR(VLOOKUP(VALUE(J2041),'Site Info'!$A:$G,6,FALSE),"")</f>
        <v>43701-1768</v>
      </c>
      <c r="O2041">
        <f>IFERROR(VLOOKUP(VALUE(J2041),'Site Info'!$A:$G,7,FALSE),"")</f>
        <v>7404527183</v>
      </c>
    </row>
    <row r="2042" spans="1:15" x14ac:dyDescent="0.45">
      <c r="A2042" t="s">
        <v>6919</v>
      </c>
      <c r="B2042" t="s">
        <v>6920</v>
      </c>
      <c r="C2042" t="s">
        <v>6921</v>
      </c>
      <c r="D2042" t="s">
        <v>6862</v>
      </c>
      <c r="E2042" s="1">
        <v>46153.321527777778</v>
      </c>
      <c r="F2042">
        <v>1547</v>
      </c>
      <c r="G2042" t="s">
        <v>6922</v>
      </c>
      <c r="H2042" t="s">
        <v>15</v>
      </c>
      <c r="I2042" t="s">
        <v>6864</v>
      </c>
      <c r="J2042" t="str">
        <f>RIGHT(D2042,4)</f>
        <v>4947</v>
      </c>
      <c r="K2042" t="str">
        <f>IFERROR(VLOOKUP(VALUE(J2042),'Site Info'!$A:$G,3,FALSE),"")</f>
        <v>3724 NORTHPOINTE DR</v>
      </c>
      <c r="L2042" t="str">
        <f>IFERROR(VLOOKUP(VALUE(J2042),'Site Info'!$A:$G,4,FALSE),"")</f>
        <v>ZANESVILLE</v>
      </c>
      <c r="M2042" t="str">
        <f>IFERROR(VLOOKUP(VALUE(J2042),'Site Info'!$A:$G,5,FALSE),"")</f>
        <v>OH</v>
      </c>
      <c r="N2042" t="str">
        <f>IFERROR(VLOOKUP(VALUE(J2042),'Site Info'!$A:$G,6,FALSE),"")</f>
        <v>43701-1768</v>
      </c>
      <c r="O2042">
        <f>IFERROR(VLOOKUP(VALUE(J2042),'Site Info'!$A:$G,7,FALSE),"")</f>
        <v>7404527183</v>
      </c>
    </row>
    <row r="2043" spans="1:15" x14ac:dyDescent="0.45">
      <c r="A2043" t="s">
        <v>6144</v>
      </c>
      <c r="B2043" t="s">
        <v>6145</v>
      </c>
      <c r="C2043" t="s">
        <v>6146</v>
      </c>
      <c r="D2043" t="s">
        <v>615</v>
      </c>
      <c r="E2043" s="1">
        <v>46152.473564814813</v>
      </c>
      <c r="F2043">
        <v>1548</v>
      </c>
      <c r="G2043" t="s">
        <v>6147</v>
      </c>
      <c r="H2043" t="s">
        <v>15</v>
      </c>
      <c r="I2043" t="s">
        <v>617</v>
      </c>
      <c r="J2043" t="str">
        <f>RIGHT(D2043,4)</f>
        <v>6673</v>
      </c>
      <c r="K2043" t="str">
        <f>IFERROR(VLOOKUP(VALUE(J2043),'Site Info'!$A:$G,3,FALSE),"")</f>
        <v>3735 UNION RD</v>
      </c>
      <c r="L2043" t="str">
        <f>IFERROR(VLOOKUP(VALUE(J2043),'Site Info'!$A:$G,4,FALSE),"")</f>
        <v>CHEEKTOWAGA</v>
      </c>
      <c r="M2043" t="str">
        <f>IFERROR(VLOOKUP(VALUE(J2043),'Site Info'!$A:$G,5,FALSE),"")</f>
        <v>NY</v>
      </c>
      <c r="N2043" t="str">
        <f>IFERROR(VLOOKUP(VALUE(J2043),'Site Info'!$A:$G,6,FALSE),"")</f>
        <v>14225-4200</v>
      </c>
      <c r="O2043">
        <f>IFERROR(VLOOKUP(VALUE(J2043),'Site Info'!$A:$G,7,FALSE),"")</f>
        <v>7166810402</v>
      </c>
    </row>
    <row r="2044" spans="1:15" x14ac:dyDescent="0.45">
      <c r="A2044" t="s">
        <v>9399</v>
      </c>
      <c r="B2044" t="s">
        <v>9400</v>
      </c>
      <c r="C2044" t="s">
        <v>9401</v>
      </c>
      <c r="D2044" t="s">
        <v>615</v>
      </c>
      <c r="E2044" s="1">
        <v>46151.457592592589</v>
      </c>
      <c r="F2044">
        <v>1547</v>
      </c>
      <c r="G2044" t="s">
        <v>9402</v>
      </c>
      <c r="H2044" t="s">
        <v>15</v>
      </c>
      <c r="I2044" t="s">
        <v>617</v>
      </c>
      <c r="J2044" t="str">
        <f>RIGHT(D2044,4)</f>
        <v>6673</v>
      </c>
      <c r="K2044" t="str">
        <f>IFERROR(VLOOKUP(VALUE(J2044),'Site Info'!$A:$G,3,FALSE),"")</f>
        <v>3735 UNION RD</v>
      </c>
      <c r="L2044" t="str">
        <f>IFERROR(VLOOKUP(VALUE(J2044),'Site Info'!$A:$G,4,FALSE),"")</f>
        <v>CHEEKTOWAGA</v>
      </c>
      <c r="M2044" t="str">
        <f>IFERROR(VLOOKUP(VALUE(J2044),'Site Info'!$A:$G,5,FALSE),"")</f>
        <v>NY</v>
      </c>
      <c r="N2044" t="str">
        <f>IFERROR(VLOOKUP(VALUE(J2044),'Site Info'!$A:$G,6,FALSE),"")</f>
        <v>14225-4200</v>
      </c>
      <c r="O2044">
        <f>IFERROR(VLOOKUP(VALUE(J2044),'Site Info'!$A:$G,7,FALSE),"")</f>
        <v>7166810402</v>
      </c>
    </row>
    <row r="2045" spans="1:15" x14ac:dyDescent="0.45">
      <c r="A2045" t="s">
        <v>12252</v>
      </c>
      <c r="B2045" t="s">
        <v>12253</v>
      </c>
      <c r="C2045" t="s">
        <v>12254</v>
      </c>
      <c r="D2045" t="s">
        <v>615</v>
      </c>
      <c r="E2045" s="1">
        <v>46152.759791666664</v>
      </c>
      <c r="F2045">
        <v>1547</v>
      </c>
      <c r="G2045" t="s">
        <v>12255</v>
      </c>
      <c r="H2045" t="s">
        <v>15</v>
      </c>
      <c r="I2045" t="s">
        <v>617</v>
      </c>
      <c r="J2045" t="str">
        <f>RIGHT(D2045,4)</f>
        <v>6673</v>
      </c>
      <c r="K2045" t="str">
        <f>IFERROR(VLOOKUP(VALUE(J2045),'Site Info'!$A:$G,3,FALSE),"")</f>
        <v>3735 UNION RD</v>
      </c>
      <c r="L2045" t="str">
        <f>IFERROR(VLOOKUP(VALUE(J2045),'Site Info'!$A:$G,4,FALSE),"")</f>
        <v>CHEEKTOWAGA</v>
      </c>
      <c r="M2045" t="str">
        <f>IFERROR(VLOOKUP(VALUE(J2045),'Site Info'!$A:$G,5,FALSE),"")</f>
        <v>NY</v>
      </c>
      <c r="N2045" t="str">
        <f>IFERROR(VLOOKUP(VALUE(J2045),'Site Info'!$A:$G,6,FALSE),"")</f>
        <v>14225-4200</v>
      </c>
      <c r="O2045">
        <f>IFERROR(VLOOKUP(VALUE(J2045),'Site Info'!$A:$G,7,FALSE),"")</f>
        <v>7166810402</v>
      </c>
    </row>
    <row r="2046" spans="1:15" x14ac:dyDescent="0.45">
      <c r="A2046" t="s">
        <v>6250</v>
      </c>
      <c r="B2046" t="s">
        <v>6251</v>
      </c>
      <c r="C2046" t="s">
        <v>6252</v>
      </c>
      <c r="D2046" t="s">
        <v>615</v>
      </c>
      <c r="E2046" s="1">
        <v>46153.035995370374</v>
      </c>
      <c r="F2046">
        <v>1547</v>
      </c>
      <c r="G2046" t="s">
        <v>6253</v>
      </c>
      <c r="H2046" t="s">
        <v>15</v>
      </c>
      <c r="I2046" t="s">
        <v>617</v>
      </c>
      <c r="J2046" t="str">
        <f>RIGHT(D2046,4)</f>
        <v>6673</v>
      </c>
      <c r="K2046" t="str">
        <f>IFERROR(VLOOKUP(VALUE(J2046),'Site Info'!$A:$G,3,FALSE),"")</f>
        <v>3735 UNION RD</v>
      </c>
      <c r="L2046" t="str">
        <f>IFERROR(VLOOKUP(VALUE(J2046),'Site Info'!$A:$G,4,FALSE),"")</f>
        <v>CHEEKTOWAGA</v>
      </c>
      <c r="M2046" t="str">
        <f>IFERROR(VLOOKUP(VALUE(J2046),'Site Info'!$A:$G,5,FALSE),"")</f>
        <v>NY</v>
      </c>
      <c r="N2046" t="str">
        <f>IFERROR(VLOOKUP(VALUE(J2046),'Site Info'!$A:$G,6,FALSE),"")</f>
        <v>14225-4200</v>
      </c>
      <c r="O2046">
        <f>IFERROR(VLOOKUP(VALUE(J2046),'Site Info'!$A:$G,7,FALSE),"")</f>
        <v>7166810402</v>
      </c>
    </row>
    <row r="2047" spans="1:15" x14ac:dyDescent="0.45">
      <c r="A2047" t="s">
        <v>9954</v>
      </c>
      <c r="B2047" t="s">
        <v>9955</v>
      </c>
      <c r="C2047" t="s">
        <v>9956</v>
      </c>
      <c r="D2047" t="s">
        <v>615</v>
      </c>
      <c r="E2047" s="1">
        <v>46153.259594907409</v>
      </c>
      <c r="F2047">
        <v>1547</v>
      </c>
      <c r="G2047" t="s">
        <v>9957</v>
      </c>
      <c r="H2047" t="s">
        <v>15</v>
      </c>
      <c r="I2047" t="s">
        <v>617</v>
      </c>
      <c r="J2047" t="str">
        <f>RIGHT(D2047,4)</f>
        <v>6673</v>
      </c>
      <c r="K2047" t="str">
        <f>IFERROR(VLOOKUP(VALUE(J2047),'Site Info'!$A:$G,3,FALSE),"")</f>
        <v>3735 UNION RD</v>
      </c>
      <c r="L2047" t="str">
        <f>IFERROR(VLOOKUP(VALUE(J2047),'Site Info'!$A:$G,4,FALSE),"")</f>
        <v>CHEEKTOWAGA</v>
      </c>
      <c r="M2047" t="str">
        <f>IFERROR(VLOOKUP(VALUE(J2047),'Site Info'!$A:$G,5,FALSE),"")</f>
        <v>NY</v>
      </c>
      <c r="N2047" t="str">
        <f>IFERROR(VLOOKUP(VALUE(J2047),'Site Info'!$A:$G,6,FALSE),"")</f>
        <v>14225-4200</v>
      </c>
      <c r="O2047">
        <f>IFERROR(VLOOKUP(VALUE(J2047),'Site Info'!$A:$G,7,FALSE),"")</f>
        <v>7166810402</v>
      </c>
    </row>
    <row r="2048" spans="1:15" x14ac:dyDescent="0.45">
      <c r="A2048" t="s">
        <v>612</v>
      </c>
      <c r="B2048" t="s">
        <v>613</v>
      </c>
      <c r="C2048" t="s">
        <v>614</v>
      </c>
      <c r="D2048" t="s">
        <v>615</v>
      </c>
      <c r="E2048" s="1">
        <v>46153.144328703704</v>
      </c>
      <c r="F2048">
        <v>1481</v>
      </c>
      <c r="G2048" t="s">
        <v>616</v>
      </c>
      <c r="H2048" t="s">
        <v>15</v>
      </c>
      <c r="I2048" t="s">
        <v>617</v>
      </c>
      <c r="J2048" t="str">
        <f>RIGHT(D2048,4)</f>
        <v>6673</v>
      </c>
      <c r="K2048" t="str">
        <f>IFERROR(VLOOKUP(VALUE(J2048),'Site Info'!$A:$G,3,FALSE),"")</f>
        <v>3735 UNION RD</v>
      </c>
      <c r="L2048" t="str">
        <f>IFERROR(VLOOKUP(VALUE(J2048),'Site Info'!$A:$G,4,FALSE),"")</f>
        <v>CHEEKTOWAGA</v>
      </c>
      <c r="M2048" t="str">
        <f>IFERROR(VLOOKUP(VALUE(J2048),'Site Info'!$A:$G,5,FALSE),"")</f>
        <v>NY</v>
      </c>
      <c r="N2048" t="str">
        <f>IFERROR(VLOOKUP(VALUE(J2048),'Site Info'!$A:$G,6,FALSE),"")</f>
        <v>14225-4200</v>
      </c>
      <c r="O2048">
        <f>IFERROR(VLOOKUP(VALUE(J2048),'Site Info'!$A:$G,7,FALSE),"")</f>
        <v>7166810402</v>
      </c>
    </row>
    <row r="2049" spans="1:15" x14ac:dyDescent="0.45">
      <c r="A2049" t="s">
        <v>3149</v>
      </c>
      <c r="B2049" t="s">
        <v>3150</v>
      </c>
      <c r="C2049" t="s">
        <v>3151</v>
      </c>
      <c r="D2049" t="s">
        <v>615</v>
      </c>
      <c r="E2049" s="1">
        <v>46153.17869212963</v>
      </c>
      <c r="F2049">
        <v>1481</v>
      </c>
      <c r="G2049" t="s">
        <v>3152</v>
      </c>
      <c r="H2049" t="s">
        <v>15</v>
      </c>
      <c r="I2049" t="s">
        <v>617</v>
      </c>
      <c r="J2049" t="str">
        <f>RIGHT(D2049,4)</f>
        <v>6673</v>
      </c>
      <c r="K2049" t="str">
        <f>IFERROR(VLOOKUP(VALUE(J2049),'Site Info'!$A:$G,3,FALSE),"")</f>
        <v>3735 UNION RD</v>
      </c>
      <c r="L2049" t="str">
        <f>IFERROR(VLOOKUP(VALUE(J2049),'Site Info'!$A:$G,4,FALSE),"")</f>
        <v>CHEEKTOWAGA</v>
      </c>
      <c r="M2049" t="str">
        <f>IFERROR(VLOOKUP(VALUE(J2049),'Site Info'!$A:$G,5,FALSE),"")</f>
        <v>NY</v>
      </c>
      <c r="N2049" t="str">
        <f>IFERROR(VLOOKUP(VALUE(J2049),'Site Info'!$A:$G,6,FALSE),"")</f>
        <v>14225-4200</v>
      </c>
      <c r="O2049">
        <f>IFERROR(VLOOKUP(VALUE(J2049),'Site Info'!$A:$G,7,FALSE),"")</f>
        <v>7166810402</v>
      </c>
    </row>
    <row r="2050" spans="1:15" x14ac:dyDescent="0.45">
      <c r="A2050" t="s">
        <v>6631</v>
      </c>
      <c r="B2050" t="s">
        <v>6632</v>
      </c>
      <c r="C2050" t="s">
        <v>6633</v>
      </c>
      <c r="D2050" t="s">
        <v>1665</v>
      </c>
      <c r="E2050" s="1">
        <v>46153.12537037037</v>
      </c>
      <c r="F2050">
        <v>1547</v>
      </c>
      <c r="G2050" t="s">
        <v>6634</v>
      </c>
      <c r="H2050" t="s">
        <v>15</v>
      </c>
      <c r="I2050" t="s">
        <v>1667</v>
      </c>
      <c r="J2050" t="str">
        <f>RIGHT(D2050,4)</f>
        <v>6404</v>
      </c>
      <c r="K2050" t="str">
        <f>IFERROR(VLOOKUP(VALUE(J2050),'Site Info'!$A:$G,3,FALSE),"")</f>
        <v>3750 W MARKET ST UNIT J</v>
      </c>
      <c r="L2050" t="str">
        <f>IFERROR(VLOOKUP(VALUE(J2050),'Site Info'!$A:$G,4,FALSE),"")</f>
        <v>FAIRLAWN</v>
      </c>
      <c r="M2050" t="str">
        <f>IFERROR(VLOOKUP(VALUE(J2050),'Site Info'!$A:$G,5,FALSE),"")</f>
        <v>OH</v>
      </c>
      <c r="N2050" t="str">
        <f>IFERROR(VLOOKUP(VALUE(J2050),'Site Info'!$A:$G,6,FALSE),"")</f>
        <v>44333-4802</v>
      </c>
      <c r="O2050">
        <f>IFERROR(VLOOKUP(VALUE(J2050),'Site Info'!$A:$G,7,FALSE),"")</f>
        <v>3306655336</v>
      </c>
    </row>
    <row r="2051" spans="1:15" x14ac:dyDescent="0.45">
      <c r="A2051" t="s">
        <v>9155</v>
      </c>
      <c r="B2051" t="s">
        <v>9156</v>
      </c>
      <c r="C2051" t="s">
        <v>9157</v>
      </c>
      <c r="D2051" t="s">
        <v>1665</v>
      </c>
      <c r="E2051" s="1">
        <v>46153.275312500002</v>
      </c>
      <c r="F2051">
        <v>1547</v>
      </c>
      <c r="G2051" t="s">
        <v>9158</v>
      </c>
      <c r="H2051" t="s">
        <v>15</v>
      </c>
      <c r="I2051" t="s">
        <v>1667</v>
      </c>
      <c r="J2051" t="str">
        <f>RIGHT(D2051,4)</f>
        <v>6404</v>
      </c>
      <c r="K2051" t="str">
        <f>IFERROR(VLOOKUP(VALUE(J2051),'Site Info'!$A:$G,3,FALSE),"")</f>
        <v>3750 W MARKET ST UNIT J</v>
      </c>
      <c r="L2051" t="str">
        <f>IFERROR(VLOOKUP(VALUE(J2051),'Site Info'!$A:$G,4,FALSE),"")</f>
        <v>FAIRLAWN</v>
      </c>
      <c r="M2051" t="str">
        <f>IFERROR(VLOOKUP(VALUE(J2051),'Site Info'!$A:$G,5,FALSE),"")</f>
        <v>OH</v>
      </c>
      <c r="N2051" t="str">
        <f>IFERROR(VLOOKUP(VALUE(J2051),'Site Info'!$A:$G,6,FALSE),"")</f>
        <v>44333-4802</v>
      </c>
      <c r="O2051">
        <f>IFERROR(VLOOKUP(VALUE(J2051),'Site Info'!$A:$G,7,FALSE),"")</f>
        <v>3306655336</v>
      </c>
    </row>
    <row r="2052" spans="1:15" x14ac:dyDescent="0.45">
      <c r="A2052" t="s">
        <v>7973</v>
      </c>
      <c r="B2052" t="s">
        <v>7974</v>
      </c>
      <c r="C2052" t="s">
        <v>7975</v>
      </c>
      <c r="D2052" t="s">
        <v>1665</v>
      </c>
      <c r="E2052" s="1">
        <v>46153.320335648146</v>
      </c>
      <c r="F2052">
        <v>1547</v>
      </c>
      <c r="G2052" t="s">
        <v>7976</v>
      </c>
      <c r="H2052" t="s">
        <v>15</v>
      </c>
      <c r="I2052" t="s">
        <v>1667</v>
      </c>
      <c r="J2052" t="str">
        <f>RIGHT(D2052,4)</f>
        <v>6404</v>
      </c>
      <c r="K2052" t="str">
        <f>IFERROR(VLOOKUP(VALUE(J2052),'Site Info'!$A:$G,3,FALSE),"")</f>
        <v>3750 W MARKET ST UNIT J</v>
      </c>
      <c r="L2052" t="str">
        <f>IFERROR(VLOOKUP(VALUE(J2052),'Site Info'!$A:$G,4,FALSE),"")</f>
        <v>FAIRLAWN</v>
      </c>
      <c r="M2052" t="str">
        <f>IFERROR(VLOOKUP(VALUE(J2052),'Site Info'!$A:$G,5,FALSE),"")</f>
        <v>OH</v>
      </c>
      <c r="N2052" t="str">
        <f>IFERROR(VLOOKUP(VALUE(J2052),'Site Info'!$A:$G,6,FALSE),"")</f>
        <v>44333-4802</v>
      </c>
      <c r="O2052">
        <f>IFERROR(VLOOKUP(VALUE(J2052),'Site Info'!$A:$G,7,FALSE),"")</f>
        <v>3306655336</v>
      </c>
    </row>
    <row r="2053" spans="1:15" x14ac:dyDescent="0.45">
      <c r="A2053" t="s">
        <v>8769</v>
      </c>
      <c r="B2053" t="s">
        <v>8770</v>
      </c>
      <c r="C2053" t="s">
        <v>8771</v>
      </c>
      <c r="D2053" t="s">
        <v>1665</v>
      </c>
      <c r="E2053" s="1">
        <v>46153.359594907408</v>
      </c>
      <c r="F2053">
        <v>1547</v>
      </c>
      <c r="G2053" t="s">
        <v>8772</v>
      </c>
      <c r="H2053" t="s">
        <v>15</v>
      </c>
      <c r="I2053" t="s">
        <v>1667</v>
      </c>
      <c r="J2053" t="str">
        <f>RIGHT(D2053,4)</f>
        <v>6404</v>
      </c>
      <c r="K2053" t="str">
        <f>IFERROR(VLOOKUP(VALUE(J2053),'Site Info'!$A:$G,3,FALSE),"")</f>
        <v>3750 W MARKET ST UNIT J</v>
      </c>
      <c r="L2053" t="str">
        <f>IFERROR(VLOOKUP(VALUE(J2053),'Site Info'!$A:$G,4,FALSE),"")</f>
        <v>FAIRLAWN</v>
      </c>
      <c r="M2053" t="str">
        <f>IFERROR(VLOOKUP(VALUE(J2053),'Site Info'!$A:$G,5,FALSE),"")</f>
        <v>OH</v>
      </c>
      <c r="N2053" t="str">
        <f>IFERROR(VLOOKUP(VALUE(J2053),'Site Info'!$A:$G,6,FALSE),"")</f>
        <v>44333-4802</v>
      </c>
      <c r="O2053">
        <f>IFERROR(VLOOKUP(VALUE(J2053),'Site Info'!$A:$G,7,FALSE),"")</f>
        <v>3306655336</v>
      </c>
    </row>
    <row r="2054" spans="1:15" x14ac:dyDescent="0.45">
      <c r="A2054" t="s">
        <v>8973</v>
      </c>
      <c r="B2054" t="s">
        <v>8974</v>
      </c>
      <c r="C2054" t="s">
        <v>8975</v>
      </c>
      <c r="D2054" t="s">
        <v>1665</v>
      </c>
      <c r="E2054" s="1">
        <v>46153.363692129627</v>
      </c>
      <c r="F2054">
        <v>1547</v>
      </c>
      <c r="G2054" t="s">
        <v>8976</v>
      </c>
      <c r="H2054" t="s">
        <v>15</v>
      </c>
      <c r="I2054" t="s">
        <v>1667</v>
      </c>
      <c r="J2054" t="str">
        <f>RIGHT(D2054,4)</f>
        <v>6404</v>
      </c>
      <c r="K2054" t="str">
        <f>IFERROR(VLOOKUP(VALUE(J2054),'Site Info'!$A:$G,3,FALSE),"")</f>
        <v>3750 W MARKET ST UNIT J</v>
      </c>
      <c r="L2054" t="str">
        <f>IFERROR(VLOOKUP(VALUE(J2054),'Site Info'!$A:$G,4,FALSE),"")</f>
        <v>FAIRLAWN</v>
      </c>
      <c r="M2054" t="str">
        <f>IFERROR(VLOOKUP(VALUE(J2054),'Site Info'!$A:$G,5,FALSE),"")</f>
        <v>OH</v>
      </c>
      <c r="N2054" t="str">
        <f>IFERROR(VLOOKUP(VALUE(J2054),'Site Info'!$A:$G,6,FALSE),"")</f>
        <v>44333-4802</v>
      </c>
      <c r="O2054">
        <f>IFERROR(VLOOKUP(VALUE(J2054),'Site Info'!$A:$G,7,FALSE),"")</f>
        <v>3306655336</v>
      </c>
    </row>
    <row r="2055" spans="1:15" x14ac:dyDescent="0.45">
      <c r="A2055" t="s">
        <v>8837</v>
      </c>
      <c r="B2055" t="s">
        <v>8838</v>
      </c>
      <c r="C2055" t="s">
        <v>8839</v>
      </c>
      <c r="D2055" t="s">
        <v>1665</v>
      </c>
      <c r="E2055" s="1">
        <v>46153.366678240738</v>
      </c>
      <c r="F2055">
        <v>1547</v>
      </c>
      <c r="G2055" t="s">
        <v>8840</v>
      </c>
      <c r="H2055" t="s">
        <v>15</v>
      </c>
      <c r="I2055" t="s">
        <v>1667</v>
      </c>
      <c r="J2055" t="str">
        <f>RIGHT(D2055,4)</f>
        <v>6404</v>
      </c>
      <c r="K2055" t="str">
        <f>IFERROR(VLOOKUP(VALUE(J2055),'Site Info'!$A:$G,3,FALSE),"")</f>
        <v>3750 W MARKET ST UNIT J</v>
      </c>
      <c r="L2055" t="str">
        <f>IFERROR(VLOOKUP(VALUE(J2055),'Site Info'!$A:$G,4,FALSE),"")</f>
        <v>FAIRLAWN</v>
      </c>
      <c r="M2055" t="str">
        <f>IFERROR(VLOOKUP(VALUE(J2055),'Site Info'!$A:$G,5,FALSE),"")</f>
        <v>OH</v>
      </c>
      <c r="N2055" t="str">
        <f>IFERROR(VLOOKUP(VALUE(J2055),'Site Info'!$A:$G,6,FALSE),"")</f>
        <v>44333-4802</v>
      </c>
      <c r="O2055">
        <f>IFERROR(VLOOKUP(VALUE(J2055),'Site Info'!$A:$G,7,FALSE),"")</f>
        <v>3306655336</v>
      </c>
    </row>
    <row r="2056" spans="1:15" x14ac:dyDescent="0.45">
      <c r="A2056" t="s">
        <v>3045</v>
      </c>
      <c r="B2056" t="s">
        <v>3046</v>
      </c>
      <c r="C2056" t="s">
        <v>3047</v>
      </c>
      <c r="D2056" t="s">
        <v>1665</v>
      </c>
      <c r="E2056" s="1">
        <v>46151.18509259259</v>
      </c>
      <c r="F2056">
        <v>1481</v>
      </c>
      <c r="G2056" t="s">
        <v>3048</v>
      </c>
      <c r="H2056" t="s">
        <v>15</v>
      </c>
      <c r="I2056" t="s">
        <v>1667</v>
      </c>
      <c r="J2056" t="str">
        <f>RIGHT(D2056,4)</f>
        <v>6404</v>
      </c>
      <c r="K2056" t="str">
        <f>IFERROR(VLOOKUP(VALUE(J2056),'Site Info'!$A:$G,3,FALSE),"")</f>
        <v>3750 W MARKET ST UNIT J</v>
      </c>
      <c r="L2056" t="str">
        <f>IFERROR(VLOOKUP(VALUE(J2056),'Site Info'!$A:$G,4,FALSE),"")</f>
        <v>FAIRLAWN</v>
      </c>
      <c r="M2056" t="str">
        <f>IFERROR(VLOOKUP(VALUE(J2056),'Site Info'!$A:$G,5,FALSE),"")</f>
        <v>OH</v>
      </c>
      <c r="N2056" t="str">
        <f>IFERROR(VLOOKUP(VALUE(J2056),'Site Info'!$A:$G,6,FALSE),"")</f>
        <v>44333-4802</v>
      </c>
      <c r="O2056">
        <f>IFERROR(VLOOKUP(VALUE(J2056),'Site Info'!$A:$G,7,FALSE),"")</f>
        <v>3306655336</v>
      </c>
    </row>
    <row r="2057" spans="1:15" x14ac:dyDescent="0.45">
      <c r="A2057" t="s">
        <v>1662</v>
      </c>
      <c r="B2057" t="s">
        <v>1663</v>
      </c>
      <c r="C2057" t="s">
        <v>1664</v>
      </c>
      <c r="D2057" t="s">
        <v>1665</v>
      </c>
      <c r="E2057" s="1">
        <v>46151.528356481482</v>
      </c>
      <c r="F2057">
        <v>1481</v>
      </c>
      <c r="G2057" t="s">
        <v>1666</v>
      </c>
      <c r="H2057" t="s">
        <v>15</v>
      </c>
      <c r="I2057" t="s">
        <v>1667</v>
      </c>
      <c r="J2057" t="str">
        <f>RIGHT(D2057,4)</f>
        <v>6404</v>
      </c>
      <c r="K2057" t="str">
        <f>IFERROR(VLOOKUP(VALUE(J2057),'Site Info'!$A:$G,3,FALSE),"")</f>
        <v>3750 W MARKET ST UNIT J</v>
      </c>
      <c r="L2057" t="str">
        <f>IFERROR(VLOOKUP(VALUE(J2057),'Site Info'!$A:$G,4,FALSE),"")</f>
        <v>FAIRLAWN</v>
      </c>
      <c r="M2057" t="str">
        <f>IFERROR(VLOOKUP(VALUE(J2057),'Site Info'!$A:$G,5,FALSE),"")</f>
        <v>OH</v>
      </c>
      <c r="N2057" t="str">
        <f>IFERROR(VLOOKUP(VALUE(J2057),'Site Info'!$A:$G,6,FALSE),"")</f>
        <v>44333-4802</v>
      </c>
      <c r="O2057">
        <f>IFERROR(VLOOKUP(VALUE(J2057),'Site Info'!$A:$G,7,FALSE),"")</f>
        <v>3306655336</v>
      </c>
    </row>
    <row r="2058" spans="1:15" x14ac:dyDescent="0.45">
      <c r="A2058" t="s">
        <v>2020</v>
      </c>
      <c r="B2058" t="s">
        <v>2021</v>
      </c>
      <c r="C2058" t="s">
        <v>2022</v>
      </c>
      <c r="D2058" t="s">
        <v>1665</v>
      </c>
      <c r="E2058" s="1">
        <v>46152.830810185187</v>
      </c>
      <c r="F2058">
        <v>1481</v>
      </c>
      <c r="G2058" t="s">
        <v>2023</v>
      </c>
      <c r="H2058" t="s">
        <v>15</v>
      </c>
      <c r="I2058" t="s">
        <v>1667</v>
      </c>
      <c r="J2058" t="str">
        <f>RIGHT(D2058,4)</f>
        <v>6404</v>
      </c>
      <c r="K2058" t="str">
        <f>IFERROR(VLOOKUP(VALUE(J2058),'Site Info'!$A:$G,3,FALSE),"")</f>
        <v>3750 W MARKET ST UNIT J</v>
      </c>
      <c r="L2058" t="str">
        <f>IFERROR(VLOOKUP(VALUE(J2058),'Site Info'!$A:$G,4,FALSE),"")</f>
        <v>FAIRLAWN</v>
      </c>
      <c r="M2058" t="str">
        <f>IFERROR(VLOOKUP(VALUE(J2058),'Site Info'!$A:$G,5,FALSE),"")</f>
        <v>OH</v>
      </c>
      <c r="N2058" t="str">
        <f>IFERROR(VLOOKUP(VALUE(J2058),'Site Info'!$A:$G,6,FALSE),"")</f>
        <v>44333-4802</v>
      </c>
      <c r="O2058">
        <f>IFERROR(VLOOKUP(VALUE(J2058),'Site Info'!$A:$G,7,FALSE),"")</f>
        <v>3306655336</v>
      </c>
    </row>
    <row r="2059" spans="1:15" x14ac:dyDescent="0.45">
      <c r="A2059" t="s">
        <v>16493</v>
      </c>
      <c r="B2059" t="s">
        <v>16821</v>
      </c>
      <c r="C2059" t="s">
        <v>16822</v>
      </c>
      <c r="D2059" t="s">
        <v>1665</v>
      </c>
      <c r="E2059" s="1">
        <v>46150.892731481479</v>
      </c>
      <c r="F2059">
        <v>1628</v>
      </c>
      <c r="G2059" t="s">
        <v>16823</v>
      </c>
      <c r="H2059" t="s">
        <v>13988</v>
      </c>
      <c r="I2059" t="s">
        <v>1667</v>
      </c>
      <c r="J2059" t="str">
        <f>RIGHT(D2059,4)</f>
        <v>6404</v>
      </c>
      <c r="K2059" t="str">
        <f>IFERROR(VLOOKUP(VALUE(J2059),'Site Info'!$A:$G,3,FALSE),"")</f>
        <v>3750 W MARKET ST UNIT J</v>
      </c>
      <c r="L2059" t="str">
        <f>IFERROR(VLOOKUP(VALUE(J2059),'Site Info'!$A:$G,4,FALSE),"")</f>
        <v>FAIRLAWN</v>
      </c>
      <c r="M2059" t="str">
        <f>IFERROR(VLOOKUP(VALUE(J2059),'Site Info'!$A:$G,5,FALSE),"")</f>
        <v>OH</v>
      </c>
      <c r="N2059" t="str">
        <f>IFERROR(VLOOKUP(VALUE(J2059),'Site Info'!$A:$G,6,FALSE),"")</f>
        <v>44333-4802</v>
      </c>
      <c r="O2059">
        <f>IFERROR(VLOOKUP(VALUE(J2059),'Site Info'!$A:$G,7,FALSE),"")</f>
        <v>3306655336</v>
      </c>
    </row>
    <row r="2060" spans="1:15" x14ac:dyDescent="0.45">
      <c r="A2060" t="s">
        <v>16504</v>
      </c>
      <c r="B2060" t="s">
        <v>16824</v>
      </c>
      <c r="C2060" t="s">
        <v>16825</v>
      </c>
      <c r="D2060" t="s">
        <v>1665</v>
      </c>
      <c r="E2060" s="1">
        <v>46153.30431712963</v>
      </c>
      <c r="F2060">
        <v>1628</v>
      </c>
      <c r="G2060" t="s">
        <v>16826</v>
      </c>
      <c r="H2060" t="s">
        <v>13988</v>
      </c>
      <c r="I2060" t="s">
        <v>1667</v>
      </c>
      <c r="J2060" t="str">
        <f>RIGHT(D2060,4)</f>
        <v>6404</v>
      </c>
      <c r="K2060" t="str">
        <f>IFERROR(VLOOKUP(VALUE(J2060),'Site Info'!$A:$G,3,FALSE),"")</f>
        <v>3750 W MARKET ST UNIT J</v>
      </c>
      <c r="L2060" t="str">
        <f>IFERROR(VLOOKUP(VALUE(J2060),'Site Info'!$A:$G,4,FALSE),"")</f>
        <v>FAIRLAWN</v>
      </c>
      <c r="M2060" t="str">
        <f>IFERROR(VLOOKUP(VALUE(J2060),'Site Info'!$A:$G,5,FALSE),"")</f>
        <v>OH</v>
      </c>
      <c r="N2060" t="str">
        <f>IFERROR(VLOOKUP(VALUE(J2060),'Site Info'!$A:$G,6,FALSE),"")</f>
        <v>44333-4802</v>
      </c>
      <c r="O2060">
        <f>IFERROR(VLOOKUP(VALUE(J2060),'Site Info'!$A:$G,7,FALSE),"")</f>
        <v>3306655336</v>
      </c>
    </row>
    <row r="2061" spans="1:15" x14ac:dyDescent="0.45">
      <c r="A2061" t="s">
        <v>8583</v>
      </c>
      <c r="B2061" t="s">
        <v>8584</v>
      </c>
      <c r="C2061" t="s">
        <v>8585</v>
      </c>
      <c r="D2061" t="s">
        <v>21</v>
      </c>
      <c r="E2061" s="1">
        <v>46153.295358796298</v>
      </c>
      <c r="F2061">
        <v>1547</v>
      </c>
      <c r="G2061" t="s">
        <v>8586</v>
      </c>
      <c r="H2061" t="s">
        <v>15</v>
      </c>
      <c r="I2061" t="s">
        <v>23</v>
      </c>
      <c r="J2061" t="str">
        <f>RIGHT(D2061,4)</f>
        <v>6567</v>
      </c>
      <c r="K2061" t="str">
        <f>IFERROR(VLOOKUP(VALUE(J2061),'Site Info'!$A:$G,3,FALSE),"")</f>
        <v>3796 EASTON NAZARETH HWY</v>
      </c>
      <c r="L2061" t="str">
        <f>IFERROR(VLOOKUP(VALUE(J2061),'Site Info'!$A:$G,4,FALSE),"")</f>
        <v>EASTON</v>
      </c>
      <c r="M2061" t="str">
        <f>IFERROR(VLOOKUP(VALUE(J2061),'Site Info'!$A:$G,5,FALSE),"")</f>
        <v>PA</v>
      </c>
      <c r="N2061" t="str">
        <f>IFERROR(VLOOKUP(VALUE(J2061),'Site Info'!$A:$G,6,FALSE),"")</f>
        <v>18045-8340</v>
      </c>
      <c r="O2061">
        <f>IFERROR(VLOOKUP(VALUE(J2061),'Site Info'!$A:$G,7,FALSE),"")</f>
        <v>6109237350</v>
      </c>
    </row>
    <row r="2062" spans="1:15" x14ac:dyDescent="0.45">
      <c r="A2062" t="s">
        <v>8689</v>
      </c>
      <c r="B2062" t="s">
        <v>8690</v>
      </c>
      <c r="C2062" t="s">
        <v>8691</v>
      </c>
      <c r="D2062" t="s">
        <v>21</v>
      </c>
      <c r="E2062" s="1">
        <v>46153.299340277779</v>
      </c>
      <c r="F2062">
        <v>1547</v>
      </c>
      <c r="G2062" t="s">
        <v>8692</v>
      </c>
      <c r="H2062" t="s">
        <v>15</v>
      </c>
      <c r="I2062" t="s">
        <v>23</v>
      </c>
      <c r="J2062" t="str">
        <f>RIGHT(D2062,4)</f>
        <v>6567</v>
      </c>
      <c r="K2062" t="str">
        <f>IFERROR(VLOOKUP(VALUE(J2062),'Site Info'!$A:$G,3,FALSE),"")</f>
        <v>3796 EASTON NAZARETH HWY</v>
      </c>
      <c r="L2062" t="str">
        <f>IFERROR(VLOOKUP(VALUE(J2062),'Site Info'!$A:$G,4,FALSE),"")</f>
        <v>EASTON</v>
      </c>
      <c r="M2062" t="str">
        <f>IFERROR(VLOOKUP(VALUE(J2062),'Site Info'!$A:$G,5,FALSE),"")</f>
        <v>PA</v>
      </c>
      <c r="N2062" t="str">
        <f>IFERROR(VLOOKUP(VALUE(J2062),'Site Info'!$A:$G,6,FALSE),"")</f>
        <v>18045-8340</v>
      </c>
      <c r="O2062">
        <f>IFERROR(VLOOKUP(VALUE(J2062),'Site Info'!$A:$G,7,FALSE),"")</f>
        <v>6109237350</v>
      </c>
    </row>
    <row r="2063" spans="1:15" x14ac:dyDescent="0.45">
      <c r="A2063" t="s">
        <v>18</v>
      </c>
      <c r="B2063" t="s">
        <v>19</v>
      </c>
      <c r="C2063" t="s">
        <v>20</v>
      </c>
      <c r="D2063" t="s">
        <v>21</v>
      </c>
      <c r="E2063" s="1">
        <v>46152.135162037041</v>
      </c>
      <c r="F2063">
        <v>1481</v>
      </c>
      <c r="G2063" t="s">
        <v>22</v>
      </c>
      <c r="H2063" t="s">
        <v>15</v>
      </c>
      <c r="I2063" t="s">
        <v>23</v>
      </c>
      <c r="J2063" t="str">
        <f>RIGHT(D2063,4)</f>
        <v>6567</v>
      </c>
      <c r="K2063" t="str">
        <f>IFERROR(VLOOKUP(VALUE(J2063),'Site Info'!$A:$G,3,FALSE),"")</f>
        <v>3796 EASTON NAZARETH HWY</v>
      </c>
      <c r="L2063" t="str">
        <f>IFERROR(VLOOKUP(VALUE(J2063),'Site Info'!$A:$G,4,FALSE),"")</f>
        <v>EASTON</v>
      </c>
      <c r="M2063" t="str">
        <f>IFERROR(VLOOKUP(VALUE(J2063),'Site Info'!$A:$G,5,FALSE),"")</f>
        <v>PA</v>
      </c>
      <c r="N2063" t="str">
        <f>IFERROR(VLOOKUP(VALUE(J2063),'Site Info'!$A:$G,6,FALSE),"")</f>
        <v>18045-8340</v>
      </c>
      <c r="O2063">
        <f>IFERROR(VLOOKUP(VALUE(J2063),'Site Info'!$A:$G,7,FALSE),"")</f>
        <v>6109237350</v>
      </c>
    </row>
    <row r="2064" spans="1:15" x14ac:dyDescent="0.45">
      <c r="A2064" t="s">
        <v>10592</v>
      </c>
      <c r="B2064" t="s">
        <v>10593</v>
      </c>
      <c r="C2064" t="s">
        <v>10594</v>
      </c>
      <c r="D2064" t="s">
        <v>3924</v>
      </c>
      <c r="E2064" s="1">
        <v>46151.772326388891</v>
      </c>
      <c r="F2064">
        <v>1547</v>
      </c>
      <c r="G2064" t="s">
        <v>10595</v>
      </c>
      <c r="H2064" t="s">
        <v>15</v>
      </c>
      <c r="I2064" t="s">
        <v>3926</v>
      </c>
      <c r="J2064" t="str">
        <f>RIGHT(D2064,4)</f>
        <v>8224</v>
      </c>
      <c r="K2064" t="str">
        <f>IFERROR(VLOOKUP(VALUE(J2064),'Site Info'!$A:$G,3,FALSE),"")</f>
        <v>3801 KELL BLVD</v>
      </c>
      <c r="L2064" t="str">
        <f>IFERROR(VLOOKUP(VALUE(J2064),'Site Info'!$A:$G,4,FALSE),"")</f>
        <v>WICHITA FALLS</v>
      </c>
      <c r="M2064" t="str">
        <f>IFERROR(VLOOKUP(VALUE(J2064),'Site Info'!$A:$G,5,FALSE),"")</f>
        <v>TX</v>
      </c>
      <c r="N2064" t="str">
        <f>IFERROR(VLOOKUP(VALUE(J2064),'Site Info'!$A:$G,6,FALSE),"")</f>
        <v>76308-1605</v>
      </c>
      <c r="O2064">
        <f>IFERROR(VLOOKUP(VALUE(J2064),'Site Info'!$A:$G,7,FALSE),"")</f>
        <v>9406910632</v>
      </c>
    </row>
    <row r="2065" spans="1:15" x14ac:dyDescent="0.45">
      <c r="A2065" t="s">
        <v>10742</v>
      </c>
      <c r="B2065" t="s">
        <v>10743</v>
      </c>
      <c r="C2065" t="s">
        <v>10744</v>
      </c>
      <c r="D2065" t="s">
        <v>3924</v>
      </c>
      <c r="E2065" s="1">
        <v>46152.676168981481</v>
      </c>
      <c r="F2065">
        <v>1547</v>
      </c>
      <c r="G2065" t="s">
        <v>10745</v>
      </c>
      <c r="H2065" t="s">
        <v>15</v>
      </c>
      <c r="I2065" t="s">
        <v>3926</v>
      </c>
      <c r="J2065" t="str">
        <f>RIGHT(D2065,4)</f>
        <v>8224</v>
      </c>
      <c r="K2065" t="str">
        <f>IFERROR(VLOOKUP(VALUE(J2065),'Site Info'!$A:$G,3,FALSE),"")</f>
        <v>3801 KELL BLVD</v>
      </c>
      <c r="L2065" t="str">
        <f>IFERROR(VLOOKUP(VALUE(J2065),'Site Info'!$A:$G,4,FALSE),"")</f>
        <v>WICHITA FALLS</v>
      </c>
      <c r="M2065" t="str">
        <f>IFERROR(VLOOKUP(VALUE(J2065),'Site Info'!$A:$G,5,FALSE),"")</f>
        <v>TX</v>
      </c>
      <c r="N2065" t="str">
        <f>IFERROR(VLOOKUP(VALUE(J2065),'Site Info'!$A:$G,6,FALSE),"")</f>
        <v>76308-1605</v>
      </c>
      <c r="O2065">
        <f>IFERROR(VLOOKUP(VALUE(J2065),'Site Info'!$A:$G,7,FALSE),"")</f>
        <v>9406910632</v>
      </c>
    </row>
    <row r="2066" spans="1:15" x14ac:dyDescent="0.45">
      <c r="A2066" t="s">
        <v>10648</v>
      </c>
      <c r="B2066" t="s">
        <v>10649</v>
      </c>
      <c r="C2066" t="s">
        <v>10650</v>
      </c>
      <c r="D2066" t="s">
        <v>3924</v>
      </c>
      <c r="E2066" s="1">
        <v>46153.352453703701</v>
      </c>
      <c r="F2066">
        <v>1547</v>
      </c>
      <c r="G2066" t="s">
        <v>10651</v>
      </c>
      <c r="H2066" t="s">
        <v>15</v>
      </c>
      <c r="I2066" t="s">
        <v>3926</v>
      </c>
      <c r="J2066" t="str">
        <f>RIGHT(D2066,4)</f>
        <v>8224</v>
      </c>
      <c r="K2066" t="str">
        <f>IFERROR(VLOOKUP(VALUE(J2066),'Site Info'!$A:$G,3,FALSE),"")</f>
        <v>3801 KELL BLVD</v>
      </c>
      <c r="L2066" t="str">
        <f>IFERROR(VLOOKUP(VALUE(J2066),'Site Info'!$A:$G,4,FALSE),"")</f>
        <v>WICHITA FALLS</v>
      </c>
      <c r="M2066" t="str">
        <f>IFERROR(VLOOKUP(VALUE(J2066),'Site Info'!$A:$G,5,FALSE),"")</f>
        <v>TX</v>
      </c>
      <c r="N2066" t="str">
        <f>IFERROR(VLOOKUP(VALUE(J2066),'Site Info'!$A:$G,6,FALSE),"")</f>
        <v>76308-1605</v>
      </c>
      <c r="O2066">
        <f>IFERROR(VLOOKUP(VALUE(J2066),'Site Info'!$A:$G,7,FALSE),"")</f>
        <v>9406910632</v>
      </c>
    </row>
    <row r="2067" spans="1:15" x14ac:dyDescent="0.45">
      <c r="A2067" t="s">
        <v>10636</v>
      </c>
      <c r="B2067" t="s">
        <v>10637</v>
      </c>
      <c r="C2067" t="s">
        <v>10638</v>
      </c>
      <c r="D2067" t="s">
        <v>3924</v>
      </c>
      <c r="E2067" s="1">
        <v>46153.37158564815</v>
      </c>
      <c r="F2067">
        <v>1547</v>
      </c>
      <c r="G2067" t="s">
        <v>10639</v>
      </c>
      <c r="H2067" t="s">
        <v>15</v>
      </c>
      <c r="I2067" t="s">
        <v>3926</v>
      </c>
      <c r="J2067" t="str">
        <f>RIGHT(D2067,4)</f>
        <v>8224</v>
      </c>
      <c r="K2067" t="str">
        <f>IFERROR(VLOOKUP(VALUE(J2067),'Site Info'!$A:$G,3,FALSE),"")</f>
        <v>3801 KELL BLVD</v>
      </c>
      <c r="L2067" t="str">
        <f>IFERROR(VLOOKUP(VALUE(J2067),'Site Info'!$A:$G,4,FALSE),"")</f>
        <v>WICHITA FALLS</v>
      </c>
      <c r="M2067" t="str">
        <f>IFERROR(VLOOKUP(VALUE(J2067),'Site Info'!$A:$G,5,FALSE),"")</f>
        <v>TX</v>
      </c>
      <c r="N2067" t="str">
        <f>IFERROR(VLOOKUP(VALUE(J2067),'Site Info'!$A:$G,6,FALSE),"")</f>
        <v>76308-1605</v>
      </c>
      <c r="O2067">
        <f>IFERROR(VLOOKUP(VALUE(J2067),'Site Info'!$A:$G,7,FALSE),"")</f>
        <v>9406910632</v>
      </c>
    </row>
    <row r="2068" spans="1:15" x14ac:dyDescent="0.45">
      <c r="A2068" t="s">
        <v>3921</v>
      </c>
      <c r="B2068" t="s">
        <v>3922</v>
      </c>
      <c r="C2068" t="s">
        <v>3923</v>
      </c>
      <c r="D2068" t="s">
        <v>3924</v>
      </c>
      <c r="E2068" s="1">
        <v>46153.21974537037</v>
      </c>
      <c r="F2068">
        <v>1481</v>
      </c>
      <c r="G2068" t="s">
        <v>3925</v>
      </c>
      <c r="H2068" t="s">
        <v>15</v>
      </c>
      <c r="I2068" t="s">
        <v>3926</v>
      </c>
      <c r="J2068" t="str">
        <f>RIGHT(D2068,4)</f>
        <v>8224</v>
      </c>
      <c r="K2068" t="str">
        <f>IFERROR(VLOOKUP(VALUE(J2068),'Site Info'!$A:$G,3,FALSE),"")</f>
        <v>3801 KELL BLVD</v>
      </c>
      <c r="L2068" t="str">
        <f>IFERROR(VLOOKUP(VALUE(J2068),'Site Info'!$A:$G,4,FALSE),"")</f>
        <v>WICHITA FALLS</v>
      </c>
      <c r="M2068" t="str">
        <f>IFERROR(VLOOKUP(VALUE(J2068),'Site Info'!$A:$G,5,FALSE),"")</f>
        <v>TX</v>
      </c>
      <c r="N2068" t="str">
        <f>IFERROR(VLOOKUP(VALUE(J2068),'Site Info'!$A:$G,6,FALSE),"")</f>
        <v>76308-1605</v>
      </c>
      <c r="O2068">
        <f>IFERROR(VLOOKUP(VALUE(J2068),'Site Info'!$A:$G,7,FALSE),"")</f>
        <v>9406910632</v>
      </c>
    </row>
    <row r="2069" spans="1:15" x14ac:dyDescent="0.45">
      <c r="A2069" t="s">
        <v>16739</v>
      </c>
      <c r="B2069" t="s">
        <v>17183</v>
      </c>
      <c r="C2069" t="s">
        <v>17184</v>
      </c>
      <c r="D2069" t="s">
        <v>3924</v>
      </c>
      <c r="E2069" s="1">
        <v>46153.350694444445</v>
      </c>
      <c r="F2069">
        <v>1628</v>
      </c>
      <c r="G2069" t="s">
        <v>17185</v>
      </c>
      <c r="H2069" t="s">
        <v>13988</v>
      </c>
      <c r="I2069" t="s">
        <v>3926</v>
      </c>
      <c r="J2069" t="str">
        <f>RIGHT(D2069,4)</f>
        <v>8224</v>
      </c>
      <c r="K2069" t="str">
        <f>IFERROR(VLOOKUP(VALUE(J2069),'Site Info'!$A:$G,3,FALSE),"")</f>
        <v>3801 KELL BLVD</v>
      </c>
      <c r="L2069" t="str">
        <f>IFERROR(VLOOKUP(VALUE(J2069),'Site Info'!$A:$G,4,FALSE),"")</f>
        <v>WICHITA FALLS</v>
      </c>
      <c r="M2069" t="str">
        <f>IFERROR(VLOOKUP(VALUE(J2069),'Site Info'!$A:$G,5,FALSE),"")</f>
        <v>TX</v>
      </c>
      <c r="N2069" t="str">
        <f>IFERROR(VLOOKUP(VALUE(J2069),'Site Info'!$A:$G,6,FALSE),"")</f>
        <v>76308-1605</v>
      </c>
      <c r="O2069">
        <f>IFERROR(VLOOKUP(VALUE(J2069),'Site Info'!$A:$G,7,FALSE),"")</f>
        <v>9406910632</v>
      </c>
    </row>
    <row r="2070" spans="1:15" x14ac:dyDescent="0.45">
      <c r="A2070" t="s">
        <v>7158</v>
      </c>
      <c r="B2070" t="s">
        <v>7159</v>
      </c>
      <c r="C2070" t="s">
        <v>7160</v>
      </c>
      <c r="D2070" t="s">
        <v>7054</v>
      </c>
      <c r="E2070" s="1">
        <v>46152.701064814813</v>
      </c>
      <c r="F2070">
        <v>1547</v>
      </c>
      <c r="G2070" t="s">
        <v>7161</v>
      </c>
      <c r="H2070" t="s">
        <v>15</v>
      </c>
      <c r="I2070" t="s">
        <v>7056</v>
      </c>
      <c r="J2070" t="str">
        <f>RIGHT(D2070,4)</f>
        <v>8181</v>
      </c>
      <c r="K2070" t="str">
        <f>IFERROR(VLOOKUP(VALUE(J2070),'Site Info'!$A:$G,3,FALSE),"")</f>
        <v>3805 NORTH BLVD</v>
      </c>
      <c r="L2070" t="str">
        <f>IFERROR(VLOOKUP(VALUE(J2070),'Site Info'!$A:$G,4,FALSE),"")</f>
        <v>ALEXANDRIA</v>
      </c>
      <c r="M2070" t="str">
        <f>IFERROR(VLOOKUP(VALUE(J2070),'Site Info'!$A:$G,5,FALSE),"")</f>
        <v>LA</v>
      </c>
      <c r="N2070" t="str">
        <f>IFERROR(VLOOKUP(VALUE(J2070),'Site Info'!$A:$G,6,FALSE),"")</f>
        <v>71301-3563</v>
      </c>
      <c r="O2070">
        <f>IFERROR(VLOOKUP(VALUE(J2070),'Site Info'!$A:$G,7,FALSE),"")</f>
        <v>3184429730</v>
      </c>
    </row>
    <row r="2071" spans="1:15" x14ac:dyDescent="0.45">
      <c r="A2071" t="s">
        <v>8611</v>
      </c>
      <c r="B2071" t="s">
        <v>8612</v>
      </c>
      <c r="C2071" t="s">
        <v>8613</v>
      </c>
      <c r="D2071" t="s">
        <v>7054</v>
      </c>
      <c r="E2071" s="1">
        <v>46152.715208333335</v>
      </c>
      <c r="F2071">
        <v>1547</v>
      </c>
      <c r="G2071" t="s">
        <v>8614</v>
      </c>
      <c r="H2071" t="s">
        <v>15</v>
      </c>
      <c r="I2071" t="s">
        <v>7056</v>
      </c>
      <c r="J2071" t="str">
        <f>RIGHT(D2071,4)</f>
        <v>8181</v>
      </c>
      <c r="K2071" t="str">
        <f>IFERROR(VLOOKUP(VALUE(J2071),'Site Info'!$A:$G,3,FALSE),"")</f>
        <v>3805 NORTH BLVD</v>
      </c>
      <c r="L2071" t="str">
        <f>IFERROR(VLOOKUP(VALUE(J2071),'Site Info'!$A:$G,4,FALSE),"")</f>
        <v>ALEXANDRIA</v>
      </c>
      <c r="M2071" t="str">
        <f>IFERROR(VLOOKUP(VALUE(J2071),'Site Info'!$A:$G,5,FALSE),"")</f>
        <v>LA</v>
      </c>
      <c r="N2071" t="str">
        <f>IFERROR(VLOOKUP(VALUE(J2071),'Site Info'!$A:$G,6,FALSE),"")</f>
        <v>71301-3563</v>
      </c>
      <c r="O2071">
        <f>IFERROR(VLOOKUP(VALUE(J2071),'Site Info'!$A:$G,7,FALSE),"")</f>
        <v>3184429730</v>
      </c>
    </row>
    <row r="2072" spans="1:15" x14ac:dyDescent="0.45">
      <c r="A2072" t="s">
        <v>8639</v>
      </c>
      <c r="B2072" t="s">
        <v>8640</v>
      </c>
      <c r="C2072" t="s">
        <v>8641</v>
      </c>
      <c r="D2072" t="s">
        <v>7054</v>
      </c>
      <c r="E2072" s="1">
        <v>46153.231840277775</v>
      </c>
      <c r="F2072">
        <v>1547</v>
      </c>
      <c r="G2072" t="s">
        <v>8642</v>
      </c>
      <c r="H2072" t="s">
        <v>15</v>
      </c>
      <c r="I2072" t="s">
        <v>7056</v>
      </c>
      <c r="J2072" t="str">
        <f>RIGHT(D2072,4)</f>
        <v>8181</v>
      </c>
      <c r="K2072" t="str">
        <f>IFERROR(VLOOKUP(VALUE(J2072),'Site Info'!$A:$G,3,FALSE),"")</f>
        <v>3805 NORTH BLVD</v>
      </c>
      <c r="L2072" t="str">
        <f>IFERROR(VLOOKUP(VALUE(J2072),'Site Info'!$A:$G,4,FALSE),"")</f>
        <v>ALEXANDRIA</v>
      </c>
      <c r="M2072" t="str">
        <f>IFERROR(VLOOKUP(VALUE(J2072),'Site Info'!$A:$G,5,FALSE),"")</f>
        <v>LA</v>
      </c>
      <c r="N2072" t="str">
        <f>IFERROR(VLOOKUP(VALUE(J2072),'Site Info'!$A:$G,6,FALSE),"")</f>
        <v>71301-3563</v>
      </c>
      <c r="O2072">
        <f>IFERROR(VLOOKUP(VALUE(J2072),'Site Info'!$A:$G,7,FALSE),"")</f>
        <v>3184429730</v>
      </c>
    </row>
    <row r="2073" spans="1:15" x14ac:dyDescent="0.45">
      <c r="A2073" t="s">
        <v>8721</v>
      </c>
      <c r="B2073" t="s">
        <v>8722</v>
      </c>
      <c r="C2073" t="s">
        <v>8723</v>
      </c>
      <c r="D2073" t="s">
        <v>7054</v>
      </c>
      <c r="E2073" s="1">
        <v>46153.346273148149</v>
      </c>
      <c r="F2073">
        <v>1547</v>
      </c>
      <c r="G2073" t="s">
        <v>8724</v>
      </c>
      <c r="H2073" t="s">
        <v>15</v>
      </c>
      <c r="I2073" t="s">
        <v>7056</v>
      </c>
      <c r="J2073" t="str">
        <f>RIGHT(D2073,4)</f>
        <v>8181</v>
      </c>
      <c r="K2073" t="str">
        <f>IFERROR(VLOOKUP(VALUE(J2073),'Site Info'!$A:$G,3,FALSE),"")</f>
        <v>3805 NORTH BLVD</v>
      </c>
      <c r="L2073" t="str">
        <f>IFERROR(VLOOKUP(VALUE(J2073),'Site Info'!$A:$G,4,FALSE),"")</f>
        <v>ALEXANDRIA</v>
      </c>
      <c r="M2073" t="str">
        <f>IFERROR(VLOOKUP(VALUE(J2073),'Site Info'!$A:$G,5,FALSE),"")</f>
        <v>LA</v>
      </c>
      <c r="N2073" t="str">
        <f>IFERROR(VLOOKUP(VALUE(J2073),'Site Info'!$A:$G,6,FALSE),"")</f>
        <v>71301-3563</v>
      </c>
      <c r="O2073">
        <f>IFERROR(VLOOKUP(VALUE(J2073),'Site Info'!$A:$G,7,FALSE),"")</f>
        <v>3184429730</v>
      </c>
    </row>
    <row r="2074" spans="1:15" x14ac:dyDescent="0.45">
      <c r="A2074" t="s">
        <v>7051</v>
      </c>
      <c r="B2074" t="s">
        <v>7052</v>
      </c>
      <c r="C2074" t="s">
        <v>7053</v>
      </c>
      <c r="D2074" t="s">
        <v>7054</v>
      </c>
      <c r="E2074" s="1">
        <v>46153.368657407409</v>
      </c>
      <c r="F2074">
        <v>1547</v>
      </c>
      <c r="G2074" t="s">
        <v>7055</v>
      </c>
      <c r="H2074" t="s">
        <v>15</v>
      </c>
      <c r="I2074" t="s">
        <v>7056</v>
      </c>
      <c r="J2074" t="str">
        <f>RIGHT(D2074,4)</f>
        <v>8181</v>
      </c>
      <c r="K2074" t="str">
        <f>IFERROR(VLOOKUP(VALUE(J2074),'Site Info'!$A:$G,3,FALSE),"")</f>
        <v>3805 NORTH BLVD</v>
      </c>
      <c r="L2074" t="str">
        <f>IFERROR(VLOOKUP(VALUE(J2074),'Site Info'!$A:$G,4,FALSE),"")</f>
        <v>ALEXANDRIA</v>
      </c>
      <c r="M2074" t="str">
        <f>IFERROR(VLOOKUP(VALUE(J2074),'Site Info'!$A:$G,5,FALSE),"")</f>
        <v>LA</v>
      </c>
      <c r="N2074" t="str">
        <f>IFERROR(VLOOKUP(VALUE(J2074),'Site Info'!$A:$G,6,FALSE),"")</f>
        <v>71301-3563</v>
      </c>
      <c r="O2074">
        <f>IFERROR(VLOOKUP(VALUE(J2074),'Site Info'!$A:$G,7,FALSE),"")</f>
        <v>3184429730</v>
      </c>
    </row>
    <row r="2075" spans="1:15" x14ac:dyDescent="0.45">
      <c r="A2075" t="s">
        <v>7218</v>
      </c>
      <c r="B2075" t="s">
        <v>7219</v>
      </c>
      <c r="C2075" t="s">
        <v>7220</v>
      </c>
      <c r="D2075" t="s">
        <v>7054</v>
      </c>
      <c r="E2075" s="1">
        <v>46153.373402777775</v>
      </c>
      <c r="F2075">
        <v>1547</v>
      </c>
      <c r="G2075" t="s">
        <v>7221</v>
      </c>
      <c r="H2075" t="s">
        <v>15</v>
      </c>
      <c r="I2075" t="s">
        <v>7056</v>
      </c>
      <c r="J2075" t="str">
        <f>RIGHT(D2075,4)</f>
        <v>8181</v>
      </c>
      <c r="K2075" t="str">
        <f>IFERROR(VLOOKUP(VALUE(J2075),'Site Info'!$A:$G,3,FALSE),"")</f>
        <v>3805 NORTH BLVD</v>
      </c>
      <c r="L2075" t="str">
        <f>IFERROR(VLOOKUP(VALUE(J2075),'Site Info'!$A:$G,4,FALSE),"")</f>
        <v>ALEXANDRIA</v>
      </c>
      <c r="M2075" t="str">
        <f>IFERROR(VLOOKUP(VALUE(J2075),'Site Info'!$A:$G,5,FALSE),"")</f>
        <v>LA</v>
      </c>
      <c r="N2075" t="str">
        <f>IFERROR(VLOOKUP(VALUE(J2075),'Site Info'!$A:$G,6,FALSE),"")</f>
        <v>71301-3563</v>
      </c>
      <c r="O2075">
        <f>IFERROR(VLOOKUP(VALUE(J2075),'Site Info'!$A:$G,7,FALSE),"")</f>
        <v>3184429730</v>
      </c>
    </row>
    <row r="2076" spans="1:15" x14ac:dyDescent="0.45">
      <c r="A2076" t="s">
        <v>7673</v>
      </c>
      <c r="B2076" t="s">
        <v>7674</v>
      </c>
      <c r="C2076" t="s">
        <v>7675</v>
      </c>
      <c r="D2076" t="s">
        <v>3726</v>
      </c>
      <c r="E2076" s="1">
        <v>46153.302534722221</v>
      </c>
      <c r="F2076">
        <v>1547</v>
      </c>
      <c r="G2076" t="s">
        <v>7676</v>
      </c>
      <c r="H2076" t="s">
        <v>15</v>
      </c>
      <c r="I2076" t="s">
        <v>3728</v>
      </c>
      <c r="J2076" t="str">
        <f>RIGHT(D2076,4)</f>
        <v>6533</v>
      </c>
      <c r="K2076" t="str">
        <f>IFERROR(VLOOKUP(VALUE(J2076),'Site Info'!$A:$G,3,FALSE),"")</f>
        <v>381 BENNER PIKE</v>
      </c>
      <c r="L2076" t="str">
        <f>IFERROR(VLOOKUP(VALUE(J2076),'Site Info'!$A:$G,4,FALSE),"")</f>
        <v>STATE COLLEGE</v>
      </c>
      <c r="M2076" t="str">
        <f>IFERROR(VLOOKUP(VALUE(J2076),'Site Info'!$A:$G,5,FALSE),"")</f>
        <v>PA</v>
      </c>
      <c r="N2076" t="str">
        <f>IFERROR(VLOOKUP(VALUE(J2076),'Site Info'!$A:$G,6,FALSE),"")</f>
        <v>16801-7304</v>
      </c>
      <c r="O2076">
        <f>IFERROR(VLOOKUP(VALUE(J2076),'Site Info'!$A:$G,7,FALSE),"")</f>
        <v>8142359404</v>
      </c>
    </row>
    <row r="2077" spans="1:15" x14ac:dyDescent="0.45">
      <c r="A2077" t="s">
        <v>3723</v>
      </c>
      <c r="B2077" t="s">
        <v>3724</v>
      </c>
      <c r="C2077" t="s">
        <v>3725</v>
      </c>
      <c r="D2077" t="s">
        <v>3726</v>
      </c>
      <c r="E2077" s="1">
        <v>46152.603402777779</v>
      </c>
      <c r="F2077">
        <v>1481</v>
      </c>
      <c r="G2077" t="s">
        <v>3727</v>
      </c>
      <c r="H2077" t="s">
        <v>15</v>
      </c>
      <c r="I2077" t="s">
        <v>3728</v>
      </c>
      <c r="J2077" t="str">
        <f>RIGHT(D2077,4)</f>
        <v>6533</v>
      </c>
      <c r="K2077" t="str">
        <f>IFERROR(VLOOKUP(VALUE(J2077),'Site Info'!$A:$G,3,FALSE),"")</f>
        <v>381 BENNER PIKE</v>
      </c>
      <c r="L2077" t="str">
        <f>IFERROR(VLOOKUP(VALUE(J2077),'Site Info'!$A:$G,4,FALSE),"")</f>
        <v>STATE COLLEGE</v>
      </c>
      <c r="M2077" t="str">
        <f>IFERROR(VLOOKUP(VALUE(J2077),'Site Info'!$A:$G,5,FALSE),"")</f>
        <v>PA</v>
      </c>
      <c r="N2077" t="str">
        <f>IFERROR(VLOOKUP(VALUE(J2077),'Site Info'!$A:$G,6,FALSE),"")</f>
        <v>16801-7304</v>
      </c>
      <c r="O2077">
        <f>IFERROR(VLOOKUP(VALUE(J2077),'Site Info'!$A:$G,7,FALSE),"")</f>
        <v>8142359404</v>
      </c>
    </row>
    <row r="2078" spans="1:15" x14ac:dyDescent="0.45">
      <c r="A2078" t="s">
        <v>8177</v>
      </c>
      <c r="B2078" t="s">
        <v>8178</v>
      </c>
      <c r="C2078" t="s">
        <v>8179</v>
      </c>
      <c r="D2078" t="s">
        <v>8180</v>
      </c>
      <c r="E2078" s="1">
        <v>46150.310601851852</v>
      </c>
      <c r="F2078">
        <v>1547</v>
      </c>
      <c r="G2078" t="s">
        <v>8181</v>
      </c>
      <c r="H2078" t="s">
        <v>15</v>
      </c>
      <c r="I2078" t="s">
        <v>8182</v>
      </c>
      <c r="J2078" t="str">
        <f>RIGHT(D2078,4)</f>
        <v>6463</v>
      </c>
      <c r="K2078" t="str">
        <f>IFERROR(VLOOKUP(VALUE(J2078),'Site Info'!$A:$G,3,FALSE),"")</f>
        <v>3812 LIBERTY HWY STE 6</v>
      </c>
      <c r="L2078" t="str">
        <f>IFERROR(VLOOKUP(VALUE(J2078),'Site Info'!$A:$G,4,FALSE),"")</f>
        <v>ANDERSON</v>
      </c>
      <c r="M2078" t="str">
        <f>IFERROR(VLOOKUP(VALUE(J2078),'Site Info'!$A:$G,5,FALSE),"")</f>
        <v>SC</v>
      </c>
      <c r="N2078" t="str">
        <f>IFERROR(VLOOKUP(VALUE(J2078),'Site Info'!$A:$G,6,FALSE),"")</f>
        <v>29621-1344</v>
      </c>
      <c r="O2078">
        <f>IFERROR(VLOOKUP(VALUE(J2078),'Site Info'!$A:$G,7,FALSE),"")</f>
        <v>8642617609</v>
      </c>
    </row>
    <row r="2079" spans="1:15" x14ac:dyDescent="0.45">
      <c r="A2079" t="s">
        <v>8223</v>
      </c>
      <c r="B2079" t="s">
        <v>8224</v>
      </c>
      <c r="C2079" t="s">
        <v>8225</v>
      </c>
      <c r="D2079" t="s">
        <v>8180</v>
      </c>
      <c r="E2079" s="1">
        <v>46150.563703703701</v>
      </c>
      <c r="F2079">
        <v>1547</v>
      </c>
      <c r="G2079" t="s">
        <v>8226</v>
      </c>
      <c r="H2079" t="s">
        <v>15</v>
      </c>
      <c r="I2079" t="s">
        <v>8182</v>
      </c>
      <c r="J2079" t="str">
        <f>RIGHT(D2079,4)</f>
        <v>6463</v>
      </c>
      <c r="K2079" t="str">
        <f>IFERROR(VLOOKUP(VALUE(J2079),'Site Info'!$A:$G,3,FALSE),"")</f>
        <v>3812 LIBERTY HWY STE 6</v>
      </c>
      <c r="L2079" t="str">
        <f>IFERROR(VLOOKUP(VALUE(J2079),'Site Info'!$A:$G,4,FALSE),"")</f>
        <v>ANDERSON</v>
      </c>
      <c r="M2079" t="str">
        <f>IFERROR(VLOOKUP(VALUE(J2079),'Site Info'!$A:$G,5,FALSE),"")</f>
        <v>SC</v>
      </c>
      <c r="N2079" t="str">
        <f>IFERROR(VLOOKUP(VALUE(J2079),'Site Info'!$A:$G,6,FALSE),"")</f>
        <v>29621-1344</v>
      </c>
      <c r="O2079">
        <f>IFERROR(VLOOKUP(VALUE(J2079),'Site Info'!$A:$G,7,FALSE),"")</f>
        <v>8642617609</v>
      </c>
    </row>
    <row r="2080" spans="1:15" x14ac:dyDescent="0.45">
      <c r="A2080" t="s">
        <v>8219</v>
      </c>
      <c r="B2080" t="s">
        <v>8220</v>
      </c>
      <c r="C2080" t="s">
        <v>8221</v>
      </c>
      <c r="D2080" t="s">
        <v>8180</v>
      </c>
      <c r="E2080" s="1">
        <v>46151.329143518517</v>
      </c>
      <c r="F2080">
        <v>1547</v>
      </c>
      <c r="G2080" t="s">
        <v>8222</v>
      </c>
      <c r="H2080" t="s">
        <v>15</v>
      </c>
      <c r="I2080" t="s">
        <v>8182</v>
      </c>
      <c r="J2080" t="str">
        <f>RIGHT(D2080,4)</f>
        <v>6463</v>
      </c>
      <c r="K2080" t="str">
        <f>IFERROR(VLOOKUP(VALUE(J2080),'Site Info'!$A:$G,3,FALSE),"")</f>
        <v>3812 LIBERTY HWY STE 6</v>
      </c>
      <c r="L2080" t="str">
        <f>IFERROR(VLOOKUP(VALUE(J2080),'Site Info'!$A:$G,4,FALSE),"")</f>
        <v>ANDERSON</v>
      </c>
      <c r="M2080" t="str">
        <f>IFERROR(VLOOKUP(VALUE(J2080),'Site Info'!$A:$G,5,FALSE),"")</f>
        <v>SC</v>
      </c>
      <c r="N2080" t="str">
        <f>IFERROR(VLOOKUP(VALUE(J2080),'Site Info'!$A:$G,6,FALSE),"")</f>
        <v>29621-1344</v>
      </c>
      <c r="O2080">
        <f>IFERROR(VLOOKUP(VALUE(J2080),'Site Info'!$A:$G,7,FALSE),"")</f>
        <v>8642617609</v>
      </c>
    </row>
    <row r="2081" spans="1:15" x14ac:dyDescent="0.45">
      <c r="A2081" t="s">
        <v>8191</v>
      </c>
      <c r="B2081" t="s">
        <v>8192</v>
      </c>
      <c r="C2081" t="s">
        <v>8193</v>
      </c>
      <c r="D2081" t="s">
        <v>8180</v>
      </c>
      <c r="E2081" s="1">
        <v>46152.777314814812</v>
      </c>
      <c r="F2081">
        <v>1547</v>
      </c>
      <c r="G2081" t="s">
        <v>8194</v>
      </c>
      <c r="H2081" t="s">
        <v>15</v>
      </c>
      <c r="I2081" t="s">
        <v>8182</v>
      </c>
      <c r="J2081" t="str">
        <f>RIGHT(D2081,4)</f>
        <v>6463</v>
      </c>
      <c r="K2081" t="str">
        <f>IFERROR(VLOOKUP(VALUE(J2081),'Site Info'!$A:$G,3,FALSE),"")</f>
        <v>3812 LIBERTY HWY STE 6</v>
      </c>
      <c r="L2081" t="str">
        <f>IFERROR(VLOOKUP(VALUE(J2081),'Site Info'!$A:$G,4,FALSE),"")</f>
        <v>ANDERSON</v>
      </c>
      <c r="M2081" t="str">
        <f>IFERROR(VLOOKUP(VALUE(J2081),'Site Info'!$A:$G,5,FALSE),"")</f>
        <v>SC</v>
      </c>
      <c r="N2081" t="str">
        <f>IFERROR(VLOOKUP(VALUE(J2081),'Site Info'!$A:$G,6,FALSE),"")</f>
        <v>29621-1344</v>
      </c>
      <c r="O2081">
        <f>IFERROR(VLOOKUP(VALUE(J2081),'Site Info'!$A:$G,7,FALSE),"")</f>
        <v>8642617609</v>
      </c>
    </row>
    <row r="2082" spans="1:15" x14ac:dyDescent="0.45">
      <c r="A2082" t="s">
        <v>16895</v>
      </c>
      <c r="B2082" t="s">
        <v>16896</v>
      </c>
      <c r="C2082" t="s">
        <v>16897</v>
      </c>
      <c r="D2082" t="s">
        <v>8180</v>
      </c>
      <c r="E2082" s="1">
        <v>46153.315000000002</v>
      </c>
      <c r="F2082">
        <v>1481</v>
      </c>
      <c r="G2082" t="s">
        <v>16898</v>
      </c>
      <c r="H2082" t="s">
        <v>15</v>
      </c>
      <c r="I2082" t="s">
        <v>8182</v>
      </c>
      <c r="J2082" t="str">
        <f>RIGHT(D2082,4)</f>
        <v>6463</v>
      </c>
      <c r="K2082" t="str">
        <f>IFERROR(VLOOKUP(VALUE(J2082),'Site Info'!$A:$G,3,FALSE),"")</f>
        <v>3812 LIBERTY HWY STE 6</v>
      </c>
      <c r="L2082" t="str">
        <f>IFERROR(VLOOKUP(VALUE(J2082),'Site Info'!$A:$G,4,FALSE),"")</f>
        <v>ANDERSON</v>
      </c>
      <c r="M2082" t="str">
        <f>IFERROR(VLOOKUP(VALUE(J2082),'Site Info'!$A:$G,5,FALSE),"")</f>
        <v>SC</v>
      </c>
      <c r="N2082" t="str">
        <f>IFERROR(VLOOKUP(VALUE(J2082),'Site Info'!$A:$G,6,FALSE),"")</f>
        <v>29621-1344</v>
      </c>
      <c r="O2082">
        <f>IFERROR(VLOOKUP(VALUE(J2082),'Site Info'!$A:$G,7,FALSE),"")</f>
        <v>8642617609</v>
      </c>
    </row>
    <row r="2083" spans="1:15" x14ac:dyDescent="0.45">
      <c r="A2083" t="s">
        <v>6521</v>
      </c>
      <c r="B2083" t="s">
        <v>6522</v>
      </c>
      <c r="C2083" t="s">
        <v>6523</v>
      </c>
      <c r="D2083" t="s">
        <v>2426</v>
      </c>
      <c r="E2083" s="1">
        <v>46153.285821759258</v>
      </c>
      <c r="F2083">
        <v>1547</v>
      </c>
      <c r="G2083" t="s">
        <v>6524</v>
      </c>
      <c r="H2083" t="s">
        <v>15</v>
      </c>
      <c r="I2083" t="s">
        <v>2428</v>
      </c>
      <c r="J2083" t="str">
        <f>RIGHT(D2083,4)</f>
        <v>8169</v>
      </c>
      <c r="K2083" t="str">
        <f>IFERROR(VLOOKUP(VALUE(J2083),'Site Info'!$A:$G,3,FALSE),"")</f>
        <v>3819 SOUTH STREET</v>
      </c>
      <c r="L2083" t="str">
        <f>IFERROR(VLOOKUP(VALUE(J2083),'Site Info'!$A:$G,4,FALSE),"")</f>
        <v>LAFAYETTE</v>
      </c>
      <c r="M2083" t="str">
        <f>IFERROR(VLOOKUP(VALUE(J2083),'Site Info'!$A:$G,5,FALSE),"")</f>
        <v>IN</v>
      </c>
      <c r="N2083" t="str">
        <f>IFERROR(VLOOKUP(VALUE(J2083),'Site Info'!$A:$G,6,FALSE),"")</f>
        <v>47905-4872</v>
      </c>
      <c r="O2083">
        <f>IFERROR(VLOOKUP(VALUE(J2083),'Site Info'!$A:$G,7,FALSE),"")</f>
        <v>7654494309</v>
      </c>
    </row>
    <row r="2084" spans="1:15" x14ac:dyDescent="0.45">
      <c r="A2084" t="s">
        <v>6561</v>
      </c>
      <c r="B2084" t="s">
        <v>6562</v>
      </c>
      <c r="C2084" t="s">
        <v>6563</v>
      </c>
      <c r="D2084" t="s">
        <v>2426</v>
      </c>
      <c r="E2084" s="1">
        <v>46153.308703703704</v>
      </c>
      <c r="F2084">
        <v>1547</v>
      </c>
      <c r="G2084" t="s">
        <v>6564</v>
      </c>
      <c r="H2084" t="s">
        <v>15</v>
      </c>
      <c r="I2084" t="s">
        <v>2428</v>
      </c>
      <c r="J2084" t="str">
        <f>RIGHT(D2084,4)</f>
        <v>8169</v>
      </c>
      <c r="K2084" t="str">
        <f>IFERROR(VLOOKUP(VALUE(J2084),'Site Info'!$A:$G,3,FALSE),"")</f>
        <v>3819 SOUTH STREET</v>
      </c>
      <c r="L2084" t="str">
        <f>IFERROR(VLOOKUP(VALUE(J2084),'Site Info'!$A:$G,4,FALSE),"")</f>
        <v>LAFAYETTE</v>
      </c>
      <c r="M2084" t="str">
        <f>IFERROR(VLOOKUP(VALUE(J2084),'Site Info'!$A:$G,5,FALSE),"")</f>
        <v>IN</v>
      </c>
      <c r="N2084" t="str">
        <f>IFERROR(VLOOKUP(VALUE(J2084),'Site Info'!$A:$G,6,FALSE),"")</f>
        <v>47905-4872</v>
      </c>
      <c r="O2084">
        <f>IFERROR(VLOOKUP(VALUE(J2084),'Site Info'!$A:$G,7,FALSE),"")</f>
        <v>7654494309</v>
      </c>
    </row>
    <row r="2085" spans="1:15" x14ac:dyDescent="0.45">
      <c r="A2085" t="s">
        <v>14055</v>
      </c>
      <c r="B2085" t="s">
        <v>14056</v>
      </c>
      <c r="C2085" t="s">
        <v>14057</v>
      </c>
      <c r="D2085" t="s">
        <v>2426</v>
      </c>
      <c r="E2085" s="1">
        <v>46153.36650462963</v>
      </c>
      <c r="F2085">
        <v>1547</v>
      </c>
      <c r="G2085" t="s">
        <v>14058</v>
      </c>
      <c r="H2085" t="s">
        <v>15</v>
      </c>
      <c r="I2085" t="s">
        <v>2428</v>
      </c>
      <c r="J2085" t="str">
        <f>RIGHT(D2085,4)</f>
        <v>8169</v>
      </c>
      <c r="K2085" t="str">
        <f>IFERROR(VLOOKUP(VALUE(J2085),'Site Info'!$A:$G,3,FALSE),"")</f>
        <v>3819 SOUTH STREET</v>
      </c>
      <c r="L2085" t="str">
        <f>IFERROR(VLOOKUP(VALUE(J2085),'Site Info'!$A:$G,4,FALSE),"")</f>
        <v>LAFAYETTE</v>
      </c>
      <c r="M2085" t="str">
        <f>IFERROR(VLOOKUP(VALUE(J2085),'Site Info'!$A:$G,5,FALSE),"")</f>
        <v>IN</v>
      </c>
      <c r="N2085" t="str">
        <f>IFERROR(VLOOKUP(VALUE(J2085),'Site Info'!$A:$G,6,FALSE),"")</f>
        <v>47905-4872</v>
      </c>
      <c r="O2085">
        <f>IFERROR(VLOOKUP(VALUE(J2085),'Site Info'!$A:$G,7,FALSE),"")</f>
        <v>7654494309</v>
      </c>
    </row>
    <row r="2086" spans="1:15" x14ac:dyDescent="0.45">
      <c r="A2086" t="s">
        <v>2423</v>
      </c>
      <c r="B2086" t="s">
        <v>2424</v>
      </c>
      <c r="C2086" t="s">
        <v>2425</v>
      </c>
      <c r="D2086" t="s">
        <v>2426</v>
      </c>
      <c r="E2086" s="1">
        <v>46153.364988425928</v>
      </c>
      <c r="F2086">
        <v>1481</v>
      </c>
      <c r="G2086" t="s">
        <v>2427</v>
      </c>
      <c r="H2086" t="s">
        <v>15</v>
      </c>
      <c r="I2086" t="s">
        <v>2428</v>
      </c>
      <c r="J2086" t="str">
        <f>RIGHT(D2086,4)</f>
        <v>8169</v>
      </c>
      <c r="K2086" t="str">
        <f>IFERROR(VLOOKUP(VALUE(J2086),'Site Info'!$A:$G,3,FALSE),"")</f>
        <v>3819 SOUTH STREET</v>
      </c>
      <c r="L2086" t="str">
        <f>IFERROR(VLOOKUP(VALUE(J2086),'Site Info'!$A:$G,4,FALSE),"")</f>
        <v>LAFAYETTE</v>
      </c>
      <c r="M2086" t="str">
        <f>IFERROR(VLOOKUP(VALUE(J2086),'Site Info'!$A:$G,5,FALSE),"")</f>
        <v>IN</v>
      </c>
      <c r="N2086" t="str">
        <f>IFERROR(VLOOKUP(VALUE(J2086),'Site Info'!$A:$G,6,FALSE),"")</f>
        <v>47905-4872</v>
      </c>
      <c r="O2086">
        <f>IFERROR(VLOOKUP(VALUE(J2086),'Site Info'!$A:$G,7,FALSE),"")</f>
        <v>7654494309</v>
      </c>
    </row>
    <row r="2087" spans="1:15" x14ac:dyDescent="0.45">
      <c r="A2087" t="s">
        <v>6923</v>
      </c>
      <c r="B2087" t="s">
        <v>6924</v>
      </c>
      <c r="C2087" t="s">
        <v>6925</v>
      </c>
      <c r="D2087" t="s">
        <v>6926</v>
      </c>
      <c r="E2087" s="1">
        <v>46151.426527777781</v>
      </c>
      <c r="F2087">
        <v>1547</v>
      </c>
      <c r="G2087" t="s">
        <v>6927</v>
      </c>
      <c r="H2087" t="s">
        <v>15</v>
      </c>
      <c r="I2087" t="s">
        <v>6928</v>
      </c>
      <c r="J2087" t="str">
        <f>RIGHT(D2087,4)</f>
        <v>6329</v>
      </c>
      <c r="K2087" t="str">
        <f>IFERROR(VLOOKUP(VALUE(J2087),'Site Info'!$A:$G,3,FALSE),"")</f>
        <v>3833 N GLOSTER ST</v>
      </c>
      <c r="L2087" t="str">
        <f>IFERROR(VLOOKUP(VALUE(J2087),'Site Info'!$A:$G,4,FALSE),"")</f>
        <v>TUPELO</v>
      </c>
      <c r="M2087" t="str">
        <f>IFERROR(VLOOKUP(VALUE(J2087),'Site Info'!$A:$G,5,FALSE),"")</f>
        <v>MS</v>
      </c>
      <c r="N2087" t="str">
        <f>IFERROR(VLOOKUP(VALUE(J2087),'Site Info'!$A:$G,6,FALSE),"")</f>
        <v>38804-0914</v>
      </c>
      <c r="O2087">
        <f>IFERROR(VLOOKUP(VALUE(J2087),'Site Info'!$A:$G,7,FALSE),"")</f>
        <v>6628406459</v>
      </c>
    </row>
    <row r="2088" spans="1:15" x14ac:dyDescent="0.45">
      <c r="A2088" t="s">
        <v>9109</v>
      </c>
      <c r="B2088" t="s">
        <v>9110</v>
      </c>
      <c r="C2088" t="s">
        <v>9111</v>
      </c>
      <c r="D2088" t="s">
        <v>6926</v>
      </c>
      <c r="E2088" s="1">
        <v>46151.43346064815</v>
      </c>
      <c r="F2088">
        <v>1547</v>
      </c>
      <c r="G2088" t="s">
        <v>9112</v>
      </c>
      <c r="H2088" t="s">
        <v>15</v>
      </c>
      <c r="I2088" t="s">
        <v>6928</v>
      </c>
      <c r="J2088" t="str">
        <f>RIGHT(D2088,4)</f>
        <v>6329</v>
      </c>
      <c r="K2088" t="str">
        <f>IFERROR(VLOOKUP(VALUE(J2088),'Site Info'!$A:$G,3,FALSE),"")</f>
        <v>3833 N GLOSTER ST</v>
      </c>
      <c r="L2088" t="str">
        <f>IFERROR(VLOOKUP(VALUE(J2088),'Site Info'!$A:$G,4,FALSE),"")</f>
        <v>TUPELO</v>
      </c>
      <c r="M2088" t="str">
        <f>IFERROR(VLOOKUP(VALUE(J2088),'Site Info'!$A:$G,5,FALSE),"")</f>
        <v>MS</v>
      </c>
      <c r="N2088" t="str">
        <f>IFERROR(VLOOKUP(VALUE(J2088),'Site Info'!$A:$G,6,FALSE),"")</f>
        <v>38804-0914</v>
      </c>
      <c r="O2088">
        <f>IFERROR(VLOOKUP(VALUE(J2088),'Site Info'!$A:$G,7,FALSE),"")</f>
        <v>6628406459</v>
      </c>
    </row>
    <row r="2089" spans="1:15" x14ac:dyDescent="0.45">
      <c r="A2089" t="s">
        <v>8345</v>
      </c>
      <c r="B2089" t="s">
        <v>8346</v>
      </c>
      <c r="C2089" t="s">
        <v>8347</v>
      </c>
      <c r="D2089" t="s">
        <v>6926</v>
      </c>
      <c r="E2089" s="1">
        <v>46151.618506944447</v>
      </c>
      <c r="F2089">
        <v>1547</v>
      </c>
      <c r="G2089" t="s">
        <v>8348</v>
      </c>
      <c r="H2089" t="s">
        <v>15</v>
      </c>
      <c r="I2089" t="s">
        <v>6928</v>
      </c>
      <c r="J2089" t="str">
        <f>RIGHT(D2089,4)</f>
        <v>6329</v>
      </c>
      <c r="K2089" t="str">
        <f>IFERROR(VLOOKUP(VALUE(J2089),'Site Info'!$A:$G,3,FALSE),"")</f>
        <v>3833 N GLOSTER ST</v>
      </c>
      <c r="L2089" t="str">
        <f>IFERROR(VLOOKUP(VALUE(J2089),'Site Info'!$A:$G,4,FALSE),"")</f>
        <v>TUPELO</v>
      </c>
      <c r="M2089" t="str">
        <f>IFERROR(VLOOKUP(VALUE(J2089),'Site Info'!$A:$G,5,FALSE),"")</f>
        <v>MS</v>
      </c>
      <c r="N2089" t="str">
        <f>IFERROR(VLOOKUP(VALUE(J2089),'Site Info'!$A:$G,6,FALSE),"")</f>
        <v>38804-0914</v>
      </c>
      <c r="O2089">
        <f>IFERROR(VLOOKUP(VALUE(J2089),'Site Info'!$A:$G,7,FALSE),"")</f>
        <v>6628406459</v>
      </c>
    </row>
    <row r="2090" spans="1:15" x14ac:dyDescent="0.45">
      <c r="A2090" t="s">
        <v>8017</v>
      </c>
      <c r="B2090" t="s">
        <v>8018</v>
      </c>
      <c r="C2090" t="s">
        <v>8019</v>
      </c>
      <c r="D2090" t="s">
        <v>6926</v>
      </c>
      <c r="E2090" s="1">
        <v>46152.844826388886</v>
      </c>
      <c r="F2090">
        <v>1547</v>
      </c>
      <c r="G2090" t="s">
        <v>8020</v>
      </c>
      <c r="H2090" t="s">
        <v>15</v>
      </c>
      <c r="I2090" t="s">
        <v>6928</v>
      </c>
      <c r="J2090" t="str">
        <f>RIGHT(D2090,4)</f>
        <v>6329</v>
      </c>
      <c r="K2090" t="str">
        <f>IFERROR(VLOOKUP(VALUE(J2090),'Site Info'!$A:$G,3,FALSE),"")</f>
        <v>3833 N GLOSTER ST</v>
      </c>
      <c r="L2090" t="str">
        <f>IFERROR(VLOOKUP(VALUE(J2090),'Site Info'!$A:$G,4,FALSE),"")</f>
        <v>TUPELO</v>
      </c>
      <c r="M2090" t="str">
        <f>IFERROR(VLOOKUP(VALUE(J2090),'Site Info'!$A:$G,5,FALSE),"")</f>
        <v>MS</v>
      </c>
      <c r="N2090" t="str">
        <f>IFERROR(VLOOKUP(VALUE(J2090),'Site Info'!$A:$G,6,FALSE),"")</f>
        <v>38804-0914</v>
      </c>
      <c r="O2090">
        <f>IFERROR(VLOOKUP(VALUE(J2090),'Site Info'!$A:$G,7,FALSE),"")</f>
        <v>6628406459</v>
      </c>
    </row>
    <row r="2091" spans="1:15" x14ac:dyDescent="0.45">
      <c r="A2091" t="s">
        <v>7757</v>
      </c>
      <c r="B2091" t="s">
        <v>7758</v>
      </c>
      <c r="C2091" t="s">
        <v>7759</v>
      </c>
      <c r="D2091" t="s">
        <v>6926</v>
      </c>
      <c r="E2091" s="1">
        <v>46153.363865740743</v>
      </c>
      <c r="F2091">
        <v>1547</v>
      </c>
      <c r="G2091" t="s">
        <v>7760</v>
      </c>
      <c r="H2091" t="s">
        <v>15</v>
      </c>
      <c r="I2091" t="s">
        <v>6928</v>
      </c>
      <c r="J2091" t="str">
        <f>RIGHT(D2091,4)</f>
        <v>6329</v>
      </c>
      <c r="K2091" t="str">
        <f>IFERROR(VLOOKUP(VALUE(J2091),'Site Info'!$A:$G,3,FALSE),"")</f>
        <v>3833 N GLOSTER ST</v>
      </c>
      <c r="L2091" t="str">
        <f>IFERROR(VLOOKUP(VALUE(J2091),'Site Info'!$A:$G,4,FALSE),"")</f>
        <v>TUPELO</v>
      </c>
      <c r="M2091" t="str">
        <f>IFERROR(VLOOKUP(VALUE(J2091),'Site Info'!$A:$G,5,FALSE),"")</f>
        <v>MS</v>
      </c>
      <c r="N2091" t="str">
        <f>IFERROR(VLOOKUP(VALUE(J2091),'Site Info'!$A:$G,6,FALSE),"")</f>
        <v>38804-0914</v>
      </c>
      <c r="O2091">
        <f>IFERROR(VLOOKUP(VALUE(J2091),'Site Info'!$A:$G,7,FALSE),"")</f>
        <v>6628406459</v>
      </c>
    </row>
    <row r="2092" spans="1:15" x14ac:dyDescent="0.45">
      <c r="A2092" t="s">
        <v>13671</v>
      </c>
      <c r="B2092" t="s">
        <v>13672</v>
      </c>
      <c r="C2092" t="s">
        <v>13673</v>
      </c>
      <c r="D2092" t="s">
        <v>6926</v>
      </c>
      <c r="E2092" s="1">
        <v>46153.366875</v>
      </c>
      <c r="F2092">
        <v>1547</v>
      </c>
      <c r="G2092" t="s">
        <v>13674</v>
      </c>
      <c r="H2092" t="s">
        <v>15</v>
      </c>
      <c r="I2092" t="s">
        <v>6928</v>
      </c>
      <c r="J2092" t="str">
        <f>RIGHT(D2092,4)</f>
        <v>6329</v>
      </c>
      <c r="K2092" t="str">
        <f>IFERROR(VLOOKUP(VALUE(J2092),'Site Info'!$A:$G,3,FALSE),"")</f>
        <v>3833 N GLOSTER ST</v>
      </c>
      <c r="L2092" t="str">
        <f>IFERROR(VLOOKUP(VALUE(J2092),'Site Info'!$A:$G,4,FALSE),"")</f>
        <v>TUPELO</v>
      </c>
      <c r="M2092" t="str">
        <f>IFERROR(VLOOKUP(VALUE(J2092),'Site Info'!$A:$G,5,FALSE),"")</f>
        <v>MS</v>
      </c>
      <c r="N2092" t="str">
        <f>IFERROR(VLOOKUP(VALUE(J2092),'Site Info'!$A:$G,6,FALSE),"")</f>
        <v>38804-0914</v>
      </c>
      <c r="O2092">
        <f>IFERROR(VLOOKUP(VALUE(J2092),'Site Info'!$A:$G,7,FALSE),"")</f>
        <v>6628406459</v>
      </c>
    </row>
    <row r="2093" spans="1:15" x14ac:dyDescent="0.45">
      <c r="A2093" t="s">
        <v>14467</v>
      </c>
      <c r="B2093" t="s">
        <v>14468</v>
      </c>
      <c r="C2093" t="s">
        <v>14469</v>
      </c>
      <c r="D2093" t="s">
        <v>10774</v>
      </c>
      <c r="E2093" s="1">
        <v>46152.712893518517</v>
      </c>
      <c r="F2093">
        <v>1547</v>
      </c>
      <c r="G2093" t="s">
        <v>14470</v>
      </c>
      <c r="H2093" t="s">
        <v>15</v>
      </c>
      <c r="I2093" t="s">
        <v>10776</v>
      </c>
      <c r="J2093" t="str">
        <f>RIGHT(D2093,4)</f>
        <v>6644</v>
      </c>
      <c r="K2093" t="str">
        <f>IFERROR(VLOOKUP(VALUE(J2093),'Site Info'!$A:$G,3,FALSE),"")</f>
        <v>3839 MUNDY MILL RD</v>
      </c>
      <c r="L2093" t="str">
        <f>IFERROR(VLOOKUP(VALUE(J2093),'Site Info'!$A:$G,4,FALSE),"")</f>
        <v>OAKWOOD</v>
      </c>
      <c r="M2093" t="str">
        <f>IFERROR(VLOOKUP(VALUE(J2093),'Site Info'!$A:$G,5,FALSE),"")</f>
        <v>GA</v>
      </c>
      <c r="N2093" t="str">
        <f>IFERROR(VLOOKUP(VALUE(J2093),'Site Info'!$A:$G,6,FALSE),"")</f>
        <v>30566-3415</v>
      </c>
      <c r="O2093">
        <f>IFERROR(VLOOKUP(VALUE(J2093),'Site Info'!$A:$G,7,FALSE),"")</f>
        <v>7705328884</v>
      </c>
    </row>
    <row r="2094" spans="1:15" x14ac:dyDescent="0.45">
      <c r="A2094" t="s">
        <v>13355</v>
      </c>
      <c r="B2094" t="s">
        <v>13356</v>
      </c>
      <c r="C2094" t="s">
        <v>13357</v>
      </c>
      <c r="D2094" t="s">
        <v>10774</v>
      </c>
      <c r="E2094" s="1">
        <v>46153.336006944446</v>
      </c>
      <c r="F2094">
        <v>1547</v>
      </c>
      <c r="G2094" t="s">
        <v>13358</v>
      </c>
      <c r="H2094" t="s">
        <v>15</v>
      </c>
      <c r="I2094" t="s">
        <v>10776</v>
      </c>
      <c r="J2094" t="str">
        <f>RIGHT(D2094,4)</f>
        <v>6644</v>
      </c>
      <c r="K2094" t="str">
        <f>IFERROR(VLOOKUP(VALUE(J2094),'Site Info'!$A:$G,3,FALSE),"")</f>
        <v>3839 MUNDY MILL RD</v>
      </c>
      <c r="L2094" t="str">
        <f>IFERROR(VLOOKUP(VALUE(J2094),'Site Info'!$A:$G,4,FALSE),"")</f>
        <v>OAKWOOD</v>
      </c>
      <c r="M2094" t="str">
        <f>IFERROR(VLOOKUP(VALUE(J2094),'Site Info'!$A:$G,5,FALSE),"")</f>
        <v>GA</v>
      </c>
      <c r="N2094" t="str">
        <f>IFERROR(VLOOKUP(VALUE(J2094),'Site Info'!$A:$G,6,FALSE),"")</f>
        <v>30566-3415</v>
      </c>
      <c r="O2094">
        <f>IFERROR(VLOOKUP(VALUE(J2094),'Site Info'!$A:$G,7,FALSE),"")</f>
        <v>7705328884</v>
      </c>
    </row>
    <row r="2095" spans="1:15" x14ac:dyDescent="0.45">
      <c r="A2095" t="s">
        <v>13383</v>
      </c>
      <c r="B2095" t="s">
        <v>13384</v>
      </c>
      <c r="C2095" t="s">
        <v>13385</v>
      </c>
      <c r="D2095" t="s">
        <v>10774</v>
      </c>
      <c r="E2095" s="1">
        <v>46153.349490740744</v>
      </c>
      <c r="F2095">
        <v>1547</v>
      </c>
      <c r="G2095" t="s">
        <v>13386</v>
      </c>
      <c r="H2095" t="s">
        <v>15</v>
      </c>
      <c r="I2095" t="s">
        <v>10776</v>
      </c>
      <c r="J2095" t="str">
        <f>RIGHT(D2095,4)</f>
        <v>6644</v>
      </c>
      <c r="K2095" t="str">
        <f>IFERROR(VLOOKUP(VALUE(J2095),'Site Info'!$A:$G,3,FALSE),"")</f>
        <v>3839 MUNDY MILL RD</v>
      </c>
      <c r="L2095" t="str">
        <f>IFERROR(VLOOKUP(VALUE(J2095),'Site Info'!$A:$G,4,FALSE),"")</f>
        <v>OAKWOOD</v>
      </c>
      <c r="M2095" t="str">
        <f>IFERROR(VLOOKUP(VALUE(J2095),'Site Info'!$A:$G,5,FALSE),"")</f>
        <v>GA</v>
      </c>
      <c r="N2095" t="str">
        <f>IFERROR(VLOOKUP(VALUE(J2095),'Site Info'!$A:$G,6,FALSE),"")</f>
        <v>30566-3415</v>
      </c>
      <c r="O2095">
        <f>IFERROR(VLOOKUP(VALUE(J2095),'Site Info'!$A:$G,7,FALSE),"")</f>
        <v>7705328884</v>
      </c>
    </row>
    <row r="2096" spans="1:15" x14ac:dyDescent="0.45">
      <c r="A2096" t="s">
        <v>10771</v>
      </c>
      <c r="B2096" t="s">
        <v>10772</v>
      </c>
      <c r="C2096" t="s">
        <v>10773</v>
      </c>
      <c r="D2096" t="s">
        <v>10774</v>
      </c>
      <c r="E2096" s="1">
        <v>46153.371736111112</v>
      </c>
      <c r="F2096">
        <v>1547</v>
      </c>
      <c r="G2096" t="s">
        <v>10775</v>
      </c>
      <c r="H2096" t="s">
        <v>15</v>
      </c>
      <c r="I2096" t="s">
        <v>10776</v>
      </c>
      <c r="J2096" t="str">
        <f>RIGHT(D2096,4)</f>
        <v>6644</v>
      </c>
      <c r="K2096" t="str">
        <f>IFERROR(VLOOKUP(VALUE(J2096),'Site Info'!$A:$G,3,FALSE),"")</f>
        <v>3839 MUNDY MILL RD</v>
      </c>
      <c r="L2096" t="str">
        <f>IFERROR(VLOOKUP(VALUE(J2096),'Site Info'!$A:$G,4,FALSE),"")</f>
        <v>OAKWOOD</v>
      </c>
      <c r="M2096" t="str">
        <f>IFERROR(VLOOKUP(VALUE(J2096),'Site Info'!$A:$G,5,FALSE),"")</f>
        <v>GA</v>
      </c>
      <c r="N2096" t="str">
        <f>IFERROR(VLOOKUP(VALUE(J2096),'Site Info'!$A:$G,6,FALSE),"")</f>
        <v>30566-3415</v>
      </c>
      <c r="O2096">
        <f>IFERROR(VLOOKUP(VALUE(J2096),'Site Info'!$A:$G,7,FALSE),"")</f>
        <v>7705328884</v>
      </c>
    </row>
    <row r="2097" spans="1:15" x14ac:dyDescent="0.45">
      <c r="A2097" t="s">
        <v>16504</v>
      </c>
      <c r="B2097" t="s">
        <v>17004</v>
      </c>
      <c r="C2097" t="s">
        <v>17005</v>
      </c>
      <c r="D2097" t="s">
        <v>10774</v>
      </c>
      <c r="E2097" s="1">
        <v>46152.478043981479</v>
      </c>
      <c r="F2097">
        <v>1628</v>
      </c>
      <c r="G2097" t="s">
        <v>17006</v>
      </c>
      <c r="H2097" t="s">
        <v>13988</v>
      </c>
      <c r="I2097" t="s">
        <v>10776</v>
      </c>
      <c r="J2097" t="str">
        <f>RIGHT(D2097,4)</f>
        <v>6644</v>
      </c>
      <c r="K2097" t="str">
        <f>IFERROR(VLOOKUP(VALUE(J2097),'Site Info'!$A:$G,3,FALSE),"")</f>
        <v>3839 MUNDY MILL RD</v>
      </c>
      <c r="L2097" t="str">
        <f>IFERROR(VLOOKUP(VALUE(J2097),'Site Info'!$A:$G,4,FALSE),"")</f>
        <v>OAKWOOD</v>
      </c>
      <c r="M2097" t="str">
        <f>IFERROR(VLOOKUP(VALUE(J2097),'Site Info'!$A:$G,5,FALSE),"")</f>
        <v>GA</v>
      </c>
      <c r="N2097" t="str">
        <f>IFERROR(VLOOKUP(VALUE(J2097),'Site Info'!$A:$G,6,FALSE),"")</f>
        <v>30566-3415</v>
      </c>
      <c r="O2097">
        <f>IFERROR(VLOOKUP(VALUE(J2097),'Site Info'!$A:$G,7,FALSE),"")</f>
        <v>7705328884</v>
      </c>
    </row>
    <row r="2098" spans="1:15" x14ac:dyDescent="0.45">
      <c r="A2098" t="s">
        <v>17007</v>
      </c>
      <c r="B2098" t="s">
        <v>17008</v>
      </c>
      <c r="C2098" t="s">
        <v>17009</v>
      </c>
      <c r="D2098" t="s">
        <v>10774</v>
      </c>
      <c r="E2098" s="1">
        <v>46151.488877314812</v>
      </c>
      <c r="F2098">
        <v>1547</v>
      </c>
      <c r="G2098" t="s">
        <v>17010</v>
      </c>
      <c r="H2098" t="s">
        <v>15</v>
      </c>
      <c r="I2098" t="s">
        <v>10776</v>
      </c>
      <c r="J2098" t="str">
        <f>RIGHT(D2098,4)</f>
        <v>6644</v>
      </c>
      <c r="K2098" t="str">
        <f>IFERROR(VLOOKUP(VALUE(J2098),'Site Info'!$A:$G,3,FALSE),"")</f>
        <v>3839 MUNDY MILL RD</v>
      </c>
      <c r="L2098" t="str">
        <f>IFERROR(VLOOKUP(VALUE(J2098),'Site Info'!$A:$G,4,FALSE),"")</f>
        <v>OAKWOOD</v>
      </c>
      <c r="M2098" t="str">
        <f>IFERROR(VLOOKUP(VALUE(J2098),'Site Info'!$A:$G,5,FALSE),"")</f>
        <v>GA</v>
      </c>
      <c r="N2098" t="str">
        <f>IFERROR(VLOOKUP(VALUE(J2098),'Site Info'!$A:$G,6,FALSE),"")</f>
        <v>30566-3415</v>
      </c>
      <c r="O2098">
        <f>IFERROR(VLOOKUP(VALUE(J2098),'Site Info'!$A:$G,7,FALSE),"")</f>
        <v>7705328884</v>
      </c>
    </row>
    <row r="2099" spans="1:15" x14ac:dyDescent="0.45">
      <c r="A2099" t="s">
        <v>11904</v>
      </c>
      <c r="B2099" t="s">
        <v>11905</v>
      </c>
      <c r="C2099" t="s">
        <v>11906</v>
      </c>
      <c r="D2099" t="s">
        <v>3880</v>
      </c>
      <c r="E2099" s="1">
        <v>46140.48883101852</v>
      </c>
      <c r="F2099">
        <v>1547</v>
      </c>
      <c r="G2099" t="s">
        <v>11907</v>
      </c>
      <c r="H2099" t="s">
        <v>15</v>
      </c>
      <c r="I2099" t="s">
        <v>3882</v>
      </c>
      <c r="J2099" t="str">
        <f>RIGHT(D2099,4)</f>
        <v>8238</v>
      </c>
      <c r="K2099" t="str">
        <f>IFERROR(VLOOKUP(VALUE(J2099),'Site Info'!$A:$G,3,FALSE),"")</f>
        <v>3887 ELMORE AVE</v>
      </c>
      <c r="L2099" t="str">
        <f>IFERROR(VLOOKUP(VALUE(J2099),'Site Info'!$A:$G,4,FALSE),"")</f>
        <v>DAVENPORT</v>
      </c>
      <c r="M2099" t="str">
        <f>IFERROR(VLOOKUP(VALUE(J2099),'Site Info'!$A:$G,5,FALSE),"")</f>
        <v>IA</v>
      </c>
      <c r="N2099" t="str">
        <f>IFERROR(VLOOKUP(VALUE(J2099),'Site Info'!$A:$G,6,FALSE),"")</f>
        <v>52807-2504</v>
      </c>
      <c r="O2099">
        <f>IFERROR(VLOOKUP(VALUE(J2099),'Site Info'!$A:$G,7,FALSE),"")</f>
        <v>5633553939</v>
      </c>
    </row>
    <row r="2100" spans="1:15" x14ac:dyDescent="0.45">
      <c r="A2100" t="s">
        <v>11848</v>
      </c>
      <c r="B2100" t="s">
        <v>11849</v>
      </c>
      <c r="C2100" t="s">
        <v>11850</v>
      </c>
      <c r="D2100" t="s">
        <v>3880</v>
      </c>
      <c r="E2100" s="1">
        <v>46153.323773148149</v>
      </c>
      <c r="F2100">
        <v>1547</v>
      </c>
      <c r="G2100" t="s">
        <v>11851</v>
      </c>
      <c r="H2100" t="s">
        <v>15</v>
      </c>
      <c r="I2100" t="s">
        <v>3882</v>
      </c>
      <c r="J2100" t="str">
        <f>RIGHT(D2100,4)</f>
        <v>8238</v>
      </c>
      <c r="K2100" t="str">
        <f>IFERROR(VLOOKUP(VALUE(J2100),'Site Info'!$A:$G,3,FALSE),"")</f>
        <v>3887 ELMORE AVE</v>
      </c>
      <c r="L2100" t="str">
        <f>IFERROR(VLOOKUP(VALUE(J2100),'Site Info'!$A:$G,4,FALSE),"")</f>
        <v>DAVENPORT</v>
      </c>
      <c r="M2100" t="str">
        <f>IFERROR(VLOOKUP(VALUE(J2100),'Site Info'!$A:$G,5,FALSE),"")</f>
        <v>IA</v>
      </c>
      <c r="N2100" t="str">
        <f>IFERROR(VLOOKUP(VALUE(J2100),'Site Info'!$A:$G,6,FALSE),"")</f>
        <v>52807-2504</v>
      </c>
      <c r="O2100">
        <f>IFERROR(VLOOKUP(VALUE(J2100),'Site Info'!$A:$G,7,FALSE),"")</f>
        <v>5633553939</v>
      </c>
    </row>
    <row r="2101" spans="1:15" x14ac:dyDescent="0.45">
      <c r="A2101" t="s">
        <v>3877</v>
      </c>
      <c r="B2101" t="s">
        <v>3878</v>
      </c>
      <c r="C2101" t="s">
        <v>3879</v>
      </c>
      <c r="D2101" t="s">
        <v>3880</v>
      </c>
      <c r="E2101" s="1">
        <v>46153.165567129632</v>
      </c>
      <c r="F2101">
        <v>1481</v>
      </c>
      <c r="G2101" t="s">
        <v>3881</v>
      </c>
      <c r="H2101" t="s">
        <v>15</v>
      </c>
      <c r="I2101" t="s">
        <v>3882</v>
      </c>
      <c r="J2101" t="str">
        <f>RIGHT(D2101,4)</f>
        <v>8238</v>
      </c>
      <c r="K2101" t="str">
        <f>IFERROR(VLOOKUP(VALUE(J2101),'Site Info'!$A:$G,3,FALSE),"")</f>
        <v>3887 ELMORE AVE</v>
      </c>
      <c r="L2101" t="str">
        <f>IFERROR(VLOOKUP(VALUE(J2101),'Site Info'!$A:$G,4,FALSE),"")</f>
        <v>DAVENPORT</v>
      </c>
      <c r="M2101" t="str">
        <f>IFERROR(VLOOKUP(VALUE(J2101),'Site Info'!$A:$G,5,FALSE),"")</f>
        <v>IA</v>
      </c>
      <c r="N2101" t="str">
        <f>IFERROR(VLOOKUP(VALUE(J2101),'Site Info'!$A:$G,6,FALSE),"")</f>
        <v>52807-2504</v>
      </c>
      <c r="O2101">
        <f>IFERROR(VLOOKUP(VALUE(J2101),'Site Info'!$A:$G,7,FALSE),"")</f>
        <v>5633553939</v>
      </c>
    </row>
    <row r="2102" spans="1:15" x14ac:dyDescent="0.45">
      <c r="A2102" t="s">
        <v>8313</v>
      </c>
      <c r="B2102" t="s">
        <v>8314</v>
      </c>
      <c r="C2102" t="s">
        <v>8315</v>
      </c>
      <c r="D2102" t="s">
        <v>114</v>
      </c>
      <c r="E2102" s="1">
        <v>46147.552766203706</v>
      </c>
      <c r="F2102">
        <v>1547</v>
      </c>
      <c r="G2102" t="s">
        <v>8316</v>
      </c>
      <c r="H2102" t="s">
        <v>15</v>
      </c>
      <c r="I2102" t="s">
        <v>115</v>
      </c>
      <c r="J2102" t="str">
        <f>RIGHT(D2102,4)</f>
        <v>4775</v>
      </c>
      <c r="K2102" t="str">
        <f>IFERROR(VLOOKUP(VALUE(J2102),'Site Info'!$A:$G,3,FALSE),"")</f>
        <v>3900 AIRLINE DR</v>
      </c>
      <c r="L2102" t="str">
        <f>IFERROR(VLOOKUP(VALUE(J2102),'Site Info'!$A:$G,4,FALSE),"")</f>
        <v>METAIRIE</v>
      </c>
      <c r="M2102" t="str">
        <f>IFERROR(VLOOKUP(VALUE(J2102),'Site Info'!$A:$G,5,FALSE),"")</f>
        <v>LA</v>
      </c>
      <c r="N2102" t="str">
        <f>IFERROR(VLOOKUP(VALUE(J2102),'Site Info'!$A:$G,6,FALSE),"")</f>
        <v>70001-5704</v>
      </c>
      <c r="O2102">
        <f>IFERROR(VLOOKUP(VALUE(J2102),'Site Info'!$A:$G,7,FALSE),"")</f>
        <v>5048312911</v>
      </c>
    </row>
    <row r="2103" spans="1:15" x14ac:dyDescent="0.45">
      <c r="A2103" t="s">
        <v>6869</v>
      </c>
      <c r="B2103" t="s">
        <v>6870</v>
      </c>
      <c r="C2103" t="s">
        <v>6871</v>
      </c>
      <c r="D2103" t="s">
        <v>114</v>
      </c>
      <c r="E2103" s="1">
        <v>46148.778379629628</v>
      </c>
      <c r="F2103">
        <v>1547</v>
      </c>
      <c r="G2103" t="s">
        <v>6872</v>
      </c>
      <c r="H2103" t="s">
        <v>15</v>
      </c>
      <c r="I2103" t="s">
        <v>115</v>
      </c>
      <c r="J2103" t="str">
        <f>RIGHT(D2103,4)</f>
        <v>4775</v>
      </c>
      <c r="K2103" t="str">
        <f>IFERROR(VLOOKUP(VALUE(J2103),'Site Info'!$A:$G,3,FALSE),"")</f>
        <v>3900 AIRLINE DR</v>
      </c>
      <c r="L2103" t="str">
        <f>IFERROR(VLOOKUP(VALUE(J2103),'Site Info'!$A:$G,4,FALSE),"")</f>
        <v>METAIRIE</v>
      </c>
      <c r="M2103" t="str">
        <f>IFERROR(VLOOKUP(VALUE(J2103),'Site Info'!$A:$G,5,FALSE),"")</f>
        <v>LA</v>
      </c>
      <c r="N2103" t="str">
        <f>IFERROR(VLOOKUP(VALUE(J2103),'Site Info'!$A:$G,6,FALSE),"")</f>
        <v>70001-5704</v>
      </c>
      <c r="O2103">
        <f>IFERROR(VLOOKUP(VALUE(J2103),'Site Info'!$A:$G,7,FALSE),"")</f>
        <v>5048312911</v>
      </c>
    </row>
    <row r="2104" spans="1:15" x14ac:dyDescent="0.45">
      <c r="A2104" t="s">
        <v>6711</v>
      </c>
      <c r="B2104" t="s">
        <v>6712</v>
      </c>
      <c r="C2104" t="s">
        <v>6713</v>
      </c>
      <c r="D2104" t="s">
        <v>114</v>
      </c>
      <c r="E2104" s="1">
        <v>46152.666342592594</v>
      </c>
      <c r="F2104">
        <v>1547</v>
      </c>
      <c r="G2104" t="s">
        <v>6714</v>
      </c>
      <c r="H2104" t="s">
        <v>15</v>
      </c>
      <c r="I2104" t="s">
        <v>115</v>
      </c>
      <c r="J2104" t="str">
        <f>RIGHT(D2104,4)</f>
        <v>4775</v>
      </c>
      <c r="K2104" t="str">
        <f>IFERROR(VLOOKUP(VALUE(J2104),'Site Info'!$A:$G,3,FALSE),"")</f>
        <v>3900 AIRLINE DR</v>
      </c>
      <c r="L2104" t="str">
        <f>IFERROR(VLOOKUP(VALUE(J2104),'Site Info'!$A:$G,4,FALSE),"")</f>
        <v>METAIRIE</v>
      </c>
      <c r="M2104" t="str">
        <f>IFERROR(VLOOKUP(VALUE(J2104),'Site Info'!$A:$G,5,FALSE),"")</f>
        <v>LA</v>
      </c>
      <c r="N2104" t="str">
        <f>IFERROR(VLOOKUP(VALUE(J2104),'Site Info'!$A:$G,6,FALSE),"")</f>
        <v>70001-5704</v>
      </c>
      <c r="O2104">
        <f>IFERROR(VLOOKUP(VALUE(J2104),'Site Info'!$A:$G,7,FALSE),"")</f>
        <v>5048312911</v>
      </c>
    </row>
    <row r="2105" spans="1:15" x14ac:dyDescent="0.45">
      <c r="A2105" t="s">
        <v>6895</v>
      </c>
      <c r="B2105" t="s">
        <v>6896</v>
      </c>
      <c r="C2105" t="s">
        <v>6897</v>
      </c>
      <c r="D2105" t="s">
        <v>114</v>
      </c>
      <c r="E2105" s="1">
        <v>46153.25335648148</v>
      </c>
      <c r="F2105">
        <v>1547</v>
      </c>
      <c r="G2105" t="s">
        <v>6898</v>
      </c>
      <c r="H2105" t="s">
        <v>15</v>
      </c>
      <c r="I2105" t="s">
        <v>115</v>
      </c>
      <c r="J2105" t="str">
        <f>RIGHT(D2105,4)</f>
        <v>4775</v>
      </c>
      <c r="K2105" t="str">
        <f>IFERROR(VLOOKUP(VALUE(J2105),'Site Info'!$A:$G,3,FALSE),"")</f>
        <v>3900 AIRLINE DR</v>
      </c>
      <c r="L2105" t="str">
        <f>IFERROR(VLOOKUP(VALUE(J2105),'Site Info'!$A:$G,4,FALSE),"")</f>
        <v>METAIRIE</v>
      </c>
      <c r="M2105" t="str">
        <f>IFERROR(VLOOKUP(VALUE(J2105),'Site Info'!$A:$G,5,FALSE),"")</f>
        <v>LA</v>
      </c>
      <c r="N2105" t="str">
        <f>IFERROR(VLOOKUP(VALUE(J2105),'Site Info'!$A:$G,6,FALSE),"")</f>
        <v>70001-5704</v>
      </c>
      <c r="O2105">
        <f>IFERROR(VLOOKUP(VALUE(J2105),'Site Info'!$A:$G,7,FALSE),"")</f>
        <v>5048312911</v>
      </c>
    </row>
    <row r="2106" spans="1:15" x14ac:dyDescent="0.45">
      <c r="A2106" t="s">
        <v>898</v>
      </c>
      <c r="B2106" t="s">
        <v>899</v>
      </c>
      <c r="C2106" t="s">
        <v>900</v>
      </c>
      <c r="D2106" t="s">
        <v>114</v>
      </c>
      <c r="E2106" s="1">
        <v>46152.612824074073</v>
      </c>
      <c r="F2106">
        <v>1481</v>
      </c>
      <c r="G2106" t="s">
        <v>901</v>
      </c>
      <c r="H2106" t="s">
        <v>15</v>
      </c>
      <c r="I2106" t="s">
        <v>115</v>
      </c>
      <c r="J2106" t="str">
        <f>RIGHT(D2106,4)</f>
        <v>4775</v>
      </c>
      <c r="K2106" t="str">
        <f>IFERROR(VLOOKUP(VALUE(J2106),'Site Info'!$A:$G,3,FALSE),"")</f>
        <v>3900 AIRLINE DR</v>
      </c>
      <c r="L2106" t="str">
        <f>IFERROR(VLOOKUP(VALUE(J2106),'Site Info'!$A:$G,4,FALSE),"")</f>
        <v>METAIRIE</v>
      </c>
      <c r="M2106" t="str">
        <f>IFERROR(VLOOKUP(VALUE(J2106),'Site Info'!$A:$G,5,FALSE),"")</f>
        <v>LA</v>
      </c>
      <c r="N2106" t="str">
        <f>IFERROR(VLOOKUP(VALUE(J2106),'Site Info'!$A:$G,6,FALSE),"")</f>
        <v>70001-5704</v>
      </c>
      <c r="O2106">
        <f>IFERROR(VLOOKUP(VALUE(J2106),'Site Info'!$A:$G,7,FALSE),"")</f>
        <v>5048312911</v>
      </c>
    </row>
    <row r="2107" spans="1:15" x14ac:dyDescent="0.45">
      <c r="A2107" t="s">
        <v>1916</v>
      </c>
      <c r="B2107" t="s">
        <v>1917</v>
      </c>
      <c r="C2107" t="s">
        <v>1918</v>
      </c>
      <c r="D2107" t="s">
        <v>114</v>
      </c>
      <c r="E2107" s="1">
        <v>46153.17695601852</v>
      </c>
      <c r="F2107">
        <v>1481</v>
      </c>
      <c r="G2107" t="s">
        <v>1919</v>
      </c>
      <c r="H2107" t="s">
        <v>15</v>
      </c>
      <c r="I2107" t="s">
        <v>115</v>
      </c>
      <c r="J2107" t="str">
        <f>RIGHT(D2107,4)</f>
        <v>4775</v>
      </c>
      <c r="K2107" t="str">
        <f>IFERROR(VLOOKUP(VALUE(J2107),'Site Info'!$A:$G,3,FALSE),"")</f>
        <v>3900 AIRLINE DR</v>
      </c>
      <c r="L2107" t="str">
        <f>IFERROR(VLOOKUP(VALUE(J2107),'Site Info'!$A:$G,4,FALSE),"")</f>
        <v>METAIRIE</v>
      </c>
      <c r="M2107" t="str">
        <f>IFERROR(VLOOKUP(VALUE(J2107),'Site Info'!$A:$G,5,FALSE),"")</f>
        <v>LA</v>
      </c>
      <c r="N2107" t="str">
        <f>IFERROR(VLOOKUP(VALUE(J2107),'Site Info'!$A:$G,6,FALSE),"")</f>
        <v>70001-5704</v>
      </c>
      <c r="O2107">
        <f>IFERROR(VLOOKUP(VALUE(J2107),'Site Info'!$A:$G,7,FALSE),"")</f>
        <v>5048312911</v>
      </c>
    </row>
    <row r="2108" spans="1:15" x14ac:dyDescent="0.45">
      <c r="A2108" t="s">
        <v>2381</v>
      </c>
      <c r="B2108" t="s">
        <v>2382</v>
      </c>
      <c r="C2108" t="s">
        <v>2383</v>
      </c>
      <c r="D2108" t="s">
        <v>114</v>
      </c>
      <c r="E2108" s="1">
        <v>46153.217060185183</v>
      </c>
      <c r="F2108">
        <v>1481</v>
      </c>
      <c r="G2108" t="s">
        <v>2384</v>
      </c>
      <c r="H2108" t="s">
        <v>15</v>
      </c>
      <c r="I2108" t="s">
        <v>115</v>
      </c>
      <c r="J2108" t="str">
        <f>RIGHT(D2108,4)</f>
        <v>4775</v>
      </c>
      <c r="K2108" t="str">
        <f>IFERROR(VLOOKUP(VALUE(J2108),'Site Info'!$A:$G,3,FALSE),"")</f>
        <v>3900 AIRLINE DR</v>
      </c>
      <c r="L2108" t="str">
        <f>IFERROR(VLOOKUP(VALUE(J2108),'Site Info'!$A:$G,4,FALSE),"")</f>
        <v>METAIRIE</v>
      </c>
      <c r="M2108" t="str">
        <f>IFERROR(VLOOKUP(VALUE(J2108),'Site Info'!$A:$G,5,FALSE),"")</f>
        <v>LA</v>
      </c>
      <c r="N2108" t="str">
        <f>IFERROR(VLOOKUP(VALUE(J2108),'Site Info'!$A:$G,6,FALSE),"")</f>
        <v>70001-5704</v>
      </c>
      <c r="O2108">
        <f>IFERROR(VLOOKUP(VALUE(J2108),'Site Info'!$A:$G,7,FALSE),"")</f>
        <v>5048312911</v>
      </c>
    </row>
    <row r="2109" spans="1:15" x14ac:dyDescent="0.45">
      <c r="A2109" t="s">
        <v>4568</v>
      </c>
      <c r="B2109" t="s">
        <v>4569</v>
      </c>
      <c r="C2109" t="s">
        <v>4570</v>
      </c>
      <c r="D2109" t="s">
        <v>120</v>
      </c>
      <c r="E2109" s="1">
        <v>46149.643726851849</v>
      </c>
      <c r="F2109">
        <v>1547</v>
      </c>
      <c r="G2109" t="s">
        <v>4571</v>
      </c>
      <c r="H2109" t="s">
        <v>15</v>
      </c>
      <c r="I2109" t="s">
        <v>122</v>
      </c>
      <c r="J2109" t="str">
        <f>RIGHT(D2109,4)</f>
        <v>4840</v>
      </c>
      <c r="K2109" t="str">
        <f>IFERROR(VLOOKUP(VALUE(J2109),'Site Info'!$A:$G,3,FALSE),"")</f>
        <v>3900 DEERFIELD DR</v>
      </c>
      <c r="L2109" t="str">
        <f>IFERROR(VLOOKUP(VALUE(J2109),'Site Info'!$A:$G,4,FALSE),"")</f>
        <v>JANESVILLE</v>
      </c>
      <c r="M2109" t="str">
        <f>IFERROR(VLOOKUP(VALUE(J2109),'Site Info'!$A:$G,5,FALSE),"")</f>
        <v>WI</v>
      </c>
      <c r="N2109" t="str">
        <f>IFERROR(VLOOKUP(VALUE(J2109),'Site Info'!$A:$G,6,FALSE),"")</f>
        <v>53546-4431</v>
      </c>
      <c r="O2109">
        <f>IFERROR(VLOOKUP(VALUE(J2109),'Site Info'!$A:$G,7,FALSE),"")</f>
        <v>6087412367</v>
      </c>
    </row>
    <row r="2110" spans="1:15" x14ac:dyDescent="0.45">
      <c r="A2110" t="s">
        <v>4544</v>
      </c>
      <c r="B2110" t="s">
        <v>4545</v>
      </c>
      <c r="C2110" t="s">
        <v>4546</v>
      </c>
      <c r="D2110" t="s">
        <v>120</v>
      </c>
      <c r="E2110" s="1">
        <v>46151.759004629632</v>
      </c>
      <c r="F2110">
        <v>1547</v>
      </c>
      <c r="G2110" t="s">
        <v>4547</v>
      </c>
      <c r="H2110" t="s">
        <v>15</v>
      </c>
      <c r="I2110" t="s">
        <v>122</v>
      </c>
      <c r="J2110" t="str">
        <f>RIGHT(D2110,4)</f>
        <v>4840</v>
      </c>
      <c r="K2110" t="str">
        <f>IFERROR(VLOOKUP(VALUE(J2110),'Site Info'!$A:$G,3,FALSE),"")</f>
        <v>3900 DEERFIELD DR</v>
      </c>
      <c r="L2110" t="str">
        <f>IFERROR(VLOOKUP(VALUE(J2110),'Site Info'!$A:$G,4,FALSE),"")</f>
        <v>JANESVILLE</v>
      </c>
      <c r="M2110" t="str">
        <f>IFERROR(VLOOKUP(VALUE(J2110),'Site Info'!$A:$G,5,FALSE),"")</f>
        <v>WI</v>
      </c>
      <c r="N2110" t="str">
        <f>IFERROR(VLOOKUP(VALUE(J2110),'Site Info'!$A:$G,6,FALSE),"")</f>
        <v>53546-4431</v>
      </c>
      <c r="O2110">
        <f>IFERROR(VLOOKUP(VALUE(J2110),'Site Info'!$A:$G,7,FALSE),"")</f>
        <v>6087412367</v>
      </c>
    </row>
    <row r="2111" spans="1:15" x14ac:dyDescent="0.45">
      <c r="A2111" t="s">
        <v>4536</v>
      </c>
      <c r="B2111" t="s">
        <v>4537</v>
      </c>
      <c r="C2111" t="s">
        <v>4538</v>
      </c>
      <c r="D2111" t="s">
        <v>120</v>
      </c>
      <c r="E2111" s="1">
        <v>46152.668877314813</v>
      </c>
      <c r="F2111">
        <v>1547</v>
      </c>
      <c r="G2111" t="s">
        <v>4539</v>
      </c>
      <c r="H2111" t="s">
        <v>15</v>
      </c>
      <c r="I2111" t="s">
        <v>122</v>
      </c>
      <c r="J2111" t="str">
        <f>RIGHT(D2111,4)</f>
        <v>4840</v>
      </c>
      <c r="K2111" t="str">
        <f>IFERROR(VLOOKUP(VALUE(J2111),'Site Info'!$A:$G,3,FALSE),"")</f>
        <v>3900 DEERFIELD DR</v>
      </c>
      <c r="L2111" t="str">
        <f>IFERROR(VLOOKUP(VALUE(J2111),'Site Info'!$A:$G,4,FALSE),"")</f>
        <v>JANESVILLE</v>
      </c>
      <c r="M2111" t="str">
        <f>IFERROR(VLOOKUP(VALUE(J2111),'Site Info'!$A:$G,5,FALSE),"")</f>
        <v>WI</v>
      </c>
      <c r="N2111" t="str">
        <f>IFERROR(VLOOKUP(VALUE(J2111),'Site Info'!$A:$G,6,FALSE),"")</f>
        <v>53546-4431</v>
      </c>
      <c r="O2111">
        <f>IFERROR(VLOOKUP(VALUE(J2111),'Site Info'!$A:$G,7,FALSE),"")</f>
        <v>6087412367</v>
      </c>
    </row>
    <row r="2112" spans="1:15" x14ac:dyDescent="0.45">
      <c r="A2112" t="s">
        <v>4480</v>
      </c>
      <c r="B2112" t="s">
        <v>4481</v>
      </c>
      <c r="C2112" t="s">
        <v>4482</v>
      </c>
      <c r="D2112" t="s">
        <v>120</v>
      </c>
      <c r="E2112" s="1">
        <v>46153.256666666668</v>
      </c>
      <c r="F2112">
        <v>1547</v>
      </c>
      <c r="G2112" t="s">
        <v>4483</v>
      </c>
      <c r="H2112" t="s">
        <v>15</v>
      </c>
      <c r="I2112" t="s">
        <v>122</v>
      </c>
      <c r="J2112" t="str">
        <f>RIGHT(D2112,4)</f>
        <v>4840</v>
      </c>
      <c r="K2112" t="str">
        <f>IFERROR(VLOOKUP(VALUE(J2112),'Site Info'!$A:$G,3,FALSE),"")</f>
        <v>3900 DEERFIELD DR</v>
      </c>
      <c r="L2112" t="str">
        <f>IFERROR(VLOOKUP(VALUE(J2112),'Site Info'!$A:$G,4,FALSE),"")</f>
        <v>JANESVILLE</v>
      </c>
      <c r="M2112" t="str">
        <f>IFERROR(VLOOKUP(VALUE(J2112),'Site Info'!$A:$G,5,FALSE),"")</f>
        <v>WI</v>
      </c>
      <c r="N2112" t="str">
        <f>IFERROR(VLOOKUP(VALUE(J2112),'Site Info'!$A:$G,6,FALSE),"")</f>
        <v>53546-4431</v>
      </c>
      <c r="O2112">
        <f>IFERROR(VLOOKUP(VALUE(J2112),'Site Info'!$A:$G,7,FALSE),"")</f>
        <v>6087412367</v>
      </c>
    </row>
    <row r="2113" spans="1:15" x14ac:dyDescent="0.45">
      <c r="A2113" t="s">
        <v>96</v>
      </c>
      <c r="B2113" t="s">
        <v>118</v>
      </c>
      <c r="C2113" t="s">
        <v>119</v>
      </c>
      <c r="D2113" t="s">
        <v>120</v>
      </c>
      <c r="E2113" s="1">
        <v>46152.881412037037</v>
      </c>
      <c r="F2113">
        <v>1481</v>
      </c>
      <c r="G2113" t="s">
        <v>121</v>
      </c>
      <c r="H2113" t="s">
        <v>15</v>
      </c>
      <c r="I2113" t="s">
        <v>122</v>
      </c>
      <c r="J2113" t="str">
        <f>RIGHT(D2113,4)</f>
        <v>4840</v>
      </c>
      <c r="K2113" t="str">
        <f>IFERROR(VLOOKUP(VALUE(J2113),'Site Info'!$A:$G,3,FALSE),"")</f>
        <v>3900 DEERFIELD DR</v>
      </c>
      <c r="L2113" t="str">
        <f>IFERROR(VLOOKUP(VALUE(J2113),'Site Info'!$A:$G,4,FALSE),"")</f>
        <v>JANESVILLE</v>
      </c>
      <c r="M2113" t="str">
        <f>IFERROR(VLOOKUP(VALUE(J2113),'Site Info'!$A:$G,5,FALSE),"")</f>
        <v>WI</v>
      </c>
      <c r="N2113" t="str">
        <f>IFERROR(VLOOKUP(VALUE(J2113),'Site Info'!$A:$G,6,FALSE),"")</f>
        <v>53546-4431</v>
      </c>
      <c r="O2113">
        <f>IFERROR(VLOOKUP(VALUE(J2113),'Site Info'!$A:$G,7,FALSE),"")</f>
        <v>6087412367</v>
      </c>
    </row>
    <row r="2114" spans="1:15" x14ac:dyDescent="0.45">
      <c r="A2114" t="s">
        <v>2921</v>
      </c>
      <c r="B2114" t="s">
        <v>2922</v>
      </c>
      <c r="C2114" t="s">
        <v>2923</v>
      </c>
      <c r="D2114" t="s">
        <v>120</v>
      </c>
      <c r="E2114" s="1">
        <v>46153.37127314815</v>
      </c>
      <c r="F2114">
        <v>1481</v>
      </c>
      <c r="G2114" t="s">
        <v>2924</v>
      </c>
      <c r="H2114" t="s">
        <v>15</v>
      </c>
      <c r="I2114" t="s">
        <v>122</v>
      </c>
      <c r="J2114" t="str">
        <f>RIGHT(D2114,4)</f>
        <v>4840</v>
      </c>
      <c r="K2114" t="str">
        <f>IFERROR(VLOOKUP(VALUE(J2114),'Site Info'!$A:$G,3,FALSE),"")</f>
        <v>3900 DEERFIELD DR</v>
      </c>
      <c r="L2114" t="str">
        <f>IFERROR(VLOOKUP(VALUE(J2114),'Site Info'!$A:$G,4,FALSE),"")</f>
        <v>JANESVILLE</v>
      </c>
      <c r="M2114" t="str">
        <f>IFERROR(VLOOKUP(VALUE(J2114),'Site Info'!$A:$G,5,FALSE),"")</f>
        <v>WI</v>
      </c>
      <c r="N2114" t="str">
        <f>IFERROR(VLOOKUP(VALUE(J2114),'Site Info'!$A:$G,6,FALSE),"")</f>
        <v>53546-4431</v>
      </c>
      <c r="O2114">
        <f>IFERROR(VLOOKUP(VALUE(J2114),'Site Info'!$A:$G,7,FALSE),"")</f>
        <v>6087412367</v>
      </c>
    </row>
    <row r="2115" spans="1:15" x14ac:dyDescent="0.45">
      <c r="A2115" t="s">
        <v>13062</v>
      </c>
      <c r="B2115" t="s">
        <v>13063</v>
      </c>
      <c r="C2115" t="s">
        <v>13064</v>
      </c>
      <c r="D2115" t="s">
        <v>2432</v>
      </c>
      <c r="E2115" s="1">
        <v>46152.44332175926</v>
      </c>
      <c r="F2115">
        <v>1547</v>
      </c>
      <c r="G2115" t="s">
        <v>13065</v>
      </c>
      <c r="H2115" t="s">
        <v>15</v>
      </c>
      <c r="I2115" t="s">
        <v>2434</v>
      </c>
      <c r="J2115" t="str">
        <f>RIGHT(D2115,4)</f>
        <v>6359</v>
      </c>
      <c r="K2115" t="str">
        <f>IFERROR(VLOOKUP(VALUE(J2115),'Site Info'!$A:$G,3,FALSE),"")</f>
        <v>3901 ALPINE AVE NW</v>
      </c>
      <c r="L2115" t="str">
        <f>IFERROR(VLOOKUP(VALUE(J2115),'Site Info'!$A:$G,4,FALSE),"")</f>
        <v>COMSTOCK PARK</v>
      </c>
      <c r="M2115" t="str">
        <f>IFERROR(VLOOKUP(VALUE(J2115),'Site Info'!$A:$G,5,FALSE),"")</f>
        <v>MI</v>
      </c>
      <c r="N2115" t="str">
        <f>IFERROR(VLOOKUP(VALUE(J2115),'Site Info'!$A:$G,6,FALSE),"")</f>
        <v>49321-8350</v>
      </c>
      <c r="O2115">
        <f>IFERROR(VLOOKUP(VALUE(J2115),'Site Info'!$A:$G,7,FALSE),"")</f>
        <v>6167850001</v>
      </c>
    </row>
    <row r="2116" spans="1:15" x14ac:dyDescent="0.45">
      <c r="A2116" t="s">
        <v>13467</v>
      </c>
      <c r="B2116" t="s">
        <v>13468</v>
      </c>
      <c r="C2116" t="s">
        <v>13469</v>
      </c>
      <c r="D2116" t="s">
        <v>2432</v>
      </c>
      <c r="E2116" s="1">
        <v>46152.646620370368</v>
      </c>
      <c r="F2116">
        <v>1547</v>
      </c>
      <c r="G2116" t="s">
        <v>13470</v>
      </c>
      <c r="H2116" t="s">
        <v>15</v>
      </c>
      <c r="I2116" t="s">
        <v>2434</v>
      </c>
      <c r="J2116" t="str">
        <f>RIGHT(D2116,4)</f>
        <v>6359</v>
      </c>
      <c r="K2116" t="str">
        <f>IFERROR(VLOOKUP(VALUE(J2116),'Site Info'!$A:$G,3,FALSE),"")</f>
        <v>3901 ALPINE AVE NW</v>
      </c>
      <c r="L2116" t="str">
        <f>IFERROR(VLOOKUP(VALUE(J2116),'Site Info'!$A:$G,4,FALSE),"")</f>
        <v>COMSTOCK PARK</v>
      </c>
      <c r="M2116" t="str">
        <f>IFERROR(VLOOKUP(VALUE(J2116),'Site Info'!$A:$G,5,FALSE),"")</f>
        <v>MI</v>
      </c>
      <c r="N2116" t="str">
        <f>IFERROR(VLOOKUP(VALUE(J2116),'Site Info'!$A:$G,6,FALSE),"")</f>
        <v>49321-8350</v>
      </c>
      <c r="O2116">
        <f>IFERROR(VLOOKUP(VALUE(J2116),'Site Info'!$A:$G,7,FALSE),"")</f>
        <v>6167850001</v>
      </c>
    </row>
    <row r="2117" spans="1:15" x14ac:dyDescent="0.45">
      <c r="A2117" t="s">
        <v>13211</v>
      </c>
      <c r="B2117" t="s">
        <v>13212</v>
      </c>
      <c r="C2117" t="s">
        <v>13213</v>
      </c>
      <c r="D2117" t="s">
        <v>2432</v>
      </c>
      <c r="E2117" s="1">
        <v>46153.141215277778</v>
      </c>
      <c r="F2117">
        <v>1547</v>
      </c>
      <c r="G2117" t="s">
        <v>13214</v>
      </c>
      <c r="H2117" t="s">
        <v>15</v>
      </c>
      <c r="I2117" t="s">
        <v>2434</v>
      </c>
      <c r="J2117" t="str">
        <f>RIGHT(D2117,4)</f>
        <v>6359</v>
      </c>
      <c r="K2117" t="str">
        <f>IFERROR(VLOOKUP(VALUE(J2117),'Site Info'!$A:$G,3,FALSE),"")</f>
        <v>3901 ALPINE AVE NW</v>
      </c>
      <c r="L2117" t="str">
        <f>IFERROR(VLOOKUP(VALUE(J2117),'Site Info'!$A:$G,4,FALSE),"")</f>
        <v>COMSTOCK PARK</v>
      </c>
      <c r="M2117" t="str">
        <f>IFERROR(VLOOKUP(VALUE(J2117),'Site Info'!$A:$G,5,FALSE),"")</f>
        <v>MI</v>
      </c>
      <c r="N2117" t="str">
        <f>IFERROR(VLOOKUP(VALUE(J2117),'Site Info'!$A:$G,6,FALSE),"")</f>
        <v>49321-8350</v>
      </c>
      <c r="O2117">
        <f>IFERROR(VLOOKUP(VALUE(J2117),'Site Info'!$A:$G,7,FALSE),"")</f>
        <v>6167850001</v>
      </c>
    </row>
    <row r="2118" spans="1:15" x14ac:dyDescent="0.45">
      <c r="A2118" t="s">
        <v>12998</v>
      </c>
      <c r="B2118" t="s">
        <v>12999</v>
      </c>
      <c r="C2118" t="s">
        <v>13000</v>
      </c>
      <c r="D2118" t="s">
        <v>2432</v>
      </c>
      <c r="E2118" s="1">
        <v>46153.206284722219</v>
      </c>
      <c r="F2118">
        <v>1547</v>
      </c>
      <c r="G2118" t="s">
        <v>13001</v>
      </c>
      <c r="H2118" t="s">
        <v>15</v>
      </c>
      <c r="I2118" t="s">
        <v>2434</v>
      </c>
      <c r="J2118" t="str">
        <f>RIGHT(D2118,4)</f>
        <v>6359</v>
      </c>
      <c r="K2118" t="str">
        <f>IFERROR(VLOOKUP(VALUE(J2118),'Site Info'!$A:$G,3,FALSE),"")</f>
        <v>3901 ALPINE AVE NW</v>
      </c>
      <c r="L2118" t="str">
        <f>IFERROR(VLOOKUP(VALUE(J2118),'Site Info'!$A:$G,4,FALSE),"")</f>
        <v>COMSTOCK PARK</v>
      </c>
      <c r="M2118" t="str">
        <f>IFERROR(VLOOKUP(VALUE(J2118),'Site Info'!$A:$G,5,FALSE),"")</f>
        <v>MI</v>
      </c>
      <c r="N2118" t="str">
        <f>IFERROR(VLOOKUP(VALUE(J2118),'Site Info'!$A:$G,6,FALSE),"")</f>
        <v>49321-8350</v>
      </c>
      <c r="O2118">
        <f>IFERROR(VLOOKUP(VALUE(J2118),'Site Info'!$A:$G,7,FALSE),"")</f>
        <v>6167850001</v>
      </c>
    </row>
    <row r="2119" spans="1:15" x14ac:dyDescent="0.45">
      <c r="A2119" t="s">
        <v>12986</v>
      </c>
      <c r="B2119" t="s">
        <v>12987</v>
      </c>
      <c r="C2119" t="s">
        <v>12988</v>
      </c>
      <c r="D2119" t="s">
        <v>2432</v>
      </c>
      <c r="E2119" s="1">
        <v>46153.369606481479</v>
      </c>
      <c r="F2119">
        <v>1547</v>
      </c>
      <c r="G2119" t="s">
        <v>12989</v>
      </c>
      <c r="H2119" t="s">
        <v>15</v>
      </c>
      <c r="I2119" t="s">
        <v>2434</v>
      </c>
      <c r="J2119" t="str">
        <f>RIGHT(D2119,4)</f>
        <v>6359</v>
      </c>
      <c r="K2119" t="str">
        <f>IFERROR(VLOOKUP(VALUE(J2119),'Site Info'!$A:$G,3,FALSE),"")</f>
        <v>3901 ALPINE AVE NW</v>
      </c>
      <c r="L2119" t="str">
        <f>IFERROR(VLOOKUP(VALUE(J2119),'Site Info'!$A:$G,4,FALSE),"")</f>
        <v>COMSTOCK PARK</v>
      </c>
      <c r="M2119" t="str">
        <f>IFERROR(VLOOKUP(VALUE(J2119),'Site Info'!$A:$G,5,FALSE),"")</f>
        <v>MI</v>
      </c>
      <c r="N2119" t="str">
        <f>IFERROR(VLOOKUP(VALUE(J2119),'Site Info'!$A:$G,6,FALSE),"")</f>
        <v>49321-8350</v>
      </c>
      <c r="O2119">
        <f>IFERROR(VLOOKUP(VALUE(J2119),'Site Info'!$A:$G,7,FALSE),"")</f>
        <v>6167850001</v>
      </c>
    </row>
    <row r="2120" spans="1:15" x14ac:dyDescent="0.45">
      <c r="A2120" t="s">
        <v>12032</v>
      </c>
      <c r="B2120" t="s">
        <v>12033</v>
      </c>
      <c r="C2120" t="s">
        <v>12034</v>
      </c>
      <c r="D2120" t="s">
        <v>2432</v>
      </c>
      <c r="E2120" s="1">
        <v>46153.371759259258</v>
      </c>
      <c r="F2120">
        <v>1547</v>
      </c>
      <c r="G2120" t="s">
        <v>12035</v>
      </c>
      <c r="H2120" t="s">
        <v>15</v>
      </c>
      <c r="I2120" t="s">
        <v>2434</v>
      </c>
      <c r="J2120" t="str">
        <f>RIGHT(D2120,4)</f>
        <v>6359</v>
      </c>
      <c r="K2120" t="str">
        <f>IFERROR(VLOOKUP(VALUE(J2120),'Site Info'!$A:$G,3,FALSE),"")</f>
        <v>3901 ALPINE AVE NW</v>
      </c>
      <c r="L2120" t="str">
        <f>IFERROR(VLOOKUP(VALUE(J2120),'Site Info'!$A:$G,4,FALSE),"")</f>
        <v>COMSTOCK PARK</v>
      </c>
      <c r="M2120" t="str">
        <f>IFERROR(VLOOKUP(VALUE(J2120),'Site Info'!$A:$G,5,FALSE),"")</f>
        <v>MI</v>
      </c>
      <c r="N2120" t="str">
        <f>IFERROR(VLOOKUP(VALUE(J2120),'Site Info'!$A:$G,6,FALSE),"")</f>
        <v>49321-8350</v>
      </c>
      <c r="O2120">
        <f>IFERROR(VLOOKUP(VALUE(J2120),'Site Info'!$A:$G,7,FALSE),"")</f>
        <v>6167850001</v>
      </c>
    </row>
    <row r="2121" spans="1:15" x14ac:dyDescent="0.45">
      <c r="A2121" t="s">
        <v>2429</v>
      </c>
      <c r="B2121" t="s">
        <v>2430</v>
      </c>
      <c r="C2121" t="s">
        <v>2431</v>
      </c>
      <c r="D2121" t="s">
        <v>2432</v>
      </c>
      <c r="E2121" s="1">
        <v>46153.291018518517</v>
      </c>
      <c r="F2121">
        <v>1481</v>
      </c>
      <c r="G2121" t="s">
        <v>2433</v>
      </c>
      <c r="H2121" t="s">
        <v>15</v>
      </c>
      <c r="I2121" t="s">
        <v>2434</v>
      </c>
      <c r="J2121" t="str">
        <f>RIGHT(D2121,4)</f>
        <v>6359</v>
      </c>
      <c r="K2121" t="str">
        <f>IFERROR(VLOOKUP(VALUE(J2121),'Site Info'!$A:$G,3,FALSE),"")</f>
        <v>3901 ALPINE AVE NW</v>
      </c>
      <c r="L2121" t="str">
        <f>IFERROR(VLOOKUP(VALUE(J2121),'Site Info'!$A:$G,4,FALSE),"")</f>
        <v>COMSTOCK PARK</v>
      </c>
      <c r="M2121" t="str">
        <f>IFERROR(VLOOKUP(VALUE(J2121),'Site Info'!$A:$G,5,FALSE),"")</f>
        <v>MI</v>
      </c>
      <c r="N2121" t="str">
        <f>IFERROR(VLOOKUP(VALUE(J2121),'Site Info'!$A:$G,6,FALSE),"")</f>
        <v>49321-8350</v>
      </c>
      <c r="O2121">
        <f>IFERROR(VLOOKUP(VALUE(J2121),'Site Info'!$A:$G,7,FALSE),"")</f>
        <v>6167850001</v>
      </c>
    </row>
    <row r="2122" spans="1:15" x14ac:dyDescent="0.45">
      <c r="A2122" t="s">
        <v>5504</v>
      </c>
      <c r="B2122" t="s">
        <v>5505</v>
      </c>
      <c r="C2122" t="s">
        <v>5506</v>
      </c>
      <c r="D2122" t="s">
        <v>3052</v>
      </c>
      <c r="E2122" s="1">
        <v>46150.367268518516</v>
      </c>
      <c r="F2122">
        <v>1547</v>
      </c>
      <c r="G2122" t="s">
        <v>5507</v>
      </c>
      <c r="H2122" t="s">
        <v>15</v>
      </c>
      <c r="I2122" t="s">
        <v>3054</v>
      </c>
      <c r="J2122" t="str">
        <f>RIGHT(D2122,4)</f>
        <v>6458</v>
      </c>
      <c r="K2122" t="str">
        <f>IFERROR(VLOOKUP(VALUE(J2122),'Site Info'!$A:$G,3,FALSE),"")</f>
        <v>3912 WARDS RD</v>
      </c>
      <c r="L2122" t="str">
        <f>IFERROR(VLOOKUP(VALUE(J2122),'Site Info'!$A:$G,4,FALSE),"")</f>
        <v>LYNCHBURG</v>
      </c>
      <c r="M2122" t="str">
        <f>IFERROR(VLOOKUP(VALUE(J2122),'Site Info'!$A:$G,5,FALSE),"")</f>
        <v>VA</v>
      </c>
      <c r="N2122" t="str">
        <f>IFERROR(VLOOKUP(VALUE(J2122),'Site Info'!$A:$G,6,FALSE),"")</f>
        <v>24502-2942</v>
      </c>
      <c r="O2122">
        <f>IFERROR(VLOOKUP(VALUE(J2122),'Site Info'!$A:$G,7,FALSE),"")</f>
        <v>4342375234</v>
      </c>
    </row>
    <row r="2123" spans="1:15" x14ac:dyDescent="0.45">
      <c r="A2123" t="s">
        <v>5328</v>
      </c>
      <c r="B2123" t="s">
        <v>5329</v>
      </c>
      <c r="C2123" t="s">
        <v>5330</v>
      </c>
      <c r="D2123" t="s">
        <v>3052</v>
      </c>
      <c r="E2123" s="1">
        <v>46151.709490740737</v>
      </c>
      <c r="F2123">
        <v>1547</v>
      </c>
      <c r="G2123" t="s">
        <v>5331</v>
      </c>
      <c r="H2123" t="s">
        <v>15</v>
      </c>
      <c r="I2123" t="s">
        <v>3054</v>
      </c>
      <c r="J2123" t="str">
        <f>RIGHT(D2123,4)</f>
        <v>6458</v>
      </c>
      <c r="K2123" t="str">
        <f>IFERROR(VLOOKUP(VALUE(J2123),'Site Info'!$A:$G,3,FALSE),"")</f>
        <v>3912 WARDS RD</v>
      </c>
      <c r="L2123" t="str">
        <f>IFERROR(VLOOKUP(VALUE(J2123),'Site Info'!$A:$G,4,FALSE),"")</f>
        <v>LYNCHBURG</v>
      </c>
      <c r="M2123" t="str">
        <f>IFERROR(VLOOKUP(VALUE(J2123),'Site Info'!$A:$G,5,FALSE),"")</f>
        <v>VA</v>
      </c>
      <c r="N2123" t="str">
        <f>IFERROR(VLOOKUP(VALUE(J2123),'Site Info'!$A:$G,6,FALSE),"")</f>
        <v>24502-2942</v>
      </c>
      <c r="O2123">
        <f>IFERROR(VLOOKUP(VALUE(J2123),'Site Info'!$A:$G,7,FALSE),"")</f>
        <v>4342375234</v>
      </c>
    </row>
    <row r="2124" spans="1:15" x14ac:dyDescent="0.45">
      <c r="A2124" t="s">
        <v>5316</v>
      </c>
      <c r="B2124" t="s">
        <v>5317</v>
      </c>
      <c r="C2124" t="s">
        <v>5318</v>
      </c>
      <c r="D2124" t="s">
        <v>3052</v>
      </c>
      <c r="E2124" s="1">
        <v>46152.456296296295</v>
      </c>
      <c r="F2124">
        <v>1547</v>
      </c>
      <c r="G2124" t="s">
        <v>5319</v>
      </c>
      <c r="H2124" t="s">
        <v>15</v>
      </c>
      <c r="I2124" t="s">
        <v>3054</v>
      </c>
      <c r="J2124" t="str">
        <f>RIGHT(D2124,4)</f>
        <v>6458</v>
      </c>
      <c r="K2124" t="str">
        <f>IFERROR(VLOOKUP(VALUE(J2124),'Site Info'!$A:$G,3,FALSE),"")</f>
        <v>3912 WARDS RD</v>
      </c>
      <c r="L2124" t="str">
        <f>IFERROR(VLOOKUP(VALUE(J2124),'Site Info'!$A:$G,4,FALSE),"")</f>
        <v>LYNCHBURG</v>
      </c>
      <c r="M2124" t="str">
        <f>IFERROR(VLOOKUP(VALUE(J2124),'Site Info'!$A:$G,5,FALSE),"")</f>
        <v>VA</v>
      </c>
      <c r="N2124" t="str">
        <f>IFERROR(VLOOKUP(VALUE(J2124),'Site Info'!$A:$G,6,FALSE),"")</f>
        <v>24502-2942</v>
      </c>
      <c r="O2124">
        <f>IFERROR(VLOOKUP(VALUE(J2124),'Site Info'!$A:$G,7,FALSE),"")</f>
        <v>4342375234</v>
      </c>
    </row>
    <row r="2125" spans="1:15" x14ac:dyDescent="0.45">
      <c r="A2125" t="s">
        <v>4564</v>
      </c>
      <c r="B2125" t="s">
        <v>4565</v>
      </c>
      <c r="C2125" t="s">
        <v>4566</v>
      </c>
      <c r="D2125" t="s">
        <v>3052</v>
      </c>
      <c r="E2125" s="1">
        <v>46153.250150462962</v>
      </c>
      <c r="F2125">
        <v>1547</v>
      </c>
      <c r="G2125" t="s">
        <v>4567</v>
      </c>
      <c r="H2125" t="s">
        <v>15</v>
      </c>
      <c r="I2125" t="s">
        <v>3054</v>
      </c>
      <c r="J2125" t="str">
        <f>RIGHT(D2125,4)</f>
        <v>6458</v>
      </c>
      <c r="K2125" t="str">
        <f>IFERROR(VLOOKUP(VALUE(J2125),'Site Info'!$A:$G,3,FALSE),"")</f>
        <v>3912 WARDS RD</v>
      </c>
      <c r="L2125" t="str">
        <f>IFERROR(VLOOKUP(VALUE(J2125),'Site Info'!$A:$G,4,FALSE),"")</f>
        <v>LYNCHBURG</v>
      </c>
      <c r="M2125" t="str">
        <f>IFERROR(VLOOKUP(VALUE(J2125),'Site Info'!$A:$G,5,FALSE),"")</f>
        <v>VA</v>
      </c>
      <c r="N2125" t="str">
        <f>IFERROR(VLOOKUP(VALUE(J2125),'Site Info'!$A:$G,6,FALSE),"")</f>
        <v>24502-2942</v>
      </c>
      <c r="O2125">
        <f>IFERROR(VLOOKUP(VALUE(J2125),'Site Info'!$A:$G,7,FALSE),"")</f>
        <v>4342375234</v>
      </c>
    </row>
    <row r="2126" spans="1:15" x14ac:dyDescent="0.45">
      <c r="A2126" t="s">
        <v>10664</v>
      </c>
      <c r="B2126" t="s">
        <v>10665</v>
      </c>
      <c r="C2126" t="s">
        <v>10666</v>
      </c>
      <c r="D2126" t="s">
        <v>3052</v>
      </c>
      <c r="E2126" s="1">
        <v>46153.367638888885</v>
      </c>
      <c r="F2126">
        <v>1547</v>
      </c>
      <c r="G2126" t="s">
        <v>10667</v>
      </c>
      <c r="H2126" t="s">
        <v>15</v>
      </c>
      <c r="I2126" t="s">
        <v>3054</v>
      </c>
      <c r="J2126" t="str">
        <f>RIGHT(D2126,4)</f>
        <v>6458</v>
      </c>
      <c r="K2126" t="str">
        <f>IFERROR(VLOOKUP(VALUE(J2126),'Site Info'!$A:$G,3,FALSE),"")</f>
        <v>3912 WARDS RD</v>
      </c>
      <c r="L2126" t="str">
        <f>IFERROR(VLOOKUP(VALUE(J2126),'Site Info'!$A:$G,4,FALSE),"")</f>
        <v>LYNCHBURG</v>
      </c>
      <c r="M2126" t="str">
        <f>IFERROR(VLOOKUP(VALUE(J2126),'Site Info'!$A:$G,5,FALSE),"")</f>
        <v>VA</v>
      </c>
      <c r="N2126" t="str">
        <f>IFERROR(VLOOKUP(VALUE(J2126),'Site Info'!$A:$G,6,FALSE),"")</f>
        <v>24502-2942</v>
      </c>
      <c r="O2126">
        <f>IFERROR(VLOOKUP(VALUE(J2126),'Site Info'!$A:$G,7,FALSE),"")</f>
        <v>4342375234</v>
      </c>
    </row>
    <row r="2127" spans="1:15" x14ac:dyDescent="0.45">
      <c r="A2127" t="s">
        <v>3515</v>
      </c>
      <c r="B2127" t="s">
        <v>3516</v>
      </c>
      <c r="C2127" t="s">
        <v>3517</v>
      </c>
      <c r="D2127" t="s">
        <v>3052</v>
      </c>
      <c r="E2127" s="1">
        <v>46114.152372685188</v>
      </c>
      <c r="F2127">
        <v>1481</v>
      </c>
      <c r="G2127" t="s">
        <v>3518</v>
      </c>
      <c r="H2127" t="s">
        <v>15</v>
      </c>
      <c r="I2127" t="s">
        <v>3054</v>
      </c>
      <c r="J2127" t="str">
        <f>RIGHT(D2127,4)</f>
        <v>6458</v>
      </c>
      <c r="K2127" t="str">
        <f>IFERROR(VLOOKUP(VALUE(J2127),'Site Info'!$A:$G,3,FALSE),"")</f>
        <v>3912 WARDS RD</v>
      </c>
      <c r="L2127" t="str">
        <f>IFERROR(VLOOKUP(VALUE(J2127),'Site Info'!$A:$G,4,FALSE),"")</f>
        <v>LYNCHBURG</v>
      </c>
      <c r="M2127" t="str">
        <f>IFERROR(VLOOKUP(VALUE(J2127),'Site Info'!$A:$G,5,FALSE),"")</f>
        <v>VA</v>
      </c>
      <c r="N2127" t="str">
        <f>IFERROR(VLOOKUP(VALUE(J2127),'Site Info'!$A:$G,6,FALSE),"")</f>
        <v>24502-2942</v>
      </c>
      <c r="O2127">
        <f>IFERROR(VLOOKUP(VALUE(J2127),'Site Info'!$A:$G,7,FALSE),"")</f>
        <v>4342375234</v>
      </c>
    </row>
    <row r="2128" spans="1:15" x14ac:dyDescent="0.45">
      <c r="A2128" t="s">
        <v>3049</v>
      </c>
      <c r="B2128" t="s">
        <v>3050</v>
      </c>
      <c r="C2128" t="s">
        <v>3051</v>
      </c>
      <c r="D2128" t="s">
        <v>3052</v>
      </c>
      <c r="E2128" s="1">
        <v>46140.316284722219</v>
      </c>
      <c r="F2128">
        <v>1481</v>
      </c>
      <c r="G2128" t="s">
        <v>3053</v>
      </c>
      <c r="H2128" t="s">
        <v>15</v>
      </c>
      <c r="I2128" t="s">
        <v>3054</v>
      </c>
      <c r="J2128" t="str">
        <f>RIGHT(D2128,4)</f>
        <v>6458</v>
      </c>
      <c r="K2128" t="str">
        <f>IFERROR(VLOOKUP(VALUE(J2128),'Site Info'!$A:$G,3,FALSE),"")</f>
        <v>3912 WARDS RD</v>
      </c>
      <c r="L2128" t="str">
        <f>IFERROR(VLOOKUP(VALUE(J2128),'Site Info'!$A:$G,4,FALSE),"")</f>
        <v>LYNCHBURG</v>
      </c>
      <c r="M2128" t="str">
        <f>IFERROR(VLOOKUP(VALUE(J2128),'Site Info'!$A:$G,5,FALSE),"")</f>
        <v>VA</v>
      </c>
      <c r="N2128" t="str">
        <f>IFERROR(VLOOKUP(VALUE(J2128),'Site Info'!$A:$G,6,FALSE),"")</f>
        <v>24502-2942</v>
      </c>
      <c r="O2128">
        <f>IFERROR(VLOOKUP(VALUE(J2128),'Site Info'!$A:$G,7,FALSE),"")</f>
        <v>4342375234</v>
      </c>
    </row>
    <row r="2129" spans="1:15" x14ac:dyDescent="0.45">
      <c r="A2129" t="s">
        <v>4372</v>
      </c>
      <c r="B2129" t="s">
        <v>4373</v>
      </c>
      <c r="C2129" t="s">
        <v>4374</v>
      </c>
      <c r="D2129" t="s">
        <v>2107</v>
      </c>
      <c r="E2129" s="1">
        <v>46139.381203703706</v>
      </c>
      <c r="F2129">
        <v>1547</v>
      </c>
      <c r="G2129" t="s">
        <v>4375</v>
      </c>
      <c r="H2129" t="s">
        <v>15</v>
      </c>
      <c r="I2129" t="s">
        <v>2109</v>
      </c>
      <c r="J2129" t="str">
        <f>RIGHT(D2129,4)</f>
        <v>6335</v>
      </c>
      <c r="K2129" t="str">
        <f>IFERROR(VLOOKUP(VALUE(J2129),'Site Info'!$A:$G,3,FALSE),"")</f>
        <v>3921 SW COLLEGE RD</v>
      </c>
      <c r="L2129" t="str">
        <f>IFERROR(VLOOKUP(VALUE(J2129),'Site Info'!$A:$G,4,FALSE),"")</f>
        <v>OCALA</v>
      </c>
      <c r="M2129" t="str">
        <f>IFERROR(VLOOKUP(VALUE(J2129),'Site Info'!$A:$G,5,FALSE),"")</f>
        <v>FL</v>
      </c>
      <c r="N2129" t="str">
        <f>IFERROR(VLOOKUP(VALUE(J2129),'Site Info'!$A:$G,6,FALSE),"")</f>
        <v>34474-5713</v>
      </c>
      <c r="O2129">
        <f>IFERROR(VLOOKUP(VALUE(J2129),'Site Info'!$A:$G,7,FALSE),"")</f>
        <v>3528730500</v>
      </c>
    </row>
    <row r="2130" spans="1:15" x14ac:dyDescent="0.45">
      <c r="A2130" t="s">
        <v>4958</v>
      </c>
      <c r="B2130" t="s">
        <v>4959</v>
      </c>
      <c r="C2130" t="s">
        <v>4960</v>
      </c>
      <c r="D2130" t="s">
        <v>2107</v>
      </c>
      <c r="E2130" s="1">
        <v>46153.293668981481</v>
      </c>
      <c r="F2130">
        <v>1547</v>
      </c>
      <c r="G2130" t="s">
        <v>4961</v>
      </c>
      <c r="H2130" t="s">
        <v>15</v>
      </c>
      <c r="I2130" t="s">
        <v>2109</v>
      </c>
      <c r="J2130" t="str">
        <f>RIGHT(D2130,4)</f>
        <v>6335</v>
      </c>
      <c r="K2130" t="str">
        <f>IFERROR(VLOOKUP(VALUE(J2130),'Site Info'!$A:$G,3,FALSE),"")</f>
        <v>3921 SW COLLEGE RD</v>
      </c>
      <c r="L2130" t="str">
        <f>IFERROR(VLOOKUP(VALUE(J2130),'Site Info'!$A:$G,4,FALSE),"")</f>
        <v>OCALA</v>
      </c>
      <c r="M2130" t="str">
        <f>IFERROR(VLOOKUP(VALUE(J2130),'Site Info'!$A:$G,5,FALSE),"")</f>
        <v>FL</v>
      </c>
      <c r="N2130" t="str">
        <f>IFERROR(VLOOKUP(VALUE(J2130),'Site Info'!$A:$G,6,FALSE),"")</f>
        <v>34474-5713</v>
      </c>
      <c r="O2130">
        <f>IFERROR(VLOOKUP(VALUE(J2130),'Site Info'!$A:$G,7,FALSE),"")</f>
        <v>3528730500</v>
      </c>
    </row>
    <row r="2131" spans="1:15" x14ac:dyDescent="0.45">
      <c r="A2131" t="s">
        <v>4614</v>
      </c>
      <c r="B2131" t="s">
        <v>4615</v>
      </c>
      <c r="C2131" t="s">
        <v>4616</v>
      </c>
      <c r="D2131" t="s">
        <v>2107</v>
      </c>
      <c r="E2131" s="1">
        <v>46153.343356481484</v>
      </c>
      <c r="F2131">
        <v>1547</v>
      </c>
      <c r="G2131" t="s">
        <v>4617</v>
      </c>
      <c r="H2131" t="s">
        <v>15</v>
      </c>
      <c r="I2131" t="s">
        <v>2109</v>
      </c>
      <c r="J2131" t="str">
        <f>RIGHT(D2131,4)</f>
        <v>6335</v>
      </c>
      <c r="K2131" t="str">
        <f>IFERROR(VLOOKUP(VALUE(J2131),'Site Info'!$A:$G,3,FALSE),"")</f>
        <v>3921 SW COLLEGE RD</v>
      </c>
      <c r="L2131" t="str">
        <f>IFERROR(VLOOKUP(VALUE(J2131),'Site Info'!$A:$G,4,FALSE),"")</f>
        <v>OCALA</v>
      </c>
      <c r="M2131" t="str">
        <f>IFERROR(VLOOKUP(VALUE(J2131),'Site Info'!$A:$G,5,FALSE),"")</f>
        <v>FL</v>
      </c>
      <c r="N2131" t="str">
        <f>IFERROR(VLOOKUP(VALUE(J2131),'Site Info'!$A:$G,6,FALSE),"")</f>
        <v>34474-5713</v>
      </c>
      <c r="O2131">
        <f>IFERROR(VLOOKUP(VALUE(J2131),'Site Info'!$A:$G,7,FALSE),"")</f>
        <v>3528730500</v>
      </c>
    </row>
    <row r="2132" spans="1:15" x14ac:dyDescent="0.45">
      <c r="A2132" t="s">
        <v>7170</v>
      </c>
      <c r="B2132" t="s">
        <v>7171</v>
      </c>
      <c r="C2132" t="s">
        <v>7172</v>
      </c>
      <c r="D2132" t="s">
        <v>2107</v>
      </c>
      <c r="E2132" s="1">
        <v>46153.368356481478</v>
      </c>
      <c r="F2132">
        <v>1547</v>
      </c>
      <c r="G2132" t="s">
        <v>7173</v>
      </c>
      <c r="H2132" t="s">
        <v>15</v>
      </c>
      <c r="I2132" t="s">
        <v>2109</v>
      </c>
      <c r="J2132" t="str">
        <f>RIGHT(D2132,4)</f>
        <v>6335</v>
      </c>
      <c r="K2132" t="str">
        <f>IFERROR(VLOOKUP(VALUE(J2132),'Site Info'!$A:$G,3,FALSE),"")</f>
        <v>3921 SW COLLEGE RD</v>
      </c>
      <c r="L2132" t="str">
        <f>IFERROR(VLOOKUP(VALUE(J2132),'Site Info'!$A:$G,4,FALSE),"")</f>
        <v>OCALA</v>
      </c>
      <c r="M2132" t="str">
        <f>IFERROR(VLOOKUP(VALUE(J2132),'Site Info'!$A:$G,5,FALSE),"")</f>
        <v>FL</v>
      </c>
      <c r="N2132" t="str">
        <f>IFERROR(VLOOKUP(VALUE(J2132),'Site Info'!$A:$G,6,FALSE),"")</f>
        <v>34474-5713</v>
      </c>
      <c r="O2132">
        <f>IFERROR(VLOOKUP(VALUE(J2132),'Site Info'!$A:$G,7,FALSE),"")</f>
        <v>3528730500</v>
      </c>
    </row>
    <row r="2133" spans="1:15" x14ac:dyDescent="0.45">
      <c r="A2133" t="s">
        <v>13663</v>
      </c>
      <c r="B2133" t="s">
        <v>13664</v>
      </c>
      <c r="C2133" t="s">
        <v>13665</v>
      </c>
      <c r="D2133" t="s">
        <v>2107</v>
      </c>
      <c r="E2133" s="1">
        <v>46153.36991898148</v>
      </c>
      <c r="F2133">
        <v>1547</v>
      </c>
      <c r="G2133" t="s">
        <v>13666</v>
      </c>
      <c r="H2133" t="s">
        <v>15</v>
      </c>
      <c r="I2133" t="s">
        <v>2109</v>
      </c>
      <c r="J2133" t="str">
        <f>RIGHT(D2133,4)</f>
        <v>6335</v>
      </c>
      <c r="K2133" t="str">
        <f>IFERROR(VLOOKUP(VALUE(J2133),'Site Info'!$A:$G,3,FALSE),"")</f>
        <v>3921 SW COLLEGE RD</v>
      </c>
      <c r="L2133" t="str">
        <f>IFERROR(VLOOKUP(VALUE(J2133),'Site Info'!$A:$G,4,FALSE),"")</f>
        <v>OCALA</v>
      </c>
      <c r="M2133" t="str">
        <f>IFERROR(VLOOKUP(VALUE(J2133),'Site Info'!$A:$G,5,FALSE),"")</f>
        <v>FL</v>
      </c>
      <c r="N2133" t="str">
        <f>IFERROR(VLOOKUP(VALUE(J2133),'Site Info'!$A:$G,6,FALSE),"")</f>
        <v>34474-5713</v>
      </c>
      <c r="O2133">
        <f>IFERROR(VLOOKUP(VALUE(J2133),'Site Info'!$A:$G,7,FALSE),"")</f>
        <v>3528730500</v>
      </c>
    </row>
    <row r="2134" spans="1:15" x14ac:dyDescent="0.45">
      <c r="A2134" t="s">
        <v>3075</v>
      </c>
      <c r="B2134" t="s">
        <v>3076</v>
      </c>
      <c r="C2134" t="s">
        <v>3077</v>
      </c>
      <c r="D2134" t="s">
        <v>2107</v>
      </c>
      <c r="E2134" s="1">
        <v>46151.747997685183</v>
      </c>
      <c r="F2134">
        <v>1481</v>
      </c>
      <c r="G2134" t="s">
        <v>3078</v>
      </c>
      <c r="H2134" t="s">
        <v>15</v>
      </c>
      <c r="I2134" t="s">
        <v>2109</v>
      </c>
      <c r="J2134" t="str">
        <f>RIGHT(D2134,4)</f>
        <v>6335</v>
      </c>
      <c r="K2134" t="str">
        <f>IFERROR(VLOOKUP(VALUE(J2134),'Site Info'!$A:$G,3,FALSE),"")</f>
        <v>3921 SW COLLEGE RD</v>
      </c>
      <c r="L2134" t="str">
        <f>IFERROR(VLOOKUP(VALUE(J2134),'Site Info'!$A:$G,4,FALSE),"")</f>
        <v>OCALA</v>
      </c>
      <c r="M2134" t="str">
        <f>IFERROR(VLOOKUP(VALUE(J2134),'Site Info'!$A:$G,5,FALSE),"")</f>
        <v>FL</v>
      </c>
      <c r="N2134" t="str">
        <f>IFERROR(VLOOKUP(VALUE(J2134),'Site Info'!$A:$G,6,FALSE),"")</f>
        <v>34474-5713</v>
      </c>
      <c r="O2134">
        <f>IFERROR(VLOOKUP(VALUE(J2134),'Site Info'!$A:$G,7,FALSE),"")</f>
        <v>3528730500</v>
      </c>
    </row>
    <row r="2135" spans="1:15" x14ac:dyDescent="0.45">
      <c r="A2135" t="s">
        <v>2104</v>
      </c>
      <c r="B2135" t="s">
        <v>2105</v>
      </c>
      <c r="C2135" t="s">
        <v>2106</v>
      </c>
      <c r="D2135" t="s">
        <v>2107</v>
      </c>
      <c r="E2135" s="1">
        <v>46153.188738425924</v>
      </c>
      <c r="F2135">
        <v>1481</v>
      </c>
      <c r="G2135" t="s">
        <v>2108</v>
      </c>
      <c r="H2135" t="s">
        <v>15</v>
      </c>
      <c r="I2135" t="s">
        <v>2109</v>
      </c>
      <c r="J2135" t="str">
        <f>RIGHT(D2135,4)</f>
        <v>6335</v>
      </c>
      <c r="K2135" t="str">
        <f>IFERROR(VLOOKUP(VALUE(J2135),'Site Info'!$A:$G,3,FALSE),"")</f>
        <v>3921 SW COLLEGE RD</v>
      </c>
      <c r="L2135" t="str">
        <f>IFERROR(VLOOKUP(VALUE(J2135),'Site Info'!$A:$G,4,FALSE),"")</f>
        <v>OCALA</v>
      </c>
      <c r="M2135" t="str">
        <f>IFERROR(VLOOKUP(VALUE(J2135),'Site Info'!$A:$G,5,FALSE),"")</f>
        <v>FL</v>
      </c>
      <c r="N2135" t="str">
        <f>IFERROR(VLOOKUP(VALUE(J2135),'Site Info'!$A:$G,6,FALSE),"")</f>
        <v>34474-5713</v>
      </c>
      <c r="O2135">
        <f>IFERROR(VLOOKUP(VALUE(J2135),'Site Info'!$A:$G,7,FALSE),"")</f>
        <v>3528730500</v>
      </c>
    </row>
    <row r="2136" spans="1:15" x14ac:dyDescent="0.45">
      <c r="A2136" t="s">
        <v>2281</v>
      </c>
      <c r="B2136" t="s">
        <v>2282</v>
      </c>
      <c r="C2136" t="s">
        <v>2283</v>
      </c>
      <c r="D2136" t="s">
        <v>2107</v>
      </c>
      <c r="E2136" s="1">
        <v>46153.235821759263</v>
      </c>
      <c r="F2136">
        <v>1481</v>
      </c>
      <c r="G2136" t="s">
        <v>2284</v>
      </c>
      <c r="H2136" t="s">
        <v>15</v>
      </c>
      <c r="I2136" t="s">
        <v>2109</v>
      </c>
      <c r="J2136" t="str">
        <f>RIGHT(D2136,4)</f>
        <v>6335</v>
      </c>
      <c r="K2136" t="str">
        <f>IFERROR(VLOOKUP(VALUE(J2136),'Site Info'!$A:$G,3,FALSE),"")</f>
        <v>3921 SW COLLEGE RD</v>
      </c>
      <c r="L2136" t="str">
        <f>IFERROR(VLOOKUP(VALUE(J2136),'Site Info'!$A:$G,4,FALSE),"")</f>
        <v>OCALA</v>
      </c>
      <c r="M2136" t="str">
        <f>IFERROR(VLOOKUP(VALUE(J2136),'Site Info'!$A:$G,5,FALSE),"")</f>
        <v>FL</v>
      </c>
      <c r="N2136" t="str">
        <f>IFERROR(VLOOKUP(VALUE(J2136),'Site Info'!$A:$G,6,FALSE),"")</f>
        <v>34474-5713</v>
      </c>
      <c r="O2136">
        <f>IFERROR(VLOOKUP(VALUE(J2136),'Site Info'!$A:$G,7,FALSE),"")</f>
        <v>3528730500</v>
      </c>
    </row>
    <row r="2137" spans="1:15" x14ac:dyDescent="0.45">
      <c r="A2137" t="s">
        <v>8729</v>
      </c>
      <c r="B2137" t="s">
        <v>8730</v>
      </c>
      <c r="C2137" t="s">
        <v>8731</v>
      </c>
      <c r="D2137" t="s">
        <v>835</v>
      </c>
      <c r="E2137" s="1">
        <v>46149.947210648148</v>
      </c>
      <c r="F2137">
        <v>1547</v>
      </c>
      <c r="G2137" t="s">
        <v>8732</v>
      </c>
      <c r="H2137" t="s">
        <v>15</v>
      </c>
      <c r="I2137" t="s">
        <v>837</v>
      </c>
      <c r="J2137" t="str">
        <f>RIGHT(D2137,4)</f>
        <v>6676</v>
      </c>
      <c r="K2137" t="str">
        <f>IFERROR(VLOOKUP(VALUE(J2137),'Site Info'!$A:$G,3,FALSE),"")</f>
        <v>3925 WELSH RD</v>
      </c>
      <c r="L2137" t="str">
        <f>IFERROR(VLOOKUP(VALUE(J2137),'Site Info'!$A:$G,4,FALSE),"")</f>
        <v>WILLOW GROVE</v>
      </c>
      <c r="M2137" t="str">
        <f>IFERROR(VLOOKUP(VALUE(J2137),'Site Info'!$A:$G,5,FALSE),"")</f>
        <v>PA</v>
      </c>
      <c r="N2137" t="str">
        <f>IFERROR(VLOOKUP(VALUE(J2137),'Site Info'!$A:$G,6,FALSE),"")</f>
        <v>19090-2900</v>
      </c>
      <c r="O2137">
        <f>IFERROR(VLOOKUP(VALUE(J2137),'Site Info'!$A:$G,7,FALSE),"")</f>
        <v>2156571837</v>
      </c>
    </row>
    <row r="2138" spans="1:15" x14ac:dyDescent="0.45">
      <c r="A2138" t="s">
        <v>8929</v>
      </c>
      <c r="B2138" t="s">
        <v>8930</v>
      </c>
      <c r="C2138" t="s">
        <v>8931</v>
      </c>
      <c r="D2138" t="s">
        <v>835</v>
      </c>
      <c r="E2138" s="1">
        <v>46153.152337962965</v>
      </c>
      <c r="F2138">
        <v>1547</v>
      </c>
      <c r="G2138" t="s">
        <v>8932</v>
      </c>
      <c r="H2138" t="s">
        <v>15</v>
      </c>
      <c r="I2138" t="s">
        <v>837</v>
      </c>
      <c r="J2138" t="str">
        <f>RIGHT(D2138,4)</f>
        <v>6676</v>
      </c>
      <c r="K2138" t="str">
        <f>IFERROR(VLOOKUP(VALUE(J2138),'Site Info'!$A:$G,3,FALSE),"")</f>
        <v>3925 WELSH RD</v>
      </c>
      <c r="L2138" t="str">
        <f>IFERROR(VLOOKUP(VALUE(J2138),'Site Info'!$A:$G,4,FALSE),"")</f>
        <v>WILLOW GROVE</v>
      </c>
      <c r="M2138" t="str">
        <f>IFERROR(VLOOKUP(VALUE(J2138),'Site Info'!$A:$G,5,FALSE),"")</f>
        <v>PA</v>
      </c>
      <c r="N2138" t="str">
        <f>IFERROR(VLOOKUP(VALUE(J2138),'Site Info'!$A:$G,6,FALSE),"")</f>
        <v>19090-2900</v>
      </c>
      <c r="O2138">
        <f>IFERROR(VLOOKUP(VALUE(J2138),'Site Info'!$A:$G,7,FALSE),"")</f>
        <v>2156571837</v>
      </c>
    </row>
    <row r="2139" spans="1:15" x14ac:dyDescent="0.45">
      <c r="A2139" t="s">
        <v>7665</v>
      </c>
      <c r="B2139" t="s">
        <v>7666</v>
      </c>
      <c r="C2139" t="s">
        <v>7667</v>
      </c>
      <c r="D2139" t="s">
        <v>835</v>
      </c>
      <c r="E2139" s="1">
        <v>46153.347534722219</v>
      </c>
      <c r="F2139">
        <v>1547</v>
      </c>
      <c r="G2139" t="s">
        <v>7668</v>
      </c>
      <c r="H2139" t="s">
        <v>15</v>
      </c>
      <c r="I2139" t="s">
        <v>837</v>
      </c>
      <c r="J2139" t="str">
        <f>RIGHT(D2139,4)</f>
        <v>6676</v>
      </c>
      <c r="K2139" t="str">
        <f>IFERROR(VLOOKUP(VALUE(J2139),'Site Info'!$A:$G,3,FALSE),"")</f>
        <v>3925 WELSH RD</v>
      </c>
      <c r="L2139" t="str">
        <f>IFERROR(VLOOKUP(VALUE(J2139),'Site Info'!$A:$G,4,FALSE),"")</f>
        <v>WILLOW GROVE</v>
      </c>
      <c r="M2139" t="str">
        <f>IFERROR(VLOOKUP(VALUE(J2139),'Site Info'!$A:$G,5,FALSE),"")</f>
        <v>PA</v>
      </c>
      <c r="N2139" t="str">
        <f>IFERROR(VLOOKUP(VALUE(J2139),'Site Info'!$A:$G,6,FALSE),"")</f>
        <v>19090-2900</v>
      </c>
      <c r="O2139">
        <f>IFERROR(VLOOKUP(VALUE(J2139),'Site Info'!$A:$G,7,FALSE),"")</f>
        <v>2156571837</v>
      </c>
    </row>
    <row r="2140" spans="1:15" x14ac:dyDescent="0.45">
      <c r="A2140" t="s">
        <v>832</v>
      </c>
      <c r="B2140" t="s">
        <v>833</v>
      </c>
      <c r="C2140" t="s">
        <v>834</v>
      </c>
      <c r="D2140" t="s">
        <v>835</v>
      </c>
      <c r="E2140" s="1">
        <v>46153.364942129629</v>
      </c>
      <c r="F2140">
        <v>1481</v>
      </c>
      <c r="G2140" t="s">
        <v>836</v>
      </c>
      <c r="H2140" t="s">
        <v>15</v>
      </c>
      <c r="I2140" t="s">
        <v>837</v>
      </c>
      <c r="J2140" t="str">
        <f>RIGHT(D2140,4)</f>
        <v>6676</v>
      </c>
      <c r="K2140" t="str">
        <f>IFERROR(VLOOKUP(VALUE(J2140),'Site Info'!$A:$G,3,FALSE),"")</f>
        <v>3925 WELSH RD</v>
      </c>
      <c r="L2140" t="str">
        <f>IFERROR(VLOOKUP(VALUE(J2140),'Site Info'!$A:$G,4,FALSE),"")</f>
        <v>WILLOW GROVE</v>
      </c>
      <c r="M2140" t="str">
        <f>IFERROR(VLOOKUP(VALUE(J2140),'Site Info'!$A:$G,5,FALSE),"")</f>
        <v>PA</v>
      </c>
      <c r="N2140" t="str">
        <f>IFERROR(VLOOKUP(VALUE(J2140),'Site Info'!$A:$G,6,FALSE),"")</f>
        <v>19090-2900</v>
      </c>
      <c r="O2140">
        <f>IFERROR(VLOOKUP(VALUE(J2140),'Site Info'!$A:$G,7,FALSE),"")</f>
        <v>2156571837</v>
      </c>
    </row>
    <row r="2141" spans="1:15" x14ac:dyDescent="0.45">
      <c r="A2141" t="s">
        <v>7471</v>
      </c>
      <c r="B2141" t="s">
        <v>7472</v>
      </c>
      <c r="C2141" t="s">
        <v>7473</v>
      </c>
      <c r="D2141" t="s">
        <v>565</v>
      </c>
      <c r="E2141" s="1">
        <v>46150.313333333332</v>
      </c>
      <c r="F2141">
        <v>1547</v>
      </c>
      <c r="G2141" t="s">
        <v>7474</v>
      </c>
      <c r="H2141" t="s">
        <v>15</v>
      </c>
      <c r="I2141" t="s">
        <v>567</v>
      </c>
      <c r="J2141" t="str">
        <f>RIGHT(D2141,4)</f>
        <v>6307</v>
      </c>
      <c r="K2141" t="str">
        <f>IFERROR(VLOOKUP(VALUE(J2141),'Site Info'!$A:$G,3,FALSE),"")</f>
        <v>3950 MORSE RD</v>
      </c>
      <c r="L2141" t="str">
        <f>IFERROR(VLOOKUP(VALUE(J2141),'Site Info'!$A:$G,4,FALSE),"")</f>
        <v>COLUMBUS</v>
      </c>
      <c r="M2141" t="str">
        <f>IFERROR(VLOOKUP(VALUE(J2141),'Site Info'!$A:$G,5,FALSE),"")</f>
        <v>OH</v>
      </c>
      <c r="N2141" t="str">
        <f>IFERROR(VLOOKUP(VALUE(J2141),'Site Info'!$A:$G,6,FALSE),"")</f>
        <v>43219-3016</v>
      </c>
      <c r="O2141">
        <f>IFERROR(VLOOKUP(VALUE(J2141),'Site Info'!$A:$G,7,FALSE),"")</f>
        <v>6144764224</v>
      </c>
    </row>
    <row r="2142" spans="1:15" x14ac:dyDescent="0.45">
      <c r="A2142" t="s">
        <v>8405</v>
      </c>
      <c r="B2142" t="s">
        <v>8406</v>
      </c>
      <c r="C2142" t="s">
        <v>8407</v>
      </c>
      <c r="D2142" t="s">
        <v>565</v>
      </c>
      <c r="E2142" s="1">
        <v>46151.765555555554</v>
      </c>
      <c r="F2142">
        <v>1547</v>
      </c>
      <c r="G2142" t="s">
        <v>8408</v>
      </c>
      <c r="H2142" t="s">
        <v>15</v>
      </c>
      <c r="I2142" t="s">
        <v>567</v>
      </c>
      <c r="J2142" t="str">
        <f>RIGHT(D2142,4)</f>
        <v>6307</v>
      </c>
      <c r="K2142" t="str">
        <f>IFERROR(VLOOKUP(VALUE(J2142),'Site Info'!$A:$G,3,FALSE),"")</f>
        <v>3950 MORSE RD</v>
      </c>
      <c r="L2142" t="str">
        <f>IFERROR(VLOOKUP(VALUE(J2142),'Site Info'!$A:$G,4,FALSE),"")</f>
        <v>COLUMBUS</v>
      </c>
      <c r="M2142" t="str">
        <f>IFERROR(VLOOKUP(VALUE(J2142),'Site Info'!$A:$G,5,FALSE),"")</f>
        <v>OH</v>
      </c>
      <c r="N2142" t="str">
        <f>IFERROR(VLOOKUP(VALUE(J2142),'Site Info'!$A:$G,6,FALSE),"")</f>
        <v>43219-3016</v>
      </c>
      <c r="O2142">
        <f>IFERROR(VLOOKUP(VALUE(J2142),'Site Info'!$A:$G,7,FALSE),"")</f>
        <v>6144764224</v>
      </c>
    </row>
    <row r="2143" spans="1:15" x14ac:dyDescent="0.45">
      <c r="A2143" t="s">
        <v>7965</v>
      </c>
      <c r="B2143" t="s">
        <v>7966</v>
      </c>
      <c r="C2143" t="s">
        <v>7967</v>
      </c>
      <c r="D2143" t="s">
        <v>565</v>
      </c>
      <c r="E2143" s="1">
        <v>46152.629652777781</v>
      </c>
      <c r="F2143">
        <v>1547</v>
      </c>
      <c r="G2143" t="s">
        <v>7968</v>
      </c>
      <c r="H2143" t="s">
        <v>15</v>
      </c>
      <c r="I2143" t="s">
        <v>567</v>
      </c>
      <c r="J2143" t="str">
        <f>RIGHT(D2143,4)</f>
        <v>6307</v>
      </c>
      <c r="K2143" t="str">
        <f>IFERROR(VLOOKUP(VALUE(J2143),'Site Info'!$A:$G,3,FALSE),"")</f>
        <v>3950 MORSE RD</v>
      </c>
      <c r="L2143" t="str">
        <f>IFERROR(VLOOKUP(VALUE(J2143),'Site Info'!$A:$G,4,FALSE),"")</f>
        <v>COLUMBUS</v>
      </c>
      <c r="M2143" t="str">
        <f>IFERROR(VLOOKUP(VALUE(J2143),'Site Info'!$A:$G,5,FALSE),"")</f>
        <v>OH</v>
      </c>
      <c r="N2143" t="str">
        <f>IFERROR(VLOOKUP(VALUE(J2143),'Site Info'!$A:$G,6,FALSE),"")</f>
        <v>43219-3016</v>
      </c>
      <c r="O2143">
        <f>IFERROR(VLOOKUP(VALUE(J2143),'Site Info'!$A:$G,7,FALSE),"")</f>
        <v>6144764224</v>
      </c>
    </row>
    <row r="2144" spans="1:15" x14ac:dyDescent="0.45">
      <c r="A2144" t="s">
        <v>8045</v>
      </c>
      <c r="B2144" t="s">
        <v>8046</v>
      </c>
      <c r="C2144" t="s">
        <v>8047</v>
      </c>
      <c r="D2144" t="s">
        <v>565</v>
      </c>
      <c r="E2144" s="1">
        <v>46153.171886574077</v>
      </c>
      <c r="F2144">
        <v>1547</v>
      </c>
      <c r="G2144" t="s">
        <v>8048</v>
      </c>
      <c r="H2144" t="s">
        <v>15</v>
      </c>
      <c r="I2144" t="s">
        <v>567</v>
      </c>
      <c r="J2144" t="str">
        <f>RIGHT(D2144,4)</f>
        <v>6307</v>
      </c>
      <c r="K2144" t="str">
        <f>IFERROR(VLOOKUP(VALUE(J2144),'Site Info'!$A:$G,3,FALSE),"")</f>
        <v>3950 MORSE RD</v>
      </c>
      <c r="L2144" t="str">
        <f>IFERROR(VLOOKUP(VALUE(J2144),'Site Info'!$A:$G,4,FALSE),"")</f>
        <v>COLUMBUS</v>
      </c>
      <c r="M2144" t="str">
        <f>IFERROR(VLOOKUP(VALUE(J2144),'Site Info'!$A:$G,5,FALSE),"")</f>
        <v>OH</v>
      </c>
      <c r="N2144" t="str">
        <f>IFERROR(VLOOKUP(VALUE(J2144),'Site Info'!$A:$G,6,FALSE),"")</f>
        <v>43219-3016</v>
      </c>
      <c r="O2144">
        <f>IFERROR(VLOOKUP(VALUE(J2144),'Site Info'!$A:$G,7,FALSE),"")</f>
        <v>6144764224</v>
      </c>
    </row>
    <row r="2145" spans="1:15" x14ac:dyDescent="0.45">
      <c r="A2145" t="s">
        <v>7511</v>
      </c>
      <c r="B2145" t="s">
        <v>7512</v>
      </c>
      <c r="C2145" t="s">
        <v>7513</v>
      </c>
      <c r="D2145" t="s">
        <v>565</v>
      </c>
      <c r="E2145" s="1">
        <v>46153.352789351855</v>
      </c>
      <c r="F2145">
        <v>1547</v>
      </c>
      <c r="G2145" t="s">
        <v>7514</v>
      </c>
      <c r="H2145" t="s">
        <v>15</v>
      </c>
      <c r="I2145" t="s">
        <v>567</v>
      </c>
      <c r="J2145" t="str">
        <f>RIGHT(D2145,4)</f>
        <v>6307</v>
      </c>
      <c r="K2145" t="str">
        <f>IFERROR(VLOOKUP(VALUE(J2145),'Site Info'!$A:$G,3,FALSE),"")</f>
        <v>3950 MORSE RD</v>
      </c>
      <c r="L2145" t="str">
        <f>IFERROR(VLOOKUP(VALUE(J2145),'Site Info'!$A:$G,4,FALSE),"")</f>
        <v>COLUMBUS</v>
      </c>
      <c r="M2145" t="str">
        <f>IFERROR(VLOOKUP(VALUE(J2145),'Site Info'!$A:$G,5,FALSE),"")</f>
        <v>OH</v>
      </c>
      <c r="N2145" t="str">
        <f>IFERROR(VLOOKUP(VALUE(J2145),'Site Info'!$A:$G,6,FALSE),"")</f>
        <v>43219-3016</v>
      </c>
      <c r="O2145">
        <f>IFERROR(VLOOKUP(VALUE(J2145),'Site Info'!$A:$G,7,FALSE),"")</f>
        <v>6144764224</v>
      </c>
    </row>
    <row r="2146" spans="1:15" x14ac:dyDescent="0.45">
      <c r="A2146" t="s">
        <v>562</v>
      </c>
      <c r="B2146" t="s">
        <v>563</v>
      </c>
      <c r="C2146" t="s">
        <v>564</v>
      </c>
      <c r="D2146" t="s">
        <v>565</v>
      </c>
      <c r="E2146" s="1">
        <v>46153.139374999999</v>
      </c>
      <c r="F2146">
        <v>1481</v>
      </c>
      <c r="G2146" t="s">
        <v>566</v>
      </c>
      <c r="H2146" t="s">
        <v>15</v>
      </c>
      <c r="I2146" t="s">
        <v>567</v>
      </c>
      <c r="J2146" t="str">
        <f>RIGHT(D2146,4)</f>
        <v>6307</v>
      </c>
      <c r="K2146" t="str">
        <f>IFERROR(VLOOKUP(VALUE(J2146),'Site Info'!$A:$G,3,FALSE),"")</f>
        <v>3950 MORSE RD</v>
      </c>
      <c r="L2146" t="str">
        <f>IFERROR(VLOOKUP(VALUE(J2146),'Site Info'!$A:$G,4,FALSE),"")</f>
        <v>COLUMBUS</v>
      </c>
      <c r="M2146" t="str">
        <f>IFERROR(VLOOKUP(VALUE(J2146),'Site Info'!$A:$G,5,FALSE),"")</f>
        <v>OH</v>
      </c>
      <c r="N2146" t="str">
        <f>IFERROR(VLOOKUP(VALUE(J2146),'Site Info'!$A:$G,6,FALSE),"")</f>
        <v>43219-3016</v>
      </c>
      <c r="O2146">
        <f>IFERROR(VLOOKUP(VALUE(J2146),'Site Info'!$A:$G,7,FALSE),"")</f>
        <v>6144764224</v>
      </c>
    </row>
    <row r="2147" spans="1:15" x14ac:dyDescent="0.45">
      <c r="A2147" t="s">
        <v>1276</v>
      </c>
      <c r="B2147" t="s">
        <v>1277</v>
      </c>
      <c r="C2147" t="s">
        <v>1278</v>
      </c>
      <c r="D2147" t="s">
        <v>565</v>
      </c>
      <c r="E2147" s="1">
        <v>46153.340601851851</v>
      </c>
      <c r="F2147">
        <v>1481</v>
      </c>
      <c r="G2147" t="s">
        <v>1279</v>
      </c>
      <c r="H2147" t="s">
        <v>15</v>
      </c>
      <c r="I2147" t="s">
        <v>567</v>
      </c>
      <c r="J2147" t="str">
        <f>RIGHT(D2147,4)</f>
        <v>6307</v>
      </c>
      <c r="K2147" t="str">
        <f>IFERROR(VLOOKUP(VALUE(J2147),'Site Info'!$A:$G,3,FALSE),"")</f>
        <v>3950 MORSE RD</v>
      </c>
      <c r="L2147" t="str">
        <f>IFERROR(VLOOKUP(VALUE(J2147),'Site Info'!$A:$G,4,FALSE),"")</f>
        <v>COLUMBUS</v>
      </c>
      <c r="M2147" t="str">
        <f>IFERROR(VLOOKUP(VALUE(J2147),'Site Info'!$A:$G,5,FALSE),"")</f>
        <v>OH</v>
      </c>
      <c r="N2147" t="str">
        <f>IFERROR(VLOOKUP(VALUE(J2147),'Site Info'!$A:$G,6,FALSE),"")</f>
        <v>43219-3016</v>
      </c>
      <c r="O2147">
        <f>IFERROR(VLOOKUP(VALUE(J2147),'Site Info'!$A:$G,7,FALSE),"")</f>
        <v>6144764224</v>
      </c>
    </row>
    <row r="2148" spans="1:15" x14ac:dyDescent="0.45">
      <c r="A2148" t="s">
        <v>11005</v>
      </c>
      <c r="B2148" t="s">
        <v>11006</v>
      </c>
      <c r="C2148" t="s">
        <v>11007</v>
      </c>
      <c r="D2148" t="s">
        <v>895</v>
      </c>
      <c r="E2148" s="1">
        <v>46148.894247685188</v>
      </c>
      <c r="F2148">
        <v>1547</v>
      </c>
      <c r="G2148" t="s">
        <v>11008</v>
      </c>
      <c r="H2148" t="s">
        <v>15</v>
      </c>
      <c r="I2148" t="s">
        <v>897</v>
      </c>
      <c r="J2148" t="str">
        <f>RIGHT(D2148,4)</f>
        <v>6610</v>
      </c>
      <c r="K2148" t="str">
        <f>IFERROR(VLOOKUP(VALUE(J2148),'Site Info'!$A:$G,3,FALSE),"")</f>
        <v>3951 GRAND AVE</v>
      </c>
      <c r="L2148" t="str">
        <f>IFERROR(VLOOKUP(VALUE(J2148),'Site Info'!$A:$G,4,FALSE),"")</f>
        <v>CHINO</v>
      </c>
      <c r="M2148" t="str">
        <f>IFERROR(VLOOKUP(VALUE(J2148),'Site Info'!$A:$G,5,FALSE),"")</f>
        <v>CA</v>
      </c>
      <c r="N2148" t="str">
        <f>IFERROR(VLOOKUP(VALUE(J2148),'Site Info'!$A:$G,6,FALSE),"")</f>
        <v>91710-5429</v>
      </c>
      <c r="O2148">
        <f>IFERROR(VLOOKUP(VALUE(J2148),'Site Info'!$A:$G,7,FALSE),"")</f>
        <v>9095486173</v>
      </c>
    </row>
    <row r="2149" spans="1:15" x14ac:dyDescent="0.45">
      <c r="A2149" t="s">
        <v>10254</v>
      </c>
      <c r="B2149" t="s">
        <v>10255</v>
      </c>
      <c r="C2149" t="s">
        <v>10256</v>
      </c>
      <c r="D2149" t="s">
        <v>895</v>
      </c>
      <c r="E2149" s="1">
        <v>46151.797905092593</v>
      </c>
      <c r="F2149">
        <v>1547</v>
      </c>
      <c r="G2149" t="s">
        <v>10257</v>
      </c>
      <c r="H2149" t="s">
        <v>15</v>
      </c>
      <c r="I2149" t="s">
        <v>897</v>
      </c>
      <c r="J2149" t="str">
        <f>RIGHT(D2149,4)</f>
        <v>6610</v>
      </c>
      <c r="K2149" t="str">
        <f>IFERROR(VLOOKUP(VALUE(J2149),'Site Info'!$A:$G,3,FALSE),"")</f>
        <v>3951 GRAND AVE</v>
      </c>
      <c r="L2149" t="str">
        <f>IFERROR(VLOOKUP(VALUE(J2149),'Site Info'!$A:$G,4,FALSE),"")</f>
        <v>CHINO</v>
      </c>
      <c r="M2149" t="str">
        <f>IFERROR(VLOOKUP(VALUE(J2149),'Site Info'!$A:$G,5,FALSE),"")</f>
        <v>CA</v>
      </c>
      <c r="N2149" t="str">
        <f>IFERROR(VLOOKUP(VALUE(J2149),'Site Info'!$A:$G,6,FALSE),"")</f>
        <v>91710-5429</v>
      </c>
      <c r="O2149">
        <f>IFERROR(VLOOKUP(VALUE(J2149),'Site Info'!$A:$G,7,FALSE),"")</f>
        <v>9095486173</v>
      </c>
    </row>
    <row r="2150" spans="1:15" x14ac:dyDescent="0.45">
      <c r="A2150" t="s">
        <v>10214</v>
      </c>
      <c r="B2150" t="s">
        <v>10215</v>
      </c>
      <c r="C2150" t="s">
        <v>10216</v>
      </c>
      <c r="D2150" t="s">
        <v>895</v>
      </c>
      <c r="E2150" s="1">
        <v>46152.521122685182</v>
      </c>
      <c r="F2150">
        <v>1547</v>
      </c>
      <c r="G2150" t="s">
        <v>10217</v>
      </c>
      <c r="H2150" t="s">
        <v>15</v>
      </c>
      <c r="I2150" t="s">
        <v>897</v>
      </c>
      <c r="J2150" t="str">
        <f>RIGHT(D2150,4)</f>
        <v>6610</v>
      </c>
      <c r="K2150" t="str">
        <f>IFERROR(VLOOKUP(VALUE(J2150),'Site Info'!$A:$G,3,FALSE),"")</f>
        <v>3951 GRAND AVE</v>
      </c>
      <c r="L2150" t="str">
        <f>IFERROR(VLOOKUP(VALUE(J2150),'Site Info'!$A:$G,4,FALSE),"")</f>
        <v>CHINO</v>
      </c>
      <c r="M2150" t="str">
        <f>IFERROR(VLOOKUP(VALUE(J2150),'Site Info'!$A:$G,5,FALSE),"")</f>
        <v>CA</v>
      </c>
      <c r="N2150" t="str">
        <f>IFERROR(VLOOKUP(VALUE(J2150),'Site Info'!$A:$G,6,FALSE),"")</f>
        <v>91710-5429</v>
      </c>
      <c r="O2150">
        <f>IFERROR(VLOOKUP(VALUE(J2150),'Site Info'!$A:$G,7,FALSE),"")</f>
        <v>9095486173</v>
      </c>
    </row>
    <row r="2151" spans="1:15" x14ac:dyDescent="0.45">
      <c r="A2151" t="s">
        <v>10993</v>
      </c>
      <c r="B2151" t="s">
        <v>10994</v>
      </c>
      <c r="C2151" t="s">
        <v>10995</v>
      </c>
      <c r="D2151" t="s">
        <v>895</v>
      </c>
      <c r="E2151" s="1">
        <v>46153.357164351852</v>
      </c>
      <c r="F2151">
        <v>1547</v>
      </c>
      <c r="G2151" t="s">
        <v>10996</v>
      </c>
      <c r="H2151" t="s">
        <v>15</v>
      </c>
      <c r="I2151" t="s">
        <v>897</v>
      </c>
      <c r="J2151" t="str">
        <f>RIGHT(D2151,4)</f>
        <v>6610</v>
      </c>
      <c r="K2151" t="str">
        <f>IFERROR(VLOOKUP(VALUE(J2151),'Site Info'!$A:$G,3,FALSE),"")</f>
        <v>3951 GRAND AVE</v>
      </c>
      <c r="L2151" t="str">
        <f>IFERROR(VLOOKUP(VALUE(J2151),'Site Info'!$A:$G,4,FALSE),"")</f>
        <v>CHINO</v>
      </c>
      <c r="M2151" t="str">
        <f>IFERROR(VLOOKUP(VALUE(J2151),'Site Info'!$A:$G,5,FALSE),"")</f>
        <v>CA</v>
      </c>
      <c r="N2151" t="str">
        <f>IFERROR(VLOOKUP(VALUE(J2151),'Site Info'!$A:$G,6,FALSE),"")</f>
        <v>91710-5429</v>
      </c>
      <c r="O2151">
        <f>IFERROR(VLOOKUP(VALUE(J2151),'Site Info'!$A:$G,7,FALSE),"")</f>
        <v>9095486173</v>
      </c>
    </row>
    <row r="2152" spans="1:15" x14ac:dyDescent="0.45">
      <c r="A2152" t="s">
        <v>892</v>
      </c>
      <c r="B2152" t="s">
        <v>893</v>
      </c>
      <c r="C2152" t="s">
        <v>894</v>
      </c>
      <c r="D2152" t="s">
        <v>895</v>
      </c>
      <c r="E2152" s="1">
        <v>46153.014224537037</v>
      </c>
      <c r="F2152">
        <v>1481</v>
      </c>
      <c r="G2152" t="s">
        <v>896</v>
      </c>
      <c r="H2152" t="s">
        <v>15</v>
      </c>
      <c r="I2152" t="s">
        <v>897</v>
      </c>
      <c r="J2152" t="str">
        <f>RIGHT(D2152,4)</f>
        <v>6610</v>
      </c>
      <c r="K2152" t="str">
        <f>IFERROR(VLOOKUP(VALUE(J2152),'Site Info'!$A:$G,3,FALSE),"")</f>
        <v>3951 GRAND AVE</v>
      </c>
      <c r="L2152" t="str">
        <f>IFERROR(VLOOKUP(VALUE(J2152),'Site Info'!$A:$G,4,FALSE),"")</f>
        <v>CHINO</v>
      </c>
      <c r="M2152" t="str">
        <f>IFERROR(VLOOKUP(VALUE(J2152),'Site Info'!$A:$G,5,FALSE),"")</f>
        <v>CA</v>
      </c>
      <c r="N2152" t="str">
        <f>IFERROR(VLOOKUP(VALUE(J2152),'Site Info'!$A:$G,6,FALSE),"")</f>
        <v>91710-5429</v>
      </c>
      <c r="O2152">
        <f>IFERROR(VLOOKUP(VALUE(J2152),'Site Info'!$A:$G,7,FALSE),"")</f>
        <v>9095486173</v>
      </c>
    </row>
    <row r="2153" spans="1:15" x14ac:dyDescent="0.45">
      <c r="A2153" t="s">
        <v>10356</v>
      </c>
      <c r="B2153" t="s">
        <v>10357</v>
      </c>
      <c r="C2153" t="s">
        <v>10358</v>
      </c>
      <c r="D2153" t="s">
        <v>549</v>
      </c>
      <c r="E2153" s="1">
        <v>46148.58520833333</v>
      </c>
      <c r="F2153">
        <v>1547</v>
      </c>
      <c r="G2153" t="s">
        <v>10359</v>
      </c>
      <c r="H2153" t="s">
        <v>15</v>
      </c>
      <c r="I2153" t="s">
        <v>551</v>
      </c>
      <c r="J2153" t="str">
        <f>RIGHT(D2153,4)</f>
        <v>6666</v>
      </c>
      <c r="K2153" t="str">
        <f>IFERROR(VLOOKUP(VALUE(J2153),'Site Info'!$A:$G,3,FALSE),"")</f>
        <v>39800 FORD RD</v>
      </c>
      <c r="L2153" t="str">
        <f>IFERROR(VLOOKUP(VALUE(J2153),'Site Info'!$A:$G,4,FALSE),"")</f>
        <v>CANTON</v>
      </c>
      <c r="M2153" t="str">
        <f>IFERROR(VLOOKUP(VALUE(J2153),'Site Info'!$A:$G,5,FALSE),"")</f>
        <v>MI</v>
      </c>
      <c r="N2153" t="str">
        <f>IFERROR(VLOOKUP(VALUE(J2153),'Site Info'!$A:$G,6,FALSE),"")</f>
        <v>48187-4312</v>
      </c>
      <c r="O2153">
        <f>IFERROR(VLOOKUP(VALUE(J2153),'Site Info'!$A:$G,7,FALSE),"")</f>
        <v>7349814460</v>
      </c>
    </row>
    <row r="2154" spans="1:15" x14ac:dyDescent="0.45">
      <c r="A2154" t="s">
        <v>4308</v>
      </c>
      <c r="B2154" t="s">
        <v>4309</v>
      </c>
      <c r="C2154" t="s">
        <v>4310</v>
      </c>
      <c r="D2154" t="s">
        <v>549</v>
      </c>
      <c r="E2154" s="1">
        <v>46150.685370370367</v>
      </c>
      <c r="F2154">
        <v>1547</v>
      </c>
      <c r="G2154" t="s">
        <v>4311</v>
      </c>
      <c r="H2154" t="s">
        <v>15</v>
      </c>
      <c r="I2154" t="s">
        <v>551</v>
      </c>
      <c r="J2154" t="str">
        <f>RIGHT(D2154,4)</f>
        <v>6666</v>
      </c>
      <c r="K2154" t="str">
        <f>IFERROR(VLOOKUP(VALUE(J2154),'Site Info'!$A:$G,3,FALSE),"")</f>
        <v>39800 FORD RD</v>
      </c>
      <c r="L2154" t="str">
        <f>IFERROR(VLOOKUP(VALUE(J2154),'Site Info'!$A:$G,4,FALSE),"")</f>
        <v>CANTON</v>
      </c>
      <c r="M2154" t="str">
        <f>IFERROR(VLOOKUP(VALUE(J2154),'Site Info'!$A:$G,5,FALSE),"")</f>
        <v>MI</v>
      </c>
      <c r="N2154" t="str">
        <f>IFERROR(VLOOKUP(VALUE(J2154),'Site Info'!$A:$G,6,FALSE),"")</f>
        <v>48187-4312</v>
      </c>
      <c r="O2154">
        <f>IFERROR(VLOOKUP(VALUE(J2154),'Site Info'!$A:$G,7,FALSE),"")</f>
        <v>7349814460</v>
      </c>
    </row>
    <row r="2155" spans="1:15" x14ac:dyDescent="0.45">
      <c r="A2155" t="s">
        <v>6687</v>
      </c>
      <c r="B2155" t="s">
        <v>6688</v>
      </c>
      <c r="C2155" t="s">
        <v>6689</v>
      </c>
      <c r="D2155" t="s">
        <v>549</v>
      </c>
      <c r="E2155" s="1">
        <v>46151.751307870371</v>
      </c>
      <c r="F2155">
        <v>1547</v>
      </c>
      <c r="G2155" t="s">
        <v>6690</v>
      </c>
      <c r="H2155" t="s">
        <v>15</v>
      </c>
      <c r="I2155" t="s">
        <v>551</v>
      </c>
      <c r="J2155" t="str">
        <f>RIGHT(D2155,4)</f>
        <v>6666</v>
      </c>
      <c r="K2155" t="str">
        <f>IFERROR(VLOOKUP(VALUE(J2155),'Site Info'!$A:$G,3,FALSE),"")</f>
        <v>39800 FORD RD</v>
      </c>
      <c r="L2155" t="str">
        <f>IFERROR(VLOOKUP(VALUE(J2155),'Site Info'!$A:$G,4,FALSE),"")</f>
        <v>CANTON</v>
      </c>
      <c r="M2155" t="str">
        <f>IFERROR(VLOOKUP(VALUE(J2155),'Site Info'!$A:$G,5,FALSE),"")</f>
        <v>MI</v>
      </c>
      <c r="N2155" t="str">
        <f>IFERROR(VLOOKUP(VALUE(J2155),'Site Info'!$A:$G,6,FALSE),"")</f>
        <v>48187-4312</v>
      </c>
      <c r="O2155">
        <f>IFERROR(VLOOKUP(VALUE(J2155),'Site Info'!$A:$G,7,FALSE),"")</f>
        <v>7349814460</v>
      </c>
    </row>
    <row r="2156" spans="1:15" x14ac:dyDescent="0.45">
      <c r="A2156" t="s">
        <v>11952</v>
      </c>
      <c r="B2156" t="s">
        <v>11953</v>
      </c>
      <c r="C2156" t="s">
        <v>11954</v>
      </c>
      <c r="D2156" t="s">
        <v>549</v>
      </c>
      <c r="E2156" s="1">
        <v>46152.633263888885</v>
      </c>
      <c r="F2156">
        <v>1547</v>
      </c>
      <c r="G2156" t="s">
        <v>11955</v>
      </c>
      <c r="H2156" t="s">
        <v>15</v>
      </c>
      <c r="I2156" t="s">
        <v>551</v>
      </c>
      <c r="J2156" t="str">
        <f>RIGHT(D2156,4)</f>
        <v>6666</v>
      </c>
      <c r="K2156" t="str">
        <f>IFERROR(VLOOKUP(VALUE(J2156),'Site Info'!$A:$G,3,FALSE),"")</f>
        <v>39800 FORD RD</v>
      </c>
      <c r="L2156" t="str">
        <f>IFERROR(VLOOKUP(VALUE(J2156),'Site Info'!$A:$G,4,FALSE),"")</f>
        <v>CANTON</v>
      </c>
      <c r="M2156" t="str">
        <f>IFERROR(VLOOKUP(VALUE(J2156),'Site Info'!$A:$G,5,FALSE),"")</f>
        <v>MI</v>
      </c>
      <c r="N2156" t="str">
        <f>IFERROR(VLOOKUP(VALUE(J2156),'Site Info'!$A:$G,6,FALSE),"")</f>
        <v>48187-4312</v>
      </c>
      <c r="O2156">
        <f>IFERROR(VLOOKUP(VALUE(J2156),'Site Info'!$A:$G,7,FALSE),"")</f>
        <v>7349814460</v>
      </c>
    </row>
    <row r="2157" spans="1:15" x14ac:dyDescent="0.45">
      <c r="A2157" t="s">
        <v>11758</v>
      </c>
      <c r="B2157" t="s">
        <v>11759</v>
      </c>
      <c r="C2157" t="s">
        <v>11760</v>
      </c>
      <c r="D2157" t="s">
        <v>549</v>
      </c>
      <c r="E2157" s="1">
        <v>46153.352592592593</v>
      </c>
      <c r="F2157">
        <v>1547</v>
      </c>
      <c r="G2157" t="s">
        <v>11761</v>
      </c>
      <c r="H2157" t="s">
        <v>15</v>
      </c>
      <c r="I2157" t="s">
        <v>551</v>
      </c>
      <c r="J2157" t="str">
        <f>RIGHT(D2157,4)</f>
        <v>6666</v>
      </c>
      <c r="K2157" t="str">
        <f>IFERROR(VLOOKUP(VALUE(J2157),'Site Info'!$A:$G,3,FALSE),"")</f>
        <v>39800 FORD RD</v>
      </c>
      <c r="L2157" t="str">
        <f>IFERROR(VLOOKUP(VALUE(J2157),'Site Info'!$A:$G,4,FALSE),"")</f>
        <v>CANTON</v>
      </c>
      <c r="M2157" t="str">
        <f>IFERROR(VLOOKUP(VALUE(J2157),'Site Info'!$A:$G,5,FALSE),"")</f>
        <v>MI</v>
      </c>
      <c r="N2157" t="str">
        <f>IFERROR(VLOOKUP(VALUE(J2157),'Site Info'!$A:$G,6,FALSE),"")</f>
        <v>48187-4312</v>
      </c>
      <c r="O2157">
        <f>IFERROR(VLOOKUP(VALUE(J2157),'Site Info'!$A:$G,7,FALSE),"")</f>
        <v>7349814460</v>
      </c>
    </row>
    <row r="2158" spans="1:15" x14ac:dyDescent="0.45">
      <c r="A2158" t="s">
        <v>9721</v>
      </c>
      <c r="B2158" t="s">
        <v>9722</v>
      </c>
      <c r="C2158" t="s">
        <v>9723</v>
      </c>
      <c r="D2158" t="s">
        <v>549</v>
      </c>
      <c r="E2158" s="1">
        <v>46153.368425925924</v>
      </c>
      <c r="F2158">
        <v>1547</v>
      </c>
      <c r="G2158" t="s">
        <v>9724</v>
      </c>
      <c r="H2158" t="s">
        <v>15</v>
      </c>
      <c r="I2158" t="s">
        <v>551</v>
      </c>
      <c r="J2158" t="str">
        <f>RIGHT(D2158,4)</f>
        <v>6666</v>
      </c>
      <c r="K2158" t="str">
        <f>IFERROR(VLOOKUP(VALUE(J2158),'Site Info'!$A:$G,3,FALSE),"")</f>
        <v>39800 FORD RD</v>
      </c>
      <c r="L2158" t="str">
        <f>IFERROR(VLOOKUP(VALUE(J2158),'Site Info'!$A:$G,4,FALSE),"")</f>
        <v>CANTON</v>
      </c>
      <c r="M2158" t="str">
        <f>IFERROR(VLOOKUP(VALUE(J2158),'Site Info'!$A:$G,5,FALSE),"")</f>
        <v>MI</v>
      </c>
      <c r="N2158" t="str">
        <f>IFERROR(VLOOKUP(VALUE(J2158),'Site Info'!$A:$G,6,FALSE),"")</f>
        <v>48187-4312</v>
      </c>
      <c r="O2158">
        <f>IFERROR(VLOOKUP(VALUE(J2158),'Site Info'!$A:$G,7,FALSE),"")</f>
        <v>7349814460</v>
      </c>
    </row>
    <row r="2159" spans="1:15" x14ac:dyDescent="0.45">
      <c r="A2159" t="s">
        <v>546</v>
      </c>
      <c r="B2159" t="s">
        <v>547</v>
      </c>
      <c r="C2159" t="s">
        <v>548</v>
      </c>
      <c r="D2159" t="s">
        <v>549</v>
      </c>
      <c r="E2159" s="1">
        <v>46153.353043981479</v>
      </c>
      <c r="F2159">
        <v>1481</v>
      </c>
      <c r="G2159" t="s">
        <v>550</v>
      </c>
      <c r="H2159" t="s">
        <v>15</v>
      </c>
      <c r="I2159" t="s">
        <v>551</v>
      </c>
      <c r="J2159" t="str">
        <f>RIGHT(D2159,4)</f>
        <v>6666</v>
      </c>
      <c r="K2159" t="str">
        <f>IFERROR(VLOOKUP(VALUE(J2159),'Site Info'!$A:$G,3,FALSE),"")</f>
        <v>39800 FORD RD</v>
      </c>
      <c r="L2159" t="str">
        <f>IFERROR(VLOOKUP(VALUE(J2159),'Site Info'!$A:$G,4,FALSE),"")</f>
        <v>CANTON</v>
      </c>
      <c r="M2159" t="str">
        <f>IFERROR(VLOOKUP(VALUE(J2159),'Site Info'!$A:$G,5,FALSE),"")</f>
        <v>MI</v>
      </c>
      <c r="N2159" t="str">
        <f>IFERROR(VLOOKUP(VALUE(J2159),'Site Info'!$A:$G,6,FALSE),"")</f>
        <v>48187-4312</v>
      </c>
      <c r="O2159">
        <f>IFERROR(VLOOKUP(VALUE(J2159),'Site Info'!$A:$G,7,FALSE),"")</f>
        <v>7349814460</v>
      </c>
    </row>
    <row r="2160" spans="1:15" x14ac:dyDescent="0.45">
      <c r="A2160" t="s">
        <v>3305</v>
      </c>
      <c r="B2160" t="s">
        <v>3306</v>
      </c>
      <c r="C2160" t="s">
        <v>3307</v>
      </c>
      <c r="D2160" t="s">
        <v>549</v>
      </c>
      <c r="E2160" s="1">
        <v>46153.354270833333</v>
      </c>
      <c r="F2160">
        <v>1481</v>
      </c>
      <c r="G2160" t="s">
        <v>3308</v>
      </c>
      <c r="H2160" t="s">
        <v>15</v>
      </c>
      <c r="I2160" t="s">
        <v>551</v>
      </c>
      <c r="J2160" t="str">
        <f>RIGHT(D2160,4)</f>
        <v>6666</v>
      </c>
      <c r="K2160" t="str">
        <f>IFERROR(VLOOKUP(VALUE(J2160),'Site Info'!$A:$G,3,FALSE),"")</f>
        <v>39800 FORD RD</v>
      </c>
      <c r="L2160" t="str">
        <f>IFERROR(VLOOKUP(VALUE(J2160),'Site Info'!$A:$G,4,FALSE),"")</f>
        <v>CANTON</v>
      </c>
      <c r="M2160" t="str">
        <f>IFERROR(VLOOKUP(VALUE(J2160),'Site Info'!$A:$G,5,FALSE),"")</f>
        <v>MI</v>
      </c>
      <c r="N2160" t="str">
        <f>IFERROR(VLOOKUP(VALUE(J2160),'Site Info'!$A:$G,6,FALSE),"")</f>
        <v>48187-4312</v>
      </c>
      <c r="O2160">
        <f>IFERROR(VLOOKUP(VALUE(J2160),'Site Info'!$A:$G,7,FALSE),"")</f>
        <v>7349814460</v>
      </c>
    </row>
    <row r="2161" spans="1:15" x14ac:dyDescent="0.45">
      <c r="A2161" t="s">
        <v>16996</v>
      </c>
      <c r="B2161" t="s">
        <v>17040</v>
      </c>
      <c r="C2161" s="4" t="s">
        <v>17041</v>
      </c>
      <c r="D2161" t="s">
        <v>549</v>
      </c>
      <c r="E2161" s="1">
        <v>46150.568530092591</v>
      </c>
      <c r="F2161">
        <v>1628</v>
      </c>
      <c r="G2161" t="s">
        <v>17042</v>
      </c>
      <c r="H2161" t="s">
        <v>13988</v>
      </c>
      <c r="I2161" t="s">
        <v>551</v>
      </c>
      <c r="J2161" t="str">
        <f>RIGHT(D2161,4)</f>
        <v>6666</v>
      </c>
      <c r="K2161" t="str">
        <f>IFERROR(VLOOKUP(VALUE(J2161),'Site Info'!$A:$G,3,FALSE),"")</f>
        <v>39800 FORD RD</v>
      </c>
      <c r="L2161" t="str">
        <f>IFERROR(VLOOKUP(VALUE(J2161),'Site Info'!$A:$G,4,FALSE),"")</f>
        <v>CANTON</v>
      </c>
      <c r="M2161" t="str">
        <f>IFERROR(VLOOKUP(VALUE(J2161),'Site Info'!$A:$G,5,FALSE),"")</f>
        <v>MI</v>
      </c>
      <c r="N2161" t="str">
        <f>IFERROR(VLOOKUP(VALUE(J2161),'Site Info'!$A:$G,6,FALSE),"")</f>
        <v>48187-4312</v>
      </c>
      <c r="O2161">
        <f>IFERROR(VLOOKUP(VALUE(J2161),'Site Info'!$A:$G,7,FALSE),"")</f>
        <v>7349814460</v>
      </c>
    </row>
    <row r="2162" spans="1:15" x14ac:dyDescent="0.45">
      <c r="A2162" t="s">
        <v>4664</v>
      </c>
      <c r="B2162" t="s">
        <v>4665</v>
      </c>
      <c r="C2162" t="s">
        <v>4666</v>
      </c>
      <c r="D2162" t="s">
        <v>2718</v>
      </c>
      <c r="E2162" s="1">
        <v>46150.357905092591</v>
      </c>
      <c r="F2162">
        <v>1547</v>
      </c>
      <c r="G2162" t="s">
        <v>4667</v>
      </c>
      <c r="H2162" t="s">
        <v>15</v>
      </c>
      <c r="I2162" t="s">
        <v>2720</v>
      </c>
      <c r="J2162" t="str">
        <f>RIGHT(D2162,4)</f>
        <v>4767</v>
      </c>
      <c r="K2162" t="str">
        <f>IFERROR(VLOOKUP(VALUE(J2162),'Site Info'!$A:$G,3,FALSE),"")</f>
        <v>39940 10TH ST W</v>
      </c>
      <c r="L2162" t="str">
        <f>IFERROR(VLOOKUP(VALUE(J2162),'Site Info'!$A:$G,4,FALSE),"")</f>
        <v>PALMDALE</v>
      </c>
      <c r="M2162" t="str">
        <f>IFERROR(VLOOKUP(VALUE(J2162),'Site Info'!$A:$G,5,FALSE),"")</f>
        <v>CA</v>
      </c>
      <c r="N2162" t="str">
        <f>IFERROR(VLOOKUP(VALUE(J2162),'Site Info'!$A:$G,6,FALSE),"")</f>
        <v>93551-3002</v>
      </c>
      <c r="O2162">
        <f>IFERROR(VLOOKUP(VALUE(J2162),'Site Info'!$A:$G,7,FALSE),"")</f>
        <v>6615759200</v>
      </c>
    </row>
    <row r="2163" spans="1:15" x14ac:dyDescent="0.45">
      <c r="A2163" t="s">
        <v>11884</v>
      </c>
      <c r="B2163" t="s">
        <v>11885</v>
      </c>
      <c r="C2163" t="s">
        <v>11886</v>
      </c>
      <c r="D2163" t="s">
        <v>2718</v>
      </c>
      <c r="E2163" s="1">
        <v>46151.863356481481</v>
      </c>
      <c r="F2163">
        <v>1547</v>
      </c>
      <c r="G2163" t="s">
        <v>11887</v>
      </c>
      <c r="H2163" t="s">
        <v>15</v>
      </c>
      <c r="I2163" t="s">
        <v>2720</v>
      </c>
      <c r="J2163" t="str">
        <f>RIGHT(D2163,4)</f>
        <v>4767</v>
      </c>
      <c r="K2163" t="str">
        <f>IFERROR(VLOOKUP(VALUE(J2163),'Site Info'!$A:$G,3,FALSE),"")</f>
        <v>39940 10TH ST W</v>
      </c>
      <c r="L2163" t="str">
        <f>IFERROR(VLOOKUP(VALUE(J2163),'Site Info'!$A:$G,4,FALSE),"")</f>
        <v>PALMDALE</v>
      </c>
      <c r="M2163" t="str">
        <f>IFERROR(VLOOKUP(VALUE(J2163),'Site Info'!$A:$G,5,FALSE),"")</f>
        <v>CA</v>
      </c>
      <c r="N2163" t="str">
        <f>IFERROR(VLOOKUP(VALUE(J2163),'Site Info'!$A:$G,6,FALSE),"")</f>
        <v>93551-3002</v>
      </c>
      <c r="O2163">
        <f>IFERROR(VLOOKUP(VALUE(J2163),'Site Info'!$A:$G,7,FALSE),"")</f>
        <v>6615759200</v>
      </c>
    </row>
    <row r="2164" spans="1:15" x14ac:dyDescent="0.45">
      <c r="A2164" t="s">
        <v>6525</v>
      </c>
      <c r="B2164" t="s">
        <v>6526</v>
      </c>
      <c r="C2164" t="s">
        <v>6527</v>
      </c>
      <c r="D2164" t="s">
        <v>2718</v>
      </c>
      <c r="E2164" s="1">
        <v>46152.595810185187</v>
      </c>
      <c r="F2164">
        <v>1547</v>
      </c>
      <c r="G2164" t="s">
        <v>6528</v>
      </c>
      <c r="H2164" t="s">
        <v>15</v>
      </c>
      <c r="I2164" t="s">
        <v>2720</v>
      </c>
      <c r="J2164" t="str">
        <f>RIGHT(D2164,4)</f>
        <v>4767</v>
      </c>
      <c r="K2164" t="str">
        <f>IFERROR(VLOOKUP(VALUE(J2164),'Site Info'!$A:$G,3,FALSE),"")</f>
        <v>39940 10TH ST W</v>
      </c>
      <c r="L2164" t="str">
        <f>IFERROR(VLOOKUP(VALUE(J2164),'Site Info'!$A:$G,4,FALSE),"")</f>
        <v>PALMDALE</v>
      </c>
      <c r="M2164" t="str">
        <f>IFERROR(VLOOKUP(VALUE(J2164),'Site Info'!$A:$G,5,FALSE),"")</f>
        <v>CA</v>
      </c>
      <c r="N2164" t="str">
        <f>IFERROR(VLOOKUP(VALUE(J2164),'Site Info'!$A:$G,6,FALSE),"")</f>
        <v>93551-3002</v>
      </c>
      <c r="O2164">
        <f>IFERROR(VLOOKUP(VALUE(J2164),'Site Info'!$A:$G,7,FALSE),"")</f>
        <v>6615759200</v>
      </c>
    </row>
    <row r="2165" spans="1:15" x14ac:dyDescent="0.45">
      <c r="A2165" t="s">
        <v>4720</v>
      </c>
      <c r="B2165" t="s">
        <v>4721</v>
      </c>
      <c r="C2165" t="s">
        <v>4722</v>
      </c>
      <c r="D2165" t="s">
        <v>2718</v>
      </c>
      <c r="E2165" s="1">
        <v>46152.788483796299</v>
      </c>
      <c r="F2165">
        <v>1547</v>
      </c>
      <c r="G2165" t="s">
        <v>4723</v>
      </c>
      <c r="H2165" t="s">
        <v>15</v>
      </c>
      <c r="I2165" t="s">
        <v>2720</v>
      </c>
      <c r="J2165" t="str">
        <f>RIGHT(D2165,4)</f>
        <v>4767</v>
      </c>
      <c r="K2165" t="str">
        <f>IFERROR(VLOOKUP(VALUE(J2165),'Site Info'!$A:$G,3,FALSE),"")</f>
        <v>39940 10TH ST W</v>
      </c>
      <c r="L2165" t="str">
        <f>IFERROR(VLOOKUP(VALUE(J2165),'Site Info'!$A:$G,4,FALSE),"")</f>
        <v>PALMDALE</v>
      </c>
      <c r="M2165" t="str">
        <f>IFERROR(VLOOKUP(VALUE(J2165),'Site Info'!$A:$G,5,FALSE),"")</f>
        <v>CA</v>
      </c>
      <c r="N2165" t="str">
        <f>IFERROR(VLOOKUP(VALUE(J2165),'Site Info'!$A:$G,6,FALSE),"")</f>
        <v>93551-3002</v>
      </c>
      <c r="O2165">
        <f>IFERROR(VLOOKUP(VALUE(J2165),'Site Info'!$A:$G,7,FALSE),"")</f>
        <v>6615759200</v>
      </c>
    </row>
    <row r="2166" spans="1:15" x14ac:dyDescent="0.45">
      <c r="A2166" t="s">
        <v>4668</v>
      </c>
      <c r="B2166" t="s">
        <v>4669</v>
      </c>
      <c r="C2166" t="s">
        <v>4670</v>
      </c>
      <c r="D2166" t="s">
        <v>2718</v>
      </c>
      <c r="E2166" s="1">
        <v>46153.341643518521</v>
      </c>
      <c r="F2166">
        <v>1547</v>
      </c>
      <c r="G2166" t="s">
        <v>4671</v>
      </c>
      <c r="H2166" t="s">
        <v>15</v>
      </c>
      <c r="I2166" t="s">
        <v>2720</v>
      </c>
      <c r="J2166" t="str">
        <f>RIGHT(D2166,4)</f>
        <v>4767</v>
      </c>
      <c r="K2166" t="str">
        <f>IFERROR(VLOOKUP(VALUE(J2166),'Site Info'!$A:$G,3,FALSE),"")</f>
        <v>39940 10TH ST W</v>
      </c>
      <c r="L2166" t="str">
        <f>IFERROR(VLOOKUP(VALUE(J2166),'Site Info'!$A:$G,4,FALSE),"")</f>
        <v>PALMDALE</v>
      </c>
      <c r="M2166" t="str">
        <f>IFERROR(VLOOKUP(VALUE(J2166),'Site Info'!$A:$G,5,FALSE),"")</f>
        <v>CA</v>
      </c>
      <c r="N2166" t="str">
        <f>IFERROR(VLOOKUP(VALUE(J2166),'Site Info'!$A:$G,6,FALSE),"")</f>
        <v>93551-3002</v>
      </c>
      <c r="O2166">
        <f>IFERROR(VLOOKUP(VALUE(J2166),'Site Info'!$A:$G,7,FALSE),"")</f>
        <v>6615759200</v>
      </c>
    </row>
    <row r="2167" spans="1:15" x14ac:dyDescent="0.45">
      <c r="A2167" t="s">
        <v>3357</v>
      </c>
      <c r="B2167" t="s">
        <v>3358</v>
      </c>
      <c r="C2167" t="s">
        <v>3359</v>
      </c>
      <c r="D2167" t="s">
        <v>2718</v>
      </c>
      <c r="E2167" s="1">
        <v>46153.264918981484</v>
      </c>
      <c r="F2167">
        <v>1481</v>
      </c>
      <c r="G2167" t="s">
        <v>3360</v>
      </c>
      <c r="H2167" t="s">
        <v>15</v>
      </c>
      <c r="I2167" t="s">
        <v>2720</v>
      </c>
      <c r="J2167" t="str">
        <f>RIGHT(D2167,4)</f>
        <v>4767</v>
      </c>
      <c r="K2167" t="str">
        <f>IFERROR(VLOOKUP(VALUE(J2167),'Site Info'!$A:$G,3,FALSE),"")</f>
        <v>39940 10TH ST W</v>
      </c>
      <c r="L2167" t="str">
        <f>IFERROR(VLOOKUP(VALUE(J2167),'Site Info'!$A:$G,4,FALSE),"")</f>
        <v>PALMDALE</v>
      </c>
      <c r="M2167" t="str">
        <f>IFERROR(VLOOKUP(VALUE(J2167),'Site Info'!$A:$G,5,FALSE),"")</f>
        <v>CA</v>
      </c>
      <c r="N2167" t="str">
        <f>IFERROR(VLOOKUP(VALUE(J2167),'Site Info'!$A:$G,6,FALSE),"")</f>
        <v>93551-3002</v>
      </c>
      <c r="O2167">
        <f>IFERROR(VLOOKUP(VALUE(J2167),'Site Info'!$A:$G,7,FALSE),"")</f>
        <v>6615759200</v>
      </c>
    </row>
    <row r="2168" spans="1:15" x14ac:dyDescent="0.45">
      <c r="A2168" t="s">
        <v>2715</v>
      </c>
      <c r="B2168" t="s">
        <v>2716</v>
      </c>
      <c r="C2168" t="s">
        <v>2717</v>
      </c>
      <c r="D2168" t="s">
        <v>2718</v>
      </c>
      <c r="E2168" s="1">
        <v>46153.345081018517</v>
      </c>
      <c r="F2168">
        <v>1481</v>
      </c>
      <c r="G2168" t="s">
        <v>2719</v>
      </c>
      <c r="H2168" t="s">
        <v>15</v>
      </c>
      <c r="I2168" t="s">
        <v>2720</v>
      </c>
      <c r="J2168" t="str">
        <f>RIGHT(D2168,4)</f>
        <v>4767</v>
      </c>
      <c r="K2168" t="str">
        <f>IFERROR(VLOOKUP(VALUE(J2168),'Site Info'!$A:$G,3,FALSE),"")</f>
        <v>39940 10TH ST W</v>
      </c>
      <c r="L2168" t="str">
        <f>IFERROR(VLOOKUP(VALUE(J2168),'Site Info'!$A:$G,4,FALSE),"")</f>
        <v>PALMDALE</v>
      </c>
      <c r="M2168" t="str">
        <f>IFERROR(VLOOKUP(VALUE(J2168),'Site Info'!$A:$G,5,FALSE),"")</f>
        <v>CA</v>
      </c>
      <c r="N2168" t="str">
        <f>IFERROR(VLOOKUP(VALUE(J2168),'Site Info'!$A:$G,6,FALSE),"")</f>
        <v>93551-3002</v>
      </c>
      <c r="O2168">
        <f>IFERROR(VLOOKUP(VALUE(J2168),'Site Info'!$A:$G,7,FALSE),"")</f>
        <v>6615759200</v>
      </c>
    </row>
    <row r="2169" spans="1:15" x14ac:dyDescent="0.45">
      <c r="A2169" t="s">
        <v>8199</v>
      </c>
      <c r="B2169" t="s">
        <v>8200</v>
      </c>
      <c r="C2169" t="s">
        <v>8201</v>
      </c>
      <c r="D2169" t="s">
        <v>2728</v>
      </c>
      <c r="E2169" s="1">
        <v>46151.733796296299</v>
      </c>
      <c r="F2169">
        <v>1547</v>
      </c>
      <c r="G2169" t="s">
        <v>8202</v>
      </c>
      <c r="H2169" t="s">
        <v>15</v>
      </c>
      <c r="I2169" t="s">
        <v>2730</v>
      </c>
      <c r="J2169" t="str">
        <f>RIGHT(D2169,4)</f>
        <v>8185</v>
      </c>
      <c r="K2169" t="str">
        <f>IFERROR(VLOOKUP(VALUE(J2169),'Site Info'!$A:$G,3,FALSE),"")</f>
        <v>4001 GATEWAY DR</v>
      </c>
      <c r="L2169" t="str">
        <f>IFERROR(VLOOKUP(VALUE(J2169),'Site Info'!$A:$G,4,FALSE),"")</f>
        <v>EAU CLAIRE</v>
      </c>
      <c r="M2169" t="str">
        <f>IFERROR(VLOOKUP(VALUE(J2169),'Site Info'!$A:$G,5,FALSE),"")</f>
        <v>WI</v>
      </c>
      <c r="N2169" t="str">
        <f>IFERROR(VLOOKUP(VALUE(J2169),'Site Info'!$A:$G,6,FALSE),"")</f>
        <v>54701-8134</v>
      </c>
      <c r="O2169">
        <f>IFERROR(VLOOKUP(VALUE(J2169),'Site Info'!$A:$G,7,FALSE),"")</f>
        <v>7158369585</v>
      </c>
    </row>
    <row r="2170" spans="1:15" x14ac:dyDescent="0.45">
      <c r="A2170" t="s">
        <v>8119</v>
      </c>
      <c r="B2170" t="s">
        <v>8120</v>
      </c>
      <c r="C2170" t="s">
        <v>8121</v>
      </c>
      <c r="D2170" t="s">
        <v>2728</v>
      </c>
      <c r="E2170" s="1">
        <v>46153.055925925924</v>
      </c>
      <c r="F2170">
        <v>1547</v>
      </c>
      <c r="G2170" t="s">
        <v>8122</v>
      </c>
      <c r="H2170" t="s">
        <v>15</v>
      </c>
      <c r="I2170" t="s">
        <v>2730</v>
      </c>
      <c r="J2170" t="str">
        <f>RIGHT(D2170,4)</f>
        <v>8185</v>
      </c>
      <c r="K2170" t="str">
        <f>IFERROR(VLOOKUP(VALUE(J2170),'Site Info'!$A:$G,3,FALSE),"")</f>
        <v>4001 GATEWAY DR</v>
      </c>
      <c r="L2170" t="str">
        <f>IFERROR(VLOOKUP(VALUE(J2170),'Site Info'!$A:$G,4,FALSE),"")</f>
        <v>EAU CLAIRE</v>
      </c>
      <c r="M2170" t="str">
        <f>IFERROR(VLOOKUP(VALUE(J2170),'Site Info'!$A:$G,5,FALSE),"")</f>
        <v>WI</v>
      </c>
      <c r="N2170" t="str">
        <f>IFERROR(VLOOKUP(VALUE(J2170),'Site Info'!$A:$G,6,FALSE),"")</f>
        <v>54701-8134</v>
      </c>
      <c r="O2170">
        <f>IFERROR(VLOOKUP(VALUE(J2170),'Site Info'!$A:$G,7,FALSE),"")</f>
        <v>7158369585</v>
      </c>
    </row>
    <row r="2171" spans="1:15" x14ac:dyDescent="0.45">
      <c r="A2171" t="s">
        <v>14499</v>
      </c>
      <c r="B2171" t="s">
        <v>14500</v>
      </c>
      <c r="C2171" t="s">
        <v>14501</v>
      </c>
      <c r="D2171" t="s">
        <v>2728</v>
      </c>
      <c r="E2171" s="1">
        <v>46153.311122685183</v>
      </c>
      <c r="F2171">
        <v>1547</v>
      </c>
      <c r="G2171" t="s">
        <v>14502</v>
      </c>
      <c r="H2171" t="s">
        <v>15</v>
      </c>
      <c r="I2171" t="s">
        <v>2730</v>
      </c>
      <c r="J2171" t="str">
        <f>RIGHT(D2171,4)</f>
        <v>8185</v>
      </c>
      <c r="K2171" t="str">
        <f>IFERROR(VLOOKUP(VALUE(J2171),'Site Info'!$A:$G,3,FALSE),"")</f>
        <v>4001 GATEWAY DR</v>
      </c>
      <c r="L2171" t="str">
        <f>IFERROR(VLOOKUP(VALUE(J2171),'Site Info'!$A:$G,4,FALSE),"")</f>
        <v>EAU CLAIRE</v>
      </c>
      <c r="M2171" t="str">
        <f>IFERROR(VLOOKUP(VALUE(J2171),'Site Info'!$A:$G,5,FALSE),"")</f>
        <v>WI</v>
      </c>
      <c r="N2171" t="str">
        <f>IFERROR(VLOOKUP(VALUE(J2171),'Site Info'!$A:$G,6,FALSE),"")</f>
        <v>54701-8134</v>
      </c>
      <c r="O2171">
        <f>IFERROR(VLOOKUP(VALUE(J2171),'Site Info'!$A:$G,7,FALSE),"")</f>
        <v>7158369585</v>
      </c>
    </row>
    <row r="2172" spans="1:15" x14ac:dyDescent="0.45">
      <c r="A2172" t="s">
        <v>8337</v>
      </c>
      <c r="B2172" t="s">
        <v>8338</v>
      </c>
      <c r="C2172" t="s">
        <v>8339</v>
      </c>
      <c r="D2172" t="s">
        <v>2728</v>
      </c>
      <c r="E2172" s="1">
        <v>46153.37127314815</v>
      </c>
      <c r="F2172">
        <v>1547</v>
      </c>
      <c r="G2172" t="s">
        <v>8340</v>
      </c>
      <c r="H2172" t="s">
        <v>15</v>
      </c>
      <c r="I2172" t="s">
        <v>2730</v>
      </c>
      <c r="J2172" t="str">
        <f>RIGHT(D2172,4)</f>
        <v>8185</v>
      </c>
      <c r="K2172" t="str">
        <f>IFERROR(VLOOKUP(VALUE(J2172),'Site Info'!$A:$G,3,FALSE),"")</f>
        <v>4001 GATEWAY DR</v>
      </c>
      <c r="L2172" t="str">
        <f>IFERROR(VLOOKUP(VALUE(J2172),'Site Info'!$A:$G,4,FALSE),"")</f>
        <v>EAU CLAIRE</v>
      </c>
      <c r="M2172" t="str">
        <f>IFERROR(VLOOKUP(VALUE(J2172),'Site Info'!$A:$G,5,FALSE),"")</f>
        <v>WI</v>
      </c>
      <c r="N2172" t="str">
        <f>IFERROR(VLOOKUP(VALUE(J2172),'Site Info'!$A:$G,6,FALSE),"")</f>
        <v>54701-8134</v>
      </c>
      <c r="O2172">
        <f>IFERROR(VLOOKUP(VALUE(J2172),'Site Info'!$A:$G,7,FALSE),"")</f>
        <v>7158369585</v>
      </c>
    </row>
    <row r="2173" spans="1:15" x14ac:dyDescent="0.45">
      <c r="A2173" t="s">
        <v>2725</v>
      </c>
      <c r="B2173" t="s">
        <v>2726</v>
      </c>
      <c r="C2173" t="s">
        <v>2727</v>
      </c>
      <c r="D2173" t="s">
        <v>2728</v>
      </c>
      <c r="E2173" s="1">
        <v>46151.672615740739</v>
      </c>
      <c r="F2173">
        <v>1481</v>
      </c>
      <c r="G2173" t="s">
        <v>2729</v>
      </c>
      <c r="H2173" t="s">
        <v>15</v>
      </c>
      <c r="I2173" t="s">
        <v>2730</v>
      </c>
      <c r="J2173" t="str">
        <f>RIGHT(D2173,4)</f>
        <v>8185</v>
      </c>
      <c r="K2173" t="str">
        <f>IFERROR(VLOOKUP(VALUE(J2173),'Site Info'!$A:$G,3,FALSE),"")</f>
        <v>4001 GATEWAY DR</v>
      </c>
      <c r="L2173" t="str">
        <f>IFERROR(VLOOKUP(VALUE(J2173),'Site Info'!$A:$G,4,FALSE),"")</f>
        <v>EAU CLAIRE</v>
      </c>
      <c r="M2173" t="str">
        <f>IFERROR(VLOOKUP(VALUE(J2173),'Site Info'!$A:$G,5,FALSE),"")</f>
        <v>WI</v>
      </c>
      <c r="N2173" t="str">
        <f>IFERROR(VLOOKUP(VALUE(J2173),'Site Info'!$A:$G,6,FALSE),"")</f>
        <v>54701-8134</v>
      </c>
      <c r="O2173">
        <f>IFERROR(VLOOKUP(VALUE(J2173),'Site Info'!$A:$G,7,FALSE),"")</f>
        <v>7158369585</v>
      </c>
    </row>
    <row r="2174" spans="1:15" x14ac:dyDescent="0.45">
      <c r="A2174" t="s">
        <v>14463</v>
      </c>
      <c r="B2174" t="s">
        <v>14464</v>
      </c>
      <c r="C2174" t="s">
        <v>14465</v>
      </c>
      <c r="D2174" t="s">
        <v>3146</v>
      </c>
      <c r="E2174" s="1">
        <v>46111.58866898148</v>
      </c>
      <c r="F2174">
        <v>1547</v>
      </c>
      <c r="G2174" t="s">
        <v>14466</v>
      </c>
      <c r="H2174" t="s">
        <v>15</v>
      </c>
      <c r="I2174" t="s">
        <v>3148</v>
      </c>
      <c r="J2174" t="str">
        <f>RIGHT(D2174,4)</f>
        <v>8155</v>
      </c>
      <c r="K2174" t="str">
        <f>IFERROR(VLOOKUP(VALUE(J2174),'Site Info'!$A:$G,3,FALSE),"")</f>
        <v>4001 SW 30TH PL</v>
      </c>
      <c r="L2174" t="str">
        <f>IFERROR(VLOOKUP(VALUE(J2174),'Site Info'!$A:$G,4,FALSE),"")</f>
        <v>GAINESVILLE</v>
      </c>
      <c r="M2174" t="str">
        <f>IFERROR(VLOOKUP(VALUE(J2174),'Site Info'!$A:$G,5,FALSE),"")</f>
        <v>FL</v>
      </c>
      <c r="N2174" t="str">
        <f>IFERROR(VLOOKUP(VALUE(J2174),'Site Info'!$A:$G,6,FALSE),"")</f>
        <v>32608-1907</v>
      </c>
      <c r="O2174">
        <f>IFERROR(VLOOKUP(VALUE(J2174),'Site Info'!$A:$G,7,FALSE),"")</f>
        <v>3523758853</v>
      </c>
    </row>
    <row r="2175" spans="1:15" x14ac:dyDescent="0.45">
      <c r="A2175" t="s">
        <v>6509</v>
      </c>
      <c r="B2175" t="s">
        <v>6510</v>
      </c>
      <c r="C2175" t="s">
        <v>6511</v>
      </c>
      <c r="D2175" t="s">
        <v>3146</v>
      </c>
      <c r="E2175" s="1">
        <v>46151.711493055554</v>
      </c>
      <c r="F2175">
        <v>1547</v>
      </c>
      <c r="G2175" t="s">
        <v>6512</v>
      </c>
      <c r="H2175" t="s">
        <v>15</v>
      </c>
      <c r="I2175" t="s">
        <v>3148</v>
      </c>
      <c r="J2175" t="str">
        <f>RIGHT(D2175,4)</f>
        <v>8155</v>
      </c>
      <c r="K2175" t="str">
        <f>IFERROR(VLOOKUP(VALUE(J2175),'Site Info'!$A:$G,3,FALSE),"")</f>
        <v>4001 SW 30TH PL</v>
      </c>
      <c r="L2175" t="str">
        <f>IFERROR(VLOOKUP(VALUE(J2175),'Site Info'!$A:$G,4,FALSE),"")</f>
        <v>GAINESVILLE</v>
      </c>
      <c r="M2175" t="str">
        <f>IFERROR(VLOOKUP(VALUE(J2175),'Site Info'!$A:$G,5,FALSE),"")</f>
        <v>FL</v>
      </c>
      <c r="N2175" t="str">
        <f>IFERROR(VLOOKUP(VALUE(J2175),'Site Info'!$A:$G,6,FALSE),"")</f>
        <v>32608-1907</v>
      </c>
      <c r="O2175">
        <f>IFERROR(VLOOKUP(VALUE(J2175),'Site Info'!$A:$G,7,FALSE),"")</f>
        <v>3523758853</v>
      </c>
    </row>
    <row r="2176" spans="1:15" x14ac:dyDescent="0.45">
      <c r="A2176" t="s">
        <v>4660</v>
      </c>
      <c r="B2176" t="s">
        <v>4661</v>
      </c>
      <c r="C2176" t="s">
        <v>4662</v>
      </c>
      <c r="D2176" t="s">
        <v>3146</v>
      </c>
      <c r="E2176" s="1">
        <v>46152.726168981484</v>
      </c>
      <c r="F2176">
        <v>1547</v>
      </c>
      <c r="G2176" t="s">
        <v>4663</v>
      </c>
      <c r="H2176" t="s">
        <v>15</v>
      </c>
      <c r="I2176" t="s">
        <v>3148</v>
      </c>
      <c r="J2176" t="str">
        <f>RIGHT(D2176,4)</f>
        <v>8155</v>
      </c>
      <c r="K2176" t="str">
        <f>IFERROR(VLOOKUP(VALUE(J2176),'Site Info'!$A:$G,3,FALSE),"")</f>
        <v>4001 SW 30TH PL</v>
      </c>
      <c r="L2176" t="str">
        <f>IFERROR(VLOOKUP(VALUE(J2176),'Site Info'!$A:$G,4,FALSE),"")</f>
        <v>GAINESVILLE</v>
      </c>
      <c r="M2176" t="str">
        <f>IFERROR(VLOOKUP(VALUE(J2176),'Site Info'!$A:$G,5,FALSE),"")</f>
        <v>FL</v>
      </c>
      <c r="N2176" t="str">
        <f>IFERROR(VLOOKUP(VALUE(J2176),'Site Info'!$A:$G,6,FALSE),"")</f>
        <v>32608-1907</v>
      </c>
      <c r="O2176">
        <f>IFERROR(VLOOKUP(VALUE(J2176),'Site Info'!$A:$G,7,FALSE),"")</f>
        <v>3523758853</v>
      </c>
    </row>
    <row r="2177" spans="1:15" x14ac:dyDescent="0.45">
      <c r="A2177" t="s">
        <v>14107</v>
      </c>
      <c r="B2177" t="s">
        <v>14108</v>
      </c>
      <c r="C2177" t="s">
        <v>14109</v>
      </c>
      <c r="D2177" t="s">
        <v>3146</v>
      </c>
      <c r="E2177" s="1">
        <v>46152.863530092596</v>
      </c>
      <c r="F2177">
        <v>1547</v>
      </c>
      <c r="G2177" t="s">
        <v>14110</v>
      </c>
      <c r="H2177" t="s">
        <v>15</v>
      </c>
      <c r="I2177" t="s">
        <v>3148</v>
      </c>
      <c r="J2177" t="str">
        <f>RIGHT(D2177,4)</f>
        <v>8155</v>
      </c>
      <c r="K2177" t="str">
        <f>IFERROR(VLOOKUP(VALUE(J2177),'Site Info'!$A:$G,3,FALSE),"")</f>
        <v>4001 SW 30TH PL</v>
      </c>
      <c r="L2177" t="str">
        <f>IFERROR(VLOOKUP(VALUE(J2177),'Site Info'!$A:$G,4,FALSE),"")</f>
        <v>GAINESVILLE</v>
      </c>
      <c r="M2177" t="str">
        <f>IFERROR(VLOOKUP(VALUE(J2177),'Site Info'!$A:$G,5,FALSE),"")</f>
        <v>FL</v>
      </c>
      <c r="N2177" t="str">
        <f>IFERROR(VLOOKUP(VALUE(J2177),'Site Info'!$A:$G,6,FALSE),"")</f>
        <v>32608-1907</v>
      </c>
      <c r="O2177">
        <f>IFERROR(VLOOKUP(VALUE(J2177),'Site Info'!$A:$G,7,FALSE),"")</f>
        <v>3523758853</v>
      </c>
    </row>
    <row r="2178" spans="1:15" x14ac:dyDescent="0.45">
      <c r="A2178" t="s">
        <v>4484</v>
      </c>
      <c r="B2178" t="s">
        <v>4485</v>
      </c>
      <c r="C2178" t="s">
        <v>4486</v>
      </c>
      <c r="D2178" t="s">
        <v>3146</v>
      </c>
      <c r="E2178" s="1">
        <v>46153.339756944442</v>
      </c>
      <c r="F2178">
        <v>1547</v>
      </c>
      <c r="G2178" t="s">
        <v>4487</v>
      </c>
      <c r="H2178" t="s">
        <v>15</v>
      </c>
      <c r="I2178" t="s">
        <v>3148</v>
      </c>
      <c r="J2178" t="str">
        <f>RIGHT(D2178,4)</f>
        <v>8155</v>
      </c>
      <c r="K2178" t="str">
        <f>IFERROR(VLOOKUP(VALUE(J2178),'Site Info'!$A:$G,3,FALSE),"")</f>
        <v>4001 SW 30TH PL</v>
      </c>
      <c r="L2178" t="str">
        <f>IFERROR(VLOOKUP(VALUE(J2178),'Site Info'!$A:$G,4,FALSE),"")</f>
        <v>GAINESVILLE</v>
      </c>
      <c r="M2178" t="str">
        <f>IFERROR(VLOOKUP(VALUE(J2178),'Site Info'!$A:$G,5,FALSE),"")</f>
        <v>FL</v>
      </c>
      <c r="N2178" t="str">
        <f>IFERROR(VLOOKUP(VALUE(J2178),'Site Info'!$A:$G,6,FALSE),"")</f>
        <v>32608-1907</v>
      </c>
      <c r="O2178">
        <f>IFERROR(VLOOKUP(VALUE(J2178),'Site Info'!$A:$G,7,FALSE),"")</f>
        <v>3523758853</v>
      </c>
    </row>
    <row r="2179" spans="1:15" x14ac:dyDescent="0.45">
      <c r="A2179" t="s">
        <v>6545</v>
      </c>
      <c r="B2179" t="s">
        <v>6546</v>
      </c>
      <c r="C2179" t="s">
        <v>6547</v>
      </c>
      <c r="D2179" t="s">
        <v>3146</v>
      </c>
      <c r="E2179" s="1">
        <v>46153.357407407406</v>
      </c>
      <c r="F2179">
        <v>1547</v>
      </c>
      <c r="G2179" t="s">
        <v>6548</v>
      </c>
      <c r="H2179" t="s">
        <v>15</v>
      </c>
      <c r="I2179" t="s">
        <v>3148</v>
      </c>
      <c r="J2179" t="str">
        <f>RIGHT(D2179,4)</f>
        <v>8155</v>
      </c>
      <c r="K2179" t="str">
        <f>IFERROR(VLOOKUP(VALUE(J2179),'Site Info'!$A:$G,3,FALSE),"")</f>
        <v>4001 SW 30TH PL</v>
      </c>
      <c r="L2179" t="str">
        <f>IFERROR(VLOOKUP(VALUE(J2179),'Site Info'!$A:$G,4,FALSE),"")</f>
        <v>GAINESVILLE</v>
      </c>
      <c r="M2179" t="str">
        <f>IFERROR(VLOOKUP(VALUE(J2179),'Site Info'!$A:$G,5,FALSE),"")</f>
        <v>FL</v>
      </c>
      <c r="N2179" t="str">
        <f>IFERROR(VLOOKUP(VALUE(J2179),'Site Info'!$A:$G,6,FALSE),"")</f>
        <v>32608-1907</v>
      </c>
      <c r="O2179">
        <f>IFERROR(VLOOKUP(VALUE(J2179),'Site Info'!$A:$G,7,FALSE),"")</f>
        <v>3523758853</v>
      </c>
    </row>
    <row r="2180" spans="1:15" x14ac:dyDescent="0.45">
      <c r="A2180" t="s">
        <v>4644</v>
      </c>
      <c r="B2180" t="s">
        <v>4645</v>
      </c>
      <c r="C2180" t="s">
        <v>4646</v>
      </c>
      <c r="D2180" t="s">
        <v>3146</v>
      </c>
      <c r="E2180" s="1">
        <v>46153.359594907408</v>
      </c>
      <c r="F2180">
        <v>1547</v>
      </c>
      <c r="G2180" t="s">
        <v>4647</v>
      </c>
      <c r="H2180" t="s">
        <v>15</v>
      </c>
      <c r="I2180" t="s">
        <v>3148</v>
      </c>
      <c r="J2180" t="str">
        <f>RIGHT(D2180,4)</f>
        <v>8155</v>
      </c>
      <c r="K2180" t="str">
        <f>IFERROR(VLOOKUP(VALUE(J2180),'Site Info'!$A:$G,3,FALSE),"")</f>
        <v>4001 SW 30TH PL</v>
      </c>
      <c r="L2180" t="str">
        <f>IFERROR(VLOOKUP(VALUE(J2180),'Site Info'!$A:$G,4,FALSE),"")</f>
        <v>GAINESVILLE</v>
      </c>
      <c r="M2180" t="str">
        <f>IFERROR(VLOOKUP(VALUE(J2180),'Site Info'!$A:$G,5,FALSE),"")</f>
        <v>FL</v>
      </c>
      <c r="N2180" t="str">
        <f>IFERROR(VLOOKUP(VALUE(J2180),'Site Info'!$A:$G,6,FALSE),"")</f>
        <v>32608-1907</v>
      </c>
      <c r="O2180">
        <f>IFERROR(VLOOKUP(VALUE(J2180),'Site Info'!$A:$G,7,FALSE),"")</f>
        <v>3523758853</v>
      </c>
    </row>
    <row r="2181" spans="1:15" x14ac:dyDescent="0.45">
      <c r="A2181" t="s">
        <v>6529</v>
      </c>
      <c r="B2181" t="s">
        <v>6530</v>
      </c>
      <c r="C2181" t="s">
        <v>6531</v>
      </c>
      <c r="D2181" t="s">
        <v>3146</v>
      </c>
      <c r="E2181" s="1">
        <v>46153.370370370372</v>
      </c>
      <c r="F2181">
        <v>1547</v>
      </c>
      <c r="G2181" t="s">
        <v>6532</v>
      </c>
      <c r="H2181" t="s">
        <v>15</v>
      </c>
      <c r="I2181" t="s">
        <v>3148</v>
      </c>
      <c r="J2181" t="str">
        <f>RIGHT(D2181,4)</f>
        <v>8155</v>
      </c>
      <c r="K2181" t="str">
        <f>IFERROR(VLOOKUP(VALUE(J2181),'Site Info'!$A:$G,3,FALSE),"")</f>
        <v>4001 SW 30TH PL</v>
      </c>
      <c r="L2181" t="str">
        <f>IFERROR(VLOOKUP(VALUE(J2181),'Site Info'!$A:$G,4,FALSE),"")</f>
        <v>GAINESVILLE</v>
      </c>
      <c r="M2181" t="str">
        <f>IFERROR(VLOOKUP(VALUE(J2181),'Site Info'!$A:$G,5,FALSE),"")</f>
        <v>FL</v>
      </c>
      <c r="N2181" t="str">
        <f>IFERROR(VLOOKUP(VALUE(J2181),'Site Info'!$A:$G,6,FALSE),"")</f>
        <v>32608-1907</v>
      </c>
      <c r="O2181">
        <f>IFERROR(VLOOKUP(VALUE(J2181),'Site Info'!$A:$G,7,FALSE),"")</f>
        <v>3523758853</v>
      </c>
    </row>
    <row r="2182" spans="1:15" x14ac:dyDescent="0.45">
      <c r="A2182" t="s">
        <v>3143</v>
      </c>
      <c r="B2182" t="s">
        <v>3144</v>
      </c>
      <c r="C2182" t="s">
        <v>3145</v>
      </c>
      <c r="D2182" t="s">
        <v>3146</v>
      </c>
      <c r="E2182" s="1">
        <v>46152.646678240744</v>
      </c>
      <c r="F2182">
        <v>1481</v>
      </c>
      <c r="G2182" t="s">
        <v>3147</v>
      </c>
      <c r="H2182" t="s">
        <v>15</v>
      </c>
      <c r="I2182" t="s">
        <v>3148</v>
      </c>
      <c r="J2182" t="str">
        <f>RIGHT(D2182,4)</f>
        <v>8155</v>
      </c>
      <c r="K2182" t="str">
        <f>IFERROR(VLOOKUP(VALUE(J2182),'Site Info'!$A:$G,3,FALSE),"")</f>
        <v>4001 SW 30TH PL</v>
      </c>
      <c r="L2182" t="str">
        <f>IFERROR(VLOOKUP(VALUE(J2182),'Site Info'!$A:$G,4,FALSE),"")</f>
        <v>GAINESVILLE</v>
      </c>
      <c r="M2182" t="str">
        <f>IFERROR(VLOOKUP(VALUE(J2182),'Site Info'!$A:$G,5,FALSE),"")</f>
        <v>FL</v>
      </c>
      <c r="N2182" t="str">
        <f>IFERROR(VLOOKUP(VALUE(J2182),'Site Info'!$A:$G,6,FALSE),"")</f>
        <v>32608-1907</v>
      </c>
      <c r="O2182">
        <f>IFERROR(VLOOKUP(VALUE(J2182),'Site Info'!$A:$G,7,FALSE),"")</f>
        <v>3523758853</v>
      </c>
    </row>
    <row r="2183" spans="1:15" x14ac:dyDescent="0.45">
      <c r="A2183" t="s">
        <v>13804</v>
      </c>
      <c r="B2183" t="s">
        <v>13805</v>
      </c>
      <c r="C2183" t="s">
        <v>13806</v>
      </c>
      <c r="D2183" t="s">
        <v>1219</v>
      </c>
      <c r="E2183" s="1">
        <v>46151.750752314816</v>
      </c>
      <c r="F2183">
        <v>1547</v>
      </c>
      <c r="G2183" t="s">
        <v>13807</v>
      </c>
      <c r="H2183" t="s">
        <v>15</v>
      </c>
      <c r="I2183" t="s">
        <v>1221</v>
      </c>
      <c r="J2183" t="str">
        <f>RIGHT(D2183,4)</f>
        <v>4831</v>
      </c>
      <c r="K2183" t="str">
        <f>IFERROR(VLOOKUP(VALUE(J2183),'Site Info'!$A:$G,3,FALSE),"")</f>
        <v>4005 DURHAM CHAPEL HILL BLVD</v>
      </c>
      <c r="L2183" t="str">
        <f>IFERROR(VLOOKUP(VALUE(J2183),'Site Info'!$A:$G,4,FALSE),"")</f>
        <v>DURHAM</v>
      </c>
      <c r="M2183" t="str">
        <f>IFERROR(VLOOKUP(VALUE(J2183),'Site Info'!$A:$G,5,FALSE),"")</f>
        <v>NC</v>
      </c>
      <c r="N2183" t="str">
        <f>IFERROR(VLOOKUP(VALUE(J2183),'Site Info'!$A:$G,6,FALSE),"")</f>
        <v>27707-2516</v>
      </c>
      <c r="O2183">
        <f>IFERROR(VLOOKUP(VALUE(J2183),'Site Info'!$A:$G,7,FALSE),"")</f>
        <v>9194898160</v>
      </c>
    </row>
    <row r="2184" spans="1:15" x14ac:dyDescent="0.45">
      <c r="A2184" t="s">
        <v>10472</v>
      </c>
      <c r="B2184" t="s">
        <v>10473</v>
      </c>
      <c r="C2184" t="s">
        <v>10474</v>
      </c>
      <c r="D2184" t="s">
        <v>1219</v>
      </c>
      <c r="E2184" s="1">
        <v>46153.27884259259</v>
      </c>
      <c r="F2184">
        <v>1547</v>
      </c>
      <c r="G2184" t="s">
        <v>10475</v>
      </c>
      <c r="H2184" t="s">
        <v>15</v>
      </c>
      <c r="I2184" t="s">
        <v>1221</v>
      </c>
      <c r="J2184" t="str">
        <f>RIGHT(D2184,4)</f>
        <v>4831</v>
      </c>
      <c r="K2184" t="str">
        <f>IFERROR(VLOOKUP(VALUE(J2184),'Site Info'!$A:$G,3,FALSE),"")</f>
        <v>4005 DURHAM CHAPEL HILL BLVD</v>
      </c>
      <c r="L2184" t="str">
        <f>IFERROR(VLOOKUP(VALUE(J2184),'Site Info'!$A:$G,4,FALSE),"")</f>
        <v>DURHAM</v>
      </c>
      <c r="M2184" t="str">
        <f>IFERROR(VLOOKUP(VALUE(J2184),'Site Info'!$A:$G,5,FALSE),"")</f>
        <v>NC</v>
      </c>
      <c r="N2184" t="str">
        <f>IFERROR(VLOOKUP(VALUE(J2184),'Site Info'!$A:$G,6,FALSE),"")</f>
        <v>27707-2516</v>
      </c>
      <c r="O2184">
        <f>IFERROR(VLOOKUP(VALUE(J2184),'Site Info'!$A:$G,7,FALSE),"")</f>
        <v>9194898160</v>
      </c>
    </row>
    <row r="2185" spans="1:15" x14ac:dyDescent="0.45">
      <c r="A2185" t="s">
        <v>11184</v>
      </c>
      <c r="B2185" t="s">
        <v>11185</v>
      </c>
      <c r="C2185" t="s">
        <v>11186</v>
      </c>
      <c r="D2185" t="s">
        <v>1219</v>
      </c>
      <c r="E2185" s="1">
        <v>46153.306250000001</v>
      </c>
      <c r="F2185">
        <v>1547</v>
      </c>
      <c r="G2185" t="s">
        <v>11187</v>
      </c>
      <c r="H2185" t="s">
        <v>15</v>
      </c>
      <c r="I2185" t="s">
        <v>1221</v>
      </c>
      <c r="J2185" t="str">
        <f>RIGHT(D2185,4)</f>
        <v>4831</v>
      </c>
      <c r="K2185" t="str">
        <f>IFERROR(VLOOKUP(VALUE(J2185),'Site Info'!$A:$G,3,FALSE),"")</f>
        <v>4005 DURHAM CHAPEL HILL BLVD</v>
      </c>
      <c r="L2185" t="str">
        <f>IFERROR(VLOOKUP(VALUE(J2185),'Site Info'!$A:$G,4,FALSE),"")</f>
        <v>DURHAM</v>
      </c>
      <c r="M2185" t="str">
        <f>IFERROR(VLOOKUP(VALUE(J2185),'Site Info'!$A:$G,5,FALSE),"")</f>
        <v>NC</v>
      </c>
      <c r="N2185" t="str">
        <f>IFERROR(VLOOKUP(VALUE(J2185),'Site Info'!$A:$G,6,FALSE),"")</f>
        <v>27707-2516</v>
      </c>
      <c r="O2185">
        <f>IFERROR(VLOOKUP(VALUE(J2185),'Site Info'!$A:$G,7,FALSE),"")</f>
        <v>9194898160</v>
      </c>
    </row>
    <row r="2186" spans="1:15" x14ac:dyDescent="0.45">
      <c r="A2186" t="s">
        <v>10456</v>
      </c>
      <c r="B2186" t="s">
        <v>10457</v>
      </c>
      <c r="C2186" t="s">
        <v>10458</v>
      </c>
      <c r="D2186" t="s">
        <v>1219</v>
      </c>
      <c r="E2186" s="1">
        <v>46153.365069444444</v>
      </c>
      <c r="F2186">
        <v>1547</v>
      </c>
      <c r="G2186" t="s">
        <v>10459</v>
      </c>
      <c r="H2186" t="s">
        <v>15</v>
      </c>
      <c r="I2186" t="s">
        <v>1221</v>
      </c>
      <c r="J2186" t="str">
        <f>RIGHT(D2186,4)</f>
        <v>4831</v>
      </c>
      <c r="K2186" t="str">
        <f>IFERROR(VLOOKUP(VALUE(J2186),'Site Info'!$A:$G,3,FALSE),"")</f>
        <v>4005 DURHAM CHAPEL HILL BLVD</v>
      </c>
      <c r="L2186" t="str">
        <f>IFERROR(VLOOKUP(VALUE(J2186),'Site Info'!$A:$G,4,FALSE),"")</f>
        <v>DURHAM</v>
      </c>
      <c r="M2186" t="str">
        <f>IFERROR(VLOOKUP(VALUE(J2186),'Site Info'!$A:$G,5,FALSE),"")</f>
        <v>NC</v>
      </c>
      <c r="N2186" t="str">
        <f>IFERROR(VLOOKUP(VALUE(J2186),'Site Info'!$A:$G,6,FALSE),"")</f>
        <v>27707-2516</v>
      </c>
      <c r="O2186">
        <f>IFERROR(VLOOKUP(VALUE(J2186),'Site Info'!$A:$G,7,FALSE),"")</f>
        <v>9194898160</v>
      </c>
    </row>
    <row r="2187" spans="1:15" x14ac:dyDescent="0.45">
      <c r="A2187" t="s">
        <v>1216</v>
      </c>
      <c r="B2187" t="s">
        <v>1217</v>
      </c>
      <c r="C2187" t="s">
        <v>1218</v>
      </c>
      <c r="D2187" t="s">
        <v>1219</v>
      </c>
      <c r="E2187" s="1">
        <v>46152.314930555556</v>
      </c>
      <c r="F2187">
        <v>1481</v>
      </c>
      <c r="G2187" t="s">
        <v>1220</v>
      </c>
      <c r="H2187" t="s">
        <v>15</v>
      </c>
      <c r="I2187" t="s">
        <v>1221</v>
      </c>
      <c r="J2187" t="str">
        <f>RIGHT(D2187,4)</f>
        <v>4831</v>
      </c>
      <c r="K2187" t="str">
        <f>IFERROR(VLOOKUP(VALUE(J2187),'Site Info'!$A:$G,3,FALSE),"")</f>
        <v>4005 DURHAM CHAPEL HILL BLVD</v>
      </c>
      <c r="L2187" t="str">
        <f>IFERROR(VLOOKUP(VALUE(J2187),'Site Info'!$A:$G,4,FALSE),"")</f>
        <v>DURHAM</v>
      </c>
      <c r="M2187" t="str">
        <f>IFERROR(VLOOKUP(VALUE(J2187),'Site Info'!$A:$G,5,FALSE),"")</f>
        <v>NC</v>
      </c>
      <c r="N2187" t="str">
        <f>IFERROR(VLOOKUP(VALUE(J2187),'Site Info'!$A:$G,6,FALSE),"")</f>
        <v>27707-2516</v>
      </c>
      <c r="O2187">
        <f>IFERROR(VLOOKUP(VALUE(J2187),'Site Info'!$A:$G,7,FALSE),"")</f>
        <v>9194898160</v>
      </c>
    </row>
    <row r="2188" spans="1:15" x14ac:dyDescent="0.45">
      <c r="A2188" t="s">
        <v>1462</v>
      </c>
      <c r="B2188" t="s">
        <v>1463</v>
      </c>
      <c r="C2188" t="s">
        <v>1464</v>
      </c>
      <c r="D2188" t="s">
        <v>1219</v>
      </c>
      <c r="E2188" s="1">
        <v>46152.524282407408</v>
      </c>
      <c r="F2188">
        <v>1481</v>
      </c>
      <c r="G2188" t="s">
        <v>1465</v>
      </c>
      <c r="H2188" t="s">
        <v>15</v>
      </c>
      <c r="I2188" t="s">
        <v>1221</v>
      </c>
      <c r="J2188" t="str">
        <f>RIGHT(D2188,4)</f>
        <v>4831</v>
      </c>
      <c r="K2188" t="str">
        <f>IFERROR(VLOOKUP(VALUE(J2188),'Site Info'!$A:$G,3,FALSE),"")</f>
        <v>4005 DURHAM CHAPEL HILL BLVD</v>
      </c>
      <c r="L2188" t="str">
        <f>IFERROR(VLOOKUP(VALUE(J2188),'Site Info'!$A:$G,4,FALSE),"")</f>
        <v>DURHAM</v>
      </c>
      <c r="M2188" t="str">
        <f>IFERROR(VLOOKUP(VALUE(J2188),'Site Info'!$A:$G,5,FALSE),"")</f>
        <v>NC</v>
      </c>
      <c r="N2188" t="str">
        <f>IFERROR(VLOOKUP(VALUE(J2188),'Site Info'!$A:$G,6,FALSE),"")</f>
        <v>27707-2516</v>
      </c>
      <c r="O2188">
        <f>IFERROR(VLOOKUP(VALUE(J2188),'Site Info'!$A:$G,7,FALSE),"")</f>
        <v>9194898160</v>
      </c>
    </row>
    <row r="2189" spans="1:15" x14ac:dyDescent="0.45">
      <c r="A2189" t="s">
        <v>1522</v>
      </c>
      <c r="B2189" t="s">
        <v>1523</v>
      </c>
      <c r="C2189" t="s">
        <v>1524</v>
      </c>
      <c r="D2189" t="s">
        <v>1219</v>
      </c>
      <c r="E2189" s="1">
        <v>46153.135995370372</v>
      </c>
      <c r="F2189">
        <v>1481</v>
      </c>
      <c r="G2189" t="s">
        <v>1525</v>
      </c>
      <c r="H2189" t="s">
        <v>15</v>
      </c>
      <c r="I2189" t="s">
        <v>1221</v>
      </c>
      <c r="J2189" t="str">
        <f>RIGHT(D2189,4)</f>
        <v>4831</v>
      </c>
      <c r="K2189" t="str">
        <f>IFERROR(VLOOKUP(VALUE(J2189),'Site Info'!$A:$G,3,FALSE),"")</f>
        <v>4005 DURHAM CHAPEL HILL BLVD</v>
      </c>
      <c r="L2189" t="str">
        <f>IFERROR(VLOOKUP(VALUE(J2189),'Site Info'!$A:$G,4,FALSE),"")</f>
        <v>DURHAM</v>
      </c>
      <c r="M2189" t="str">
        <f>IFERROR(VLOOKUP(VALUE(J2189),'Site Info'!$A:$G,5,FALSE),"")</f>
        <v>NC</v>
      </c>
      <c r="N2189" t="str">
        <f>IFERROR(VLOOKUP(VALUE(J2189),'Site Info'!$A:$G,6,FALSE),"")</f>
        <v>27707-2516</v>
      </c>
      <c r="O2189">
        <f>IFERROR(VLOOKUP(VALUE(J2189),'Site Info'!$A:$G,7,FALSE),"")</f>
        <v>9194898160</v>
      </c>
    </row>
    <row r="2190" spans="1:15" x14ac:dyDescent="0.45">
      <c r="A2190" t="s">
        <v>16485</v>
      </c>
      <c r="B2190" t="s">
        <v>16486</v>
      </c>
      <c r="C2190" t="s">
        <v>16487</v>
      </c>
      <c r="D2190" t="s">
        <v>1219</v>
      </c>
      <c r="E2190" s="1">
        <v>46130.144375000003</v>
      </c>
      <c r="F2190">
        <v>1481</v>
      </c>
      <c r="G2190" t="s">
        <v>16488</v>
      </c>
      <c r="H2190" t="s">
        <v>15</v>
      </c>
      <c r="I2190" t="s">
        <v>1221</v>
      </c>
      <c r="J2190" t="str">
        <f>RIGHT(D2190,4)</f>
        <v>4831</v>
      </c>
      <c r="K2190" t="str">
        <f>IFERROR(VLOOKUP(VALUE(J2190),'Site Info'!$A:$G,3,FALSE),"")</f>
        <v>4005 DURHAM CHAPEL HILL BLVD</v>
      </c>
      <c r="L2190" t="str">
        <f>IFERROR(VLOOKUP(VALUE(J2190),'Site Info'!$A:$G,4,FALSE),"")</f>
        <v>DURHAM</v>
      </c>
      <c r="M2190" t="str">
        <f>IFERROR(VLOOKUP(VALUE(J2190),'Site Info'!$A:$G,5,FALSE),"")</f>
        <v>NC</v>
      </c>
      <c r="N2190" t="str">
        <f>IFERROR(VLOOKUP(VALUE(J2190),'Site Info'!$A:$G,6,FALSE),"")</f>
        <v>27707-2516</v>
      </c>
      <c r="O2190">
        <f>IFERROR(VLOOKUP(VALUE(J2190),'Site Info'!$A:$G,7,FALSE),"")</f>
        <v>9194898160</v>
      </c>
    </row>
    <row r="2191" spans="1:15" x14ac:dyDescent="0.45">
      <c r="A2191" t="s">
        <v>4908</v>
      </c>
      <c r="B2191" t="s">
        <v>4909</v>
      </c>
      <c r="C2191" t="s">
        <v>4910</v>
      </c>
      <c r="D2191" t="s">
        <v>1161</v>
      </c>
      <c r="E2191" s="1">
        <v>46152.71329861111</v>
      </c>
      <c r="F2191">
        <v>1547</v>
      </c>
      <c r="G2191" t="s">
        <v>4911</v>
      </c>
      <c r="H2191" t="s">
        <v>15</v>
      </c>
      <c r="I2191" t="s">
        <v>1163</v>
      </c>
      <c r="J2191" t="str">
        <f>RIGHT(D2191,4)</f>
        <v>6379</v>
      </c>
      <c r="K2191" t="str">
        <f>IFERROR(VLOOKUP(VALUE(J2191),'Site Info'!$A:$G,3,FALSE),"")</f>
        <v>401 NORTHWEST BYP</v>
      </c>
      <c r="L2191" t="str">
        <f>IFERROR(VLOOKUP(VALUE(J2191),'Site Info'!$A:$G,4,FALSE),"")</f>
        <v>GREAT FALLS</v>
      </c>
      <c r="M2191" t="str">
        <f>IFERROR(VLOOKUP(VALUE(J2191),'Site Info'!$A:$G,5,FALSE),"")</f>
        <v>MT</v>
      </c>
      <c r="N2191" t="str">
        <f>IFERROR(VLOOKUP(VALUE(J2191),'Site Info'!$A:$G,6,FALSE),"")</f>
        <v>59404-4124</v>
      </c>
      <c r="O2191">
        <f>IFERROR(VLOOKUP(VALUE(J2191),'Site Info'!$A:$G,7,FALSE),"")</f>
        <v>4064530018</v>
      </c>
    </row>
    <row r="2192" spans="1:15" x14ac:dyDescent="0.45">
      <c r="A2192" t="s">
        <v>4356</v>
      </c>
      <c r="B2192" t="s">
        <v>4357</v>
      </c>
      <c r="C2192" t="s">
        <v>4358</v>
      </c>
      <c r="D2192" t="s">
        <v>1161</v>
      </c>
      <c r="E2192" s="1">
        <v>46152.719710648147</v>
      </c>
      <c r="F2192">
        <v>1547</v>
      </c>
      <c r="G2192" t="s">
        <v>4359</v>
      </c>
      <c r="H2192" t="s">
        <v>15</v>
      </c>
      <c r="I2192" t="s">
        <v>1163</v>
      </c>
      <c r="J2192" t="str">
        <f>RIGHT(D2192,4)</f>
        <v>6379</v>
      </c>
      <c r="K2192" t="str">
        <f>IFERROR(VLOOKUP(VALUE(J2192),'Site Info'!$A:$G,3,FALSE),"")</f>
        <v>401 NORTHWEST BYP</v>
      </c>
      <c r="L2192" t="str">
        <f>IFERROR(VLOOKUP(VALUE(J2192),'Site Info'!$A:$G,4,FALSE),"")</f>
        <v>GREAT FALLS</v>
      </c>
      <c r="M2192" t="str">
        <f>IFERROR(VLOOKUP(VALUE(J2192),'Site Info'!$A:$G,5,FALSE),"")</f>
        <v>MT</v>
      </c>
      <c r="N2192" t="str">
        <f>IFERROR(VLOOKUP(VALUE(J2192),'Site Info'!$A:$G,6,FALSE),"")</f>
        <v>59404-4124</v>
      </c>
      <c r="O2192">
        <f>IFERROR(VLOOKUP(VALUE(J2192),'Site Info'!$A:$G,7,FALSE),"")</f>
        <v>4064530018</v>
      </c>
    </row>
    <row r="2193" spans="1:15" x14ac:dyDescent="0.45">
      <c r="A2193" t="s">
        <v>4392</v>
      </c>
      <c r="B2193" t="s">
        <v>4393</v>
      </c>
      <c r="C2193" t="s">
        <v>4394</v>
      </c>
      <c r="D2193" t="s">
        <v>1161</v>
      </c>
      <c r="E2193" s="1">
        <v>46152.949097222219</v>
      </c>
      <c r="F2193">
        <v>1547</v>
      </c>
      <c r="G2193" t="s">
        <v>4395</v>
      </c>
      <c r="H2193" t="s">
        <v>15</v>
      </c>
      <c r="I2193" t="s">
        <v>1163</v>
      </c>
      <c r="J2193" t="str">
        <f>RIGHT(D2193,4)</f>
        <v>6379</v>
      </c>
      <c r="K2193" t="str">
        <f>IFERROR(VLOOKUP(VALUE(J2193),'Site Info'!$A:$G,3,FALSE),"")</f>
        <v>401 NORTHWEST BYP</v>
      </c>
      <c r="L2193" t="str">
        <f>IFERROR(VLOOKUP(VALUE(J2193),'Site Info'!$A:$G,4,FALSE),"")</f>
        <v>GREAT FALLS</v>
      </c>
      <c r="M2193" t="str">
        <f>IFERROR(VLOOKUP(VALUE(J2193),'Site Info'!$A:$G,5,FALSE),"")</f>
        <v>MT</v>
      </c>
      <c r="N2193" t="str">
        <f>IFERROR(VLOOKUP(VALUE(J2193),'Site Info'!$A:$G,6,FALSE),"")</f>
        <v>59404-4124</v>
      </c>
      <c r="O2193">
        <f>IFERROR(VLOOKUP(VALUE(J2193),'Site Info'!$A:$G,7,FALSE),"")</f>
        <v>4064530018</v>
      </c>
    </row>
    <row r="2194" spans="1:15" x14ac:dyDescent="0.45">
      <c r="A2194" t="s">
        <v>1158</v>
      </c>
      <c r="B2194" t="s">
        <v>1159</v>
      </c>
      <c r="C2194" t="s">
        <v>1160</v>
      </c>
      <c r="D2194" t="s">
        <v>1161</v>
      </c>
      <c r="E2194" s="1">
        <v>46148.662442129629</v>
      </c>
      <c r="F2194">
        <v>1481</v>
      </c>
      <c r="G2194" t="s">
        <v>1162</v>
      </c>
      <c r="H2194" t="s">
        <v>15</v>
      </c>
      <c r="I2194" t="s">
        <v>1163</v>
      </c>
      <c r="J2194" t="str">
        <f>RIGHT(D2194,4)</f>
        <v>6379</v>
      </c>
      <c r="K2194" t="str">
        <f>IFERROR(VLOOKUP(VALUE(J2194),'Site Info'!$A:$G,3,FALSE),"")</f>
        <v>401 NORTHWEST BYP</v>
      </c>
      <c r="L2194" t="str">
        <f>IFERROR(VLOOKUP(VALUE(J2194),'Site Info'!$A:$G,4,FALSE),"")</f>
        <v>GREAT FALLS</v>
      </c>
      <c r="M2194" t="str">
        <f>IFERROR(VLOOKUP(VALUE(J2194),'Site Info'!$A:$G,5,FALSE),"")</f>
        <v>MT</v>
      </c>
      <c r="N2194" t="str">
        <f>IFERROR(VLOOKUP(VALUE(J2194),'Site Info'!$A:$G,6,FALSE),"")</f>
        <v>59404-4124</v>
      </c>
      <c r="O2194">
        <f>IFERROR(VLOOKUP(VALUE(J2194),'Site Info'!$A:$G,7,FALSE),"")</f>
        <v>4064530018</v>
      </c>
    </row>
    <row r="2195" spans="1:15" x14ac:dyDescent="0.45">
      <c r="A2195" t="s">
        <v>3873</v>
      </c>
      <c r="B2195" t="s">
        <v>3874</v>
      </c>
      <c r="C2195" t="s">
        <v>3875</v>
      </c>
      <c r="D2195" t="s">
        <v>1161</v>
      </c>
      <c r="E2195" s="1">
        <v>46153.279849537037</v>
      </c>
      <c r="F2195">
        <v>1481</v>
      </c>
      <c r="G2195" t="s">
        <v>3876</v>
      </c>
      <c r="H2195" t="s">
        <v>15</v>
      </c>
      <c r="I2195" t="s">
        <v>1163</v>
      </c>
      <c r="J2195" t="str">
        <f>RIGHT(D2195,4)</f>
        <v>6379</v>
      </c>
      <c r="K2195" t="str">
        <f>IFERROR(VLOOKUP(VALUE(J2195),'Site Info'!$A:$G,3,FALSE),"")</f>
        <v>401 NORTHWEST BYP</v>
      </c>
      <c r="L2195" t="str">
        <f>IFERROR(VLOOKUP(VALUE(J2195),'Site Info'!$A:$G,4,FALSE),"")</f>
        <v>GREAT FALLS</v>
      </c>
      <c r="M2195" t="str">
        <f>IFERROR(VLOOKUP(VALUE(J2195),'Site Info'!$A:$G,5,FALSE),"")</f>
        <v>MT</v>
      </c>
      <c r="N2195" t="str">
        <f>IFERROR(VLOOKUP(VALUE(J2195),'Site Info'!$A:$G,6,FALSE),"")</f>
        <v>59404-4124</v>
      </c>
      <c r="O2195">
        <f>IFERROR(VLOOKUP(VALUE(J2195),'Site Info'!$A:$G,7,FALSE),"")</f>
        <v>4064530018</v>
      </c>
    </row>
    <row r="2196" spans="1:15" x14ac:dyDescent="0.45">
      <c r="A2196" t="s">
        <v>16810</v>
      </c>
      <c r="B2196" t="s">
        <v>16811</v>
      </c>
      <c r="C2196" t="s">
        <v>16812</v>
      </c>
      <c r="D2196" t="s">
        <v>1161</v>
      </c>
      <c r="E2196" s="1">
        <v>46152.709768518522</v>
      </c>
      <c r="F2196">
        <v>1547</v>
      </c>
      <c r="G2196" t="s">
        <v>16813</v>
      </c>
      <c r="H2196" t="s">
        <v>15</v>
      </c>
      <c r="I2196" t="s">
        <v>1163</v>
      </c>
      <c r="J2196" t="str">
        <f>RIGHT(D2196,4)</f>
        <v>6379</v>
      </c>
      <c r="K2196" t="str">
        <f>IFERROR(VLOOKUP(VALUE(J2196),'Site Info'!$A:$G,3,FALSE),"")</f>
        <v>401 NORTHWEST BYP</v>
      </c>
      <c r="L2196" t="str">
        <f>IFERROR(VLOOKUP(VALUE(J2196),'Site Info'!$A:$G,4,FALSE),"")</f>
        <v>GREAT FALLS</v>
      </c>
      <c r="M2196" t="str">
        <f>IFERROR(VLOOKUP(VALUE(J2196),'Site Info'!$A:$G,5,FALSE),"")</f>
        <v>MT</v>
      </c>
      <c r="N2196" t="str">
        <f>IFERROR(VLOOKUP(VALUE(J2196),'Site Info'!$A:$G,6,FALSE),"")</f>
        <v>59404-4124</v>
      </c>
      <c r="O2196">
        <f>IFERROR(VLOOKUP(VALUE(J2196),'Site Info'!$A:$G,7,FALSE),"")</f>
        <v>4064530018</v>
      </c>
    </row>
    <row r="2197" spans="1:15" x14ac:dyDescent="0.45">
      <c r="A2197" t="s">
        <v>14628</v>
      </c>
      <c r="B2197" t="s">
        <v>14629</v>
      </c>
      <c r="C2197" t="s">
        <v>14630</v>
      </c>
      <c r="D2197" t="s">
        <v>4059</v>
      </c>
      <c r="E2197" s="1">
        <v>46153.336134259262</v>
      </c>
      <c r="F2197">
        <v>1863</v>
      </c>
      <c r="G2197" t="s">
        <v>14631</v>
      </c>
      <c r="H2197" t="s">
        <v>136</v>
      </c>
      <c r="I2197" t="s">
        <v>4061</v>
      </c>
      <c r="J2197" t="str">
        <f>RIGHT(D2197,4)</f>
        <v>4822</v>
      </c>
      <c r="K2197" t="str">
        <f>IFERROR(VLOOKUP(VALUE(J2197),'Site Info'!$A:$G,3,FALSE),"")</f>
        <v>40500 MURRIETA HOT SPRINGS RD</v>
      </c>
      <c r="L2197" t="str">
        <f>IFERROR(VLOOKUP(VALUE(J2197),'Site Info'!$A:$G,4,FALSE),"")</f>
        <v>MURRIETA</v>
      </c>
      <c r="M2197" t="str">
        <f>IFERROR(VLOOKUP(VALUE(J2197),'Site Info'!$A:$G,5,FALSE),"")</f>
        <v>CA</v>
      </c>
      <c r="N2197" t="str">
        <f>IFERROR(VLOOKUP(VALUE(J2197),'Site Info'!$A:$G,6,FALSE),"")</f>
        <v>92563-6403</v>
      </c>
      <c r="O2197">
        <f>IFERROR(VLOOKUP(VALUE(J2197),'Site Info'!$A:$G,7,FALSE),"")</f>
        <v>9516964500</v>
      </c>
    </row>
    <row r="2198" spans="1:15" x14ac:dyDescent="0.45">
      <c r="A2198" t="s">
        <v>4056</v>
      </c>
      <c r="B2198" t="s">
        <v>4057</v>
      </c>
      <c r="C2198" t="s">
        <v>4058</v>
      </c>
      <c r="D2198" t="s">
        <v>4059</v>
      </c>
      <c r="E2198" s="1">
        <v>46152.792349537034</v>
      </c>
      <c r="F2198">
        <v>1547</v>
      </c>
      <c r="G2198" t="s">
        <v>4060</v>
      </c>
      <c r="H2198" t="s">
        <v>15</v>
      </c>
      <c r="I2198" t="s">
        <v>4061</v>
      </c>
      <c r="J2198" t="str">
        <f>RIGHT(D2198,4)</f>
        <v>4822</v>
      </c>
      <c r="K2198" t="str">
        <f>IFERROR(VLOOKUP(VALUE(J2198),'Site Info'!$A:$G,3,FALSE),"")</f>
        <v>40500 MURRIETA HOT SPRINGS RD</v>
      </c>
      <c r="L2198" t="str">
        <f>IFERROR(VLOOKUP(VALUE(J2198),'Site Info'!$A:$G,4,FALSE),"")</f>
        <v>MURRIETA</v>
      </c>
      <c r="M2198" t="str">
        <f>IFERROR(VLOOKUP(VALUE(J2198),'Site Info'!$A:$G,5,FALSE),"")</f>
        <v>CA</v>
      </c>
      <c r="N2198" t="str">
        <f>IFERROR(VLOOKUP(VALUE(J2198),'Site Info'!$A:$G,6,FALSE),"")</f>
        <v>92563-6403</v>
      </c>
      <c r="O2198">
        <f>IFERROR(VLOOKUP(VALUE(J2198),'Site Info'!$A:$G,7,FALSE),"")</f>
        <v>9516964500</v>
      </c>
    </row>
    <row r="2199" spans="1:15" x14ac:dyDescent="0.45">
      <c r="A2199" t="s">
        <v>6739</v>
      </c>
      <c r="B2199" t="s">
        <v>6740</v>
      </c>
      <c r="C2199" t="s">
        <v>6741</v>
      </c>
      <c r="D2199" t="s">
        <v>4059</v>
      </c>
      <c r="E2199" s="1">
        <v>46152.796458333331</v>
      </c>
      <c r="F2199">
        <v>1547</v>
      </c>
      <c r="G2199" t="s">
        <v>6742</v>
      </c>
      <c r="H2199" t="s">
        <v>15</v>
      </c>
      <c r="I2199" t="s">
        <v>4061</v>
      </c>
      <c r="J2199" t="str">
        <f>RIGHT(D2199,4)</f>
        <v>4822</v>
      </c>
      <c r="K2199" t="str">
        <f>IFERROR(VLOOKUP(VALUE(J2199),'Site Info'!$A:$G,3,FALSE),"")</f>
        <v>40500 MURRIETA HOT SPRINGS RD</v>
      </c>
      <c r="L2199" t="str">
        <f>IFERROR(VLOOKUP(VALUE(J2199),'Site Info'!$A:$G,4,FALSE),"")</f>
        <v>MURRIETA</v>
      </c>
      <c r="M2199" t="str">
        <f>IFERROR(VLOOKUP(VALUE(J2199),'Site Info'!$A:$G,5,FALSE),"")</f>
        <v>CA</v>
      </c>
      <c r="N2199" t="str">
        <f>IFERROR(VLOOKUP(VALUE(J2199),'Site Info'!$A:$G,6,FALSE),"")</f>
        <v>92563-6403</v>
      </c>
      <c r="O2199">
        <f>IFERROR(VLOOKUP(VALUE(J2199),'Site Info'!$A:$G,7,FALSE),"")</f>
        <v>9516964500</v>
      </c>
    </row>
    <row r="2200" spans="1:15" x14ac:dyDescent="0.45">
      <c r="A2200" t="s">
        <v>5516</v>
      </c>
      <c r="B2200" t="s">
        <v>5517</v>
      </c>
      <c r="C2200" t="s">
        <v>5518</v>
      </c>
      <c r="D2200" t="s">
        <v>4059</v>
      </c>
      <c r="E2200" s="1">
        <v>46153.023472222223</v>
      </c>
      <c r="F2200">
        <v>1547</v>
      </c>
      <c r="G2200" t="s">
        <v>5519</v>
      </c>
      <c r="H2200" t="s">
        <v>15</v>
      </c>
      <c r="I2200" t="s">
        <v>4061</v>
      </c>
      <c r="J2200" t="str">
        <f>RIGHT(D2200,4)</f>
        <v>4822</v>
      </c>
      <c r="K2200" t="str">
        <f>IFERROR(VLOOKUP(VALUE(J2200),'Site Info'!$A:$G,3,FALSE),"")</f>
        <v>40500 MURRIETA HOT SPRINGS RD</v>
      </c>
      <c r="L2200" t="str">
        <f>IFERROR(VLOOKUP(VALUE(J2200),'Site Info'!$A:$G,4,FALSE),"")</f>
        <v>MURRIETA</v>
      </c>
      <c r="M2200" t="str">
        <f>IFERROR(VLOOKUP(VALUE(J2200),'Site Info'!$A:$G,5,FALSE),"")</f>
        <v>CA</v>
      </c>
      <c r="N2200" t="str">
        <f>IFERROR(VLOOKUP(VALUE(J2200),'Site Info'!$A:$G,6,FALSE),"")</f>
        <v>92563-6403</v>
      </c>
      <c r="O2200">
        <f>IFERROR(VLOOKUP(VALUE(J2200),'Site Info'!$A:$G,7,FALSE),"")</f>
        <v>9516964500</v>
      </c>
    </row>
    <row r="2201" spans="1:15" x14ac:dyDescent="0.45">
      <c r="A2201" t="s">
        <v>16469</v>
      </c>
      <c r="B2201" t="s">
        <v>16470</v>
      </c>
      <c r="C2201" t="s">
        <v>16471</v>
      </c>
      <c r="D2201" t="s">
        <v>4059</v>
      </c>
      <c r="E2201" s="1">
        <v>46152.862511574072</v>
      </c>
      <c r="F2201">
        <v>1628</v>
      </c>
      <c r="G2201" t="s">
        <v>16472</v>
      </c>
      <c r="H2201" t="s">
        <v>13988</v>
      </c>
      <c r="I2201" t="s">
        <v>4061</v>
      </c>
      <c r="J2201" t="str">
        <f>RIGHT(D2201,4)</f>
        <v>4822</v>
      </c>
      <c r="K2201" t="str">
        <f>IFERROR(VLOOKUP(VALUE(J2201),'Site Info'!$A:$G,3,FALSE),"")</f>
        <v>40500 MURRIETA HOT SPRINGS RD</v>
      </c>
      <c r="L2201" t="str">
        <f>IFERROR(VLOOKUP(VALUE(J2201),'Site Info'!$A:$G,4,FALSE),"")</f>
        <v>MURRIETA</v>
      </c>
      <c r="M2201" t="str">
        <f>IFERROR(VLOOKUP(VALUE(J2201),'Site Info'!$A:$G,5,FALSE),"")</f>
        <v>CA</v>
      </c>
      <c r="N2201" t="str">
        <f>IFERROR(VLOOKUP(VALUE(J2201),'Site Info'!$A:$G,6,FALSE),"")</f>
        <v>92563-6403</v>
      </c>
      <c r="O2201">
        <f>IFERROR(VLOOKUP(VALUE(J2201),'Site Info'!$A:$G,7,FALSE),"")</f>
        <v>9516964500</v>
      </c>
    </row>
    <row r="2202" spans="1:15" x14ac:dyDescent="0.45">
      <c r="A2202" t="s">
        <v>4638</v>
      </c>
      <c r="B2202" t="s">
        <v>4639</v>
      </c>
      <c r="C2202" t="s">
        <v>4640</v>
      </c>
      <c r="D2202" t="s">
        <v>4641</v>
      </c>
      <c r="E2202" s="1">
        <v>46151.747731481482</v>
      </c>
      <c r="F2202">
        <v>1547</v>
      </c>
      <c r="G2202" t="s">
        <v>4642</v>
      </c>
      <c r="H2202" t="s">
        <v>15</v>
      </c>
      <c r="I2202" t="s">
        <v>4643</v>
      </c>
      <c r="J2202" t="str">
        <f>RIGHT(D2202,4)</f>
        <v>6376</v>
      </c>
      <c r="K2202" t="str">
        <f>IFERROR(VLOOKUP(VALUE(J2202),'Site Info'!$A:$G,3,FALSE),"")</f>
        <v>4062 LBJ FREEWAY</v>
      </c>
      <c r="L2202" t="str">
        <f>IFERROR(VLOOKUP(VALUE(J2202),'Site Info'!$A:$G,4,FALSE),"")</f>
        <v>DALLAS</v>
      </c>
      <c r="M2202" t="str">
        <f>IFERROR(VLOOKUP(VALUE(J2202),'Site Info'!$A:$G,5,FALSE),"")</f>
        <v>TX</v>
      </c>
      <c r="N2202" t="str">
        <f>IFERROR(VLOOKUP(VALUE(J2202),'Site Info'!$A:$G,6,FALSE),"")</f>
        <v>75244-5701</v>
      </c>
      <c r="O2202">
        <f>IFERROR(VLOOKUP(VALUE(J2202),'Site Info'!$A:$G,7,FALSE),"")</f>
        <v>9729349274</v>
      </c>
    </row>
    <row r="2203" spans="1:15" x14ac:dyDescent="0.45">
      <c r="A2203" t="s">
        <v>4724</v>
      </c>
      <c r="B2203" t="s">
        <v>4725</v>
      </c>
      <c r="C2203" t="s">
        <v>4726</v>
      </c>
      <c r="D2203" t="s">
        <v>4641</v>
      </c>
      <c r="E2203" s="1">
        <v>46152.593495370369</v>
      </c>
      <c r="F2203">
        <v>1547</v>
      </c>
      <c r="G2203" t="s">
        <v>4727</v>
      </c>
      <c r="H2203" t="s">
        <v>15</v>
      </c>
      <c r="I2203" t="s">
        <v>4643</v>
      </c>
      <c r="J2203" t="str">
        <f>RIGHT(D2203,4)</f>
        <v>6376</v>
      </c>
      <c r="K2203" t="str">
        <f>IFERROR(VLOOKUP(VALUE(J2203),'Site Info'!$A:$G,3,FALSE),"")</f>
        <v>4062 LBJ FREEWAY</v>
      </c>
      <c r="L2203" t="str">
        <f>IFERROR(VLOOKUP(VALUE(J2203),'Site Info'!$A:$G,4,FALSE),"")</f>
        <v>DALLAS</v>
      </c>
      <c r="M2203" t="str">
        <f>IFERROR(VLOOKUP(VALUE(J2203),'Site Info'!$A:$G,5,FALSE),"")</f>
        <v>TX</v>
      </c>
      <c r="N2203" t="str">
        <f>IFERROR(VLOOKUP(VALUE(J2203),'Site Info'!$A:$G,6,FALSE),"")</f>
        <v>75244-5701</v>
      </c>
      <c r="O2203">
        <f>IFERROR(VLOOKUP(VALUE(J2203),'Site Info'!$A:$G,7,FALSE),"")</f>
        <v>9729349274</v>
      </c>
    </row>
    <row r="2204" spans="1:15" x14ac:dyDescent="0.45">
      <c r="A2204" t="s">
        <v>4728</v>
      </c>
      <c r="B2204" t="s">
        <v>4729</v>
      </c>
      <c r="C2204" t="s">
        <v>4730</v>
      </c>
      <c r="D2204" t="s">
        <v>4641</v>
      </c>
      <c r="E2204" s="1">
        <v>46153.257696759261</v>
      </c>
      <c r="F2204">
        <v>1547</v>
      </c>
      <c r="G2204" t="s">
        <v>4731</v>
      </c>
      <c r="H2204" t="s">
        <v>15</v>
      </c>
      <c r="I2204" t="s">
        <v>4643</v>
      </c>
      <c r="J2204" t="str">
        <f>RIGHT(D2204,4)</f>
        <v>6376</v>
      </c>
      <c r="K2204" t="str">
        <f>IFERROR(VLOOKUP(VALUE(J2204),'Site Info'!$A:$G,3,FALSE),"")</f>
        <v>4062 LBJ FREEWAY</v>
      </c>
      <c r="L2204" t="str">
        <f>IFERROR(VLOOKUP(VALUE(J2204),'Site Info'!$A:$G,4,FALSE),"")</f>
        <v>DALLAS</v>
      </c>
      <c r="M2204" t="str">
        <f>IFERROR(VLOOKUP(VALUE(J2204),'Site Info'!$A:$G,5,FALSE),"")</f>
        <v>TX</v>
      </c>
      <c r="N2204" t="str">
        <f>IFERROR(VLOOKUP(VALUE(J2204),'Site Info'!$A:$G,6,FALSE),"")</f>
        <v>75244-5701</v>
      </c>
      <c r="O2204">
        <f>IFERROR(VLOOKUP(VALUE(J2204),'Site Info'!$A:$G,7,FALSE),"")</f>
        <v>9729349274</v>
      </c>
    </row>
    <row r="2205" spans="1:15" x14ac:dyDescent="0.45">
      <c r="A2205" t="s">
        <v>4750</v>
      </c>
      <c r="B2205" t="s">
        <v>4751</v>
      </c>
      <c r="C2205" t="s">
        <v>4752</v>
      </c>
      <c r="D2205" t="s">
        <v>4641</v>
      </c>
      <c r="E2205" s="1">
        <v>46153.32440972222</v>
      </c>
      <c r="F2205">
        <v>1547</v>
      </c>
      <c r="G2205" t="s">
        <v>4753</v>
      </c>
      <c r="H2205" t="s">
        <v>15</v>
      </c>
      <c r="I2205" t="s">
        <v>4643</v>
      </c>
      <c r="J2205" t="str">
        <f>RIGHT(D2205,4)</f>
        <v>6376</v>
      </c>
      <c r="K2205" t="str">
        <f>IFERROR(VLOOKUP(VALUE(J2205),'Site Info'!$A:$G,3,FALSE),"")</f>
        <v>4062 LBJ FREEWAY</v>
      </c>
      <c r="L2205" t="str">
        <f>IFERROR(VLOOKUP(VALUE(J2205),'Site Info'!$A:$G,4,FALSE),"")</f>
        <v>DALLAS</v>
      </c>
      <c r="M2205" t="str">
        <f>IFERROR(VLOOKUP(VALUE(J2205),'Site Info'!$A:$G,5,FALSE),"")</f>
        <v>TX</v>
      </c>
      <c r="N2205" t="str">
        <f>IFERROR(VLOOKUP(VALUE(J2205),'Site Info'!$A:$G,6,FALSE),"")</f>
        <v>75244-5701</v>
      </c>
      <c r="O2205">
        <f>IFERROR(VLOOKUP(VALUE(J2205),'Site Info'!$A:$G,7,FALSE),"")</f>
        <v>9729349274</v>
      </c>
    </row>
    <row r="2206" spans="1:15" x14ac:dyDescent="0.45">
      <c r="A2206" t="s">
        <v>5234</v>
      </c>
      <c r="B2206" t="s">
        <v>5235</v>
      </c>
      <c r="C2206" t="s">
        <v>5236</v>
      </c>
      <c r="D2206" t="s">
        <v>4641</v>
      </c>
      <c r="E2206" s="1">
        <v>46153.33284722222</v>
      </c>
      <c r="F2206">
        <v>1547</v>
      </c>
      <c r="G2206" t="s">
        <v>5237</v>
      </c>
      <c r="H2206" t="s">
        <v>15</v>
      </c>
      <c r="I2206" t="s">
        <v>4643</v>
      </c>
      <c r="J2206" t="str">
        <f>RIGHT(D2206,4)</f>
        <v>6376</v>
      </c>
      <c r="K2206" t="str">
        <f>IFERROR(VLOOKUP(VALUE(J2206),'Site Info'!$A:$G,3,FALSE),"")</f>
        <v>4062 LBJ FREEWAY</v>
      </c>
      <c r="L2206" t="str">
        <f>IFERROR(VLOOKUP(VALUE(J2206),'Site Info'!$A:$G,4,FALSE),"")</f>
        <v>DALLAS</v>
      </c>
      <c r="M2206" t="str">
        <f>IFERROR(VLOOKUP(VALUE(J2206),'Site Info'!$A:$G,5,FALSE),"")</f>
        <v>TX</v>
      </c>
      <c r="N2206" t="str">
        <f>IFERROR(VLOOKUP(VALUE(J2206),'Site Info'!$A:$G,6,FALSE),"")</f>
        <v>75244-5701</v>
      </c>
      <c r="O2206">
        <f>IFERROR(VLOOKUP(VALUE(J2206),'Site Info'!$A:$G,7,FALSE),"")</f>
        <v>9729349274</v>
      </c>
    </row>
    <row r="2207" spans="1:15" x14ac:dyDescent="0.45">
      <c r="A2207" t="s">
        <v>6537</v>
      </c>
      <c r="B2207" t="s">
        <v>6538</v>
      </c>
      <c r="C2207" t="s">
        <v>6539</v>
      </c>
      <c r="D2207" t="s">
        <v>4641</v>
      </c>
      <c r="E2207" s="1">
        <v>46153.365844907406</v>
      </c>
      <c r="F2207">
        <v>1547</v>
      </c>
      <c r="G2207" t="s">
        <v>6540</v>
      </c>
      <c r="H2207" t="s">
        <v>15</v>
      </c>
      <c r="I2207" t="s">
        <v>4643</v>
      </c>
      <c r="J2207" t="str">
        <f>RIGHT(D2207,4)</f>
        <v>6376</v>
      </c>
      <c r="K2207" t="str">
        <f>IFERROR(VLOOKUP(VALUE(J2207),'Site Info'!$A:$G,3,FALSE),"")</f>
        <v>4062 LBJ FREEWAY</v>
      </c>
      <c r="L2207" t="str">
        <f>IFERROR(VLOOKUP(VALUE(J2207),'Site Info'!$A:$G,4,FALSE),"")</f>
        <v>DALLAS</v>
      </c>
      <c r="M2207" t="str">
        <f>IFERROR(VLOOKUP(VALUE(J2207),'Site Info'!$A:$G,5,FALSE),"")</f>
        <v>TX</v>
      </c>
      <c r="N2207" t="str">
        <f>IFERROR(VLOOKUP(VALUE(J2207),'Site Info'!$A:$G,6,FALSE),"")</f>
        <v>75244-5701</v>
      </c>
      <c r="O2207">
        <f>IFERROR(VLOOKUP(VALUE(J2207),'Site Info'!$A:$G,7,FALSE),"")</f>
        <v>9729349274</v>
      </c>
    </row>
    <row r="2208" spans="1:15" x14ac:dyDescent="0.45">
      <c r="A2208" t="s">
        <v>16806</v>
      </c>
      <c r="B2208" t="s">
        <v>16807</v>
      </c>
      <c r="C2208" t="s">
        <v>16808</v>
      </c>
      <c r="D2208" t="s">
        <v>4641</v>
      </c>
      <c r="E2208" s="1">
        <v>46153.299826388888</v>
      </c>
      <c r="F2208">
        <v>1481</v>
      </c>
      <c r="G2208" t="s">
        <v>16809</v>
      </c>
      <c r="H2208" t="s">
        <v>15</v>
      </c>
      <c r="I2208" t="s">
        <v>4643</v>
      </c>
      <c r="J2208" t="str">
        <f>RIGHT(D2208,4)</f>
        <v>6376</v>
      </c>
      <c r="K2208" t="str">
        <f>IFERROR(VLOOKUP(VALUE(J2208),'Site Info'!$A:$G,3,FALSE),"")</f>
        <v>4062 LBJ FREEWAY</v>
      </c>
      <c r="L2208" t="str">
        <f>IFERROR(VLOOKUP(VALUE(J2208),'Site Info'!$A:$G,4,FALSE),"")</f>
        <v>DALLAS</v>
      </c>
      <c r="M2208" t="str">
        <f>IFERROR(VLOOKUP(VALUE(J2208),'Site Info'!$A:$G,5,FALSE),"")</f>
        <v>TX</v>
      </c>
      <c r="N2208" t="str">
        <f>IFERROR(VLOOKUP(VALUE(J2208),'Site Info'!$A:$G,6,FALSE),"")</f>
        <v>75244-5701</v>
      </c>
      <c r="O2208">
        <f>IFERROR(VLOOKUP(VALUE(J2208),'Site Info'!$A:$G,7,FALSE),"")</f>
        <v>9729349274</v>
      </c>
    </row>
    <row r="2209" spans="1:15" x14ac:dyDescent="0.45">
      <c r="A2209" t="s">
        <v>10789</v>
      </c>
      <c r="B2209" t="s">
        <v>10790</v>
      </c>
      <c r="C2209" t="s">
        <v>10791</v>
      </c>
      <c r="D2209" t="s">
        <v>9540</v>
      </c>
      <c r="E2209" s="1">
        <v>46086.562905092593</v>
      </c>
      <c r="F2209">
        <v>1547</v>
      </c>
      <c r="G2209" t="s">
        <v>10792</v>
      </c>
      <c r="H2209" t="s">
        <v>15</v>
      </c>
      <c r="I2209" t="s">
        <v>9542</v>
      </c>
      <c r="J2209" t="str">
        <f>RIGHT(D2209,4)</f>
        <v>6202</v>
      </c>
      <c r="K2209" t="str">
        <f>IFERROR(VLOOKUP(VALUE(J2209),'Site Info'!$A:$G,3,FALSE),"")</f>
        <v>407 N BRENTWOOD</v>
      </c>
      <c r="L2209" t="str">
        <f>IFERROR(VLOOKUP(VALUE(J2209),'Site Info'!$A:$G,4,FALSE),"")</f>
        <v>LUFKIN</v>
      </c>
      <c r="M2209" t="str">
        <f>IFERROR(VLOOKUP(VALUE(J2209),'Site Info'!$A:$G,5,FALSE),"")</f>
        <v>TX</v>
      </c>
      <c r="N2209" t="str">
        <f>IFERROR(VLOOKUP(VALUE(J2209),'Site Info'!$A:$G,6,FALSE),"")</f>
        <v>75904-7126</v>
      </c>
      <c r="O2209">
        <f>IFERROR(VLOOKUP(VALUE(J2209),'Site Info'!$A:$G,7,FALSE),"")</f>
        <v>9366391700</v>
      </c>
    </row>
    <row r="2210" spans="1:15" x14ac:dyDescent="0.45">
      <c r="A2210" t="s">
        <v>11176</v>
      </c>
      <c r="B2210" t="s">
        <v>11177</v>
      </c>
      <c r="C2210" t="s">
        <v>11178</v>
      </c>
      <c r="D2210" t="s">
        <v>9540</v>
      </c>
      <c r="E2210" s="1">
        <v>46149.912835648145</v>
      </c>
      <c r="F2210">
        <v>1547</v>
      </c>
      <c r="G2210" t="s">
        <v>11179</v>
      </c>
      <c r="H2210" t="s">
        <v>15</v>
      </c>
      <c r="I2210" t="s">
        <v>9542</v>
      </c>
      <c r="J2210" t="str">
        <f>RIGHT(D2210,4)</f>
        <v>6202</v>
      </c>
      <c r="K2210" t="str">
        <f>IFERROR(VLOOKUP(VALUE(J2210),'Site Info'!$A:$G,3,FALSE),"")</f>
        <v>407 N BRENTWOOD</v>
      </c>
      <c r="L2210" t="str">
        <f>IFERROR(VLOOKUP(VALUE(J2210),'Site Info'!$A:$G,4,FALSE),"")</f>
        <v>LUFKIN</v>
      </c>
      <c r="M2210" t="str">
        <f>IFERROR(VLOOKUP(VALUE(J2210),'Site Info'!$A:$G,5,FALSE),"")</f>
        <v>TX</v>
      </c>
      <c r="N2210" t="str">
        <f>IFERROR(VLOOKUP(VALUE(J2210),'Site Info'!$A:$G,6,FALSE),"")</f>
        <v>75904-7126</v>
      </c>
      <c r="O2210">
        <f>IFERROR(VLOOKUP(VALUE(J2210),'Site Info'!$A:$G,7,FALSE),"")</f>
        <v>9366391700</v>
      </c>
    </row>
    <row r="2211" spans="1:15" x14ac:dyDescent="0.45">
      <c r="A2211" t="s">
        <v>10907</v>
      </c>
      <c r="B2211" t="s">
        <v>10908</v>
      </c>
      <c r="C2211" t="s">
        <v>10909</v>
      </c>
      <c r="D2211" t="s">
        <v>9540</v>
      </c>
      <c r="E2211" s="1">
        <v>46151.336238425924</v>
      </c>
      <c r="F2211">
        <v>1547</v>
      </c>
      <c r="G2211" t="s">
        <v>10910</v>
      </c>
      <c r="H2211" t="s">
        <v>15</v>
      </c>
      <c r="I2211" t="s">
        <v>9542</v>
      </c>
      <c r="J2211" t="str">
        <f>RIGHT(D2211,4)</f>
        <v>6202</v>
      </c>
      <c r="K2211" t="str">
        <f>IFERROR(VLOOKUP(VALUE(J2211),'Site Info'!$A:$G,3,FALSE),"")</f>
        <v>407 N BRENTWOOD</v>
      </c>
      <c r="L2211" t="str">
        <f>IFERROR(VLOOKUP(VALUE(J2211),'Site Info'!$A:$G,4,FALSE),"")</f>
        <v>LUFKIN</v>
      </c>
      <c r="M2211" t="str">
        <f>IFERROR(VLOOKUP(VALUE(J2211),'Site Info'!$A:$G,5,FALSE),"")</f>
        <v>TX</v>
      </c>
      <c r="N2211" t="str">
        <f>IFERROR(VLOOKUP(VALUE(J2211),'Site Info'!$A:$G,6,FALSE),"")</f>
        <v>75904-7126</v>
      </c>
      <c r="O2211">
        <f>IFERROR(VLOOKUP(VALUE(J2211),'Site Info'!$A:$G,7,FALSE),"")</f>
        <v>9366391700</v>
      </c>
    </row>
    <row r="2212" spans="1:15" x14ac:dyDescent="0.45">
      <c r="A2212" t="s">
        <v>9649</v>
      </c>
      <c r="B2212" t="s">
        <v>9650</v>
      </c>
      <c r="C2212" t="s">
        <v>9651</v>
      </c>
      <c r="D2212" t="s">
        <v>9540</v>
      </c>
      <c r="E2212" s="1">
        <v>46152.638726851852</v>
      </c>
      <c r="F2212">
        <v>1547</v>
      </c>
      <c r="G2212" t="s">
        <v>9652</v>
      </c>
      <c r="H2212" t="s">
        <v>15</v>
      </c>
      <c r="I2212" t="s">
        <v>9542</v>
      </c>
      <c r="J2212" t="str">
        <f>RIGHT(D2212,4)</f>
        <v>6202</v>
      </c>
      <c r="K2212" t="str">
        <f>IFERROR(VLOOKUP(VALUE(J2212),'Site Info'!$A:$G,3,FALSE),"")</f>
        <v>407 N BRENTWOOD</v>
      </c>
      <c r="L2212" t="str">
        <f>IFERROR(VLOOKUP(VALUE(J2212),'Site Info'!$A:$G,4,FALSE),"")</f>
        <v>LUFKIN</v>
      </c>
      <c r="M2212" t="str">
        <f>IFERROR(VLOOKUP(VALUE(J2212),'Site Info'!$A:$G,5,FALSE),"")</f>
        <v>TX</v>
      </c>
      <c r="N2212" t="str">
        <f>IFERROR(VLOOKUP(VALUE(J2212),'Site Info'!$A:$G,6,FALSE),"")</f>
        <v>75904-7126</v>
      </c>
      <c r="O2212">
        <f>IFERROR(VLOOKUP(VALUE(J2212),'Site Info'!$A:$G,7,FALSE),"")</f>
        <v>9366391700</v>
      </c>
    </row>
    <row r="2213" spans="1:15" x14ac:dyDescent="0.45">
      <c r="A2213" t="s">
        <v>10941</v>
      </c>
      <c r="B2213" t="s">
        <v>10942</v>
      </c>
      <c r="C2213" t="s">
        <v>10943</v>
      </c>
      <c r="D2213" t="s">
        <v>9540</v>
      </c>
      <c r="E2213" s="1">
        <v>46152.666168981479</v>
      </c>
      <c r="F2213">
        <v>1547</v>
      </c>
      <c r="G2213" t="s">
        <v>10944</v>
      </c>
      <c r="H2213" t="s">
        <v>15</v>
      </c>
      <c r="I2213" t="s">
        <v>9542</v>
      </c>
      <c r="J2213" t="str">
        <f>RIGHT(D2213,4)</f>
        <v>6202</v>
      </c>
      <c r="K2213" t="str">
        <f>IFERROR(VLOOKUP(VALUE(J2213),'Site Info'!$A:$G,3,FALSE),"")</f>
        <v>407 N BRENTWOOD</v>
      </c>
      <c r="L2213" t="str">
        <f>IFERROR(VLOOKUP(VALUE(J2213),'Site Info'!$A:$G,4,FALSE),"")</f>
        <v>LUFKIN</v>
      </c>
      <c r="M2213" t="str">
        <f>IFERROR(VLOOKUP(VALUE(J2213),'Site Info'!$A:$G,5,FALSE),"")</f>
        <v>TX</v>
      </c>
      <c r="N2213" t="str">
        <f>IFERROR(VLOOKUP(VALUE(J2213),'Site Info'!$A:$G,6,FALSE),"")</f>
        <v>75904-7126</v>
      </c>
      <c r="O2213">
        <f>IFERROR(VLOOKUP(VALUE(J2213),'Site Info'!$A:$G,7,FALSE),"")</f>
        <v>9366391700</v>
      </c>
    </row>
    <row r="2214" spans="1:15" x14ac:dyDescent="0.45">
      <c r="A2214" t="s">
        <v>10861</v>
      </c>
      <c r="B2214" t="s">
        <v>10862</v>
      </c>
      <c r="C2214" t="s">
        <v>10863</v>
      </c>
      <c r="D2214" t="s">
        <v>9540</v>
      </c>
      <c r="E2214" s="1">
        <v>46152.776631944442</v>
      </c>
      <c r="F2214">
        <v>1547</v>
      </c>
      <c r="G2214" t="s">
        <v>10864</v>
      </c>
      <c r="H2214" t="s">
        <v>15</v>
      </c>
      <c r="I2214" t="s">
        <v>9542</v>
      </c>
      <c r="J2214" t="str">
        <f>RIGHT(D2214,4)</f>
        <v>6202</v>
      </c>
      <c r="K2214" t="str">
        <f>IFERROR(VLOOKUP(VALUE(J2214),'Site Info'!$A:$G,3,FALSE),"")</f>
        <v>407 N BRENTWOOD</v>
      </c>
      <c r="L2214" t="str">
        <f>IFERROR(VLOOKUP(VALUE(J2214),'Site Info'!$A:$G,4,FALSE),"")</f>
        <v>LUFKIN</v>
      </c>
      <c r="M2214" t="str">
        <f>IFERROR(VLOOKUP(VALUE(J2214),'Site Info'!$A:$G,5,FALSE),"")</f>
        <v>TX</v>
      </c>
      <c r="N2214" t="str">
        <f>IFERROR(VLOOKUP(VALUE(J2214),'Site Info'!$A:$G,6,FALSE),"")</f>
        <v>75904-7126</v>
      </c>
      <c r="O2214">
        <f>IFERROR(VLOOKUP(VALUE(J2214),'Site Info'!$A:$G,7,FALSE),"")</f>
        <v>9366391700</v>
      </c>
    </row>
    <row r="2215" spans="1:15" x14ac:dyDescent="0.45">
      <c r="A2215" t="s">
        <v>9537</v>
      </c>
      <c r="B2215" t="s">
        <v>9538</v>
      </c>
      <c r="C2215" t="s">
        <v>9539</v>
      </c>
      <c r="D2215" t="s">
        <v>9540</v>
      </c>
      <c r="E2215" s="1">
        <v>46152.858506944445</v>
      </c>
      <c r="F2215">
        <v>1547</v>
      </c>
      <c r="G2215" t="s">
        <v>9541</v>
      </c>
      <c r="H2215" t="s">
        <v>15</v>
      </c>
      <c r="I2215" t="s">
        <v>9542</v>
      </c>
      <c r="J2215" t="str">
        <f>RIGHT(D2215,4)</f>
        <v>6202</v>
      </c>
      <c r="K2215" t="str">
        <f>IFERROR(VLOOKUP(VALUE(J2215),'Site Info'!$A:$G,3,FALSE),"")</f>
        <v>407 N BRENTWOOD</v>
      </c>
      <c r="L2215" t="str">
        <f>IFERROR(VLOOKUP(VALUE(J2215),'Site Info'!$A:$G,4,FALSE),"")</f>
        <v>LUFKIN</v>
      </c>
      <c r="M2215" t="str">
        <f>IFERROR(VLOOKUP(VALUE(J2215),'Site Info'!$A:$G,5,FALSE),"")</f>
        <v>TX</v>
      </c>
      <c r="N2215" t="str">
        <f>IFERROR(VLOOKUP(VALUE(J2215),'Site Info'!$A:$G,6,FALSE),"")</f>
        <v>75904-7126</v>
      </c>
      <c r="O2215">
        <f>IFERROR(VLOOKUP(VALUE(J2215),'Site Info'!$A:$G,7,FALSE),"")</f>
        <v>9366391700</v>
      </c>
    </row>
    <row r="2216" spans="1:15" x14ac:dyDescent="0.45">
      <c r="A2216" t="s">
        <v>11077</v>
      </c>
      <c r="B2216" t="s">
        <v>11078</v>
      </c>
      <c r="C2216" t="s">
        <v>11079</v>
      </c>
      <c r="D2216" t="s">
        <v>3620</v>
      </c>
      <c r="E2216" s="1">
        <v>46151.789293981485</v>
      </c>
      <c r="F2216">
        <v>1547</v>
      </c>
      <c r="G2216" t="s">
        <v>11080</v>
      </c>
      <c r="H2216" t="s">
        <v>15</v>
      </c>
      <c r="I2216" t="s">
        <v>3622</v>
      </c>
      <c r="J2216" t="str">
        <f>RIGHT(D2216,4)</f>
        <v>8293</v>
      </c>
      <c r="K2216" t="str">
        <f>IFERROR(VLOOKUP(VALUE(J2216),'Site Info'!$A:$G,3,FALSE),"")</f>
        <v>4100 S BOLGER RD</v>
      </c>
      <c r="L2216" t="str">
        <f>IFERROR(VLOOKUP(VALUE(J2216),'Site Info'!$A:$G,4,FALSE),"")</f>
        <v>INDEPENDENCE</v>
      </c>
      <c r="M2216" t="str">
        <f>IFERROR(VLOOKUP(VALUE(J2216),'Site Info'!$A:$G,5,FALSE),"")</f>
        <v>MO</v>
      </c>
      <c r="N2216" t="str">
        <f>IFERROR(VLOOKUP(VALUE(J2216),'Site Info'!$A:$G,6,FALSE),"")</f>
        <v>64055-6772</v>
      </c>
      <c r="O2216">
        <f>IFERROR(VLOOKUP(VALUE(J2216),'Site Info'!$A:$G,7,FALSE),"")</f>
        <v>8163501687</v>
      </c>
    </row>
    <row r="2217" spans="1:15" x14ac:dyDescent="0.45">
      <c r="A2217" t="s">
        <v>11108</v>
      </c>
      <c r="B2217" t="s">
        <v>11109</v>
      </c>
      <c r="C2217" t="s">
        <v>11110</v>
      </c>
      <c r="D2217" t="s">
        <v>3620</v>
      </c>
      <c r="E2217" s="1">
        <v>46152.664340277777</v>
      </c>
      <c r="F2217">
        <v>1547</v>
      </c>
      <c r="G2217" t="s">
        <v>11111</v>
      </c>
      <c r="H2217" t="s">
        <v>15</v>
      </c>
      <c r="I2217" t="s">
        <v>3622</v>
      </c>
      <c r="J2217" t="str">
        <f>RIGHT(D2217,4)</f>
        <v>8293</v>
      </c>
      <c r="K2217" t="str">
        <f>IFERROR(VLOOKUP(VALUE(J2217),'Site Info'!$A:$G,3,FALSE),"")</f>
        <v>4100 S BOLGER RD</v>
      </c>
      <c r="L2217" t="str">
        <f>IFERROR(VLOOKUP(VALUE(J2217),'Site Info'!$A:$G,4,FALSE),"")</f>
        <v>INDEPENDENCE</v>
      </c>
      <c r="M2217" t="str">
        <f>IFERROR(VLOOKUP(VALUE(J2217),'Site Info'!$A:$G,5,FALSE),"")</f>
        <v>MO</v>
      </c>
      <c r="N2217" t="str">
        <f>IFERROR(VLOOKUP(VALUE(J2217),'Site Info'!$A:$G,6,FALSE),"")</f>
        <v>64055-6772</v>
      </c>
      <c r="O2217">
        <f>IFERROR(VLOOKUP(VALUE(J2217),'Site Info'!$A:$G,7,FALSE),"")</f>
        <v>8163501687</v>
      </c>
    </row>
    <row r="2218" spans="1:15" x14ac:dyDescent="0.45">
      <c r="A2218" t="s">
        <v>11086</v>
      </c>
      <c r="B2218" t="s">
        <v>11087</v>
      </c>
      <c r="C2218" t="s">
        <v>11088</v>
      </c>
      <c r="D2218" t="s">
        <v>3620</v>
      </c>
      <c r="E2218" s="1">
        <v>46153.315462962964</v>
      </c>
      <c r="F2218">
        <v>1547</v>
      </c>
      <c r="G2218" t="s">
        <v>11089</v>
      </c>
      <c r="H2218" t="s">
        <v>15</v>
      </c>
      <c r="I2218" t="s">
        <v>3622</v>
      </c>
      <c r="J2218" t="str">
        <f>RIGHT(D2218,4)</f>
        <v>8293</v>
      </c>
      <c r="K2218" t="str">
        <f>IFERROR(VLOOKUP(VALUE(J2218),'Site Info'!$A:$G,3,FALSE),"")</f>
        <v>4100 S BOLGER RD</v>
      </c>
      <c r="L2218" t="str">
        <f>IFERROR(VLOOKUP(VALUE(J2218),'Site Info'!$A:$G,4,FALSE),"")</f>
        <v>INDEPENDENCE</v>
      </c>
      <c r="M2218" t="str">
        <f>IFERROR(VLOOKUP(VALUE(J2218),'Site Info'!$A:$G,5,FALSE),"")</f>
        <v>MO</v>
      </c>
      <c r="N2218" t="str">
        <f>IFERROR(VLOOKUP(VALUE(J2218),'Site Info'!$A:$G,6,FALSE),"")</f>
        <v>64055-6772</v>
      </c>
      <c r="O2218">
        <f>IFERROR(VLOOKUP(VALUE(J2218),'Site Info'!$A:$G,7,FALSE),"")</f>
        <v>8163501687</v>
      </c>
    </row>
    <row r="2219" spans="1:15" x14ac:dyDescent="0.45">
      <c r="A2219" t="s">
        <v>13788</v>
      </c>
      <c r="B2219" t="s">
        <v>13789</v>
      </c>
      <c r="C2219" t="s">
        <v>13790</v>
      </c>
      <c r="D2219" t="s">
        <v>3620</v>
      </c>
      <c r="E2219" s="1">
        <v>46153.317708333336</v>
      </c>
      <c r="F2219">
        <v>1547</v>
      </c>
      <c r="G2219" t="s">
        <v>13791</v>
      </c>
      <c r="H2219" t="s">
        <v>15</v>
      </c>
      <c r="I2219" t="s">
        <v>3622</v>
      </c>
      <c r="J2219" t="str">
        <f>RIGHT(D2219,4)</f>
        <v>8293</v>
      </c>
      <c r="K2219" t="str">
        <f>IFERROR(VLOOKUP(VALUE(J2219),'Site Info'!$A:$G,3,FALSE),"")</f>
        <v>4100 S BOLGER RD</v>
      </c>
      <c r="L2219" t="str">
        <f>IFERROR(VLOOKUP(VALUE(J2219),'Site Info'!$A:$G,4,FALSE),"")</f>
        <v>INDEPENDENCE</v>
      </c>
      <c r="M2219" t="str">
        <f>IFERROR(VLOOKUP(VALUE(J2219),'Site Info'!$A:$G,5,FALSE),"")</f>
        <v>MO</v>
      </c>
      <c r="N2219" t="str">
        <f>IFERROR(VLOOKUP(VALUE(J2219),'Site Info'!$A:$G,6,FALSE),"")</f>
        <v>64055-6772</v>
      </c>
      <c r="O2219">
        <f>IFERROR(VLOOKUP(VALUE(J2219),'Site Info'!$A:$G,7,FALSE),"")</f>
        <v>8163501687</v>
      </c>
    </row>
    <row r="2220" spans="1:15" x14ac:dyDescent="0.45">
      <c r="A2220" t="s">
        <v>3729</v>
      </c>
      <c r="B2220" t="s">
        <v>3730</v>
      </c>
      <c r="C2220" t="s">
        <v>3731</v>
      </c>
      <c r="D2220" t="s">
        <v>3620</v>
      </c>
      <c r="E2220" s="1">
        <v>46098.405462962961</v>
      </c>
      <c r="F2220">
        <v>1481</v>
      </c>
      <c r="G2220" t="s">
        <v>3732</v>
      </c>
      <c r="H2220" t="s">
        <v>15</v>
      </c>
      <c r="I2220" t="s">
        <v>3622</v>
      </c>
      <c r="J2220" t="str">
        <f>RIGHT(D2220,4)</f>
        <v>8293</v>
      </c>
      <c r="K2220" t="str">
        <f>IFERROR(VLOOKUP(VALUE(J2220),'Site Info'!$A:$G,3,FALSE),"")</f>
        <v>4100 S BOLGER RD</v>
      </c>
      <c r="L2220" t="str">
        <f>IFERROR(VLOOKUP(VALUE(J2220),'Site Info'!$A:$G,4,FALSE),"")</f>
        <v>INDEPENDENCE</v>
      </c>
      <c r="M2220" t="str">
        <f>IFERROR(VLOOKUP(VALUE(J2220),'Site Info'!$A:$G,5,FALSE),"")</f>
        <v>MO</v>
      </c>
      <c r="N2220" t="str">
        <f>IFERROR(VLOOKUP(VALUE(J2220),'Site Info'!$A:$G,6,FALSE),"")</f>
        <v>64055-6772</v>
      </c>
      <c r="O2220">
        <f>IFERROR(VLOOKUP(VALUE(J2220),'Site Info'!$A:$G,7,FALSE),"")</f>
        <v>8163501687</v>
      </c>
    </row>
    <row r="2221" spans="1:15" x14ac:dyDescent="0.45">
      <c r="A2221" t="s">
        <v>3617</v>
      </c>
      <c r="B2221" t="s">
        <v>3618</v>
      </c>
      <c r="C2221" t="s">
        <v>3619</v>
      </c>
      <c r="D2221" t="s">
        <v>3620</v>
      </c>
      <c r="E2221" s="1">
        <v>46153.255833333336</v>
      </c>
      <c r="F2221">
        <v>1481</v>
      </c>
      <c r="G2221" t="s">
        <v>3621</v>
      </c>
      <c r="H2221" t="s">
        <v>15</v>
      </c>
      <c r="I2221" t="s">
        <v>3622</v>
      </c>
      <c r="J2221" t="str">
        <f>RIGHT(D2221,4)</f>
        <v>8293</v>
      </c>
      <c r="K2221" t="str">
        <f>IFERROR(VLOOKUP(VALUE(J2221),'Site Info'!$A:$G,3,FALSE),"")</f>
        <v>4100 S BOLGER RD</v>
      </c>
      <c r="L2221" t="str">
        <f>IFERROR(VLOOKUP(VALUE(J2221),'Site Info'!$A:$G,4,FALSE),"")</f>
        <v>INDEPENDENCE</v>
      </c>
      <c r="M2221" t="str">
        <f>IFERROR(VLOOKUP(VALUE(J2221),'Site Info'!$A:$G,5,FALSE),"")</f>
        <v>MO</v>
      </c>
      <c r="N2221" t="str">
        <f>IFERROR(VLOOKUP(VALUE(J2221),'Site Info'!$A:$G,6,FALSE),"")</f>
        <v>64055-6772</v>
      </c>
      <c r="O2221">
        <f>IFERROR(VLOOKUP(VALUE(J2221),'Site Info'!$A:$G,7,FALSE),"")</f>
        <v>8163501687</v>
      </c>
    </row>
    <row r="2222" spans="1:15" x14ac:dyDescent="0.45">
      <c r="A2222" t="s">
        <v>13759</v>
      </c>
      <c r="B2222" t="s">
        <v>13760</v>
      </c>
      <c r="C2222" t="s">
        <v>13761</v>
      </c>
      <c r="D2222" t="s">
        <v>1325</v>
      </c>
      <c r="E2222" s="1">
        <v>46148.485254629632</v>
      </c>
      <c r="F2222">
        <v>1547</v>
      </c>
      <c r="G2222" t="s">
        <v>13762</v>
      </c>
      <c r="H2222" t="s">
        <v>15</v>
      </c>
      <c r="I2222" t="s">
        <v>1327</v>
      </c>
      <c r="J2222" t="str">
        <f>RIGHT(D2222,4)</f>
        <v>8128</v>
      </c>
      <c r="K2222" t="str">
        <f>IFERROR(VLOOKUP(VALUE(J2222),'Site Info'!$A:$G,3,FALSE),"")</f>
        <v>4100 W WILLOW KNOLLS DR</v>
      </c>
      <c r="L2222" t="str">
        <f>IFERROR(VLOOKUP(VALUE(J2222),'Site Info'!$A:$G,4,FALSE),"")</f>
        <v>PEORIA</v>
      </c>
      <c r="M2222" t="str">
        <f>IFERROR(VLOOKUP(VALUE(J2222),'Site Info'!$A:$G,5,FALSE),"")</f>
        <v>IL</v>
      </c>
      <c r="N2222" t="str">
        <f>IFERROR(VLOOKUP(VALUE(J2222),'Site Info'!$A:$G,6,FALSE),"")</f>
        <v>61615-4405</v>
      </c>
      <c r="O2222">
        <f>IFERROR(VLOOKUP(VALUE(J2222),'Site Info'!$A:$G,7,FALSE),"")</f>
        <v>3096914545</v>
      </c>
    </row>
    <row r="2223" spans="1:15" x14ac:dyDescent="0.45">
      <c r="A2223" t="s">
        <v>13989</v>
      </c>
      <c r="B2223" t="s">
        <v>13990</v>
      </c>
      <c r="C2223" t="s">
        <v>13991</v>
      </c>
      <c r="D2223" t="s">
        <v>1325</v>
      </c>
      <c r="E2223" s="1">
        <v>46149.558333333334</v>
      </c>
      <c r="F2223">
        <v>1547</v>
      </c>
      <c r="G2223" t="s">
        <v>13992</v>
      </c>
      <c r="H2223" t="s">
        <v>15</v>
      </c>
      <c r="I2223" t="s">
        <v>1327</v>
      </c>
      <c r="J2223" t="str">
        <f>RIGHT(D2223,4)</f>
        <v>8128</v>
      </c>
      <c r="K2223" t="str">
        <f>IFERROR(VLOOKUP(VALUE(J2223),'Site Info'!$A:$G,3,FALSE),"")</f>
        <v>4100 W WILLOW KNOLLS DR</v>
      </c>
      <c r="L2223" t="str">
        <f>IFERROR(VLOOKUP(VALUE(J2223),'Site Info'!$A:$G,4,FALSE),"")</f>
        <v>PEORIA</v>
      </c>
      <c r="M2223" t="str">
        <f>IFERROR(VLOOKUP(VALUE(J2223),'Site Info'!$A:$G,5,FALSE),"")</f>
        <v>IL</v>
      </c>
      <c r="N2223" t="str">
        <f>IFERROR(VLOOKUP(VALUE(J2223),'Site Info'!$A:$G,6,FALSE),"")</f>
        <v>61615-4405</v>
      </c>
      <c r="O2223">
        <f>IFERROR(VLOOKUP(VALUE(J2223),'Site Info'!$A:$G,7,FALSE),"")</f>
        <v>3096914545</v>
      </c>
    </row>
    <row r="2224" spans="1:15" x14ac:dyDescent="0.45">
      <c r="A2224" t="s">
        <v>13780</v>
      </c>
      <c r="B2224" t="s">
        <v>13781</v>
      </c>
      <c r="C2224" t="s">
        <v>13782</v>
      </c>
      <c r="D2224" t="s">
        <v>1325</v>
      </c>
      <c r="E2224" s="1">
        <v>46150.54414351852</v>
      </c>
      <c r="F2224">
        <v>1547</v>
      </c>
      <c r="G2224" t="s">
        <v>13783</v>
      </c>
      <c r="H2224" t="s">
        <v>15</v>
      </c>
      <c r="I2224" t="s">
        <v>1327</v>
      </c>
      <c r="J2224" t="str">
        <f>RIGHT(D2224,4)</f>
        <v>8128</v>
      </c>
      <c r="K2224" t="str">
        <f>IFERROR(VLOOKUP(VALUE(J2224),'Site Info'!$A:$G,3,FALSE),"")</f>
        <v>4100 W WILLOW KNOLLS DR</v>
      </c>
      <c r="L2224" t="str">
        <f>IFERROR(VLOOKUP(VALUE(J2224),'Site Info'!$A:$G,4,FALSE),"")</f>
        <v>PEORIA</v>
      </c>
      <c r="M2224" t="str">
        <f>IFERROR(VLOOKUP(VALUE(J2224),'Site Info'!$A:$G,5,FALSE),"")</f>
        <v>IL</v>
      </c>
      <c r="N2224" t="str">
        <f>IFERROR(VLOOKUP(VALUE(J2224),'Site Info'!$A:$G,6,FALSE),"")</f>
        <v>61615-4405</v>
      </c>
      <c r="O2224">
        <f>IFERROR(VLOOKUP(VALUE(J2224),'Site Info'!$A:$G,7,FALSE),"")</f>
        <v>3096914545</v>
      </c>
    </row>
    <row r="2225" spans="1:15" x14ac:dyDescent="0.45">
      <c r="A2225" t="s">
        <v>13800</v>
      </c>
      <c r="B2225" t="s">
        <v>13801</v>
      </c>
      <c r="C2225" t="s">
        <v>13802</v>
      </c>
      <c r="D2225" t="s">
        <v>1325</v>
      </c>
      <c r="E2225" s="1">
        <v>46151.421539351853</v>
      </c>
      <c r="F2225">
        <v>1547</v>
      </c>
      <c r="G2225" t="s">
        <v>13803</v>
      </c>
      <c r="H2225" t="s">
        <v>15</v>
      </c>
      <c r="I2225" t="s">
        <v>1327</v>
      </c>
      <c r="J2225" t="str">
        <f>RIGHT(D2225,4)</f>
        <v>8128</v>
      </c>
      <c r="K2225" t="str">
        <f>IFERROR(VLOOKUP(VALUE(J2225),'Site Info'!$A:$G,3,FALSE),"")</f>
        <v>4100 W WILLOW KNOLLS DR</v>
      </c>
      <c r="L2225" t="str">
        <f>IFERROR(VLOOKUP(VALUE(J2225),'Site Info'!$A:$G,4,FALSE),"")</f>
        <v>PEORIA</v>
      </c>
      <c r="M2225" t="str">
        <f>IFERROR(VLOOKUP(VALUE(J2225),'Site Info'!$A:$G,5,FALSE),"")</f>
        <v>IL</v>
      </c>
      <c r="N2225" t="str">
        <f>IFERROR(VLOOKUP(VALUE(J2225),'Site Info'!$A:$G,6,FALSE),"")</f>
        <v>61615-4405</v>
      </c>
      <c r="O2225">
        <f>IFERROR(VLOOKUP(VALUE(J2225),'Site Info'!$A:$G,7,FALSE),"")</f>
        <v>3096914545</v>
      </c>
    </row>
    <row r="2226" spans="1:15" x14ac:dyDescent="0.45">
      <c r="A2226" t="s">
        <v>14021</v>
      </c>
      <c r="B2226" t="s">
        <v>14022</v>
      </c>
      <c r="C2226" t="s">
        <v>14023</v>
      </c>
      <c r="D2226" t="s">
        <v>1325</v>
      </c>
      <c r="E2226" s="1">
        <v>46151.794953703706</v>
      </c>
      <c r="F2226">
        <v>1547</v>
      </c>
      <c r="G2226" t="s">
        <v>14024</v>
      </c>
      <c r="H2226" t="s">
        <v>15</v>
      </c>
      <c r="I2226" t="s">
        <v>1327</v>
      </c>
      <c r="J2226" t="str">
        <f>RIGHT(D2226,4)</f>
        <v>8128</v>
      </c>
      <c r="K2226" t="str">
        <f>IFERROR(VLOOKUP(VALUE(J2226),'Site Info'!$A:$G,3,FALSE),"")</f>
        <v>4100 W WILLOW KNOLLS DR</v>
      </c>
      <c r="L2226" t="str">
        <f>IFERROR(VLOOKUP(VALUE(J2226),'Site Info'!$A:$G,4,FALSE),"")</f>
        <v>PEORIA</v>
      </c>
      <c r="M2226" t="str">
        <f>IFERROR(VLOOKUP(VALUE(J2226),'Site Info'!$A:$G,5,FALSE),"")</f>
        <v>IL</v>
      </c>
      <c r="N2226" t="str">
        <f>IFERROR(VLOOKUP(VALUE(J2226),'Site Info'!$A:$G,6,FALSE),"")</f>
        <v>61615-4405</v>
      </c>
      <c r="O2226">
        <f>IFERROR(VLOOKUP(VALUE(J2226),'Site Info'!$A:$G,7,FALSE),"")</f>
        <v>3096914545</v>
      </c>
    </row>
    <row r="2227" spans="1:15" x14ac:dyDescent="0.45">
      <c r="A2227" t="s">
        <v>13723</v>
      </c>
      <c r="B2227" t="s">
        <v>13724</v>
      </c>
      <c r="C2227" t="s">
        <v>13725</v>
      </c>
      <c r="D2227" t="s">
        <v>1325</v>
      </c>
      <c r="E2227" s="1">
        <v>46152.393634259257</v>
      </c>
      <c r="F2227">
        <v>1547</v>
      </c>
      <c r="G2227" t="s">
        <v>13726</v>
      </c>
      <c r="H2227" t="s">
        <v>15</v>
      </c>
      <c r="I2227" t="s">
        <v>1327</v>
      </c>
      <c r="J2227" t="str">
        <f>RIGHT(D2227,4)</f>
        <v>8128</v>
      </c>
      <c r="K2227" t="str">
        <f>IFERROR(VLOOKUP(VALUE(J2227),'Site Info'!$A:$G,3,FALSE),"")</f>
        <v>4100 W WILLOW KNOLLS DR</v>
      </c>
      <c r="L2227" t="str">
        <f>IFERROR(VLOOKUP(VALUE(J2227),'Site Info'!$A:$G,4,FALSE),"")</f>
        <v>PEORIA</v>
      </c>
      <c r="M2227" t="str">
        <f>IFERROR(VLOOKUP(VALUE(J2227),'Site Info'!$A:$G,5,FALSE),"")</f>
        <v>IL</v>
      </c>
      <c r="N2227" t="str">
        <f>IFERROR(VLOOKUP(VALUE(J2227),'Site Info'!$A:$G,6,FALSE),"")</f>
        <v>61615-4405</v>
      </c>
      <c r="O2227">
        <f>IFERROR(VLOOKUP(VALUE(J2227),'Site Info'!$A:$G,7,FALSE),"")</f>
        <v>3096914545</v>
      </c>
    </row>
    <row r="2228" spans="1:15" x14ac:dyDescent="0.45">
      <c r="A2228" t="s">
        <v>13772</v>
      </c>
      <c r="B2228" t="s">
        <v>13773</v>
      </c>
      <c r="C2228" t="s">
        <v>13774</v>
      </c>
      <c r="D2228" t="s">
        <v>1325</v>
      </c>
      <c r="E2228" s="1">
        <v>46152.450196759259</v>
      </c>
      <c r="F2228">
        <v>1547</v>
      </c>
      <c r="G2228" t="s">
        <v>13775</v>
      </c>
      <c r="H2228" t="s">
        <v>15</v>
      </c>
      <c r="I2228" t="s">
        <v>1327</v>
      </c>
      <c r="J2228" t="str">
        <f>RIGHT(D2228,4)</f>
        <v>8128</v>
      </c>
      <c r="K2228" t="str">
        <f>IFERROR(VLOOKUP(VALUE(J2228),'Site Info'!$A:$G,3,FALSE),"")</f>
        <v>4100 W WILLOW KNOLLS DR</v>
      </c>
      <c r="L2228" t="str">
        <f>IFERROR(VLOOKUP(VALUE(J2228),'Site Info'!$A:$G,4,FALSE),"")</f>
        <v>PEORIA</v>
      </c>
      <c r="M2228" t="str">
        <f>IFERROR(VLOOKUP(VALUE(J2228),'Site Info'!$A:$G,5,FALSE),"")</f>
        <v>IL</v>
      </c>
      <c r="N2228" t="str">
        <f>IFERROR(VLOOKUP(VALUE(J2228),'Site Info'!$A:$G,6,FALSE),"")</f>
        <v>61615-4405</v>
      </c>
      <c r="O2228">
        <f>IFERROR(VLOOKUP(VALUE(J2228),'Site Info'!$A:$G,7,FALSE),"")</f>
        <v>3096914545</v>
      </c>
    </row>
    <row r="2229" spans="1:15" x14ac:dyDescent="0.45">
      <c r="A2229" t="s">
        <v>1322</v>
      </c>
      <c r="B2229" t="s">
        <v>1323</v>
      </c>
      <c r="C2229" t="s">
        <v>1324</v>
      </c>
      <c r="D2229" t="s">
        <v>1325</v>
      </c>
      <c r="E2229" s="1">
        <v>46153.227673611109</v>
      </c>
      <c r="F2229">
        <v>1481</v>
      </c>
      <c r="G2229" t="s">
        <v>1326</v>
      </c>
      <c r="H2229" t="s">
        <v>15</v>
      </c>
      <c r="I2229" t="s">
        <v>1327</v>
      </c>
      <c r="J2229" t="str">
        <f>RIGHT(D2229,4)</f>
        <v>8128</v>
      </c>
      <c r="K2229" t="str">
        <f>IFERROR(VLOOKUP(VALUE(J2229),'Site Info'!$A:$G,3,FALSE),"")</f>
        <v>4100 W WILLOW KNOLLS DR</v>
      </c>
      <c r="L2229" t="str">
        <f>IFERROR(VLOOKUP(VALUE(J2229),'Site Info'!$A:$G,4,FALSE),"")</f>
        <v>PEORIA</v>
      </c>
      <c r="M2229" t="str">
        <f>IFERROR(VLOOKUP(VALUE(J2229),'Site Info'!$A:$G,5,FALSE),"")</f>
        <v>IL</v>
      </c>
      <c r="N2229" t="str">
        <f>IFERROR(VLOOKUP(VALUE(J2229),'Site Info'!$A:$G,6,FALSE),"")</f>
        <v>61615-4405</v>
      </c>
      <c r="O2229">
        <f>IFERROR(VLOOKUP(VALUE(J2229),'Site Info'!$A:$G,7,FALSE),"")</f>
        <v>3096914545</v>
      </c>
    </row>
    <row r="2230" spans="1:15" x14ac:dyDescent="0.45">
      <c r="A2230" t="s">
        <v>5086</v>
      </c>
      <c r="B2230" t="s">
        <v>5087</v>
      </c>
      <c r="C2230" t="s">
        <v>5088</v>
      </c>
      <c r="D2230" t="s">
        <v>599</v>
      </c>
      <c r="E2230" s="1">
        <v>46153.317870370367</v>
      </c>
      <c r="F2230">
        <v>1547</v>
      </c>
      <c r="G2230" t="s">
        <v>5089</v>
      </c>
      <c r="H2230" t="s">
        <v>15</v>
      </c>
      <c r="I2230" t="s">
        <v>601</v>
      </c>
      <c r="J2230" t="str">
        <f>RIGHT(D2230,4)</f>
        <v>7189</v>
      </c>
      <c r="K2230" t="str">
        <f>IFERROR(VLOOKUP(VALUE(J2230),'Site Info'!$A:$G,3,FALSE),"")</f>
        <v>4101 NORTH MAY AVENUE</v>
      </c>
      <c r="L2230" t="str">
        <f>IFERROR(VLOOKUP(VALUE(J2230),'Site Info'!$A:$G,4,FALSE),"")</f>
        <v>OKLAHOMA CITY</v>
      </c>
      <c r="M2230" t="str">
        <f>IFERROR(VLOOKUP(VALUE(J2230),'Site Info'!$A:$G,5,FALSE),"")</f>
        <v>OK</v>
      </c>
      <c r="N2230" t="str">
        <f>IFERROR(VLOOKUP(VALUE(J2230),'Site Info'!$A:$G,6,FALSE),"")</f>
        <v>73112-0000</v>
      </c>
      <c r="O2230">
        <f>IFERROR(VLOOKUP(VALUE(J2230),'Site Info'!$A:$G,7,FALSE),"")</f>
        <v>4052000381</v>
      </c>
    </row>
    <row r="2231" spans="1:15" x14ac:dyDescent="0.45">
      <c r="A2231" t="s">
        <v>3231</v>
      </c>
      <c r="B2231" t="s">
        <v>3232</v>
      </c>
      <c r="C2231" t="s">
        <v>3233</v>
      </c>
      <c r="D2231" t="s">
        <v>599</v>
      </c>
      <c r="E2231" s="1">
        <v>46150.425115740742</v>
      </c>
      <c r="F2231">
        <v>1481</v>
      </c>
      <c r="G2231" t="s">
        <v>3234</v>
      </c>
      <c r="H2231" t="s">
        <v>15</v>
      </c>
      <c r="I2231" t="s">
        <v>601</v>
      </c>
      <c r="J2231" t="str">
        <f>RIGHT(D2231,4)</f>
        <v>7189</v>
      </c>
      <c r="K2231" t="str">
        <f>IFERROR(VLOOKUP(VALUE(J2231),'Site Info'!$A:$G,3,FALSE),"")</f>
        <v>4101 NORTH MAY AVENUE</v>
      </c>
      <c r="L2231" t="str">
        <f>IFERROR(VLOOKUP(VALUE(J2231),'Site Info'!$A:$G,4,FALSE),"")</f>
        <v>OKLAHOMA CITY</v>
      </c>
      <c r="M2231" t="str">
        <f>IFERROR(VLOOKUP(VALUE(J2231),'Site Info'!$A:$G,5,FALSE),"")</f>
        <v>OK</v>
      </c>
      <c r="N2231" t="str">
        <f>IFERROR(VLOOKUP(VALUE(J2231),'Site Info'!$A:$G,6,FALSE),"")</f>
        <v>73112-0000</v>
      </c>
      <c r="O2231">
        <f>IFERROR(VLOOKUP(VALUE(J2231),'Site Info'!$A:$G,7,FALSE),"")</f>
        <v>4052000381</v>
      </c>
    </row>
    <row r="2232" spans="1:15" x14ac:dyDescent="0.45">
      <c r="A2232" t="s">
        <v>596</v>
      </c>
      <c r="B2232" t="s">
        <v>597</v>
      </c>
      <c r="C2232" t="s">
        <v>598</v>
      </c>
      <c r="D2232" t="s">
        <v>599</v>
      </c>
      <c r="E2232" s="1">
        <v>46153.217210648145</v>
      </c>
      <c r="F2232">
        <v>1481</v>
      </c>
      <c r="G2232" t="s">
        <v>600</v>
      </c>
      <c r="H2232" t="s">
        <v>15</v>
      </c>
      <c r="I2232" t="s">
        <v>601</v>
      </c>
      <c r="J2232" t="str">
        <f>RIGHT(D2232,4)</f>
        <v>7189</v>
      </c>
      <c r="K2232" t="str">
        <f>IFERROR(VLOOKUP(VALUE(J2232),'Site Info'!$A:$G,3,FALSE),"")</f>
        <v>4101 NORTH MAY AVENUE</v>
      </c>
      <c r="L2232" t="str">
        <f>IFERROR(VLOOKUP(VALUE(J2232),'Site Info'!$A:$G,4,FALSE),"")</f>
        <v>OKLAHOMA CITY</v>
      </c>
      <c r="M2232" t="str">
        <f>IFERROR(VLOOKUP(VALUE(J2232),'Site Info'!$A:$G,5,FALSE),"")</f>
        <v>OK</v>
      </c>
      <c r="N2232" t="str">
        <f>IFERROR(VLOOKUP(VALUE(J2232),'Site Info'!$A:$G,6,FALSE),"")</f>
        <v>73112-0000</v>
      </c>
      <c r="O2232">
        <f>IFERROR(VLOOKUP(VALUE(J2232),'Site Info'!$A:$G,7,FALSE),"")</f>
        <v>4052000381</v>
      </c>
    </row>
    <row r="2233" spans="1:15" x14ac:dyDescent="0.45">
      <c r="A2233" t="s">
        <v>1260</v>
      </c>
      <c r="B2233" t="s">
        <v>1261</v>
      </c>
      <c r="C2233" t="s">
        <v>1262</v>
      </c>
      <c r="D2233" t="s">
        <v>599</v>
      </c>
      <c r="E2233" s="1">
        <v>46153.254780092589</v>
      </c>
      <c r="F2233">
        <v>1481</v>
      </c>
      <c r="G2233" t="s">
        <v>1263</v>
      </c>
      <c r="H2233" t="s">
        <v>15</v>
      </c>
      <c r="I2233" t="s">
        <v>601</v>
      </c>
      <c r="J2233" t="str">
        <f>RIGHT(D2233,4)</f>
        <v>7189</v>
      </c>
      <c r="K2233" t="str">
        <f>IFERROR(VLOOKUP(VALUE(J2233),'Site Info'!$A:$G,3,FALSE),"")</f>
        <v>4101 NORTH MAY AVENUE</v>
      </c>
      <c r="L2233" t="str">
        <f>IFERROR(VLOOKUP(VALUE(J2233),'Site Info'!$A:$G,4,FALSE),"")</f>
        <v>OKLAHOMA CITY</v>
      </c>
      <c r="M2233" t="str">
        <f>IFERROR(VLOOKUP(VALUE(J2233),'Site Info'!$A:$G,5,FALSE),"")</f>
        <v>OK</v>
      </c>
      <c r="N2233" t="str">
        <f>IFERROR(VLOOKUP(VALUE(J2233),'Site Info'!$A:$G,6,FALSE),"")</f>
        <v>73112-0000</v>
      </c>
      <c r="O2233">
        <f>IFERROR(VLOOKUP(VALUE(J2233),'Site Info'!$A:$G,7,FALSE),"")</f>
        <v>4052000381</v>
      </c>
    </row>
    <row r="2234" spans="1:15" x14ac:dyDescent="0.45">
      <c r="A2234" t="s">
        <v>1104</v>
      </c>
      <c r="B2234" t="s">
        <v>1105</v>
      </c>
      <c r="C2234" t="s">
        <v>1106</v>
      </c>
      <c r="D2234" t="s">
        <v>599</v>
      </c>
      <c r="E2234" s="1">
        <v>46153.260347222225</v>
      </c>
      <c r="F2234">
        <v>1481</v>
      </c>
      <c r="G2234" t="s">
        <v>1107</v>
      </c>
      <c r="H2234" t="s">
        <v>15</v>
      </c>
      <c r="I2234" t="s">
        <v>601</v>
      </c>
      <c r="J2234" t="str">
        <f>RIGHT(D2234,4)</f>
        <v>7189</v>
      </c>
      <c r="K2234" t="str">
        <f>IFERROR(VLOOKUP(VALUE(J2234),'Site Info'!$A:$G,3,FALSE),"")</f>
        <v>4101 NORTH MAY AVENUE</v>
      </c>
      <c r="L2234" t="str">
        <f>IFERROR(VLOOKUP(VALUE(J2234),'Site Info'!$A:$G,4,FALSE),"")</f>
        <v>OKLAHOMA CITY</v>
      </c>
      <c r="M2234" t="str">
        <f>IFERROR(VLOOKUP(VALUE(J2234),'Site Info'!$A:$G,5,FALSE),"")</f>
        <v>OK</v>
      </c>
      <c r="N2234" t="str">
        <f>IFERROR(VLOOKUP(VALUE(J2234),'Site Info'!$A:$G,6,FALSE),"")</f>
        <v>73112-0000</v>
      </c>
      <c r="O2234">
        <f>IFERROR(VLOOKUP(VALUE(J2234),'Site Info'!$A:$G,7,FALSE),"")</f>
        <v>4052000381</v>
      </c>
    </row>
    <row r="2235" spans="1:15" x14ac:dyDescent="0.45">
      <c r="A2235" t="s">
        <v>14632</v>
      </c>
      <c r="B2235" t="s">
        <v>17070</v>
      </c>
      <c r="C2235" t="s">
        <v>17071</v>
      </c>
      <c r="D2235" t="s">
        <v>599</v>
      </c>
      <c r="E2235" s="1">
        <v>46151.43550925926</v>
      </c>
      <c r="F2235">
        <v>1863</v>
      </c>
      <c r="G2235" t="s">
        <v>17072</v>
      </c>
      <c r="H2235" t="s">
        <v>136</v>
      </c>
      <c r="I2235" t="s">
        <v>601</v>
      </c>
      <c r="J2235" t="str">
        <f>RIGHT(D2235,4)</f>
        <v>7189</v>
      </c>
      <c r="K2235" t="str">
        <f>IFERROR(VLOOKUP(VALUE(J2235),'Site Info'!$A:$G,3,FALSE),"")</f>
        <v>4101 NORTH MAY AVENUE</v>
      </c>
      <c r="L2235" t="str">
        <f>IFERROR(VLOOKUP(VALUE(J2235),'Site Info'!$A:$G,4,FALSE),"")</f>
        <v>OKLAHOMA CITY</v>
      </c>
      <c r="M2235" t="str">
        <f>IFERROR(VLOOKUP(VALUE(J2235),'Site Info'!$A:$G,5,FALSE),"")</f>
        <v>OK</v>
      </c>
      <c r="N2235" t="str">
        <f>IFERROR(VLOOKUP(VALUE(J2235),'Site Info'!$A:$G,6,FALSE),"")</f>
        <v>73112-0000</v>
      </c>
      <c r="O2235">
        <f>IFERROR(VLOOKUP(VALUE(J2235),'Site Info'!$A:$G,7,FALSE),"")</f>
        <v>4052000381</v>
      </c>
    </row>
    <row r="2236" spans="1:15" x14ac:dyDescent="0.45">
      <c r="A2236" t="s">
        <v>12544</v>
      </c>
      <c r="B2236" t="s">
        <v>12545</v>
      </c>
      <c r="C2236" t="s">
        <v>12546</v>
      </c>
      <c r="D2236" t="s">
        <v>868</v>
      </c>
      <c r="E2236" s="1">
        <v>46152.13894675926</v>
      </c>
      <c r="F2236">
        <v>1547</v>
      </c>
      <c r="G2236" t="s">
        <v>12547</v>
      </c>
      <c r="H2236" t="s">
        <v>15</v>
      </c>
      <c r="I2236" t="s">
        <v>869</v>
      </c>
      <c r="J2236" t="str">
        <f>RIGHT(D2236,4)</f>
        <v>6549</v>
      </c>
      <c r="K2236" t="str">
        <f>IFERROR(VLOOKUP(VALUE(J2236),'Site Info'!$A:$G,3,FALSE),"")</f>
        <v>412 EAGLERIDGE BLVD</v>
      </c>
      <c r="L2236" t="str">
        <f>IFERROR(VLOOKUP(VALUE(J2236),'Site Info'!$A:$G,4,FALSE),"")</f>
        <v>PUEBLO</v>
      </c>
      <c r="M2236" t="str">
        <f>IFERROR(VLOOKUP(VALUE(J2236),'Site Info'!$A:$G,5,FALSE),"")</f>
        <v>CO</v>
      </c>
      <c r="N2236" t="str">
        <f>IFERROR(VLOOKUP(VALUE(J2236),'Site Info'!$A:$G,6,FALSE),"")</f>
        <v>81008-2100</v>
      </c>
      <c r="O2236">
        <f>IFERROR(VLOOKUP(VALUE(J2236),'Site Info'!$A:$G,7,FALSE),"")</f>
        <v>7195843028</v>
      </c>
    </row>
    <row r="2237" spans="1:15" x14ac:dyDescent="0.45">
      <c r="A2237" t="s">
        <v>11668</v>
      </c>
      <c r="B2237" t="s">
        <v>11669</v>
      </c>
      <c r="C2237" t="s">
        <v>11670</v>
      </c>
      <c r="D2237" t="s">
        <v>868</v>
      </c>
      <c r="E2237" s="1">
        <v>46153.250196759262</v>
      </c>
      <c r="F2237">
        <v>1547</v>
      </c>
      <c r="G2237" t="s">
        <v>11671</v>
      </c>
      <c r="H2237" t="s">
        <v>15</v>
      </c>
      <c r="I2237" t="s">
        <v>869</v>
      </c>
      <c r="J2237" t="str">
        <f>RIGHT(D2237,4)</f>
        <v>6549</v>
      </c>
      <c r="K2237" t="str">
        <f>IFERROR(VLOOKUP(VALUE(J2237),'Site Info'!$A:$G,3,FALSE),"")</f>
        <v>412 EAGLERIDGE BLVD</v>
      </c>
      <c r="L2237" t="str">
        <f>IFERROR(VLOOKUP(VALUE(J2237),'Site Info'!$A:$G,4,FALSE),"")</f>
        <v>PUEBLO</v>
      </c>
      <c r="M2237" t="str">
        <f>IFERROR(VLOOKUP(VALUE(J2237),'Site Info'!$A:$G,5,FALSE),"")</f>
        <v>CO</v>
      </c>
      <c r="N2237" t="str">
        <f>IFERROR(VLOOKUP(VALUE(J2237),'Site Info'!$A:$G,6,FALSE),"")</f>
        <v>81008-2100</v>
      </c>
      <c r="O2237">
        <f>IFERROR(VLOOKUP(VALUE(J2237),'Site Info'!$A:$G,7,FALSE),"")</f>
        <v>7195843028</v>
      </c>
    </row>
    <row r="2238" spans="1:15" x14ac:dyDescent="0.45">
      <c r="A2238" t="s">
        <v>11652</v>
      </c>
      <c r="B2238" t="s">
        <v>11653</v>
      </c>
      <c r="C2238" t="s">
        <v>11654</v>
      </c>
      <c r="D2238" t="s">
        <v>868</v>
      </c>
      <c r="E2238" s="1">
        <v>46153.348703703705</v>
      </c>
      <c r="F2238">
        <v>1547</v>
      </c>
      <c r="G2238" t="s">
        <v>11655</v>
      </c>
      <c r="H2238" t="s">
        <v>15</v>
      </c>
      <c r="I2238" t="s">
        <v>869</v>
      </c>
      <c r="J2238" t="str">
        <f>RIGHT(D2238,4)</f>
        <v>6549</v>
      </c>
      <c r="K2238" t="str">
        <f>IFERROR(VLOOKUP(VALUE(J2238),'Site Info'!$A:$G,3,FALSE),"")</f>
        <v>412 EAGLERIDGE BLVD</v>
      </c>
      <c r="L2238" t="str">
        <f>IFERROR(VLOOKUP(VALUE(J2238),'Site Info'!$A:$G,4,FALSE),"")</f>
        <v>PUEBLO</v>
      </c>
      <c r="M2238" t="str">
        <f>IFERROR(VLOOKUP(VALUE(J2238),'Site Info'!$A:$G,5,FALSE),"")</f>
        <v>CO</v>
      </c>
      <c r="N2238" t="str">
        <f>IFERROR(VLOOKUP(VALUE(J2238),'Site Info'!$A:$G,6,FALSE),"")</f>
        <v>81008-2100</v>
      </c>
      <c r="O2238">
        <f>IFERROR(VLOOKUP(VALUE(J2238),'Site Info'!$A:$G,7,FALSE),"")</f>
        <v>7195843028</v>
      </c>
    </row>
    <row r="2239" spans="1:15" x14ac:dyDescent="0.45">
      <c r="A2239" t="s">
        <v>5170</v>
      </c>
      <c r="B2239" t="s">
        <v>5171</v>
      </c>
      <c r="C2239" t="s">
        <v>5172</v>
      </c>
      <c r="D2239" t="s">
        <v>868</v>
      </c>
      <c r="E2239" s="1">
        <v>46153.350462962961</v>
      </c>
      <c r="F2239">
        <v>1547</v>
      </c>
      <c r="G2239" t="s">
        <v>5173</v>
      </c>
      <c r="H2239" t="s">
        <v>15</v>
      </c>
      <c r="I2239" t="s">
        <v>869</v>
      </c>
      <c r="J2239" t="str">
        <f>RIGHT(D2239,4)</f>
        <v>6549</v>
      </c>
      <c r="K2239" t="str">
        <f>IFERROR(VLOOKUP(VALUE(J2239),'Site Info'!$A:$G,3,FALSE),"")</f>
        <v>412 EAGLERIDGE BLVD</v>
      </c>
      <c r="L2239" t="str">
        <f>IFERROR(VLOOKUP(VALUE(J2239),'Site Info'!$A:$G,4,FALSE),"")</f>
        <v>PUEBLO</v>
      </c>
      <c r="M2239" t="str">
        <f>IFERROR(VLOOKUP(VALUE(J2239),'Site Info'!$A:$G,5,FALSE),"")</f>
        <v>CO</v>
      </c>
      <c r="N2239" t="str">
        <f>IFERROR(VLOOKUP(VALUE(J2239),'Site Info'!$A:$G,6,FALSE),"")</f>
        <v>81008-2100</v>
      </c>
      <c r="O2239">
        <f>IFERROR(VLOOKUP(VALUE(J2239),'Site Info'!$A:$G,7,FALSE),"")</f>
        <v>7195843028</v>
      </c>
    </row>
    <row r="2240" spans="1:15" x14ac:dyDescent="0.45">
      <c r="A2240" t="s">
        <v>11440</v>
      </c>
      <c r="B2240" t="s">
        <v>11441</v>
      </c>
      <c r="C2240" t="s">
        <v>11442</v>
      </c>
      <c r="D2240" t="s">
        <v>868</v>
      </c>
      <c r="E2240" s="1">
        <v>46153.366435185184</v>
      </c>
      <c r="F2240">
        <v>1547</v>
      </c>
      <c r="G2240" t="s">
        <v>11443</v>
      </c>
      <c r="H2240" t="s">
        <v>15</v>
      </c>
      <c r="I2240" t="s">
        <v>869</v>
      </c>
      <c r="J2240" t="str">
        <f>RIGHT(D2240,4)</f>
        <v>6549</v>
      </c>
      <c r="K2240" t="str">
        <f>IFERROR(VLOOKUP(VALUE(J2240),'Site Info'!$A:$G,3,FALSE),"")</f>
        <v>412 EAGLERIDGE BLVD</v>
      </c>
      <c r="L2240" t="str">
        <f>IFERROR(VLOOKUP(VALUE(J2240),'Site Info'!$A:$G,4,FALSE),"")</f>
        <v>PUEBLO</v>
      </c>
      <c r="M2240" t="str">
        <f>IFERROR(VLOOKUP(VALUE(J2240),'Site Info'!$A:$G,5,FALSE),"")</f>
        <v>CO</v>
      </c>
      <c r="N2240" t="str">
        <f>IFERROR(VLOOKUP(VALUE(J2240),'Site Info'!$A:$G,6,FALSE),"")</f>
        <v>81008-2100</v>
      </c>
      <c r="O2240">
        <f>IFERROR(VLOOKUP(VALUE(J2240),'Site Info'!$A:$G,7,FALSE),"")</f>
        <v>7195843028</v>
      </c>
    </row>
    <row r="2241" spans="1:15" x14ac:dyDescent="0.45">
      <c r="A2241" t="s">
        <v>8429</v>
      </c>
      <c r="B2241" t="s">
        <v>8430</v>
      </c>
      <c r="C2241" t="s">
        <v>8431</v>
      </c>
      <c r="D2241" t="s">
        <v>1383</v>
      </c>
      <c r="E2241" s="1">
        <v>46125.658101851855</v>
      </c>
      <c r="F2241">
        <v>1547</v>
      </c>
      <c r="G2241" t="s">
        <v>8432</v>
      </c>
      <c r="H2241" t="s">
        <v>15</v>
      </c>
      <c r="I2241" t="s">
        <v>1385</v>
      </c>
      <c r="J2241" t="str">
        <f>RIGHT(D2241,4)</f>
        <v>8129</v>
      </c>
      <c r="K2241" t="str">
        <f>IFERROR(VLOOKUP(VALUE(J2241),'Site Info'!$A:$G,3,FALSE),"")</f>
        <v>412 S COLLEGE RD</v>
      </c>
      <c r="L2241" t="str">
        <f>IFERROR(VLOOKUP(VALUE(J2241),'Site Info'!$A:$G,4,FALSE),"")</f>
        <v>WILMINGTON</v>
      </c>
      <c r="M2241" t="str">
        <f>IFERROR(VLOOKUP(VALUE(J2241),'Site Info'!$A:$G,5,FALSE),"")</f>
        <v>NC</v>
      </c>
      <c r="N2241" t="str">
        <f>IFERROR(VLOOKUP(VALUE(J2241),'Site Info'!$A:$G,6,FALSE),"")</f>
        <v>28403-1715</v>
      </c>
      <c r="O2241">
        <f>IFERROR(VLOOKUP(VALUE(J2241),'Site Info'!$A:$G,7,FALSE),"")</f>
        <v>9103922995</v>
      </c>
    </row>
    <row r="2242" spans="1:15" x14ac:dyDescent="0.45">
      <c r="A2242" t="s">
        <v>10266</v>
      </c>
      <c r="B2242" t="s">
        <v>10267</v>
      </c>
      <c r="C2242" t="s">
        <v>10268</v>
      </c>
      <c r="D2242" t="s">
        <v>1383</v>
      </c>
      <c r="E2242" s="1">
        <v>46151.67019675926</v>
      </c>
      <c r="F2242">
        <v>1547</v>
      </c>
      <c r="G2242" t="s">
        <v>10269</v>
      </c>
      <c r="H2242" t="s">
        <v>15</v>
      </c>
      <c r="I2242" t="s">
        <v>1385</v>
      </c>
      <c r="J2242" t="str">
        <f>RIGHT(D2242,4)</f>
        <v>8129</v>
      </c>
      <c r="K2242" t="str">
        <f>IFERROR(VLOOKUP(VALUE(J2242),'Site Info'!$A:$G,3,FALSE),"")</f>
        <v>412 S COLLEGE RD</v>
      </c>
      <c r="L2242" t="str">
        <f>IFERROR(VLOOKUP(VALUE(J2242),'Site Info'!$A:$G,4,FALSE),"")</f>
        <v>WILMINGTON</v>
      </c>
      <c r="M2242" t="str">
        <f>IFERROR(VLOOKUP(VALUE(J2242),'Site Info'!$A:$G,5,FALSE),"")</f>
        <v>NC</v>
      </c>
      <c r="N2242" t="str">
        <f>IFERROR(VLOOKUP(VALUE(J2242),'Site Info'!$A:$G,6,FALSE),"")</f>
        <v>28403-1715</v>
      </c>
      <c r="O2242">
        <f>IFERROR(VLOOKUP(VALUE(J2242),'Site Info'!$A:$G,7,FALSE),"")</f>
        <v>9103922995</v>
      </c>
    </row>
    <row r="2243" spans="1:15" x14ac:dyDescent="0.45">
      <c r="A2243" t="s">
        <v>10468</v>
      </c>
      <c r="B2243" t="s">
        <v>10469</v>
      </c>
      <c r="C2243" t="s">
        <v>10470</v>
      </c>
      <c r="D2243" t="s">
        <v>1383</v>
      </c>
      <c r="E2243" s="1">
        <v>46153.133553240739</v>
      </c>
      <c r="F2243">
        <v>1547</v>
      </c>
      <c r="G2243" t="s">
        <v>10471</v>
      </c>
      <c r="H2243" t="s">
        <v>15</v>
      </c>
      <c r="I2243" t="s">
        <v>1385</v>
      </c>
      <c r="J2243" t="str">
        <f>RIGHT(D2243,4)</f>
        <v>8129</v>
      </c>
      <c r="K2243" t="str">
        <f>IFERROR(VLOOKUP(VALUE(J2243),'Site Info'!$A:$G,3,FALSE),"")</f>
        <v>412 S COLLEGE RD</v>
      </c>
      <c r="L2243" t="str">
        <f>IFERROR(VLOOKUP(VALUE(J2243),'Site Info'!$A:$G,4,FALSE),"")</f>
        <v>WILMINGTON</v>
      </c>
      <c r="M2243" t="str">
        <f>IFERROR(VLOOKUP(VALUE(J2243),'Site Info'!$A:$G,5,FALSE),"")</f>
        <v>NC</v>
      </c>
      <c r="N2243" t="str">
        <f>IFERROR(VLOOKUP(VALUE(J2243),'Site Info'!$A:$G,6,FALSE),"")</f>
        <v>28403-1715</v>
      </c>
      <c r="O2243">
        <f>IFERROR(VLOOKUP(VALUE(J2243),'Site Info'!$A:$G,7,FALSE),"")</f>
        <v>9103922995</v>
      </c>
    </row>
    <row r="2244" spans="1:15" x14ac:dyDescent="0.45">
      <c r="A2244" t="s">
        <v>12294</v>
      </c>
      <c r="B2244" t="s">
        <v>12295</v>
      </c>
      <c r="C2244" t="s">
        <v>12296</v>
      </c>
      <c r="D2244" t="s">
        <v>1383</v>
      </c>
      <c r="E2244" s="1">
        <v>46153.269097222219</v>
      </c>
      <c r="F2244">
        <v>1547</v>
      </c>
      <c r="G2244" t="s">
        <v>12297</v>
      </c>
      <c r="H2244" t="s">
        <v>15</v>
      </c>
      <c r="I2244" t="s">
        <v>1385</v>
      </c>
      <c r="J2244" t="str">
        <f>RIGHT(D2244,4)</f>
        <v>8129</v>
      </c>
      <c r="K2244" t="str">
        <f>IFERROR(VLOOKUP(VALUE(J2244),'Site Info'!$A:$G,3,FALSE),"")</f>
        <v>412 S COLLEGE RD</v>
      </c>
      <c r="L2244" t="str">
        <f>IFERROR(VLOOKUP(VALUE(J2244),'Site Info'!$A:$G,4,FALSE),"")</f>
        <v>WILMINGTON</v>
      </c>
      <c r="M2244" t="str">
        <f>IFERROR(VLOOKUP(VALUE(J2244),'Site Info'!$A:$G,5,FALSE),"")</f>
        <v>NC</v>
      </c>
      <c r="N2244" t="str">
        <f>IFERROR(VLOOKUP(VALUE(J2244),'Site Info'!$A:$G,6,FALSE),"")</f>
        <v>28403-1715</v>
      </c>
      <c r="O2244">
        <f>IFERROR(VLOOKUP(VALUE(J2244),'Site Info'!$A:$G,7,FALSE),"")</f>
        <v>9103922995</v>
      </c>
    </row>
    <row r="2245" spans="1:15" x14ac:dyDescent="0.45">
      <c r="A2245" t="s">
        <v>9497</v>
      </c>
      <c r="B2245" t="s">
        <v>9498</v>
      </c>
      <c r="C2245" t="s">
        <v>9499</v>
      </c>
      <c r="D2245" t="s">
        <v>1383</v>
      </c>
      <c r="E2245" s="1">
        <v>46153.369432870371</v>
      </c>
      <c r="F2245">
        <v>1547</v>
      </c>
      <c r="G2245" t="s">
        <v>9500</v>
      </c>
      <c r="H2245" t="s">
        <v>15</v>
      </c>
      <c r="I2245" t="s">
        <v>1385</v>
      </c>
      <c r="J2245" t="str">
        <f>RIGHT(D2245,4)</f>
        <v>8129</v>
      </c>
      <c r="K2245" t="str">
        <f>IFERROR(VLOOKUP(VALUE(J2245),'Site Info'!$A:$G,3,FALSE),"")</f>
        <v>412 S COLLEGE RD</v>
      </c>
      <c r="L2245" t="str">
        <f>IFERROR(VLOOKUP(VALUE(J2245),'Site Info'!$A:$G,4,FALSE),"")</f>
        <v>WILMINGTON</v>
      </c>
      <c r="M2245" t="str">
        <f>IFERROR(VLOOKUP(VALUE(J2245),'Site Info'!$A:$G,5,FALSE),"")</f>
        <v>NC</v>
      </c>
      <c r="N2245" t="str">
        <f>IFERROR(VLOOKUP(VALUE(J2245),'Site Info'!$A:$G,6,FALSE),"")</f>
        <v>28403-1715</v>
      </c>
      <c r="O2245">
        <f>IFERROR(VLOOKUP(VALUE(J2245),'Site Info'!$A:$G,7,FALSE),"")</f>
        <v>9103922995</v>
      </c>
    </row>
    <row r="2246" spans="1:15" x14ac:dyDescent="0.45">
      <c r="A2246" t="s">
        <v>2154</v>
      </c>
      <c r="B2246" t="s">
        <v>2155</v>
      </c>
      <c r="C2246" t="s">
        <v>2156</v>
      </c>
      <c r="D2246" t="s">
        <v>1383</v>
      </c>
      <c r="E2246" s="1">
        <v>46152.708865740744</v>
      </c>
      <c r="F2246">
        <v>1481</v>
      </c>
      <c r="G2246" t="s">
        <v>2157</v>
      </c>
      <c r="H2246" t="s">
        <v>15</v>
      </c>
      <c r="I2246" t="s">
        <v>1385</v>
      </c>
      <c r="J2246" t="str">
        <f>RIGHT(D2246,4)</f>
        <v>8129</v>
      </c>
      <c r="K2246" t="str">
        <f>IFERROR(VLOOKUP(VALUE(J2246),'Site Info'!$A:$G,3,FALSE),"")</f>
        <v>412 S COLLEGE RD</v>
      </c>
      <c r="L2246" t="str">
        <f>IFERROR(VLOOKUP(VALUE(J2246),'Site Info'!$A:$G,4,FALSE),"")</f>
        <v>WILMINGTON</v>
      </c>
      <c r="M2246" t="str">
        <f>IFERROR(VLOOKUP(VALUE(J2246),'Site Info'!$A:$G,5,FALSE),"")</f>
        <v>NC</v>
      </c>
      <c r="N2246" t="str">
        <f>IFERROR(VLOOKUP(VALUE(J2246),'Site Info'!$A:$G,6,FALSE),"")</f>
        <v>28403-1715</v>
      </c>
      <c r="O2246">
        <f>IFERROR(VLOOKUP(VALUE(J2246),'Site Info'!$A:$G,7,FALSE),"")</f>
        <v>9103922995</v>
      </c>
    </row>
    <row r="2247" spans="1:15" x14ac:dyDescent="0.45">
      <c r="A2247" t="s">
        <v>1380</v>
      </c>
      <c r="B2247" t="s">
        <v>1381</v>
      </c>
      <c r="C2247" t="s">
        <v>1382</v>
      </c>
      <c r="D2247" t="s">
        <v>1383</v>
      </c>
      <c r="E2247" s="1">
        <v>46153.166828703703</v>
      </c>
      <c r="F2247">
        <v>1481</v>
      </c>
      <c r="G2247" t="s">
        <v>1384</v>
      </c>
      <c r="H2247" t="s">
        <v>15</v>
      </c>
      <c r="I2247" t="s">
        <v>1385</v>
      </c>
      <c r="J2247" t="str">
        <f>RIGHT(D2247,4)</f>
        <v>8129</v>
      </c>
      <c r="K2247" t="str">
        <f>IFERROR(VLOOKUP(VALUE(J2247),'Site Info'!$A:$G,3,FALSE),"")</f>
        <v>412 S COLLEGE RD</v>
      </c>
      <c r="L2247" t="str">
        <f>IFERROR(VLOOKUP(VALUE(J2247),'Site Info'!$A:$G,4,FALSE),"")</f>
        <v>WILMINGTON</v>
      </c>
      <c r="M2247" t="str">
        <f>IFERROR(VLOOKUP(VALUE(J2247),'Site Info'!$A:$G,5,FALSE),"")</f>
        <v>NC</v>
      </c>
      <c r="N2247" t="str">
        <f>IFERROR(VLOOKUP(VALUE(J2247),'Site Info'!$A:$G,6,FALSE),"")</f>
        <v>28403-1715</v>
      </c>
      <c r="O2247">
        <f>IFERROR(VLOOKUP(VALUE(J2247),'Site Info'!$A:$G,7,FALSE),"")</f>
        <v>9103922995</v>
      </c>
    </row>
    <row r="2248" spans="1:15" x14ac:dyDescent="0.45">
      <c r="A2248" t="s">
        <v>2196</v>
      </c>
      <c r="B2248" t="s">
        <v>2197</v>
      </c>
      <c r="C2248" t="s">
        <v>2198</v>
      </c>
      <c r="D2248" t="s">
        <v>1383</v>
      </c>
      <c r="E2248" s="1">
        <v>46153.368773148148</v>
      </c>
      <c r="F2248">
        <v>1481</v>
      </c>
      <c r="G2248" t="s">
        <v>2199</v>
      </c>
      <c r="H2248" t="s">
        <v>15</v>
      </c>
      <c r="I2248" t="s">
        <v>1385</v>
      </c>
      <c r="J2248" t="str">
        <f>RIGHT(D2248,4)</f>
        <v>8129</v>
      </c>
      <c r="K2248" t="str">
        <f>IFERROR(VLOOKUP(VALUE(J2248),'Site Info'!$A:$G,3,FALSE),"")</f>
        <v>412 S COLLEGE RD</v>
      </c>
      <c r="L2248" t="str">
        <f>IFERROR(VLOOKUP(VALUE(J2248),'Site Info'!$A:$G,4,FALSE),"")</f>
        <v>WILMINGTON</v>
      </c>
      <c r="M2248" t="str">
        <f>IFERROR(VLOOKUP(VALUE(J2248),'Site Info'!$A:$G,5,FALSE),"")</f>
        <v>NC</v>
      </c>
      <c r="N2248" t="str">
        <f>IFERROR(VLOOKUP(VALUE(J2248),'Site Info'!$A:$G,6,FALSE),"")</f>
        <v>28403-1715</v>
      </c>
      <c r="O2248">
        <f>IFERROR(VLOOKUP(VALUE(J2248),'Site Info'!$A:$G,7,FALSE),"")</f>
        <v>9103922995</v>
      </c>
    </row>
    <row r="2249" spans="1:15" x14ac:dyDescent="0.45">
      <c r="A2249" t="s">
        <v>8473</v>
      </c>
      <c r="B2249" t="s">
        <v>8474</v>
      </c>
      <c r="C2249" t="s">
        <v>8475</v>
      </c>
      <c r="D2249" t="s">
        <v>3614</v>
      </c>
      <c r="E2249" s="1">
        <v>46152.694837962961</v>
      </c>
      <c r="F2249">
        <v>1547</v>
      </c>
      <c r="G2249" t="s">
        <v>8476</v>
      </c>
      <c r="H2249" t="s">
        <v>15</v>
      </c>
      <c r="I2249" t="s">
        <v>3616</v>
      </c>
      <c r="J2249" t="str">
        <f>RIGHT(D2249,4)</f>
        <v>6408</v>
      </c>
      <c r="K2249" t="str">
        <f>IFERROR(VLOOKUP(VALUE(J2249),'Site Info'!$A:$G,3,FALSE),"")</f>
        <v>4201 RODEO RD</v>
      </c>
      <c r="L2249" t="str">
        <f>IFERROR(VLOOKUP(VALUE(J2249),'Site Info'!$A:$G,4,FALSE),"")</f>
        <v>SANTA FE</v>
      </c>
      <c r="M2249" t="str">
        <f>IFERROR(VLOOKUP(VALUE(J2249),'Site Info'!$A:$G,5,FALSE),"")</f>
        <v>NM</v>
      </c>
      <c r="N2249" t="str">
        <f>IFERROR(VLOOKUP(VALUE(J2249),'Site Info'!$A:$G,6,FALSE),"")</f>
        <v>87507-4837</v>
      </c>
      <c r="O2249">
        <f>IFERROR(VLOOKUP(VALUE(J2249),'Site Info'!$A:$G,7,FALSE),"")</f>
        <v>5054718825</v>
      </c>
    </row>
    <row r="2250" spans="1:15" x14ac:dyDescent="0.45">
      <c r="A2250" t="s">
        <v>7969</v>
      </c>
      <c r="B2250" t="s">
        <v>7970</v>
      </c>
      <c r="C2250" t="s">
        <v>7971</v>
      </c>
      <c r="D2250" t="s">
        <v>3614</v>
      </c>
      <c r="E2250" s="1">
        <v>46152.697187500002</v>
      </c>
      <c r="F2250">
        <v>1547</v>
      </c>
      <c r="G2250" t="s">
        <v>7972</v>
      </c>
      <c r="H2250" t="s">
        <v>15</v>
      </c>
      <c r="I2250" t="s">
        <v>3616</v>
      </c>
      <c r="J2250" t="str">
        <f>RIGHT(D2250,4)</f>
        <v>6408</v>
      </c>
      <c r="K2250" t="str">
        <f>IFERROR(VLOOKUP(VALUE(J2250),'Site Info'!$A:$G,3,FALSE),"")</f>
        <v>4201 RODEO RD</v>
      </c>
      <c r="L2250" t="str">
        <f>IFERROR(VLOOKUP(VALUE(J2250),'Site Info'!$A:$G,4,FALSE),"")</f>
        <v>SANTA FE</v>
      </c>
      <c r="M2250" t="str">
        <f>IFERROR(VLOOKUP(VALUE(J2250),'Site Info'!$A:$G,5,FALSE),"")</f>
        <v>NM</v>
      </c>
      <c r="N2250" t="str">
        <f>IFERROR(VLOOKUP(VALUE(J2250),'Site Info'!$A:$G,6,FALSE),"")</f>
        <v>87507-4837</v>
      </c>
      <c r="O2250">
        <f>IFERROR(VLOOKUP(VALUE(J2250),'Site Info'!$A:$G,7,FALSE),"")</f>
        <v>5054718825</v>
      </c>
    </row>
    <row r="2251" spans="1:15" x14ac:dyDescent="0.45">
      <c r="A2251" t="s">
        <v>7005</v>
      </c>
      <c r="B2251" t="s">
        <v>7006</v>
      </c>
      <c r="C2251" t="s">
        <v>7007</v>
      </c>
      <c r="D2251" t="s">
        <v>3614</v>
      </c>
      <c r="E2251" s="1">
        <v>46153.183807870373</v>
      </c>
      <c r="F2251">
        <v>1547</v>
      </c>
      <c r="G2251" t="s">
        <v>7008</v>
      </c>
      <c r="H2251" t="s">
        <v>15</v>
      </c>
      <c r="I2251" t="s">
        <v>3616</v>
      </c>
      <c r="J2251" t="str">
        <f>RIGHT(D2251,4)</f>
        <v>6408</v>
      </c>
      <c r="K2251" t="str">
        <f>IFERROR(VLOOKUP(VALUE(J2251),'Site Info'!$A:$G,3,FALSE),"")</f>
        <v>4201 RODEO RD</v>
      </c>
      <c r="L2251" t="str">
        <f>IFERROR(VLOOKUP(VALUE(J2251),'Site Info'!$A:$G,4,FALSE),"")</f>
        <v>SANTA FE</v>
      </c>
      <c r="M2251" t="str">
        <f>IFERROR(VLOOKUP(VALUE(J2251),'Site Info'!$A:$G,5,FALSE),"")</f>
        <v>NM</v>
      </c>
      <c r="N2251" t="str">
        <f>IFERROR(VLOOKUP(VALUE(J2251),'Site Info'!$A:$G,6,FALSE),"")</f>
        <v>87507-4837</v>
      </c>
      <c r="O2251">
        <f>IFERROR(VLOOKUP(VALUE(J2251),'Site Info'!$A:$G,7,FALSE),"")</f>
        <v>5054718825</v>
      </c>
    </row>
    <row r="2252" spans="1:15" x14ac:dyDescent="0.45">
      <c r="A2252" t="s">
        <v>3611</v>
      </c>
      <c r="B2252" t="s">
        <v>3612</v>
      </c>
      <c r="C2252" t="s">
        <v>3613</v>
      </c>
      <c r="D2252" t="s">
        <v>3614</v>
      </c>
      <c r="E2252" s="1">
        <v>46144.570798611108</v>
      </c>
      <c r="F2252">
        <v>1481</v>
      </c>
      <c r="G2252" t="s">
        <v>3615</v>
      </c>
      <c r="H2252" t="s">
        <v>15</v>
      </c>
      <c r="I2252" t="s">
        <v>3616</v>
      </c>
      <c r="J2252" t="str">
        <f>RIGHT(D2252,4)</f>
        <v>6408</v>
      </c>
      <c r="K2252" t="str">
        <f>IFERROR(VLOOKUP(VALUE(J2252),'Site Info'!$A:$G,3,FALSE),"")</f>
        <v>4201 RODEO RD</v>
      </c>
      <c r="L2252" t="str">
        <f>IFERROR(VLOOKUP(VALUE(J2252),'Site Info'!$A:$G,4,FALSE),"")</f>
        <v>SANTA FE</v>
      </c>
      <c r="M2252" t="str">
        <f>IFERROR(VLOOKUP(VALUE(J2252),'Site Info'!$A:$G,5,FALSE),"")</f>
        <v>NM</v>
      </c>
      <c r="N2252" t="str">
        <f>IFERROR(VLOOKUP(VALUE(J2252),'Site Info'!$A:$G,6,FALSE),"")</f>
        <v>87507-4837</v>
      </c>
      <c r="O2252">
        <f>IFERROR(VLOOKUP(VALUE(J2252),'Site Info'!$A:$G,7,FALSE),"")</f>
        <v>5054718825</v>
      </c>
    </row>
    <row r="2253" spans="1:15" x14ac:dyDescent="0.45">
      <c r="A2253" t="s">
        <v>13107</v>
      </c>
      <c r="B2253" t="s">
        <v>13108</v>
      </c>
      <c r="C2253" t="s">
        <v>13109</v>
      </c>
      <c r="D2253" t="s">
        <v>293</v>
      </c>
      <c r="E2253" s="1">
        <v>46153.184189814812</v>
      </c>
      <c r="F2253">
        <v>1547</v>
      </c>
      <c r="G2253" t="s">
        <v>13110</v>
      </c>
      <c r="H2253" t="s">
        <v>15</v>
      </c>
      <c r="I2253" t="s">
        <v>295</v>
      </c>
      <c r="J2253" t="str">
        <f>RIGHT(D2253,4)</f>
        <v>6432</v>
      </c>
      <c r="K2253" t="str">
        <f>IFERROR(VLOOKUP(VALUE(J2253),'Site Info'!$A:$G,3,FALSE),"")</f>
        <v>4201 S YORK ST</v>
      </c>
      <c r="L2253" t="str">
        <f>IFERROR(VLOOKUP(VALUE(J2253),'Site Info'!$A:$G,4,FALSE),"")</f>
        <v>SIOUX CITY</v>
      </c>
      <c r="M2253" t="str">
        <f>IFERROR(VLOOKUP(VALUE(J2253),'Site Info'!$A:$G,5,FALSE),"")</f>
        <v>IA</v>
      </c>
      <c r="N2253" t="str">
        <f>IFERROR(VLOOKUP(VALUE(J2253),'Site Info'!$A:$G,6,FALSE),"")</f>
        <v>51106-5126</v>
      </c>
      <c r="O2253">
        <f>IFERROR(VLOOKUP(VALUE(J2253),'Site Info'!$A:$G,7,FALSE),"")</f>
        <v>7122333133</v>
      </c>
    </row>
    <row r="2254" spans="1:15" x14ac:dyDescent="0.45">
      <c r="A2254" t="s">
        <v>8025</v>
      </c>
      <c r="B2254" t="s">
        <v>8026</v>
      </c>
      <c r="C2254" t="s">
        <v>8027</v>
      </c>
      <c r="D2254" t="s">
        <v>293</v>
      </c>
      <c r="E2254" s="1">
        <v>46153.294988425929</v>
      </c>
      <c r="F2254">
        <v>1547</v>
      </c>
      <c r="G2254" t="s">
        <v>8028</v>
      </c>
      <c r="H2254" t="s">
        <v>15</v>
      </c>
      <c r="I2254" t="s">
        <v>295</v>
      </c>
      <c r="J2254" t="str">
        <f>RIGHT(D2254,4)</f>
        <v>6432</v>
      </c>
      <c r="K2254" t="str">
        <f>IFERROR(VLOOKUP(VALUE(J2254),'Site Info'!$A:$G,3,FALSE),"")</f>
        <v>4201 S YORK ST</v>
      </c>
      <c r="L2254" t="str">
        <f>IFERROR(VLOOKUP(VALUE(J2254),'Site Info'!$A:$G,4,FALSE),"")</f>
        <v>SIOUX CITY</v>
      </c>
      <c r="M2254" t="str">
        <f>IFERROR(VLOOKUP(VALUE(J2254),'Site Info'!$A:$G,5,FALSE),"")</f>
        <v>IA</v>
      </c>
      <c r="N2254" t="str">
        <f>IFERROR(VLOOKUP(VALUE(J2254),'Site Info'!$A:$G,6,FALSE),"")</f>
        <v>51106-5126</v>
      </c>
      <c r="O2254">
        <f>IFERROR(VLOOKUP(VALUE(J2254),'Site Info'!$A:$G,7,FALSE),"")</f>
        <v>7122333133</v>
      </c>
    </row>
    <row r="2255" spans="1:15" x14ac:dyDescent="0.45">
      <c r="A2255" t="s">
        <v>10242</v>
      </c>
      <c r="B2255" t="s">
        <v>10243</v>
      </c>
      <c r="C2255" t="s">
        <v>10244</v>
      </c>
      <c r="D2255" t="s">
        <v>293</v>
      </c>
      <c r="E2255" s="1">
        <v>46153.362303240741</v>
      </c>
      <c r="F2255">
        <v>1547</v>
      </c>
      <c r="G2255" t="s">
        <v>10245</v>
      </c>
      <c r="H2255" t="s">
        <v>15</v>
      </c>
      <c r="I2255" t="s">
        <v>295</v>
      </c>
      <c r="J2255" t="str">
        <f>RIGHT(D2255,4)</f>
        <v>6432</v>
      </c>
      <c r="K2255" t="str">
        <f>IFERROR(VLOOKUP(VALUE(J2255),'Site Info'!$A:$G,3,FALSE),"")</f>
        <v>4201 S YORK ST</v>
      </c>
      <c r="L2255" t="str">
        <f>IFERROR(VLOOKUP(VALUE(J2255),'Site Info'!$A:$G,4,FALSE),"")</f>
        <v>SIOUX CITY</v>
      </c>
      <c r="M2255" t="str">
        <f>IFERROR(VLOOKUP(VALUE(J2255),'Site Info'!$A:$G,5,FALSE),"")</f>
        <v>IA</v>
      </c>
      <c r="N2255" t="str">
        <f>IFERROR(VLOOKUP(VALUE(J2255),'Site Info'!$A:$G,6,FALSE),"")</f>
        <v>51106-5126</v>
      </c>
      <c r="O2255">
        <f>IFERROR(VLOOKUP(VALUE(J2255),'Site Info'!$A:$G,7,FALSE),"")</f>
        <v>7122333133</v>
      </c>
    </row>
    <row r="2256" spans="1:15" x14ac:dyDescent="0.45">
      <c r="A2256" t="s">
        <v>290</v>
      </c>
      <c r="B2256" t="s">
        <v>291</v>
      </c>
      <c r="C2256" t="s">
        <v>292</v>
      </c>
      <c r="D2256" t="s">
        <v>293</v>
      </c>
      <c r="E2256" s="1">
        <v>46151.052766203706</v>
      </c>
      <c r="F2256">
        <v>1481</v>
      </c>
      <c r="G2256" t="s">
        <v>294</v>
      </c>
      <c r="H2256" t="s">
        <v>15</v>
      </c>
      <c r="I2256" t="s">
        <v>295</v>
      </c>
      <c r="J2256" t="str">
        <f>RIGHT(D2256,4)</f>
        <v>6432</v>
      </c>
      <c r="K2256" t="str">
        <f>IFERROR(VLOOKUP(VALUE(J2256),'Site Info'!$A:$G,3,FALSE),"")</f>
        <v>4201 S YORK ST</v>
      </c>
      <c r="L2256" t="str">
        <f>IFERROR(VLOOKUP(VALUE(J2256),'Site Info'!$A:$G,4,FALSE),"")</f>
        <v>SIOUX CITY</v>
      </c>
      <c r="M2256" t="str">
        <f>IFERROR(VLOOKUP(VALUE(J2256),'Site Info'!$A:$G,5,FALSE),"")</f>
        <v>IA</v>
      </c>
      <c r="N2256" t="str">
        <f>IFERROR(VLOOKUP(VALUE(J2256),'Site Info'!$A:$G,6,FALSE),"")</f>
        <v>51106-5126</v>
      </c>
      <c r="O2256">
        <f>IFERROR(VLOOKUP(VALUE(J2256),'Site Info'!$A:$G,7,FALSE),"")</f>
        <v>7122333133</v>
      </c>
    </row>
    <row r="2257" spans="1:15" x14ac:dyDescent="0.45">
      <c r="A2257" t="s">
        <v>1934</v>
      </c>
      <c r="B2257" t="s">
        <v>1935</v>
      </c>
      <c r="C2257" t="s">
        <v>1936</v>
      </c>
      <c r="D2257" t="s">
        <v>293</v>
      </c>
      <c r="E2257" s="1">
        <v>46151.587835648148</v>
      </c>
      <c r="F2257">
        <v>1481</v>
      </c>
      <c r="G2257" t="s">
        <v>1937</v>
      </c>
      <c r="H2257" t="s">
        <v>15</v>
      </c>
      <c r="I2257" t="s">
        <v>295</v>
      </c>
      <c r="J2257" t="str">
        <f>RIGHT(D2257,4)</f>
        <v>6432</v>
      </c>
      <c r="K2257" t="str">
        <f>IFERROR(VLOOKUP(VALUE(J2257),'Site Info'!$A:$G,3,FALSE),"")</f>
        <v>4201 S YORK ST</v>
      </c>
      <c r="L2257" t="str">
        <f>IFERROR(VLOOKUP(VALUE(J2257),'Site Info'!$A:$G,4,FALSE),"")</f>
        <v>SIOUX CITY</v>
      </c>
      <c r="M2257" t="str">
        <f>IFERROR(VLOOKUP(VALUE(J2257),'Site Info'!$A:$G,5,FALSE),"")</f>
        <v>IA</v>
      </c>
      <c r="N2257" t="str">
        <f>IFERROR(VLOOKUP(VALUE(J2257),'Site Info'!$A:$G,6,FALSE),"")</f>
        <v>51106-5126</v>
      </c>
      <c r="O2257">
        <f>IFERROR(VLOOKUP(VALUE(J2257),'Site Info'!$A:$G,7,FALSE),"")</f>
        <v>7122333133</v>
      </c>
    </row>
    <row r="2258" spans="1:15" x14ac:dyDescent="0.45">
      <c r="A2258" t="s">
        <v>16862</v>
      </c>
      <c r="B2258" t="s">
        <v>16863</v>
      </c>
      <c r="C2258" t="s">
        <v>16864</v>
      </c>
      <c r="D2258" t="s">
        <v>293</v>
      </c>
      <c r="E2258" s="1">
        <v>46150.136817129627</v>
      </c>
      <c r="F2258">
        <v>1547</v>
      </c>
      <c r="G2258" t="s">
        <v>16865</v>
      </c>
      <c r="H2258" t="s">
        <v>15</v>
      </c>
      <c r="I2258" t="s">
        <v>295</v>
      </c>
      <c r="J2258" t="str">
        <f>RIGHT(D2258,4)</f>
        <v>6432</v>
      </c>
      <c r="K2258" t="str">
        <f>IFERROR(VLOOKUP(VALUE(J2258),'Site Info'!$A:$G,3,FALSE),"")</f>
        <v>4201 S YORK ST</v>
      </c>
      <c r="L2258" t="str">
        <f>IFERROR(VLOOKUP(VALUE(J2258),'Site Info'!$A:$G,4,FALSE),"")</f>
        <v>SIOUX CITY</v>
      </c>
      <c r="M2258" t="str">
        <f>IFERROR(VLOOKUP(VALUE(J2258),'Site Info'!$A:$G,5,FALSE),"")</f>
        <v>IA</v>
      </c>
      <c r="N2258" t="str">
        <f>IFERROR(VLOOKUP(VALUE(J2258),'Site Info'!$A:$G,6,FALSE),"")</f>
        <v>51106-5126</v>
      </c>
      <c r="O2258">
        <f>IFERROR(VLOOKUP(VALUE(J2258),'Site Info'!$A:$G,7,FALSE),"")</f>
        <v>7122333133</v>
      </c>
    </row>
    <row r="2259" spans="1:15" x14ac:dyDescent="0.45">
      <c r="A2259" t="s">
        <v>10544</v>
      </c>
      <c r="B2259" t="s">
        <v>10545</v>
      </c>
      <c r="C2259" t="s">
        <v>10546</v>
      </c>
      <c r="D2259" t="s">
        <v>10059</v>
      </c>
      <c r="E2259" s="1">
        <v>46152.670810185184</v>
      </c>
      <c r="F2259">
        <v>1547</v>
      </c>
      <c r="G2259" t="s">
        <v>10547</v>
      </c>
      <c r="H2259" t="s">
        <v>15</v>
      </c>
      <c r="I2259" t="s">
        <v>10061</v>
      </c>
      <c r="J2259" t="str">
        <f>RIGHT(D2259,4)</f>
        <v>6439</v>
      </c>
      <c r="K2259" t="str">
        <f>IFERROR(VLOOKUP(VALUE(J2259),'Site Info'!$A:$G,3,FALSE),"")</f>
        <v>4230 JOHN BEN SHEPPERD PKWY</v>
      </c>
      <c r="L2259" t="str">
        <f>IFERROR(VLOOKUP(VALUE(J2259),'Site Info'!$A:$G,4,FALSE),"")</f>
        <v>ODESSA</v>
      </c>
      <c r="M2259" t="str">
        <f>IFERROR(VLOOKUP(VALUE(J2259),'Site Info'!$A:$G,5,FALSE),"")</f>
        <v>TX</v>
      </c>
      <c r="N2259" t="str">
        <f>IFERROR(VLOOKUP(VALUE(J2259),'Site Info'!$A:$G,6,FALSE),"")</f>
        <v>79762-8153</v>
      </c>
      <c r="O2259">
        <f>IFERROR(VLOOKUP(VALUE(J2259),'Site Info'!$A:$G,7,FALSE),"")</f>
        <v>4325509191</v>
      </c>
    </row>
    <row r="2260" spans="1:15" x14ac:dyDescent="0.45">
      <c r="A2260" t="s">
        <v>10300</v>
      </c>
      <c r="B2260" t="s">
        <v>10301</v>
      </c>
      <c r="C2260" t="s">
        <v>10302</v>
      </c>
      <c r="D2260" t="s">
        <v>10059</v>
      </c>
      <c r="E2260" s="1">
        <v>46153.268171296295</v>
      </c>
      <c r="F2260">
        <v>1547</v>
      </c>
      <c r="G2260" t="s">
        <v>10303</v>
      </c>
      <c r="H2260" t="s">
        <v>15</v>
      </c>
      <c r="I2260" t="s">
        <v>10061</v>
      </c>
      <c r="J2260" t="str">
        <f>RIGHT(D2260,4)</f>
        <v>6439</v>
      </c>
      <c r="K2260" t="str">
        <f>IFERROR(VLOOKUP(VALUE(J2260),'Site Info'!$A:$G,3,FALSE),"")</f>
        <v>4230 JOHN BEN SHEPPERD PKWY</v>
      </c>
      <c r="L2260" t="str">
        <f>IFERROR(VLOOKUP(VALUE(J2260),'Site Info'!$A:$G,4,FALSE),"")</f>
        <v>ODESSA</v>
      </c>
      <c r="M2260" t="str">
        <f>IFERROR(VLOOKUP(VALUE(J2260),'Site Info'!$A:$G,5,FALSE),"")</f>
        <v>TX</v>
      </c>
      <c r="N2260" t="str">
        <f>IFERROR(VLOOKUP(VALUE(J2260),'Site Info'!$A:$G,6,FALSE),"")</f>
        <v>79762-8153</v>
      </c>
      <c r="O2260">
        <f>IFERROR(VLOOKUP(VALUE(J2260),'Site Info'!$A:$G,7,FALSE),"")</f>
        <v>4325509191</v>
      </c>
    </row>
    <row r="2261" spans="1:15" x14ac:dyDescent="0.45">
      <c r="A2261" t="s">
        <v>10056</v>
      </c>
      <c r="B2261" t="s">
        <v>10057</v>
      </c>
      <c r="C2261" t="s">
        <v>10058</v>
      </c>
      <c r="D2261" t="s">
        <v>10059</v>
      </c>
      <c r="E2261" s="1">
        <v>46153.307743055557</v>
      </c>
      <c r="F2261">
        <v>1547</v>
      </c>
      <c r="G2261" t="s">
        <v>10060</v>
      </c>
      <c r="H2261" t="s">
        <v>15</v>
      </c>
      <c r="I2261" t="s">
        <v>10061</v>
      </c>
      <c r="J2261" t="str">
        <f>RIGHT(D2261,4)</f>
        <v>6439</v>
      </c>
      <c r="K2261" t="str">
        <f>IFERROR(VLOOKUP(VALUE(J2261),'Site Info'!$A:$G,3,FALSE),"")</f>
        <v>4230 JOHN BEN SHEPPERD PKWY</v>
      </c>
      <c r="L2261" t="str">
        <f>IFERROR(VLOOKUP(VALUE(J2261),'Site Info'!$A:$G,4,FALSE),"")</f>
        <v>ODESSA</v>
      </c>
      <c r="M2261" t="str">
        <f>IFERROR(VLOOKUP(VALUE(J2261),'Site Info'!$A:$G,5,FALSE),"")</f>
        <v>TX</v>
      </c>
      <c r="N2261" t="str">
        <f>IFERROR(VLOOKUP(VALUE(J2261),'Site Info'!$A:$G,6,FALSE),"")</f>
        <v>79762-8153</v>
      </c>
      <c r="O2261">
        <f>IFERROR(VLOOKUP(VALUE(J2261),'Site Info'!$A:$G,7,FALSE),"")</f>
        <v>4325509191</v>
      </c>
    </row>
    <row r="2262" spans="1:15" x14ac:dyDescent="0.45">
      <c r="A2262" t="s">
        <v>10234</v>
      </c>
      <c r="B2262" t="s">
        <v>10235</v>
      </c>
      <c r="C2262" t="s">
        <v>10236</v>
      </c>
      <c r="D2262" t="s">
        <v>10059</v>
      </c>
      <c r="E2262" s="1">
        <v>46153.341979166667</v>
      </c>
      <c r="F2262">
        <v>1547</v>
      </c>
      <c r="G2262" t="s">
        <v>10237</v>
      </c>
      <c r="H2262" t="s">
        <v>15</v>
      </c>
      <c r="I2262" t="s">
        <v>10061</v>
      </c>
      <c r="J2262" t="str">
        <f>RIGHT(D2262,4)</f>
        <v>6439</v>
      </c>
      <c r="K2262" t="str">
        <f>IFERROR(VLOOKUP(VALUE(J2262),'Site Info'!$A:$G,3,FALSE),"")</f>
        <v>4230 JOHN BEN SHEPPERD PKWY</v>
      </c>
      <c r="L2262" t="str">
        <f>IFERROR(VLOOKUP(VALUE(J2262),'Site Info'!$A:$G,4,FALSE),"")</f>
        <v>ODESSA</v>
      </c>
      <c r="M2262" t="str">
        <f>IFERROR(VLOOKUP(VALUE(J2262),'Site Info'!$A:$G,5,FALSE),"")</f>
        <v>TX</v>
      </c>
      <c r="N2262" t="str">
        <f>IFERROR(VLOOKUP(VALUE(J2262),'Site Info'!$A:$G,6,FALSE),"")</f>
        <v>79762-8153</v>
      </c>
      <c r="O2262">
        <f>IFERROR(VLOOKUP(VALUE(J2262),'Site Info'!$A:$G,7,FALSE),"")</f>
        <v>4325509191</v>
      </c>
    </row>
    <row r="2263" spans="1:15" x14ac:dyDescent="0.45">
      <c r="A2263" t="s">
        <v>11738</v>
      </c>
      <c r="B2263" t="s">
        <v>11739</v>
      </c>
      <c r="C2263" t="s">
        <v>11740</v>
      </c>
      <c r="D2263" t="s">
        <v>639</v>
      </c>
      <c r="E2263" s="1">
        <v>46151.439687500002</v>
      </c>
      <c r="F2263">
        <v>1547</v>
      </c>
      <c r="G2263" t="s">
        <v>11741</v>
      </c>
      <c r="H2263" t="s">
        <v>15</v>
      </c>
      <c r="I2263" t="s">
        <v>641</v>
      </c>
      <c r="J2263" t="str">
        <f>RIGHT(D2263,4)</f>
        <v>4771</v>
      </c>
      <c r="K2263" t="str">
        <f>IFERROR(VLOOKUP(VALUE(J2263),'Site Info'!$A:$G,3,FALSE),"")</f>
        <v>424 GEORGE CLAUS BLVD</v>
      </c>
      <c r="L2263" t="str">
        <f>IFERROR(VLOOKUP(VALUE(J2263),'Site Info'!$A:$G,4,FALSE),"")</f>
        <v>SEVERN</v>
      </c>
      <c r="M2263" t="str">
        <f>IFERROR(VLOOKUP(VALUE(J2263),'Site Info'!$A:$G,5,FALSE),"")</f>
        <v>MD</v>
      </c>
      <c r="N2263" t="str">
        <f>IFERROR(VLOOKUP(VALUE(J2263),'Site Info'!$A:$G,6,FALSE),"")</f>
        <v>21144-1300</v>
      </c>
      <c r="O2263">
        <f>IFERROR(VLOOKUP(VALUE(J2263),'Site Info'!$A:$G,7,FALSE),"")</f>
        <v>4109695270</v>
      </c>
    </row>
    <row r="2264" spans="1:15" x14ac:dyDescent="0.45">
      <c r="A2264" t="s">
        <v>12220</v>
      </c>
      <c r="B2264" t="s">
        <v>12221</v>
      </c>
      <c r="C2264" t="s">
        <v>12222</v>
      </c>
      <c r="D2264" t="s">
        <v>639</v>
      </c>
      <c r="E2264" s="1">
        <v>46152.61377314815</v>
      </c>
      <c r="F2264">
        <v>1547</v>
      </c>
      <c r="G2264" t="s">
        <v>12223</v>
      </c>
      <c r="H2264" t="s">
        <v>15</v>
      </c>
      <c r="I2264" t="s">
        <v>641</v>
      </c>
      <c r="J2264" t="str">
        <f>RIGHT(D2264,4)</f>
        <v>4771</v>
      </c>
      <c r="K2264" t="str">
        <f>IFERROR(VLOOKUP(VALUE(J2264),'Site Info'!$A:$G,3,FALSE),"")</f>
        <v>424 GEORGE CLAUS BLVD</v>
      </c>
      <c r="L2264" t="str">
        <f>IFERROR(VLOOKUP(VALUE(J2264),'Site Info'!$A:$G,4,FALSE),"")</f>
        <v>SEVERN</v>
      </c>
      <c r="M2264" t="str">
        <f>IFERROR(VLOOKUP(VALUE(J2264),'Site Info'!$A:$G,5,FALSE),"")</f>
        <v>MD</v>
      </c>
      <c r="N2264" t="str">
        <f>IFERROR(VLOOKUP(VALUE(J2264),'Site Info'!$A:$G,6,FALSE),"")</f>
        <v>21144-1300</v>
      </c>
      <c r="O2264">
        <f>IFERROR(VLOOKUP(VALUE(J2264),'Site Info'!$A:$G,7,FALSE),"")</f>
        <v>4109695270</v>
      </c>
    </row>
    <row r="2265" spans="1:15" x14ac:dyDescent="0.45">
      <c r="A2265" t="s">
        <v>11224</v>
      </c>
      <c r="B2265" t="s">
        <v>11225</v>
      </c>
      <c r="C2265" t="s">
        <v>11226</v>
      </c>
      <c r="D2265" t="s">
        <v>639</v>
      </c>
      <c r="E2265" s="1">
        <v>46153.286481481482</v>
      </c>
      <c r="F2265">
        <v>1547</v>
      </c>
      <c r="G2265" t="s">
        <v>11227</v>
      </c>
      <c r="H2265" t="s">
        <v>15</v>
      </c>
      <c r="I2265" t="s">
        <v>641</v>
      </c>
      <c r="J2265" t="str">
        <f>RIGHT(D2265,4)</f>
        <v>4771</v>
      </c>
      <c r="K2265" t="str">
        <f>IFERROR(VLOOKUP(VALUE(J2265),'Site Info'!$A:$G,3,FALSE),"")</f>
        <v>424 GEORGE CLAUS BLVD</v>
      </c>
      <c r="L2265" t="str">
        <f>IFERROR(VLOOKUP(VALUE(J2265),'Site Info'!$A:$G,4,FALSE),"")</f>
        <v>SEVERN</v>
      </c>
      <c r="M2265" t="str">
        <f>IFERROR(VLOOKUP(VALUE(J2265),'Site Info'!$A:$G,5,FALSE),"")</f>
        <v>MD</v>
      </c>
      <c r="N2265" t="str">
        <f>IFERROR(VLOOKUP(VALUE(J2265),'Site Info'!$A:$G,6,FALSE),"")</f>
        <v>21144-1300</v>
      </c>
      <c r="O2265">
        <f>IFERROR(VLOOKUP(VALUE(J2265),'Site Info'!$A:$G,7,FALSE),"")</f>
        <v>4109695270</v>
      </c>
    </row>
    <row r="2266" spans="1:15" x14ac:dyDescent="0.45">
      <c r="A2266" t="s">
        <v>12858</v>
      </c>
      <c r="B2266" t="s">
        <v>12859</v>
      </c>
      <c r="C2266" t="s">
        <v>12860</v>
      </c>
      <c r="D2266" t="s">
        <v>639</v>
      </c>
      <c r="E2266" s="1">
        <v>46153.295081018521</v>
      </c>
      <c r="F2266">
        <v>1547</v>
      </c>
      <c r="G2266" t="s">
        <v>12861</v>
      </c>
      <c r="H2266" t="s">
        <v>15</v>
      </c>
      <c r="I2266" t="s">
        <v>641</v>
      </c>
      <c r="J2266" t="str">
        <f>RIGHT(D2266,4)</f>
        <v>4771</v>
      </c>
      <c r="K2266" t="str">
        <f>IFERROR(VLOOKUP(VALUE(J2266),'Site Info'!$A:$G,3,FALSE),"")</f>
        <v>424 GEORGE CLAUS BLVD</v>
      </c>
      <c r="L2266" t="str">
        <f>IFERROR(VLOOKUP(VALUE(J2266),'Site Info'!$A:$G,4,FALSE),"")</f>
        <v>SEVERN</v>
      </c>
      <c r="M2266" t="str">
        <f>IFERROR(VLOOKUP(VALUE(J2266),'Site Info'!$A:$G,5,FALSE),"")</f>
        <v>MD</v>
      </c>
      <c r="N2266" t="str">
        <f>IFERROR(VLOOKUP(VALUE(J2266),'Site Info'!$A:$G,6,FALSE),"")</f>
        <v>21144-1300</v>
      </c>
      <c r="O2266">
        <f>IFERROR(VLOOKUP(VALUE(J2266),'Site Info'!$A:$G,7,FALSE),"")</f>
        <v>4109695270</v>
      </c>
    </row>
    <row r="2267" spans="1:15" x14ac:dyDescent="0.45">
      <c r="A2267" t="s">
        <v>1740</v>
      </c>
      <c r="B2267" t="s">
        <v>1741</v>
      </c>
      <c r="C2267" t="s">
        <v>1742</v>
      </c>
      <c r="D2267" t="s">
        <v>639</v>
      </c>
      <c r="E2267" s="1">
        <v>46149.905138888891</v>
      </c>
      <c r="F2267">
        <v>1481</v>
      </c>
      <c r="G2267" t="s">
        <v>1743</v>
      </c>
      <c r="H2267" t="s">
        <v>15</v>
      </c>
      <c r="I2267" t="s">
        <v>641</v>
      </c>
      <c r="J2267" t="str">
        <f>RIGHT(D2267,4)</f>
        <v>4771</v>
      </c>
      <c r="K2267" t="str">
        <f>IFERROR(VLOOKUP(VALUE(J2267),'Site Info'!$A:$G,3,FALSE),"")</f>
        <v>424 GEORGE CLAUS BLVD</v>
      </c>
      <c r="L2267" t="str">
        <f>IFERROR(VLOOKUP(VALUE(J2267),'Site Info'!$A:$G,4,FALSE),"")</f>
        <v>SEVERN</v>
      </c>
      <c r="M2267" t="str">
        <f>IFERROR(VLOOKUP(VALUE(J2267),'Site Info'!$A:$G,5,FALSE),"")</f>
        <v>MD</v>
      </c>
      <c r="N2267" t="str">
        <f>IFERROR(VLOOKUP(VALUE(J2267),'Site Info'!$A:$G,6,FALSE),"")</f>
        <v>21144-1300</v>
      </c>
      <c r="O2267">
        <f>IFERROR(VLOOKUP(VALUE(J2267),'Site Info'!$A:$G,7,FALSE),"")</f>
        <v>4109695270</v>
      </c>
    </row>
    <row r="2268" spans="1:15" x14ac:dyDescent="0.45">
      <c r="A2268" t="s">
        <v>636</v>
      </c>
      <c r="B2268" t="s">
        <v>637</v>
      </c>
      <c r="C2268" t="s">
        <v>638</v>
      </c>
      <c r="D2268" t="s">
        <v>639</v>
      </c>
      <c r="E2268" s="1">
        <v>46153.344108796293</v>
      </c>
      <c r="F2268">
        <v>1481</v>
      </c>
      <c r="G2268" t="s">
        <v>640</v>
      </c>
      <c r="H2268" t="s">
        <v>15</v>
      </c>
      <c r="I2268" t="s">
        <v>641</v>
      </c>
      <c r="J2268" t="str">
        <f>RIGHT(D2268,4)</f>
        <v>4771</v>
      </c>
      <c r="K2268" t="str">
        <f>IFERROR(VLOOKUP(VALUE(J2268),'Site Info'!$A:$G,3,FALSE),"")</f>
        <v>424 GEORGE CLAUS BLVD</v>
      </c>
      <c r="L2268" t="str">
        <f>IFERROR(VLOOKUP(VALUE(J2268),'Site Info'!$A:$G,4,FALSE),"")</f>
        <v>SEVERN</v>
      </c>
      <c r="M2268" t="str">
        <f>IFERROR(VLOOKUP(VALUE(J2268),'Site Info'!$A:$G,5,FALSE),"")</f>
        <v>MD</v>
      </c>
      <c r="N2268" t="str">
        <f>IFERROR(VLOOKUP(VALUE(J2268),'Site Info'!$A:$G,6,FALSE),"")</f>
        <v>21144-1300</v>
      </c>
      <c r="O2268">
        <f>IFERROR(VLOOKUP(VALUE(J2268),'Site Info'!$A:$G,7,FALSE),"")</f>
        <v>4109695270</v>
      </c>
    </row>
    <row r="2269" spans="1:15" x14ac:dyDescent="0.45">
      <c r="A2269" t="s">
        <v>7182</v>
      </c>
      <c r="B2269" t="s">
        <v>7183</v>
      </c>
      <c r="C2269" t="s">
        <v>7184</v>
      </c>
      <c r="D2269" t="s">
        <v>639</v>
      </c>
      <c r="E2269" s="1">
        <v>46149.549432870372</v>
      </c>
      <c r="F2269">
        <v>1547</v>
      </c>
      <c r="G2269" t="s">
        <v>7185</v>
      </c>
      <c r="H2269" t="s">
        <v>15</v>
      </c>
      <c r="I2269" t="s">
        <v>641</v>
      </c>
      <c r="J2269" t="str">
        <f>RIGHT(D2269,4)</f>
        <v>4771</v>
      </c>
      <c r="K2269" t="str">
        <f>IFERROR(VLOOKUP(VALUE(J2269),'Site Info'!$A:$G,3,FALSE),"")</f>
        <v>424 GEORGE CLAUS BLVD</v>
      </c>
      <c r="L2269" t="str">
        <f>IFERROR(VLOOKUP(VALUE(J2269),'Site Info'!$A:$G,4,FALSE),"")</f>
        <v>SEVERN</v>
      </c>
      <c r="M2269" t="str">
        <f>IFERROR(VLOOKUP(VALUE(J2269),'Site Info'!$A:$G,5,FALSE),"")</f>
        <v>MD</v>
      </c>
      <c r="N2269" t="str">
        <f>IFERROR(VLOOKUP(VALUE(J2269),'Site Info'!$A:$G,6,FALSE),"")</f>
        <v>21144-1300</v>
      </c>
      <c r="O2269">
        <f>IFERROR(VLOOKUP(VALUE(J2269),'Site Info'!$A:$G,7,FALSE),"")</f>
        <v>4109695270</v>
      </c>
    </row>
    <row r="2270" spans="1:15" x14ac:dyDescent="0.45">
      <c r="A2270" t="s">
        <v>14269</v>
      </c>
      <c r="B2270" t="s">
        <v>14270</v>
      </c>
      <c r="C2270" t="s">
        <v>14271</v>
      </c>
      <c r="D2270" t="s">
        <v>9612</v>
      </c>
      <c r="E2270" s="1">
        <v>46151.984143518515</v>
      </c>
      <c r="F2270">
        <v>1863</v>
      </c>
      <c r="G2270" t="s">
        <v>14272</v>
      </c>
      <c r="H2270" t="s">
        <v>136</v>
      </c>
      <c r="I2270" t="s">
        <v>9614</v>
      </c>
      <c r="J2270" t="str">
        <f>RIGHT(D2270,4)</f>
        <v>6216</v>
      </c>
      <c r="K2270" t="str">
        <f>IFERROR(VLOOKUP(VALUE(J2270),'Site Info'!$A:$G,3,FALSE),"")</f>
        <v>4240 WINTERVILLE PKWY</v>
      </c>
      <c r="L2270" t="str">
        <f>IFERROR(VLOOKUP(VALUE(J2270),'Site Info'!$A:$G,4,FALSE),"")</f>
        <v>WINTERVILLE</v>
      </c>
      <c r="M2270" t="str">
        <f>IFERROR(VLOOKUP(VALUE(J2270),'Site Info'!$A:$G,5,FALSE),"")</f>
        <v>NC</v>
      </c>
      <c r="N2270" t="str">
        <f>IFERROR(VLOOKUP(VALUE(J2270),'Site Info'!$A:$G,6,FALSE),"")</f>
        <v>28590-0000</v>
      </c>
      <c r="O2270">
        <f>IFERROR(VLOOKUP(VALUE(J2270),'Site Info'!$A:$G,7,FALSE),"")</f>
        <v>2524390400</v>
      </c>
    </row>
    <row r="2271" spans="1:15" x14ac:dyDescent="0.45">
      <c r="A2271" t="s">
        <v>9637</v>
      </c>
      <c r="B2271" t="s">
        <v>9638</v>
      </c>
      <c r="C2271" t="s">
        <v>9639</v>
      </c>
      <c r="D2271" t="s">
        <v>9612</v>
      </c>
      <c r="E2271" s="1">
        <v>46150.646041666667</v>
      </c>
      <c r="F2271">
        <v>1547</v>
      </c>
      <c r="G2271" t="s">
        <v>9640</v>
      </c>
      <c r="H2271" t="s">
        <v>15</v>
      </c>
      <c r="I2271" t="s">
        <v>9614</v>
      </c>
      <c r="J2271" t="str">
        <f>RIGHT(D2271,4)</f>
        <v>6216</v>
      </c>
      <c r="K2271" t="str">
        <f>IFERROR(VLOOKUP(VALUE(J2271),'Site Info'!$A:$G,3,FALSE),"")</f>
        <v>4240 WINTERVILLE PKWY</v>
      </c>
      <c r="L2271" t="str">
        <f>IFERROR(VLOOKUP(VALUE(J2271),'Site Info'!$A:$G,4,FALSE),"")</f>
        <v>WINTERVILLE</v>
      </c>
      <c r="M2271" t="str">
        <f>IFERROR(VLOOKUP(VALUE(J2271),'Site Info'!$A:$G,5,FALSE),"")</f>
        <v>NC</v>
      </c>
      <c r="N2271" t="str">
        <f>IFERROR(VLOOKUP(VALUE(J2271),'Site Info'!$A:$G,6,FALSE),"")</f>
        <v>28590-0000</v>
      </c>
      <c r="O2271">
        <f>IFERROR(VLOOKUP(VALUE(J2271),'Site Info'!$A:$G,7,FALSE),"")</f>
        <v>2524390400</v>
      </c>
    </row>
    <row r="2272" spans="1:15" x14ac:dyDescent="0.45">
      <c r="A2272" t="s">
        <v>9609</v>
      </c>
      <c r="B2272" t="s">
        <v>9610</v>
      </c>
      <c r="C2272" t="s">
        <v>9611</v>
      </c>
      <c r="D2272" t="s">
        <v>9612</v>
      </c>
      <c r="E2272" s="1">
        <v>46153.255416666667</v>
      </c>
      <c r="F2272">
        <v>1547</v>
      </c>
      <c r="G2272" t="s">
        <v>9613</v>
      </c>
      <c r="H2272" t="s">
        <v>15</v>
      </c>
      <c r="I2272" t="s">
        <v>9614</v>
      </c>
      <c r="J2272" t="str">
        <f>RIGHT(D2272,4)</f>
        <v>6216</v>
      </c>
      <c r="K2272" t="str">
        <f>IFERROR(VLOOKUP(VALUE(J2272),'Site Info'!$A:$G,3,FALSE),"")</f>
        <v>4240 WINTERVILLE PKWY</v>
      </c>
      <c r="L2272" t="str">
        <f>IFERROR(VLOOKUP(VALUE(J2272),'Site Info'!$A:$G,4,FALSE),"")</f>
        <v>WINTERVILLE</v>
      </c>
      <c r="M2272" t="str">
        <f>IFERROR(VLOOKUP(VALUE(J2272),'Site Info'!$A:$G,5,FALSE),"")</f>
        <v>NC</v>
      </c>
      <c r="N2272" t="str">
        <f>IFERROR(VLOOKUP(VALUE(J2272),'Site Info'!$A:$G,6,FALSE),"")</f>
        <v>28590-0000</v>
      </c>
      <c r="O2272">
        <f>IFERROR(VLOOKUP(VALUE(J2272),'Site Info'!$A:$G,7,FALSE),"")</f>
        <v>2524390400</v>
      </c>
    </row>
    <row r="2273" spans="1:15" x14ac:dyDescent="0.45">
      <c r="A2273" t="s">
        <v>16504</v>
      </c>
      <c r="B2273" t="s">
        <v>16610</v>
      </c>
      <c r="C2273" t="s">
        <v>16611</v>
      </c>
      <c r="D2273" t="s">
        <v>9612</v>
      </c>
      <c r="E2273" s="1">
        <v>46152.843252314815</v>
      </c>
      <c r="F2273">
        <v>1628</v>
      </c>
      <c r="G2273" t="s">
        <v>16612</v>
      </c>
      <c r="H2273" t="s">
        <v>13988</v>
      </c>
      <c r="I2273" t="s">
        <v>9614</v>
      </c>
      <c r="J2273" t="str">
        <f>RIGHT(D2273,4)</f>
        <v>6216</v>
      </c>
      <c r="K2273" t="str">
        <f>IFERROR(VLOOKUP(VALUE(J2273),'Site Info'!$A:$G,3,FALSE),"")</f>
        <v>4240 WINTERVILLE PKWY</v>
      </c>
      <c r="L2273" t="str">
        <f>IFERROR(VLOOKUP(VALUE(J2273),'Site Info'!$A:$G,4,FALSE),"")</f>
        <v>WINTERVILLE</v>
      </c>
      <c r="M2273" t="str">
        <f>IFERROR(VLOOKUP(VALUE(J2273),'Site Info'!$A:$G,5,FALSE),"")</f>
        <v>NC</v>
      </c>
      <c r="N2273" t="str">
        <f>IFERROR(VLOOKUP(VALUE(J2273),'Site Info'!$A:$G,6,FALSE),"")</f>
        <v>28590-0000</v>
      </c>
      <c r="O2273">
        <f>IFERROR(VLOOKUP(VALUE(J2273),'Site Info'!$A:$G,7,FALSE),"")</f>
        <v>2524390400</v>
      </c>
    </row>
    <row r="2274" spans="1:15" x14ac:dyDescent="0.45">
      <c r="A2274" t="s">
        <v>16613</v>
      </c>
      <c r="B2274" t="s">
        <v>16614</v>
      </c>
      <c r="C2274" t="s">
        <v>16615</v>
      </c>
      <c r="D2274" t="s">
        <v>9612</v>
      </c>
      <c r="E2274" s="1">
        <v>46153.164884259262</v>
      </c>
      <c r="F2274">
        <v>1547</v>
      </c>
      <c r="G2274" t="s">
        <v>16616</v>
      </c>
      <c r="H2274" t="s">
        <v>15</v>
      </c>
      <c r="I2274" t="s">
        <v>9614</v>
      </c>
      <c r="J2274" t="str">
        <f>RIGHT(D2274,4)</f>
        <v>6216</v>
      </c>
      <c r="K2274" t="str">
        <f>IFERROR(VLOOKUP(VALUE(J2274),'Site Info'!$A:$G,3,FALSE),"")</f>
        <v>4240 WINTERVILLE PKWY</v>
      </c>
      <c r="L2274" t="str">
        <f>IFERROR(VLOOKUP(VALUE(J2274),'Site Info'!$A:$G,4,FALSE),"")</f>
        <v>WINTERVILLE</v>
      </c>
      <c r="M2274" t="str">
        <f>IFERROR(VLOOKUP(VALUE(J2274),'Site Info'!$A:$G,5,FALSE),"")</f>
        <v>NC</v>
      </c>
      <c r="N2274" t="str">
        <f>IFERROR(VLOOKUP(VALUE(J2274),'Site Info'!$A:$G,6,FALSE),"")</f>
        <v>28590-0000</v>
      </c>
      <c r="O2274">
        <f>IFERROR(VLOOKUP(VALUE(J2274),'Site Info'!$A:$G,7,FALSE),"")</f>
        <v>2524390400</v>
      </c>
    </row>
    <row r="2275" spans="1:15" x14ac:dyDescent="0.45">
      <c r="A2275" t="s">
        <v>12604</v>
      </c>
      <c r="B2275" t="s">
        <v>12605</v>
      </c>
      <c r="C2275" t="s">
        <v>12606</v>
      </c>
      <c r="D2275" t="s">
        <v>3222</v>
      </c>
      <c r="E2275" s="1">
        <v>46150.120462962965</v>
      </c>
      <c r="F2275">
        <v>1547</v>
      </c>
      <c r="G2275" t="s">
        <v>12607</v>
      </c>
      <c r="H2275" t="s">
        <v>15</v>
      </c>
      <c r="I2275" t="s">
        <v>3224</v>
      </c>
      <c r="J2275" t="str">
        <f>RIGHT(D2275,4)</f>
        <v>8141</v>
      </c>
      <c r="K2275" t="str">
        <f>IFERROR(VLOOKUP(VALUE(J2275),'Site Info'!$A:$G,3,FALSE),"")</f>
        <v>4255 W NEW HAVEN AVE</v>
      </c>
      <c r="L2275" t="str">
        <f>IFERROR(VLOOKUP(VALUE(J2275),'Site Info'!$A:$G,4,FALSE),"")</f>
        <v>MELBOURNE</v>
      </c>
      <c r="M2275" t="str">
        <f>IFERROR(VLOOKUP(VALUE(J2275),'Site Info'!$A:$G,5,FALSE),"")</f>
        <v>FL</v>
      </c>
      <c r="N2275" t="str">
        <f>IFERROR(VLOOKUP(VALUE(J2275),'Site Info'!$A:$G,6,FALSE),"")</f>
        <v>32904-3317</v>
      </c>
      <c r="O2275">
        <f>IFERROR(VLOOKUP(VALUE(J2275),'Site Info'!$A:$G,7,FALSE),"")</f>
        <v>3217688190</v>
      </c>
    </row>
    <row r="2276" spans="1:15" x14ac:dyDescent="0.45">
      <c r="A2276" t="s">
        <v>6635</v>
      </c>
      <c r="B2276" t="s">
        <v>6636</v>
      </c>
      <c r="C2276" t="s">
        <v>6637</v>
      </c>
      <c r="D2276" t="s">
        <v>3222</v>
      </c>
      <c r="E2276" s="1">
        <v>46153.329976851855</v>
      </c>
      <c r="F2276">
        <v>1547</v>
      </c>
      <c r="G2276" t="s">
        <v>6638</v>
      </c>
      <c r="H2276" t="s">
        <v>15</v>
      </c>
      <c r="I2276" t="s">
        <v>3224</v>
      </c>
      <c r="J2276" t="str">
        <f>RIGHT(D2276,4)</f>
        <v>8141</v>
      </c>
      <c r="K2276" t="str">
        <f>IFERROR(VLOOKUP(VALUE(J2276),'Site Info'!$A:$G,3,FALSE),"")</f>
        <v>4255 W NEW HAVEN AVE</v>
      </c>
      <c r="L2276" t="str">
        <f>IFERROR(VLOOKUP(VALUE(J2276),'Site Info'!$A:$G,4,FALSE),"")</f>
        <v>MELBOURNE</v>
      </c>
      <c r="M2276" t="str">
        <f>IFERROR(VLOOKUP(VALUE(J2276),'Site Info'!$A:$G,5,FALSE),"")</f>
        <v>FL</v>
      </c>
      <c r="N2276" t="str">
        <f>IFERROR(VLOOKUP(VALUE(J2276),'Site Info'!$A:$G,6,FALSE),"")</f>
        <v>32904-3317</v>
      </c>
      <c r="O2276">
        <f>IFERROR(VLOOKUP(VALUE(J2276),'Site Info'!$A:$G,7,FALSE),"")</f>
        <v>3217688190</v>
      </c>
    </row>
    <row r="2277" spans="1:15" x14ac:dyDescent="0.45">
      <c r="A2277" t="s">
        <v>14419</v>
      </c>
      <c r="B2277" t="s">
        <v>14420</v>
      </c>
      <c r="C2277" t="s">
        <v>14421</v>
      </c>
      <c r="D2277" t="s">
        <v>3222</v>
      </c>
      <c r="E2277" s="1">
        <v>46153.344907407409</v>
      </c>
      <c r="F2277">
        <v>1547</v>
      </c>
      <c r="G2277" t="s">
        <v>14422</v>
      </c>
      <c r="H2277" t="s">
        <v>15</v>
      </c>
      <c r="I2277" t="s">
        <v>3224</v>
      </c>
      <c r="J2277" t="str">
        <f>RIGHT(D2277,4)</f>
        <v>8141</v>
      </c>
      <c r="K2277" t="str">
        <f>IFERROR(VLOOKUP(VALUE(J2277),'Site Info'!$A:$G,3,FALSE),"")</f>
        <v>4255 W NEW HAVEN AVE</v>
      </c>
      <c r="L2277" t="str">
        <f>IFERROR(VLOOKUP(VALUE(J2277),'Site Info'!$A:$G,4,FALSE),"")</f>
        <v>MELBOURNE</v>
      </c>
      <c r="M2277" t="str">
        <f>IFERROR(VLOOKUP(VALUE(J2277),'Site Info'!$A:$G,5,FALSE),"")</f>
        <v>FL</v>
      </c>
      <c r="N2277" t="str">
        <f>IFERROR(VLOOKUP(VALUE(J2277),'Site Info'!$A:$G,6,FALSE),"")</f>
        <v>32904-3317</v>
      </c>
      <c r="O2277">
        <f>IFERROR(VLOOKUP(VALUE(J2277),'Site Info'!$A:$G,7,FALSE),"")</f>
        <v>3217688190</v>
      </c>
    </row>
    <row r="2278" spans="1:15" x14ac:dyDescent="0.45">
      <c r="A2278" t="s">
        <v>4304</v>
      </c>
      <c r="B2278" t="s">
        <v>4305</v>
      </c>
      <c r="C2278" t="s">
        <v>4306</v>
      </c>
      <c r="D2278" t="s">
        <v>3222</v>
      </c>
      <c r="E2278" s="1">
        <v>46153.366307870368</v>
      </c>
      <c r="F2278">
        <v>1547</v>
      </c>
      <c r="G2278" t="s">
        <v>4307</v>
      </c>
      <c r="H2278" t="s">
        <v>15</v>
      </c>
      <c r="I2278" t="s">
        <v>3224</v>
      </c>
      <c r="J2278" t="str">
        <f>RIGHT(D2278,4)</f>
        <v>8141</v>
      </c>
      <c r="K2278" t="str">
        <f>IFERROR(VLOOKUP(VALUE(J2278),'Site Info'!$A:$G,3,FALSE),"")</f>
        <v>4255 W NEW HAVEN AVE</v>
      </c>
      <c r="L2278" t="str">
        <f>IFERROR(VLOOKUP(VALUE(J2278),'Site Info'!$A:$G,4,FALSE),"")</f>
        <v>MELBOURNE</v>
      </c>
      <c r="M2278" t="str">
        <f>IFERROR(VLOOKUP(VALUE(J2278),'Site Info'!$A:$G,5,FALSE),"")</f>
        <v>FL</v>
      </c>
      <c r="N2278" t="str">
        <f>IFERROR(VLOOKUP(VALUE(J2278),'Site Info'!$A:$G,6,FALSE),"")</f>
        <v>32904-3317</v>
      </c>
      <c r="O2278">
        <f>IFERROR(VLOOKUP(VALUE(J2278),'Site Info'!$A:$G,7,FALSE),"")</f>
        <v>3217688190</v>
      </c>
    </row>
    <row r="2279" spans="1:15" x14ac:dyDescent="0.45">
      <c r="A2279" t="s">
        <v>6234</v>
      </c>
      <c r="B2279" t="s">
        <v>6235</v>
      </c>
      <c r="C2279" t="s">
        <v>6236</v>
      </c>
      <c r="D2279" t="s">
        <v>3222</v>
      </c>
      <c r="E2279" s="1">
        <v>46153.367511574077</v>
      </c>
      <c r="F2279">
        <v>1547</v>
      </c>
      <c r="G2279" t="s">
        <v>6237</v>
      </c>
      <c r="H2279" t="s">
        <v>15</v>
      </c>
      <c r="I2279" t="s">
        <v>3224</v>
      </c>
      <c r="J2279" t="str">
        <f>RIGHT(D2279,4)</f>
        <v>8141</v>
      </c>
      <c r="K2279" t="str">
        <f>IFERROR(VLOOKUP(VALUE(J2279),'Site Info'!$A:$G,3,FALSE),"")</f>
        <v>4255 W NEW HAVEN AVE</v>
      </c>
      <c r="L2279" t="str">
        <f>IFERROR(VLOOKUP(VALUE(J2279),'Site Info'!$A:$G,4,FALSE),"")</f>
        <v>MELBOURNE</v>
      </c>
      <c r="M2279" t="str">
        <f>IFERROR(VLOOKUP(VALUE(J2279),'Site Info'!$A:$G,5,FALSE),"")</f>
        <v>FL</v>
      </c>
      <c r="N2279" t="str">
        <f>IFERROR(VLOOKUP(VALUE(J2279),'Site Info'!$A:$G,6,FALSE),"")</f>
        <v>32904-3317</v>
      </c>
      <c r="O2279">
        <f>IFERROR(VLOOKUP(VALUE(J2279),'Site Info'!$A:$G,7,FALSE),"")</f>
        <v>3217688190</v>
      </c>
    </row>
    <row r="2280" spans="1:15" x14ac:dyDescent="0.45">
      <c r="A2280" t="s">
        <v>3985</v>
      </c>
      <c r="B2280" t="s">
        <v>3986</v>
      </c>
      <c r="C2280" t="s">
        <v>3987</v>
      </c>
      <c r="D2280" t="s">
        <v>3222</v>
      </c>
      <c r="E2280" s="1">
        <v>46151.36645833333</v>
      </c>
      <c r="F2280">
        <v>1481</v>
      </c>
      <c r="G2280" t="s">
        <v>3988</v>
      </c>
      <c r="H2280" t="s">
        <v>15</v>
      </c>
      <c r="I2280" t="s">
        <v>3224</v>
      </c>
      <c r="J2280" t="str">
        <f>RIGHT(D2280,4)</f>
        <v>8141</v>
      </c>
      <c r="K2280" t="str">
        <f>IFERROR(VLOOKUP(VALUE(J2280),'Site Info'!$A:$G,3,FALSE),"")</f>
        <v>4255 W NEW HAVEN AVE</v>
      </c>
      <c r="L2280" t="str">
        <f>IFERROR(VLOOKUP(VALUE(J2280),'Site Info'!$A:$G,4,FALSE),"")</f>
        <v>MELBOURNE</v>
      </c>
      <c r="M2280" t="str">
        <f>IFERROR(VLOOKUP(VALUE(J2280),'Site Info'!$A:$G,5,FALSE),"")</f>
        <v>FL</v>
      </c>
      <c r="N2280" t="str">
        <f>IFERROR(VLOOKUP(VALUE(J2280),'Site Info'!$A:$G,6,FALSE),"")</f>
        <v>32904-3317</v>
      </c>
      <c r="O2280">
        <f>IFERROR(VLOOKUP(VALUE(J2280),'Site Info'!$A:$G,7,FALSE),"")</f>
        <v>3217688190</v>
      </c>
    </row>
    <row r="2281" spans="1:15" x14ac:dyDescent="0.45">
      <c r="A2281" t="s">
        <v>3219</v>
      </c>
      <c r="B2281" t="s">
        <v>3220</v>
      </c>
      <c r="C2281" t="s">
        <v>3221</v>
      </c>
      <c r="D2281" t="s">
        <v>3222</v>
      </c>
      <c r="E2281" s="1">
        <v>46153.369537037041</v>
      </c>
      <c r="F2281">
        <v>1481</v>
      </c>
      <c r="G2281" t="s">
        <v>3223</v>
      </c>
      <c r="H2281" t="s">
        <v>15</v>
      </c>
      <c r="I2281" t="s">
        <v>3224</v>
      </c>
      <c r="J2281" t="str">
        <f>RIGHT(D2281,4)</f>
        <v>8141</v>
      </c>
      <c r="K2281" t="str">
        <f>IFERROR(VLOOKUP(VALUE(J2281),'Site Info'!$A:$G,3,FALSE),"")</f>
        <v>4255 W NEW HAVEN AVE</v>
      </c>
      <c r="L2281" t="str">
        <f>IFERROR(VLOOKUP(VALUE(J2281),'Site Info'!$A:$G,4,FALSE),"")</f>
        <v>MELBOURNE</v>
      </c>
      <c r="M2281" t="str">
        <f>IFERROR(VLOOKUP(VALUE(J2281),'Site Info'!$A:$G,5,FALSE),"")</f>
        <v>FL</v>
      </c>
      <c r="N2281" t="str">
        <f>IFERROR(VLOOKUP(VALUE(J2281),'Site Info'!$A:$G,6,FALSE),"")</f>
        <v>32904-3317</v>
      </c>
      <c r="O2281">
        <f>IFERROR(VLOOKUP(VALUE(J2281),'Site Info'!$A:$G,7,FALSE),"")</f>
        <v>3217688190</v>
      </c>
    </row>
    <row r="2282" spans="1:15" x14ac:dyDescent="0.45">
      <c r="A2282" t="s">
        <v>16504</v>
      </c>
      <c r="B2282" t="s">
        <v>17103</v>
      </c>
      <c r="C2282" t="s">
        <v>17104</v>
      </c>
      <c r="D2282" t="s">
        <v>3222</v>
      </c>
      <c r="E2282" s="1">
        <v>46153.355046296296</v>
      </c>
      <c r="F2282">
        <v>1628</v>
      </c>
      <c r="G2282" t="s">
        <v>17105</v>
      </c>
      <c r="H2282" t="s">
        <v>13988</v>
      </c>
      <c r="I2282" t="s">
        <v>3224</v>
      </c>
      <c r="J2282" t="str">
        <f>RIGHT(D2282,4)</f>
        <v>8141</v>
      </c>
      <c r="K2282" t="str">
        <f>IFERROR(VLOOKUP(VALUE(J2282),'Site Info'!$A:$G,3,FALSE),"")</f>
        <v>4255 W NEW HAVEN AVE</v>
      </c>
      <c r="L2282" t="str">
        <f>IFERROR(VLOOKUP(VALUE(J2282),'Site Info'!$A:$G,4,FALSE),"")</f>
        <v>MELBOURNE</v>
      </c>
      <c r="M2282" t="str">
        <f>IFERROR(VLOOKUP(VALUE(J2282),'Site Info'!$A:$G,5,FALSE),"")</f>
        <v>FL</v>
      </c>
      <c r="N2282" t="str">
        <f>IFERROR(VLOOKUP(VALUE(J2282),'Site Info'!$A:$G,6,FALSE),"")</f>
        <v>32904-3317</v>
      </c>
      <c r="O2282">
        <f>IFERROR(VLOOKUP(VALUE(J2282),'Site Info'!$A:$G,7,FALSE),"")</f>
        <v>3217688190</v>
      </c>
    </row>
    <row r="2283" spans="1:15" x14ac:dyDescent="0.45">
      <c r="A2283" t="s">
        <v>17106</v>
      </c>
      <c r="B2283" t="s">
        <v>17107</v>
      </c>
      <c r="C2283" t="s">
        <v>17108</v>
      </c>
      <c r="D2283" t="s">
        <v>3222</v>
      </c>
      <c r="E2283" s="1">
        <v>46153.380509259259</v>
      </c>
      <c r="F2283">
        <v>1547</v>
      </c>
      <c r="G2283" t="s">
        <v>17109</v>
      </c>
      <c r="H2283" t="s">
        <v>15</v>
      </c>
      <c r="I2283" t="s">
        <v>3224</v>
      </c>
      <c r="J2283" t="str">
        <f>RIGHT(D2283,4)</f>
        <v>8141</v>
      </c>
      <c r="K2283" t="str">
        <f>IFERROR(VLOOKUP(VALUE(J2283),'Site Info'!$A:$G,3,FALSE),"")</f>
        <v>4255 W NEW HAVEN AVE</v>
      </c>
      <c r="L2283" t="str">
        <f>IFERROR(VLOOKUP(VALUE(J2283),'Site Info'!$A:$G,4,FALSE),"")</f>
        <v>MELBOURNE</v>
      </c>
      <c r="M2283" t="str">
        <f>IFERROR(VLOOKUP(VALUE(J2283),'Site Info'!$A:$G,5,FALSE),"")</f>
        <v>FL</v>
      </c>
      <c r="N2283" t="str">
        <f>IFERROR(VLOOKUP(VALUE(J2283),'Site Info'!$A:$G,6,FALSE),"")</f>
        <v>32904-3317</v>
      </c>
      <c r="O2283">
        <f>IFERROR(VLOOKUP(VALUE(J2283),'Site Info'!$A:$G,7,FALSE),"")</f>
        <v>3217688190</v>
      </c>
    </row>
    <row r="2284" spans="1:15" x14ac:dyDescent="0.45">
      <c r="A2284" t="s">
        <v>4520</v>
      </c>
      <c r="B2284" t="s">
        <v>4521</v>
      </c>
      <c r="C2284" t="s">
        <v>4522</v>
      </c>
      <c r="D2284" t="s">
        <v>2812</v>
      </c>
      <c r="E2284" s="1">
        <v>46150.674942129626</v>
      </c>
      <c r="F2284">
        <v>1547</v>
      </c>
      <c r="G2284" t="s">
        <v>4523</v>
      </c>
      <c r="H2284" t="s">
        <v>15</v>
      </c>
      <c r="I2284" t="s">
        <v>2814</v>
      </c>
      <c r="J2284" t="str">
        <f>RIGHT(D2284,4)</f>
        <v>8157</v>
      </c>
      <c r="K2284" t="str">
        <f>IFERROR(VLOOKUP(VALUE(J2284),'Site Info'!$A:$G,3,FALSE),"")</f>
        <v>4295 45TH ST</v>
      </c>
      <c r="L2284" t="str">
        <f>IFERROR(VLOOKUP(VALUE(J2284),'Site Info'!$A:$G,4,FALSE),"")</f>
        <v>WEST PALM BEACH</v>
      </c>
      <c r="M2284" t="str">
        <f>IFERROR(VLOOKUP(VALUE(J2284),'Site Info'!$A:$G,5,FALSE),"")</f>
        <v>FL</v>
      </c>
      <c r="N2284" t="str">
        <f>IFERROR(VLOOKUP(VALUE(J2284),'Site Info'!$A:$G,6,FALSE),"")</f>
        <v>33407-1859</v>
      </c>
      <c r="O2284">
        <f>IFERROR(VLOOKUP(VALUE(J2284),'Site Info'!$A:$G,7,FALSE),"")</f>
        <v>5616870098</v>
      </c>
    </row>
    <row r="2285" spans="1:15" x14ac:dyDescent="0.45">
      <c r="A2285" t="s">
        <v>4852</v>
      </c>
      <c r="B2285" t="s">
        <v>4853</v>
      </c>
      <c r="C2285" t="s">
        <v>4854</v>
      </c>
      <c r="D2285" t="s">
        <v>2812</v>
      </c>
      <c r="E2285" s="1">
        <v>46151.377939814818</v>
      </c>
      <c r="F2285">
        <v>1547</v>
      </c>
      <c r="G2285" t="s">
        <v>4855</v>
      </c>
      <c r="H2285" t="s">
        <v>15</v>
      </c>
      <c r="I2285" t="s">
        <v>2814</v>
      </c>
      <c r="J2285" t="str">
        <f>RIGHT(D2285,4)</f>
        <v>8157</v>
      </c>
      <c r="K2285" t="str">
        <f>IFERROR(VLOOKUP(VALUE(J2285),'Site Info'!$A:$G,3,FALSE),"")</f>
        <v>4295 45TH ST</v>
      </c>
      <c r="L2285" t="str">
        <f>IFERROR(VLOOKUP(VALUE(J2285),'Site Info'!$A:$G,4,FALSE),"")</f>
        <v>WEST PALM BEACH</v>
      </c>
      <c r="M2285" t="str">
        <f>IFERROR(VLOOKUP(VALUE(J2285),'Site Info'!$A:$G,5,FALSE),"")</f>
        <v>FL</v>
      </c>
      <c r="N2285" t="str">
        <f>IFERROR(VLOOKUP(VALUE(J2285),'Site Info'!$A:$G,6,FALSE),"")</f>
        <v>33407-1859</v>
      </c>
      <c r="O2285">
        <f>IFERROR(VLOOKUP(VALUE(J2285),'Site Info'!$A:$G,7,FALSE),"")</f>
        <v>5616870098</v>
      </c>
    </row>
    <row r="2286" spans="1:15" x14ac:dyDescent="0.45">
      <c r="A2286" t="s">
        <v>4422</v>
      </c>
      <c r="B2286" t="s">
        <v>4423</v>
      </c>
      <c r="C2286" t="s">
        <v>4424</v>
      </c>
      <c r="D2286" t="s">
        <v>2812</v>
      </c>
      <c r="E2286" s="1">
        <v>46153.327916666669</v>
      </c>
      <c r="F2286">
        <v>1547</v>
      </c>
      <c r="G2286" t="s">
        <v>4425</v>
      </c>
      <c r="H2286" t="s">
        <v>15</v>
      </c>
      <c r="I2286" t="s">
        <v>2814</v>
      </c>
      <c r="J2286" t="str">
        <f>RIGHT(D2286,4)</f>
        <v>8157</v>
      </c>
      <c r="K2286" t="str">
        <f>IFERROR(VLOOKUP(VALUE(J2286),'Site Info'!$A:$G,3,FALSE),"")</f>
        <v>4295 45TH ST</v>
      </c>
      <c r="L2286" t="str">
        <f>IFERROR(VLOOKUP(VALUE(J2286),'Site Info'!$A:$G,4,FALSE),"")</f>
        <v>WEST PALM BEACH</v>
      </c>
      <c r="M2286" t="str">
        <f>IFERROR(VLOOKUP(VALUE(J2286),'Site Info'!$A:$G,5,FALSE),"")</f>
        <v>FL</v>
      </c>
      <c r="N2286" t="str">
        <f>IFERROR(VLOOKUP(VALUE(J2286),'Site Info'!$A:$G,6,FALSE),"")</f>
        <v>33407-1859</v>
      </c>
      <c r="O2286">
        <f>IFERROR(VLOOKUP(VALUE(J2286),'Site Info'!$A:$G,7,FALSE),"")</f>
        <v>5616870098</v>
      </c>
    </row>
    <row r="2287" spans="1:15" x14ac:dyDescent="0.45">
      <c r="A2287" t="s">
        <v>2809</v>
      </c>
      <c r="B2287" t="s">
        <v>2810</v>
      </c>
      <c r="C2287" t="s">
        <v>2811</v>
      </c>
      <c r="D2287" t="s">
        <v>2812</v>
      </c>
      <c r="E2287" s="1">
        <v>46152.519108796296</v>
      </c>
      <c r="F2287">
        <v>1481</v>
      </c>
      <c r="G2287" t="s">
        <v>2813</v>
      </c>
      <c r="H2287" t="s">
        <v>15</v>
      </c>
      <c r="I2287" t="s">
        <v>2814</v>
      </c>
      <c r="J2287" t="str">
        <f>RIGHT(D2287,4)</f>
        <v>8157</v>
      </c>
      <c r="K2287" t="str">
        <f>IFERROR(VLOOKUP(VALUE(J2287),'Site Info'!$A:$G,3,FALSE),"")</f>
        <v>4295 45TH ST</v>
      </c>
      <c r="L2287" t="str">
        <f>IFERROR(VLOOKUP(VALUE(J2287),'Site Info'!$A:$G,4,FALSE),"")</f>
        <v>WEST PALM BEACH</v>
      </c>
      <c r="M2287" t="str">
        <f>IFERROR(VLOOKUP(VALUE(J2287),'Site Info'!$A:$G,5,FALSE),"")</f>
        <v>FL</v>
      </c>
      <c r="N2287" t="str">
        <f>IFERROR(VLOOKUP(VALUE(J2287),'Site Info'!$A:$G,6,FALSE),"")</f>
        <v>33407-1859</v>
      </c>
      <c r="O2287">
        <f>IFERROR(VLOOKUP(VALUE(J2287),'Site Info'!$A:$G,7,FALSE),"")</f>
        <v>5616870098</v>
      </c>
    </row>
    <row r="2288" spans="1:15" x14ac:dyDescent="0.45">
      <c r="A2288" t="s">
        <v>3235</v>
      </c>
      <c r="B2288" t="s">
        <v>3236</v>
      </c>
      <c r="C2288" t="s">
        <v>3237</v>
      </c>
      <c r="D2288" t="s">
        <v>2812</v>
      </c>
      <c r="E2288" s="1">
        <v>46153.262106481481</v>
      </c>
      <c r="F2288">
        <v>1481</v>
      </c>
      <c r="G2288" t="s">
        <v>3238</v>
      </c>
      <c r="H2288" t="s">
        <v>15</v>
      </c>
      <c r="I2288" t="s">
        <v>2814</v>
      </c>
      <c r="J2288" t="str">
        <f>RIGHT(D2288,4)</f>
        <v>8157</v>
      </c>
      <c r="K2288" t="str">
        <f>IFERROR(VLOOKUP(VALUE(J2288),'Site Info'!$A:$G,3,FALSE),"")</f>
        <v>4295 45TH ST</v>
      </c>
      <c r="L2288" t="str">
        <f>IFERROR(VLOOKUP(VALUE(J2288),'Site Info'!$A:$G,4,FALSE),"")</f>
        <v>WEST PALM BEACH</v>
      </c>
      <c r="M2288" t="str">
        <f>IFERROR(VLOOKUP(VALUE(J2288),'Site Info'!$A:$G,5,FALSE),"")</f>
        <v>FL</v>
      </c>
      <c r="N2288" t="str">
        <f>IFERROR(VLOOKUP(VALUE(J2288),'Site Info'!$A:$G,6,FALSE),"")</f>
        <v>33407-1859</v>
      </c>
      <c r="O2288">
        <f>IFERROR(VLOOKUP(VALUE(J2288),'Site Info'!$A:$G,7,FALSE),"")</f>
        <v>5616870098</v>
      </c>
    </row>
    <row r="2289" spans="1:15" x14ac:dyDescent="0.45">
      <c r="A2289" t="s">
        <v>9133</v>
      </c>
      <c r="B2289" t="s">
        <v>9134</v>
      </c>
      <c r="C2289" t="s">
        <v>9135</v>
      </c>
      <c r="D2289" t="s">
        <v>1021</v>
      </c>
      <c r="E2289" s="1">
        <v>46151.615613425929</v>
      </c>
      <c r="F2289">
        <v>1547</v>
      </c>
      <c r="G2289" t="s">
        <v>9136</v>
      </c>
      <c r="H2289" t="s">
        <v>15</v>
      </c>
      <c r="I2289" t="s">
        <v>1023</v>
      </c>
      <c r="J2289" t="str">
        <f>RIGHT(D2289,4)</f>
        <v>8152</v>
      </c>
      <c r="K2289" t="str">
        <f>IFERROR(VLOOKUP(VALUE(J2289),'Site Info'!$A:$G,3,FALSE),"")</f>
        <v>432 PRIVATE DRIVE 288</v>
      </c>
      <c r="L2289" t="str">
        <f>IFERROR(VLOOKUP(VALUE(J2289),'Site Info'!$A:$G,4,FALSE),"")</f>
        <v>SOUTH POINT</v>
      </c>
      <c r="M2289" t="str">
        <f>IFERROR(VLOOKUP(VALUE(J2289),'Site Info'!$A:$G,5,FALSE),"")</f>
        <v>OH</v>
      </c>
      <c r="N2289" t="str">
        <f>IFERROR(VLOOKUP(VALUE(J2289),'Site Info'!$A:$G,6,FALSE),"")</f>
        <v>45680-7900</v>
      </c>
      <c r="O2289">
        <f>IFERROR(VLOOKUP(VALUE(J2289),'Site Info'!$A:$G,7,FALSE),"")</f>
        <v>7408943296</v>
      </c>
    </row>
    <row r="2290" spans="1:15" x14ac:dyDescent="0.45">
      <c r="A2290" t="s">
        <v>9163</v>
      </c>
      <c r="B2290" t="s">
        <v>9164</v>
      </c>
      <c r="C2290" t="s">
        <v>9165</v>
      </c>
      <c r="D2290" t="s">
        <v>1021</v>
      </c>
      <c r="E2290" s="1">
        <v>46152.628229166665</v>
      </c>
      <c r="F2290">
        <v>1547</v>
      </c>
      <c r="G2290" t="s">
        <v>9166</v>
      </c>
      <c r="H2290" t="s">
        <v>15</v>
      </c>
      <c r="I2290" t="s">
        <v>1023</v>
      </c>
      <c r="J2290" t="str">
        <f>RIGHT(D2290,4)</f>
        <v>8152</v>
      </c>
      <c r="K2290" t="str">
        <f>IFERROR(VLOOKUP(VALUE(J2290),'Site Info'!$A:$G,3,FALSE),"")</f>
        <v>432 PRIVATE DRIVE 288</v>
      </c>
      <c r="L2290" t="str">
        <f>IFERROR(VLOOKUP(VALUE(J2290),'Site Info'!$A:$G,4,FALSE),"")</f>
        <v>SOUTH POINT</v>
      </c>
      <c r="M2290" t="str">
        <f>IFERROR(VLOOKUP(VALUE(J2290),'Site Info'!$A:$G,5,FALSE),"")</f>
        <v>OH</v>
      </c>
      <c r="N2290" t="str">
        <f>IFERROR(VLOOKUP(VALUE(J2290),'Site Info'!$A:$G,6,FALSE),"")</f>
        <v>45680-7900</v>
      </c>
      <c r="O2290">
        <f>IFERROR(VLOOKUP(VALUE(J2290),'Site Info'!$A:$G,7,FALSE),"")</f>
        <v>7408943296</v>
      </c>
    </row>
    <row r="2291" spans="1:15" x14ac:dyDescent="0.45">
      <c r="A2291" t="s">
        <v>7117</v>
      </c>
      <c r="B2291" t="s">
        <v>7118</v>
      </c>
      <c r="C2291" t="s">
        <v>7119</v>
      </c>
      <c r="D2291" t="s">
        <v>1021</v>
      </c>
      <c r="E2291" s="1">
        <v>46153.371215277781</v>
      </c>
      <c r="F2291">
        <v>1547</v>
      </c>
      <c r="G2291" t="s">
        <v>7120</v>
      </c>
      <c r="H2291" t="s">
        <v>15</v>
      </c>
      <c r="I2291" t="s">
        <v>1023</v>
      </c>
      <c r="J2291" t="str">
        <f>RIGHT(D2291,4)</f>
        <v>8152</v>
      </c>
      <c r="K2291" t="str">
        <f>IFERROR(VLOOKUP(VALUE(J2291),'Site Info'!$A:$G,3,FALSE),"")</f>
        <v>432 PRIVATE DRIVE 288</v>
      </c>
      <c r="L2291" t="str">
        <f>IFERROR(VLOOKUP(VALUE(J2291),'Site Info'!$A:$G,4,FALSE),"")</f>
        <v>SOUTH POINT</v>
      </c>
      <c r="M2291" t="str">
        <f>IFERROR(VLOOKUP(VALUE(J2291),'Site Info'!$A:$G,5,FALSE),"")</f>
        <v>OH</v>
      </c>
      <c r="N2291" t="str">
        <f>IFERROR(VLOOKUP(VALUE(J2291),'Site Info'!$A:$G,6,FALSE),"")</f>
        <v>45680-7900</v>
      </c>
      <c r="O2291">
        <f>IFERROR(VLOOKUP(VALUE(J2291),'Site Info'!$A:$G,7,FALSE),"")</f>
        <v>7408943296</v>
      </c>
    </row>
    <row r="2292" spans="1:15" x14ac:dyDescent="0.45">
      <c r="A2292" t="s">
        <v>2587</v>
      </c>
      <c r="B2292" t="s">
        <v>2588</v>
      </c>
      <c r="C2292" t="s">
        <v>2589</v>
      </c>
      <c r="D2292" t="s">
        <v>1021</v>
      </c>
      <c r="E2292" s="1">
        <v>46153.365787037037</v>
      </c>
      <c r="F2292">
        <v>1481</v>
      </c>
      <c r="G2292" t="s">
        <v>2590</v>
      </c>
      <c r="H2292" t="s">
        <v>15</v>
      </c>
      <c r="I2292" t="s">
        <v>1023</v>
      </c>
      <c r="J2292" t="str">
        <f>RIGHT(D2292,4)</f>
        <v>8152</v>
      </c>
      <c r="K2292" t="str">
        <f>IFERROR(VLOOKUP(VALUE(J2292),'Site Info'!$A:$G,3,FALSE),"")</f>
        <v>432 PRIVATE DRIVE 288</v>
      </c>
      <c r="L2292" t="str">
        <f>IFERROR(VLOOKUP(VALUE(J2292),'Site Info'!$A:$G,4,FALSE),"")</f>
        <v>SOUTH POINT</v>
      </c>
      <c r="M2292" t="str">
        <f>IFERROR(VLOOKUP(VALUE(J2292),'Site Info'!$A:$G,5,FALSE),"")</f>
        <v>OH</v>
      </c>
      <c r="N2292" t="str">
        <f>IFERROR(VLOOKUP(VALUE(J2292),'Site Info'!$A:$G,6,FALSE),"")</f>
        <v>45680-7900</v>
      </c>
      <c r="O2292">
        <f>IFERROR(VLOOKUP(VALUE(J2292),'Site Info'!$A:$G,7,FALSE),"")</f>
        <v>7408943296</v>
      </c>
    </row>
    <row r="2293" spans="1:15" x14ac:dyDescent="0.45">
      <c r="A2293" t="s">
        <v>1018</v>
      </c>
      <c r="B2293" t="s">
        <v>1019</v>
      </c>
      <c r="C2293" t="s">
        <v>1020</v>
      </c>
      <c r="D2293" t="s">
        <v>1021</v>
      </c>
      <c r="E2293" s="1">
        <v>46153.369456018518</v>
      </c>
      <c r="F2293">
        <v>1481</v>
      </c>
      <c r="G2293" t="s">
        <v>1022</v>
      </c>
      <c r="H2293" t="s">
        <v>15</v>
      </c>
      <c r="I2293" t="s">
        <v>1023</v>
      </c>
      <c r="J2293" t="str">
        <f>RIGHT(D2293,4)</f>
        <v>8152</v>
      </c>
      <c r="K2293" t="str">
        <f>IFERROR(VLOOKUP(VALUE(J2293),'Site Info'!$A:$G,3,FALSE),"")</f>
        <v>432 PRIVATE DRIVE 288</v>
      </c>
      <c r="L2293" t="str">
        <f>IFERROR(VLOOKUP(VALUE(J2293),'Site Info'!$A:$G,4,FALSE),"")</f>
        <v>SOUTH POINT</v>
      </c>
      <c r="M2293" t="str">
        <f>IFERROR(VLOOKUP(VALUE(J2293),'Site Info'!$A:$G,5,FALSE),"")</f>
        <v>OH</v>
      </c>
      <c r="N2293" t="str">
        <f>IFERROR(VLOOKUP(VALUE(J2293),'Site Info'!$A:$G,6,FALSE),"")</f>
        <v>45680-7900</v>
      </c>
      <c r="O2293">
        <f>IFERROR(VLOOKUP(VALUE(J2293),'Site Info'!$A:$G,7,FALSE),"")</f>
        <v>7408943296</v>
      </c>
    </row>
    <row r="2294" spans="1:15" x14ac:dyDescent="0.45">
      <c r="A2294" t="s">
        <v>13175</v>
      </c>
      <c r="B2294" t="s">
        <v>13176</v>
      </c>
      <c r="C2294" t="s">
        <v>13177</v>
      </c>
      <c r="D2294" t="s">
        <v>2328</v>
      </c>
      <c r="E2294" s="1">
        <v>46152.565243055556</v>
      </c>
      <c r="F2294">
        <v>1547</v>
      </c>
      <c r="G2294" t="s">
        <v>13178</v>
      </c>
      <c r="H2294" t="s">
        <v>15</v>
      </c>
      <c r="I2294" t="s">
        <v>2330</v>
      </c>
      <c r="J2294" t="str">
        <f>RIGHT(D2294,4)</f>
        <v>6319</v>
      </c>
      <c r="K2294" t="str">
        <f>IFERROR(VLOOKUP(VALUE(J2294),'Site Info'!$A:$G,3,FALSE),"")</f>
        <v>4326 28TH ST SE</v>
      </c>
      <c r="L2294" t="str">
        <f>IFERROR(VLOOKUP(VALUE(J2294),'Site Info'!$A:$G,4,FALSE),"")</f>
        <v>KENTWOOD</v>
      </c>
      <c r="M2294" t="str">
        <f>IFERROR(VLOOKUP(VALUE(J2294),'Site Info'!$A:$G,5,FALSE),"")</f>
        <v>MI</v>
      </c>
      <c r="N2294" t="str">
        <f>IFERROR(VLOOKUP(VALUE(J2294),'Site Info'!$A:$G,6,FALSE),"")</f>
        <v>49512-1908</v>
      </c>
      <c r="O2294">
        <f>IFERROR(VLOOKUP(VALUE(J2294),'Site Info'!$A:$G,7,FALSE),"")</f>
        <v>6169422656</v>
      </c>
    </row>
    <row r="2295" spans="1:15" x14ac:dyDescent="0.45">
      <c r="A2295" t="s">
        <v>6472</v>
      </c>
      <c r="B2295" t="s">
        <v>6473</v>
      </c>
      <c r="C2295" t="s">
        <v>6474</v>
      </c>
      <c r="D2295" t="s">
        <v>2328</v>
      </c>
      <c r="E2295" s="1">
        <v>46152.641018518516</v>
      </c>
      <c r="F2295">
        <v>1547</v>
      </c>
      <c r="G2295" t="s">
        <v>6475</v>
      </c>
      <c r="H2295" t="s">
        <v>15</v>
      </c>
      <c r="I2295" t="s">
        <v>2330</v>
      </c>
      <c r="J2295" t="str">
        <f>RIGHT(D2295,4)</f>
        <v>6319</v>
      </c>
      <c r="K2295" t="str">
        <f>IFERROR(VLOOKUP(VALUE(J2295),'Site Info'!$A:$G,3,FALSE),"")</f>
        <v>4326 28TH ST SE</v>
      </c>
      <c r="L2295" t="str">
        <f>IFERROR(VLOOKUP(VALUE(J2295),'Site Info'!$A:$G,4,FALSE),"")</f>
        <v>KENTWOOD</v>
      </c>
      <c r="M2295" t="str">
        <f>IFERROR(VLOOKUP(VALUE(J2295),'Site Info'!$A:$G,5,FALSE),"")</f>
        <v>MI</v>
      </c>
      <c r="N2295" t="str">
        <f>IFERROR(VLOOKUP(VALUE(J2295),'Site Info'!$A:$G,6,FALSE),"")</f>
        <v>49512-1908</v>
      </c>
      <c r="O2295">
        <f>IFERROR(VLOOKUP(VALUE(J2295),'Site Info'!$A:$G,7,FALSE),"")</f>
        <v>6169422656</v>
      </c>
    </row>
    <row r="2296" spans="1:15" x14ac:dyDescent="0.45">
      <c r="A2296" t="s">
        <v>12028</v>
      </c>
      <c r="B2296" t="s">
        <v>12029</v>
      </c>
      <c r="C2296" t="s">
        <v>12030</v>
      </c>
      <c r="D2296" t="s">
        <v>2328</v>
      </c>
      <c r="E2296" s="1">
        <v>46153.325370370374</v>
      </c>
      <c r="F2296">
        <v>1547</v>
      </c>
      <c r="G2296" t="s">
        <v>12031</v>
      </c>
      <c r="H2296" t="s">
        <v>15</v>
      </c>
      <c r="I2296" t="s">
        <v>2330</v>
      </c>
      <c r="J2296" t="str">
        <f>RIGHT(D2296,4)</f>
        <v>6319</v>
      </c>
      <c r="K2296" t="str">
        <f>IFERROR(VLOOKUP(VALUE(J2296),'Site Info'!$A:$G,3,FALSE),"")</f>
        <v>4326 28TH ST SE</v>
      </c>
      <c r="L2296" t="str">
        <f>IFERROR(VLOOKUP(VALUE(J2296),'Site Info'!$A:$G,4,FALSE),"")</f>
        <v>KENTWOOD</v>
      </c>
      <c r="M2296" t="str">
        <f>IFERROR(VLOOKUP(VALUE(J2296),'Site Info'!$A:$G,5,FALSE),"")</f>
        <v>MI</v>
      </c>
      <c r="N2296" t="str">
        <f>IFERROR(VLOOKUP(VALUE(J2296),'Site Info'!$A:$G,6,FALSE),"")</f>
        <v>49512-1908</v>
      </c>
      <c r="O2296">
        <f>IFERROR(VLOOKUP(VALUE(J2296),'Site Info'!$A:$G,7,FALSE),"")</f>
        <v>6169422656</v>
      </c>
    </row>
    <row r="2297" spans="1:15" x14ac:dyDescent="0.45">
      <c r="A2297" t="s">
        <v>13331</v>
      </c>
      <c r="B2297" t="s">
        <v>13332</v>
      </c>
      <c r="C2297" t="s">
        <v>13333</v>
      </c>
      <c r="D2297" t="s">
        <v>2328</v>
      </c>
      <c r="E2297" s="1">
        <v>46153.340636574074</v>
      </c>
      <c r="F2297">
        <v>1547</v>
      </c>
      <c r="G2297" t="s">
        <v>13334</v>
      </c>
      <c r="H2297" t="s">
        <v>15</v>
      </c>
      <c r="I2297" t="s">
        <v>2330</v>
      </c>
      <c r="J2297" t="str">
        <f>RIGHT(D2297,4)</f>
        <v>6319</v>
      </c>
      <c r="K2297" t="str">
        <f>IFERROR(VLOOKUP(VALUE(J2297),'Site Info'!$A:$G,3,FALSE),"")</f>
        <v>4326 28TH ST SE</v>
      </c>
      <c r="L2297" t="str">
        <f>IFERROR(VLOOKUP(VALUE(J2297),'Site Info'!$A:$G,4,FALSE),"")</f>
        <v>KENTWOOD</v>
      </c>
      <c r="M2297" t="str">
        <f>IFERROR(VLOOKUP(VALUE(J2297),'Site Info'!$A:$G,5,FALSE),"")</f>
        <v>MI</v>
      </c>
      <c r="N2297" t="str">
        <f>IFERROR(VLOOKUP(VALUE(J2297),'Site Info'!$A:$G,6,FALSE),"")</f>
        <v>49512-1908</v>
      </c>
      <c r="O2297">
        <f>IFERROR(VLOOKUP(VALUE(J2297),'Site Info'!$A:$G,7,FALSE),"")</f>
        <v>6169422656</v>
      </c>
    </row>
    <row r="2298" spans="1:15" x14ac:dyDescent="0.45">
      <c r="A2298" t="s">
        <v>2325</v>
      </c>
      <c r="B2298" t="s">
        <v>2326</v>
      </c>
      <c r="C2298" t="s">
        <v>2327</v>
      </c>
      <c r="D2298" t="s">
        <v>2328</v>
      </c>
      <c r="E2298" s="1">
        <v>46153.152939814812</v>
      </c>
      <c r="F2298">
        <v>1481</v>
      </c>
      <c r="G2298" t="s">
        <v>2329</v>
      </c>
      <c r="H2298" t="s">
        <v>15</v>
      </c>
      <c r="I2298" t="s">
        <v>2330</v>
      </c>
      <c r="J2298" t="str">
        <f>RIGHT(D2298,4)</f>
        <v>6319</v>
      </c>
      <c r="K2298" t="str">
        <f>IFERROR(VLOOKUP(VALUE(J2298),'Site Info'!$A:$G,3,FALSE),"")</f>
        <v>4326 28TH ST SE</v>
      </c>
      <c r="L2298" t="str">
        <f>IFERROR(VLOOKUP(VALUE(J2298),'Site Info'!$A:$G,4,FALSE),"")</f>
        <v>KENTWOOD</v>
      </c>
      <c r="M2298" t="str">
        <f>IFERROR(VLOOKUP(VALUE(J2298),'Site Info'!$A:$G,5,FALSE),"")</f>
        <v>MI</v>
      </c>
      <c r="N2298" t="str">
        <f>IFERROR(VLOOKUP(VALUE(J2298),'Site Info'!$A:$G,6,FALSE),"")</f>
        <v>49512-1908</v>
      </c>
      <c r="O2298">
        <f>IFERROR(VLOOKUP(VALUE(J2298),'Site Info'!$A:$G,7,FALSE),"")</f>
        <v>6169422656</v>
      </c>
    </row>
    <row r="2299" spans="1:15" x14ac:dyDescent="0.45">
      <c r="A2299" t="s">
        <v>16512</v>
      </c>
      <c r="B2299" t="s">
        <v>16707</v>
      </c>
      <c r="C2299" t="s">
        <v>16708</v>
      </c>
      <c r="D2299" t="s">
        <v>2328</v>
      </c>
      <c r="E2299" s="1">
        <v>46150.665335648147</v>
      </c>
      <c r="F2299">
        <v>1628</v>
      </c>
      <c r="G2299" t="s">
        <v>16709</v>
      </c>
      <c r="H2299" t="s">
        <v>13988</v>
      </c>
      <c r="I2299" t="s">
        <v>2330</v>
      </c>
      <c r="J2299" t="str">
        <f>RIGHT(D2299,4)</f>
        <v>6319</v>
      </c>
      <c r="K2299" t="str">
        <f>IFERROR(VLOOKUP(VALUE(J2299),'Site Info'!$A:$G,3,FALSE),"")</f>
        <v>4326 28TH ST SE</v>
      </c>
      <c r="L2299" t="str">
        <f>IFERROR(VLOOKUP(VALUE(J2299),'Site Info'!$A:$G,4,FALSE),"")</f>
        <v>KENTWOOD</v>
      </c>
      <c r="M2299" t="str">
        <f>IFERROR(VLOOKUP(VALUE(J2299),'Site Info'!$A:$G,5,FALSE),"")</f>
        <v>MI</v>
      </c>
      <c r="N2299" t="str">
        <f>IFERROR(VLOOKUP(VALUE(J2299),'Site Info'!$A:$G,6,FALSE),"")</f>
        <v>49512-1908</v>
      </c>
      <c r="O2299">
        <f>IFERROR(VLOOKUP(VALUE(J2299),'Site Info'!$A:$G,7,FALSE),"")</f>
        <v>6169422656</v>
      </c>
    </row>
    <row r="2300" spans="1:15" x14ac:dyDescent="0.45">
      <c r="A2300" t="s">
        <v>6501</v>
      </c>
      <c r="B2300" t="s">
        <v>6502</v>
      </c>
      <c r="C2300" t="s">
        <v>6503</v>
      </c>
      <c r="D2300" t="s">
        <v>1753</v>
      </c>
      <c r="E2300" s="1">
        <v>46150.460497685184</v>
      </c>
      <c r="F2300">
        <v>1547</v>
      </c>
      <c r="G2300" t="s">
        <v>6504</v>
      </c>
      <c r="H2300" t="s">
        <v>15</v>
      </c>
      <c r="I2300" t="s">
        <v>1755</v>
      </c>
      <c r="J2300" t="str">
        <f>RIGHT(D2300,4)</f>
        <v>6448</v>
      </c>
      <c r="K2300" t="str">
        <f>IFERROR(VLOOKUP(VALUE(J2300),'Site Info'!$A:$G,3,FALSE),"")</f>
        <v>4330 US 19</v>
      </c>
      <c r="L2300" t="str">
        <f>IFERROR(VLOOKUP(VALUE(J2300),'Site Info'!$A:$G,4,FALSE),"")</f>
        <v>NEW PORT RICHEY</v>
      </c>
      <c r="M2300" t="str">
        <f>IFERROR(VLOOKUP(VALUE(J2300),'Site Info'!$A:$G,5,FALSE),"")</f>
        <v>FL</v>
      </c>
      <c r="N2300" t="str">
        <f>IFERROR(VLOOKUP(VALUE(J2300),'Site Info'!$A:$G,6,FALSE),"")</f>
        <v>34652-5441</v>
      </c>
      <c r="O2300">
        <f>IFERROR(VLOOKUP(VALUE(J2300),'Site Info'!$A:$G,7,FALSE),"")</f>
        <v>7278467300</v>
      </c>
    </row>
    <row r="2301" spans="1:15" x14ac:dyDescent="0.45">
      <c r="A2301" t="s">
        <v>6517</v>
      </c>
      <c r="B2301" t="s">
        <v>6518</v>
      </c>
      <c r="C2301" t="s">
        <v>6519</v>
      </c>
      <c r="D2301" t="s">
        <v>1753</v>
      </c>
      <c r="E2301" s="1">
        <v>46151.74560185185</v>
      </c>
      <c r="F2301">
        <v>1547</v>
      </c>
      <c r="G2301" t="s">
        <v>6520</v>
      </c>
      <c r="H2301" t="s">
        <v>15</v>
      </c>
      <c r="I2301" t="s">
        <v>1755</v>
      </c>
      <c r="J2301" t="str">
        <f>RIGHT(D2301,4)</f>
        <v>6448</v>
      </c>
      <c r="K2301" t="str">
        <f>IFERROR(VLOOKUP(VALUE(J2301),'Site Info'!$A:$G,3,FALSE),"")</f>
        <v>4330 US 19</v>
      </c>
      <c r="L2301" t="str">
        <f>IFERROR(VLOOKUP(VALUE(J2301),'Site Info'!$A:$G,4,FALSE),"")</f>
        <v>NEW PORT RICHEY</v>
      </c>
      <c r="M2301" t="str">
        <f>IFERROR(VLOOKUP(VALUE(J2301),'Site Info'!$A:$G,5,FALSE),"")</f>
        <v>FL</v>
      </c>
      <c r="N2301" t="str">
        <f>IFERROR(VLOOKUP(VALUE(J2301),'Site Info'!$A:$G,6,FALSE),"")</f>
        <v>34652-5441</v>
      </c>
      <c r="O2301">
        <f>IFERROR(VLOOKUP(VALUE(J2301),'Site Info'!$A:$G,7,FALSE),"")</f>
        <v>7278467300</v>
      </c>
    </row>
    <row r="2302" spans="1:15" x14ac:dyDescent="0.45">
      <c r="A2302" t="s">
        <v>5050</v>
      </c>
      <c r="B2302" t="s">
        <v>5051</v>
      </c>
      <c r="C2302" t="s">
        <v>5052</v>
      </c>
      <c r="D2302" t="s">
        <v>1753</v>
      </c>
      <c r="E2302" s="1">
        <v>46152.723402777781</v>
      </c>
      <c r="F2302">
        <v>1547</v>
      </c>
      <c r="G2302" t="s">
        <v>5053</v>
      </c>
      <c r="H2302" t="s">
        <v>15</v>
      </c>
      <c r="I2302" t="s">
        <v>1755</v>
      </c>
      <c r="J2302" t="str">
        <f>RIGHT(D2302,4)</f>
        <v>6448</v>
      </c>
      <c r="K2302" t="str">
        <f>IFERROR(VLOOKUP(VALUE(J2302),'Site Info'!$A:$G,3,FALSE),"")</f>
        <v>4330 US 19</v>
      </c>
      <c r="L2302" t="str">
        <f>IFERROR(VLOOKUP(VALUE(J2302),'Site Info'!$A:$G,4,FALSE),"")</f>
        <v>NEW PORT RICHEY</v>
      </c>
      <c r="M2302" t="str">
        <f>IFERROR(VLOOKUP(VALUE(J2302),'Site Info'!$A:$G,5,FALSE),"")</f>
        <v>FL</v>
      </c>
      <c r="N2302" t="str">
        <f>IFERROR(VLOOKUP(VALUE(J2302),'Site Info'!$A:$G,6,FALSE),"")</f>
        <v>34652-5441</v>
      </c>
      <c r="O2302">
        <f>IFERROR(VLOOKUP(VALUE(J2302),'Site Info'!$A:$G,7,FALSE),"")</f>
        <v>7278467300</v>
      </c>
    </row>
    <row r="2303" spans="1:15" x14ac:dyDescent="0.45">
      <c r="A2303" t="s">
        <v>5146</v>
      </c>
      <c r="B2303" t="s">
        <v>5147</v>
      </c>
      <c r="C2303" t="s">
        <v>5148</v>
      </c>
      <c r="D2303" t="s">
        <v>1753</v>
      </c>
      <c r="E2303" s="1">
        <v>46153.32608796296</v>
      </c>
      <c r="F2303">
        <v>1547</v>
      </c>
      <c r="G2303" t="s">
        <v>5149</v>
      </c>
      <c r="H2303" t="s">
        <v>15</v>
      </c>
      <c r="I2303" t="s">
        <v>1755</v>
      </c>
      <c r="J2303" t="str">
        <f>RIGHT(D2303,4)</f>
        <v>6448</v>
      </c>
      <c r="K2303" t="str">
        <f>IFERROR(VLOOKUP(VALUE(J2303),'Site Info'!$A:$G,3,FALSE),"")</f>
        <v>4330 US 19</v>
      </c>
      <c r="L2303" t="str">
        <f>IFERROR(VLOOKUP(VALUE(J2303),'Site Info'!$A:$G,4,FALSE),"")</f>
        <v>NEW PORT RICHEY</v>
      </c>
      <c r="M2303" t="str">
        <f>IFERROR(VLOOKUP(VALUE(J2303),'Site Info'!$A:$G,5,FALSE),"")</f>
        <v>FL</v>
      </c>
      <c r="N2303" t="str">
        <f>IFERROR(VLOOKUP(VALUE(J2303),'Site Info'!$A:$G,6,FALSE),"")</f>
        <v>34652-5441</v>
      </c>
      <c r="O2303">
        <f>IFERROR(VLOOKUP(VALUE(J2303),'Site Info'!$A:$G,7,FALSE),"")</f>
        <v>7278467300</v>
      </c>
    </row>
    <row r="2304" spans="1:15" x14ac:dyDescent="0.45">
      <c r="A2304" t="s">
        <v>1750</v>
      </c>
      <c r="B2304" t="s">
        <v>1751</v>
      </c>
      <c r="C2304" t="s">
        <v>1752</v>
      </c>
      <c r="D2304" t="s">
        <v>1753</v>
      </c>
      <c r="E2304" s="1">
        <v>46153.351458333331</v>
      </c>
      <c r="F2304">
        <v>1481</v>
      </c>
      <c r="G2304" t="s">
        <v>1754</v>
      </c>
      <c r="H2304" t="s">
        <v>15</v>
      </c>
      <c r="I2304" t="s">
        <v>1755</v>
      </c>
      <c r="J2304" t="str">
        <f>RIGHT(D2304,4)</f>
        <v>6448</v>
      </c>
      <c r="K2304" t="str">
        <f>IFERROR(VLOOKUP(VALUE(J2304),'Site Info'!$A:$G,3,FALSE),"")</f>
        <v>4330 US 19</v>
      </c>
      <c r="L2304" t="str">
        <f>IFERROR(VLOOKUP(VALUE(J2304),'Site Info'!$A:$G,4,FALSE),"")</f>
        <v>NEW PORT RICHEY</v>
      </c>
      <c r="M2304" t="str">
        <f>IFERROR(VLOOKUP(VALUE(J2304),'Site Info'!$A:$G,5,FALSE),"")</f>
        <v>FL</v>
      </c>
      <c r="N2304" t="str">
        <f>IFERROR(VLOOKUP(VALUE(J2304),'Site Info'!$A:$G,6,FALSE),"")</f>
        <v>34652-5441</v>
      </c>
      <c r="O2304">
        <f>IFERROR(VLOOKUP(VALUE(J2304),'Site Info'!$A:$G,7,FALSE),"")</f>
        <v>7278467300</v>
      </c>
    </row>
    <row r="2305" spans="1:15" x14ac:dyDescent="0.45">
      <c r="A2305" t="s">
        <v>14632</v>
      </c>
      <c r="B2305" t="s">
        <v>16886</v>
      </c>
      <c r="C2305" t="s">
        <v>16887</v>
      </c>
      <c r="D2305" t="s">
        <v>1753</v>
      </c>
      <c r="E2305" s="1">
        <v>46151.664201388892</v>
      </c>
      <c r="F2305">
        <v>1628</v>
      </c>
      <c r="G2305" t="s">
        <v>16888</v>
      </c>
      <c r="H2305" t="s">
        <v>13988</v>
      </c>
      <c r="I2305" t="s">
        <v>1755</v>
      </c>
      <c r="J2305" t="str">
        <f>RIGHT(D2305,4)</f>
        <v>6448</v>
      </c>
      <c r="K2305" t="str">
        <f>IFERROR(VLOOKUP(VALUE(J2305),'Site Info'!$A:$G,3,FALSE),"")</f>
        <v>4330 US 19</v>
      </c>
      <c r="L2305" t="str">
        <f>IFERROR(VLOOKUP(VALUE(J2305),'Site Info'!$A:$G,4,FALSE),"")</f>
        <v>NEW PORT RICHEY</v>
      </c>
      <c r="M2305" t="str">
        <f>IFERROR(VLOOKUP(VALUE(J2305),'Site Info'!$A:$G,5,FALSE),"")</f>
        <v>FL</v>
      </c>
      <c r="N2305" t="str">
        <f>IFERROR(VLOOKUP(VALUE(J2305),'Site Info'!$A:$G,6,FALSE),"")</f>
        <v>34652-5441</v>
      </c>
      <c r="O2305">
        <f>IFERROR(VLOOKUP(VALUE(J2305),'Site Info'!$A:$G,7,FALSE),"")</f>
        <v>7278467300</v>
      </c>
    </row>
    <row r="2306" spans="1:15" x14ac:dyDescent="0.45">
      <c r="A2306" t="s">
        <v>4708</v>
      </c>
      <c r="B2306" t="s">
        <v>4709</v>
      </c>
      <c r="C2306" t="s">
        <v>4710</v>
      </c>
      <c r="D2306" t="s">
        <v>4389</v>
      </c>
      <c r="E2306" s="1">
        <v>46153.255856481483</v>
      </c>
      <c r="F2306">
        <v>1547</v>
      </c>
      <c r="G2306" t="s">
        <v>4711</v>
      </c>
      <c r="H2306" t="s">
        <v>15</v>
      </c>
      <c r="I2306" t="s">
        <v>4391</v>
      </c>
      <c r="J2306" t="str">
        <f>RIGHT(D2306,4)</f>
        <v>6334</v>
      </c>
      <c r="K2306" t="str">
        <f>IFERROR(VLOOKUP(VALUE(J2306),'Site Info'!$A:$G,3,FALSE),"")</f>
        <v>4334 N PROSPECT ST</v>
      </c>
      <c r="L2306" t="str">
        <f>IFERROR(VLOOKUP(VALUE(J2306),'Site Info'!$A:$G,4,FALSE),"")</f>
        <v>DECATUR</v>
      </c>
      <c r="M2306" t="str">
        <f>IFERROR(VLOOKUP(VALUE(J2306),'Site Info'!$A:$G,5,FALSE),"")</f>
        <v>IL</v>
      </c>
      <c r="N2306" t="str">
        <f>IFERROR(VLOOKUP(VALUE(J2306),'Site Info'!$A:$G,6,FALSE),"")</f>
        <v>62526-6109</v>
      </c>
      <c r="O2306">
        <f>IFERROR(VLOOKUP(VALUE(J2306),'Site Info'!$A:$G,7,FALSE),"")</f>
        <v>2178769202</v>
      </c>
    </row>
    <row r="2307" spans="1:15" x14ac:dyDescent="0.45">
      <c r="A2307" t="s">
        <v>4386</v>
      </c>
      <c r="B2307" t="s">
        <v>4387</v>
      </c>
      <c r="C2307" t="s">
        <v>4388</v>
      </c>
      <c r="D2307" t="s">
        <v>4389</v>
      </c>
      <c r="E2307" s="1">
        <v>46153.342395833337</v>
      </c>
      <c r="F2307">
        <v>1547</v>
      </c>
      <c r="G2307" t="s">
        <v>4390</v>
      </c>
      <c r="H2307" t="s">
        <v>15</v>
      </c>
      <c r="I2307" t="s">
        <v>4391</v>
      </c>
      <c r="J2307" t="str">
        <f>RIGHT(D2307,4)</f>
        <v>6334</v>
      </c>
      <c r="K2307" t="str">
        <f>IFERROR(VLOOKUP(VALUE(J2307),'Site Info'!$A:$G,3,FALSE),"")</f>
        <v>4334 N PROSPECT ST</v>
      </c>
      <c r="L2307" t="str">
        <f>IFERROR(VLOOKUP(VALUE(J2307),'Site Info'!$A:$G,4,FALSE),"")</f>
        <v>DECATUR</v>
      </c>
      <c r="M2307" t="str">
        <f>IFERROR(VLOOKUP(VALUE(J2307),'Site Info'!$A:$G,5,FALSE),"")</f>
        <v>IL</v>
      </c>
      <c r="N2307" t="str">
        <f>IFERROR(VLOOKUP(VALUE(J2307),'Site Info'!$A:$G,6,FALSE),"")</f>
        <v>62526-6109</v>
      </c>
      <c r="O2307">
        <f>IFERROR(VLOOKUP(VALUE(J2307),'Site Info'!$A:$G,7,FALSE),"")</f>
        <v>2178769202</v>
      </c>
    </row>
    <row r="2308" spans="1:15" x14ac:dyDescent="0.45">
      <c r="A2308" t="s">
        <v>4770</v>
      </c>
      <c r="B2308" t="s">
        <v>4771</v>
      </c>
      <c r="C2308" t="s">
        <v>4772</v>
      </c>
      <c r="D2308" t="s">
        <v>4389</v>
      </c>
      <c r="E2308" s="1">
        <v>46153.360798611109</v>
      </c>
      <c r="F2308">
        <v>1547</v>
      </c>
      <c r="G2308" t="s">
        <v>4773</v>
      </c>
      <c r="H2308" t="s">
        <v>15</v>
      </c>
      <c r="I2308" t="s">
        <v>4391</v>
      </c>
      <c r="J2308" t="str">
        <f>RIGHT(D2308,4)</f>
        <v>6334</v>
      </c>
      <c r="K2308" t="str">
        <f>IFERROR(VLOOKUP(VALUE(J2308),'Site Info'!$A:$G,3,FALSE),"")</f>
        <v>4334 N PROSPECT ST</v>
      </c>
      <c r="L2308" t="str">
        <f>IFERROR(VLOOKUP(VALUE(J2308),'Site Info'!$A:$G,4,FALSE),"")</f>
        <v>DECATUR</v>
      </c>
      <c r="M2308" t="str">
        <f>IFERROR(VLOOKUP(VALUE(J2308),'Site Info'!$A:$G,5,FALSE),"")</f>
        <v>IL</v>
      </c>
      <c r="N2308" t="str">
        <f>IFERROR(VLOOKUP(VALUE(J2308),'Site Info'!$A:$G,6,FALSE),"")</f>
        <v>62526-6109</v>
      </c>
      <c r="O2308">
        <f>IFERROR(VLOOKUP(VALUE(J2308),'Site Info'!$A:$G,7,FALSE),"")</f>
        <v>2178769202</v>
      </c>
    </row>
    <row r="2309" spans="1:15" x14ac:dyDescent="0.45">
      <c r="A2309" t="s">
        <v>5854</v>
      </c>
      <c r="B2309" t="s">
        <v>5855</v>
      </c>
      <c r="C2309" t="s">
        <v>5856</v>
      </c>
      <c r="D2309" t="s">
        <v>4065</v>
      </c>
      <c r="E2309" s="1">
        <v>46151.780624999999</v>
      </c>
      <c r="F2309">
        <v>1547</v>
      </c>
      <c r="G2309" t="s">
        <v>5857</v>
      </c>
      <c r="H2309" t="s">
        <v>15</v>
      </c>
      <c r="I2309" t="s">
        <v>4067</v>
      </c>
      <c r="J2309" t="str">
        <f>RIGHT(D2309,4)</f>
        <v>4778</v>
      </c>
      <c r="K2309" t="str">
        <f>IFERROR(VLOOKUP(VALUE(J2309),'Site Info'!$A:$G,3,FALSE),"")</f>
        <v>4350 JOSLYN RD</v>
      </c>
      <c r="L2309" t="str">
        <f>IFERROR(VLOOKUP(VALUE(J2309),'Site Info'!$A:$G,4,FALSE),"")</f>
        <v>AUBURN HILLS</v>
      </c>
      <c r="M2309" t="str">
        <f>IFERROR(VLOOKUP(VALUE(J2309),'Site Info'!$A:$G,5,FALSE),"")</f>
        <v>MI</v>
      </c>
      <c r="N2309" t="str">
        <f>IFERROR(VLOOKUP(VALUE(J2309),'Site Info'!$A:$G,6,FALSE),"")</f>
        <v>48326-1329</v>
      </c>
      <c r="O2309">
        <f>IFERROR(VLOOKUP(VALUE(J2309),'Site Info'!$A:$G,7,FALSE),"")</f>
        <v>2483916910</v>
      </c>
    </row>
    <row r="2310" spans="1:15" x14ac:dyDescent="0.45">
      <c r="A2310" t="s">
        <v>4062</v>
      </c>
      <c r="B2310" t="s">
        <v>4063</v>
      </c>
      <c r="C2310" t="s">
        <v>4064</v>
      </c>
      <c r="D2310" t="s">
        <v>4065</v>
      </c>
      <c r="E2310" s="1">
        <v>46152.81658564815</v>
      </c>
      <c r="F2310">
        <v>1547</v>
      </c>
      <c r="G2310" t="s">
        <v>4066</v>
      </c>
      <c r="H2310" t="s">
        <v>15</v>
      </c>
      <c r="I2310" t="s">
        <v>4067</v>
      </c>
      <c r="J2310" t="str">
        <f>RIGHT(D2310,4)</f>
        <v>4778</v>
      </c>
      <c r="K2310" t="str">
        <f>IFERROR(VLOOKUP(VALUE(J2310),'Site Info'!$A:$G,3,FALSE),"")</f>
        <v>4350 JOSLYN RD</v>
      </c>
      <c r="L2310" t="str">
        <f>IFERROR(VLOOKUP(VALUE(J2310),'Site Info'!$A:$G,4,FALSE),"")</f>
        <v>AUBURN HILLS</v>
      </c>
      <c r="M2310" t="str">
        <f>IFERROR(VLOOKUP(VALUE(J2310),'Site Info'!$A:$G,5,FALSE),"")</f>
        <v>MI</v>
      </c>
      <c r="N2310" t="str">
        <f>IFERROR(VLOOKUP(VALUE(J2310),'Site Info'!$A:$G,6,FALSE),"")</f>
        <v>48326-1329</v>
      </c>
      <c r="O2310">
        <f>IFERROR(VLOOKUP(VALUE(J2310),'Site Info'!$A:$G,7,FALSE),"")</f>
        <v>2483916910</v>
      </c>
    </row>
    <row r="2311" spans="1:15" x14ac:dyDescent="0.45">
      <c r="A2311" t="s">
        <v>5838</v>
      </c>
      <c r="B2311" t="s">
        <v>5839</v>
      </c>
      <c r="C2311" t="s">
        <v>5840</v>
      </c>
      <c r="D2311" t="s">
        <v>4065</v>
      </c>
      <c r="E2311" s="1">
        <v>46153.087071759262</v>
      </c>
      <c r="F2311">
        <v>1547</v>
      </c>
      <c r="G2311" t="s">
        <v>5841</v>
      </c>
      <c r="H2311" t="s">
        <v>15</v>
      </c>
      <c r="I2311" t="s">
        <v>4067</v>
      </c>
      <c r="J2311" t="str">
        <f>RIGHT(D2311,4)</f>
        <v>4778</v>
      </c>
      <c r="K2311" t="str">
        <f>IFERROR(VLOOKUP(VALUE(J2311),'Site Info'!$A:$G,3,FALSE),"")</f>
        <v>4350 JOSLYN RD</v>
      </c>
      <c r="L2311" t="str">
        <f>IFERROR(VLOOKUP(VALUE(J2311),'Site Info'!$A:$G,4,FALSE),"")</f>
        <v>AUBURN HILLS</v>
      </c>
      <c r="M2311" t="str">
        <f>IFERROR(VLOOKUP(VALUE(J2311),'Site Info'!$A:$G,5,FALSE),"")</f>
        <v>MI</v>
      </c>
      <c r="N2311" t="str">
        <f>IFERROR(VLOOKUP(VALUE(J2311),'Site Info'!$A:$G,6,FALSE),"")</f>
        <v>48326-1329</v>
      </c>
      <c r="O2311">
        <f>IFERROR(VLOOKUP(VALUE(J2311),'Site Info'!$A:$G,7,FALSE),"")</f>
        <v>2483916910</v>
      </c>
    </row>
    <row r="2312" spans="1:15" x14ac:dyDescent="0.45">
      <c r="A2312" t="s">
        <v>5866</v>
      </c>
      <c r="B2312" t="s">
        <v>5867</v>
      </c>
      <c r="C2312" t="s">
        <v>5868</v>
      </c>
      <c r="D2312" t="s">
        <v>4065</v>
      </c>
      <c r="E2312" s="1">
        <v>46153.27553240741</v>
      </c>
      <c r="F2312">
        <v>1547</v>
      </c>
      <c r="G2312" t="s">
        <v>5869</v>
      </c>
      <c r="H2312" t="s">
        <v>15</v>
      </c>
      <c r="I2312" t="s">
        <v>4067</v>
      </c>
      <c r="J2312" t="str">
        <f>RIGHT(D2312,4)</f>
        <v>4778</v>
      </c>
      <c r="K2312" t="str">
        <f>IFERROR(VLOOKUP(VALUE(J2312),'Site Info'!$A:$G,3,FALSE),"")</f>
        <v>4350 JOSLYN RD</v>
      </c>
      <c r="L2312" t="str">
        <f>IFERROR(VLOOKUP(VALUE(J2312),'Site Info'!$A:$G,4,FALSE),"")</f>
        <v>AUBURN HILLS</v>
      </c>
      <c r="M2312" t="str">
        <f>IFERROR(VLOOKUP(VALUE(J2312),'Site Info'!$A:$G,5,FALSE),"")</f>
        <v>MI</v>
      </c>
      <c r="N2312" t="str">
        <f>IFERROR(VLOOKUP(VALUE(J2312),'Site Info'!$A:$G,6,FALSE),"")</f>
        <v>48326-1329</v>
      </c>
      <c r="O2312">
        <f>IFERROR(VLOOKUP(VALUE(J2312),'Site Info'!$A:$G,7,FALSE),"")</f>
        <v>2483916910</v>
      </c>
    </row>
    <row r="2313" spans="1:15" x14ac:dyDescent="0.45">
      <c r="A2313" t="s">
        <v>5986</v>
      </c>
      <c r="B2313" t="s">
        <v>5987</v>
      </c>
      <c r="C2313" t="s">
        <v>5988</v>
      </c>
      <c r="D2313" t="s">
        <v>4065</v>
      </c>
      <c r="E2313" s="1">
        <v>46153.317372685182</v>
      </c>
      <c r="F2313">
        <v>1547</v>
      </c>
      <c r="G2313" t="s">
        <v>5989</v>
      </c>
      <c r="H2313" t="s">
        <v>15</v>
      </c>
      <c r="I2313" t="s">
        <v>4067</v>
      </c>
      <c r="J2313" t="str">
        <f>RIGHT(D2313,4)</f>
        <v>4778</v>
      </c>
      <c r="K2313" t="str">
        <f>IFERROR(VLOOKUP(VALUE(J2313),'Site Info'!$A:$G,3,FALSE),"")</f>
        <v>4350 JOSLYN RD</v>
      </c>
      <c r="L2313" t="str">
        <f>IFERROR(VLOOKUP(VALUE(J2313),'Site Info'!$A:$G,4,FALSE),"")</f>
        <v>AUBURN HILLS</v>
      </c>
      <c r="M2313" t="str">
        <f>IFERROR(VLOOKUP(VALUE(J2313),'Site Info'!$A:$G,5,FALSE),"")</f>
        <v>MI</v>
      </c>
      <c r="N2313" t="str">
        <f>IFERROR(VLOOKUP(VALUE(J2313),'Site Info'!$A:$G,6,FALSE),"")</f>
        <v>48326-1329</v>
      </c>
      <c r="O2313">
        <f>IFERROR(VLOOKUP(VALUE(J2313),'Site Info'!$A:$G,7,FALSE),"")</f>
        <v>2483916910</v>
      </c>
    </row>
    <row r="2314" spans="1:15" x14ac:dyDescent="0.45">
      <c r="A2314" t="s">
        <v>16431</v>
      </c>
      <c r="B2314" t="s">
        <v>16432</v>
      </c>
      <c r="C2314" t="s">
        <v>16433</v>
      </c>
      <c r="D2314" t="s">
        <v>4065</v>
      </c>
      <c r="E2314" s="1">
        <v>46150.089039351849</v>
      </c>
      <c r="F2314">
        <v>1628</v>
      </c>
      <c r="G2314" t="s">
        <v>16434</v>
      </c>
      <c r="H2314" t="s">
        <v>13988</v>
      </c>
      <c r="I2314" t="s">
        <v>4067</v>
      </c>
      <c r="J2314" t="str">
        <f>RIGHT(D2314,4)</f>
        <v>4778</v>
      </c>
      <c r="K2314" t="str">
        <f>IFERROR(VLOOKUP(VALUE(J2314),'Site Info'!$A:$G,3,FALSE),"")</f>
        <v>4350 JOSLYN RD</v>
      </c>
      <c r="L2314" t="str">
        <f>IFERROR(VLOOKUP(VALUE(J2314),'Site Info'!$A:$G,4,FALSE),"")</f>
        <v>AUBURN HILLS</v>
      </c>
      <c r="M2314" t="str">
        <f>IFERROR(VLOOKUP(VALUE(J2314),'Site Info'!$A:$G,5,FALSE),"")</f>
        <v>MI</v>
      </c>
      <c r="N2314" t="str">
        <f>IFERROR(VLOOKUP(VALUE(J2314),'Site Info'!$A:$G,6,FALSE),"")</f>
        <v>48326-1329</v>
      </c>
      <c r="O2314">
        <f>IFERROR(VLOOKUP(VALUE(J2314),'Site Info'!$A:$G,7,FALSE),"")</f>
        <v>2483916910</v>
      </c>
    </row>
    <row r="2315" spans="1:15" x14ac:dyDescent="0.45">
      <c r="A2315" t="s">
        <v>14624</v>
      </c>
      <c r="B2315" t="s">
        <v>14625</v>
      </c>
      <c r="C2315" t="s">
        <v>14626</v>
      </c>
      <c r="D2315" t="s">
        <v>5963</v>
      </c>
      <c r="E2315" s="1">
        <v>46151.836319444446</v>
      </c>
      <c r="F2315">
        <v>1547</v>
      </c>
      <c r="G2315" t="s">
        <v>14627</v>
      </c>
      <c r="H2315" t="s">
        <v>15</v>
      </c>
      <c r="I2315" t="s">
        <v>5965</v>
      </c>
      <c r="J2315" t="str">
        <f>RIGHT(D2315,4)</f>
        <v>8135</v>
      </c>
      <c r="K2315" t="str">
        <f>IFERROR(VLOOKUP(VALUE(J2315),'Site Info'!$A:$G,3,FALSE),"")</f>
        <v>4350 S US HIGHWAY 41</v>
      </c>
      <c r="L2315" t="str">
        <f>IFERROR(VLOOKUP(VALUE(J2315),'Site Info'!$A:$G,4,FALSE),"")</f>
        <v>TERRE HAUTE</v>
      </c>
      <c r="M2315" t="str">
        <f>IFERROR(VLOOKUP(VALUE(J2315),'Site Info'!$A:$G,5,FALSE),"")</f>
        <v>IN</v>
      </c>
      <c r="N2315" t="str">
        <f>IFERROR(VLOOKUP(VALUE(J2315),'Site Info'!$A:$G,6,FALSE),"")</f>
        <v>47802-4407</v>
      </c>
      <c r="O2315">
        <f>IFERROR(VLOOKUP(VALUE(J2315),'Site Info'!$A:$G,7,FALSE),"")</f>
        <v>8122355660</v>
      </c>
    </row>
    <row r="2316" spans="1:15" x14ac:dyDescent="0.45">
      <c r="A2316" t="s">
        <v>5960</v>
      </c>
      <c r="B2316" t="s">
        <v>5961</v>
      </c>
      <c r="C2316" t="s">
        <v>5962</v>
      </c>
      <c r="D2316" t="s">
        <v>5963</v>
      </c>
      <c r="E2316" s="1">
        <v>46152.808842592596</v>
      </c>
      <c r="F2316">
        <v>1547</v>
      </c>
      <c r="G2316" t="s">
        <v>5964</v>
      </c>
      <c r="H2316" t="s">
        <v>15</v>
      </c>
      <c r="I2316" t="s">
        <v>5965</v>
      </c>
      <c r="J2316" t="str">
        <f>RIGHT(D2316,4)</f>
        <v>8135</v>
      </c>
      <c r="K2316" t="str">
        <f>IFERROR(VLOOKUP(VALUE(J2316),'Site Info'!$A:$G,3,FALSE),"")</f>
        <v>4350 S US HIGHWAY 41</v>
      </c>
      <c r="L2316" t="str">
        <f>IFERROR(VLOOKUP(VALUE(J2316),'Site Info'!$A:$G,4,FALSE),"")</f>
        <v>TERRE HAUTE</v>
      </c>
      <c r="M2316" t="str">
        <f>IFERROR(VLOOKUP(VALUE(J2316),'Site Info'!$A:$G,5,FALSE),"")</f>
        <v>IN</v>
      </c>
      <c r="N2316" t="str">
        <f>IFERROR(VLOOKUP(VALUE(J2316),'Site Info'!$A:$G,6,FALSE),"")</f>
        <v>47802-4407</v>
      </c>
      <c r="O2316">
        <f>IFERROR(VLOOKUP(VALUE(J2316),'Site Info'!$A:$G,7,FALSE),"")</f>
        <v>8122355660</v>
      </c>
    </row>
    <row r="2317" spans="1:15" x14ac:dyDescent="0.45">
      <c r="A2317" t="s">
        <v>6014</v>
      </c>
      <c r="B2317" t="s">
        <v>6015</v>
      </c>
      <c r="C2317" t="s">
        <v>6016</v>
      </c>
      <c r="D2317" t="s">
        <v>5963</v>
      </c>
      <c r="E2317" s="1">
        <v>46153.317928240744</v>
      </c>
      <c r="F2317">
        <v>1547</v>
      </c>
      <c r="G2317" t="s">
        <v>6017</v>
      </c>
      <c r="H2317" t="s">
        <v>15</v>
      </c>
      <c r="I2317" t="s">
        <v>5965</v>
      </c>
      <c r="J2317" t="str">
        <f>RIGHT(D2317,4)</f>
        <v>8135</v>
      </c>
      <c r="K2317" t="str">
        <f>IFERROR(VLOOKUP(VALUE(J2317),'Site Info'!$A:$G,3,FALSE),"")</f>
        <v>4350 S US HIGHWAY 41</v>
      </c>
      <c r="L2317" t="str">
        <f>IFERROR(VLOOKUP(VALUE(J2317),'Site Info'!$A:$G,4,FALSE),"")</f>
        <v>TERRE HAUTE</v>
      </c>
      <c r="M2317" t="str">
        <f>IFERROR(VLOOKUP(VALUE(J2317),'Site Info'!$A:$G,5,FALSE),"")</f>
        <v>IN</v>
      </c>
      <c r="N2317" t="str">
        <f>IFERROR(VLOOKUP(VALUE(J2317),'Site Info'!$A:$G,6,FALSE),"")</f>
        <v>47802-4407</v>
      </c>
      <c r="O2317">
        <f>IFERROR(VLOOKUP(VALUE(J2317),'Site Info'!$A:$G,7,FALSE),"")</f>
        <v>8122355660</v>
      </c>
    </row>
    <row r="2318" spans="1:15" x14ac:dyDescent="0.45">
      <c r="A2318" t="s">
        <v>5970</v>
      </c>
      <c r="B2318" t="s">
        <v>5971</v>
      </c>
      <c r="C2318" t="s">
        <v>5972</v>
      </c>
      <c r="D2318" t="s">
        <v>5963</v>
      </c>
      <c r="E2318" s="1">
        <v>46153.36383101852</v>
      </c>
      <c r="F2318">
        <v>1547</v>
      </c>
      <c r="G2318" t="s">
        <v>5973</v>
      </c>
      <c r="H2318" t="s">
        <v>15</v>
      </c>
      <c r="I2318" t="s">
        <v>5965</v>
      </c>
      <c r="J2318" t="str">
        <f>RIGHT(D2318,4)</f>
        <v>8135</v>
      </c>
      <c r="K2318" t="str">
        <f>IFERROR(VLOOKUP(VALUE(J2318),'Site Info'!$A:$G,3,FALSE),"")</f>
        <v>4350 S US HIGHWAY 41</v>
      </c>
      <c r="L2318" t="str">
        <f>IFERROR(VLOOKUP(VALUE(J2318),'Site Info'!$A:$G,4,FALSE),"")</f>
        <v>TERRE HAUTE</v>
      </c>
      <c r="M2318" t="str">
        <f>IFERROR(VLOOKUP(VALUE(J2318),'Site Info'!$A:$G,5,FALSE),"")</f>
        <v>IN</v>
      </c>
      <c r="N2318" t="str">
        <f>IFERROR(VLOOKUP(VALUE(J2318),'Site Info'!$A:$G,6,FALSE),"")</f>
        <v>47802-4407</v>
      </c>
      <c r="O2318">
        <f>IFERROR(VLOOKUP(VALUE(J2318),'Site Info'!$A:$G,7,FALSE),"")</f>
        <v>8122355660</v>
      </c>
    </row>
    <row r="2319" spans="1:15" x14ac:dyDescent="0.45">
      <c r="A2319" t="s">
        <v>12950</v>
      </c>
      <c r="B2319" t="s">
        <v>12951</v>
      </c>
      <c r="C2319" t="s">
        <v>12952</v>
      </c>
      <c r="D2319" t="s">
        <v>1526</v>
      </c>
      <c r="E2319" s="1">
        <v>46150.670601851853</v>
      </c>
      <c r="F2319">
        <v>1547</v>
      </c>
      <c r="G2319" t="s">
        <v>12953</v>
      </c>
      <c r="H2319" t="s">
        <v>15</v>
      </c>
      <c r="I2319" t="s">
        <v>1527</v>
      </c>
      <c r="J2319" t="str">
        <f>RIGHT(D2319,4)</f>
        <v>8194</v>
      </c>
      <c r="K2319" t="str">
        <f>IFERROR(VLOOKUP(VALUE(J2319),'Site Info'!$A:$G,3,FALSE),"")</f>
        <v>4365 ATLANTA HWY</v>
      </c>
      <c r="L2319" t="str">
        <f>IFERROR(VLOOKUP(VALUE(J2319),'Site Info'!$A:$G,4,FALSE),"")</f>
        <v>ATHENS</v>
      </c>
      <c r="M2319" t="str">
        <f>IFERROR(VLOOKUP(VALUE(J2319),'Site Info'!$A:$G,5,FALSE),"")</f>
        <v>GA</v>
      </c>
      <c r="N2319" t="str">
        <f>IFERROR(VLOOKUP(VALUE(J2319),'Site Info'!$A:$G,6,FALSE),"")</f>
        <v>30606-0808</v>
      </c>
      <c r="O2319">
        <f>IFERROR(VLOOKUP(VALUE(J2319),'Site Info'!$A:$G,7,FALSE),"")</f>
        <v>7065483666</v>
      </c>
    </row>
    <row r="2320" spans="1:15" x14ac:dyDescent="0.45">
      <c r="A2320" t="s">
        <v>13247</v>
      </c>
      <c r="B2320" t="s">
        <v>13248</v>
      </c>
      <c r="C2320" t="s">
        <v>13249</v>
      </c>
      <c r="D2320" t="s">
        <v>1526</v>
      </c>
      <c r="E2320" s="1">
        <v>46153.282488425924</v>
      </c>
      <c r="F2320">
        <v>1547</v>
      </c>
      <c r="G2320" t="s">
        <v>13250</v>
      </c>
      <c r="H2320" t="s">
        <v>15</v>
      </c>
      <c r="I2320" t="s">
        <v>1527</v>
      </c>
      <c r="J2320" t="str">
        <f>RIGHT(D2320,4)</f>
        <v>8194</v>
      </c>
      <c r="K2320" t="str">
        <f>IFERROR(VLOOKUP(VALUE(J2320),'Site Info'!$A:$G,3,FALSE),"")</f>
        <v>4365 ATLANTA HWY</v>
      </c>
      <c r="L2320" t="str">
        <f>IFERROR(VLOOKUP(VALUE(J2320),'Site Info'!$A:$G,4,FALSE),"")</f>
        <v>ATHENS</v>
      </c>
      <c r="M2320" t="str">
        <f>IFERROR(VLOOKUP(VALUE(J2320),'Site Info'!$A:$G,5,FALSE),"")</f>
        <v>GA</v>
      </c>
      <c r="N2320" t="str">
        <f>IFERROR(VLOOKUP(VALUE(J2320),'Site Info'!$A:$G,6,FALSE),"")</f>
        <v>30606-0808</v>
      </c>
      <c r="O2320">
        <f>IFERROR(VLOOKUP(VALUE(J2320),'Site Info'!$A:$G,7,FALSE),"")</f>
        <v>7065483666</v>
      </c>
    </row>
    <row r="2321" spans="1:15" x14ac:dyDescent="0.45">
      <c r="A2321" t="s">
        <v>17156</v>
      </c>
      <c r="B2321" t="s">
        <v>17157</v>
      </c>
      <c r="C2321" t="s">
        <v>17158</v>
      </c>
      <c r="D2321" t="s">
        <v>1526</v>
      </c>
      <c r="E2321" s="1">
        <v>46153.308981481481</v>
      </c>
      <c r="F2321">
        <v>1547</v>
      </c>
      <c r="G2321" t="s">
        <v>17159</v>
      </c>
      <c r="H2321" t="s">
        <v>15</v>
      </c>
      <c r="I2321" t="s">
        <v>1527</v>
      </c>
      <c r="J2321" t="str">
        <f>RIGHT(D2321,4)</f>
        <v>8194</v>
      </c>
      <c r="K2321" t="str">
        <f>IFERROR(VLOOKUP(VALUE(J2321),'Site Info'!$A:$G,3,FALSE),"")</f>
        <v>4365 ATLANTA HWY</v>
      </c>
      <c r="L2321" t="str">
        <f>IFERROR(VLOOKUP(VALUE(J2321),'Site Info'!$A:$G,4,FALSE),"")</f>
        <v>ATHENS</v>
      </c>
      <c r="M2321" t="str">
        <f>IFERROR(VLOOKUP(VALUE(J2321),'Site Info'!$A:$G,5,FALSE),"")</f>
        <v>GA</v>
      </c>
      <c r="N2321" t="str">
        <f>IFERROR(VLOOKUP(VALUE(J2321),'Site Info'!$A:$G,6,FALSE),"")</f>
        <v>30606-0808</v>
      </c>
      <c r="O2321">
        <f>IFERROR(VLOOKUP(VALUE(J2321),'Site Info'!$A:$G,7,FALSE),"")</f>
        <v>7065483666</v>
      </c>
    </row>
    <row r="2322" spans="1:15" x14ac:dyDescent="0.45">
      <c r="A2322" t="s">
        <v>11840</v>
      </c>
      <c r="B2322" t="s">
        <v>11841</v>
      </c>
      <c r="C2322" t="s">
        <v>11842</v>
      </c>
      <c r="D2322" t="s">
        <v>3444</v>
      </c>
      <c r="E2322" s="1">
        <v>46151.626562500001</v>
      </c>
      <c r="F2322">
        <v>1547</v>
      </c>
      <c r="G2322" t="s">
        <v>11843</v>
      </c>
      <c r="H2322" t="s">
        <v>15</v>
      </c>
      <c r="I2322" t="s">
        <v>3446</v>
      </c>
      <c r="J2322" t="str">
        <f>RIGHT(D2322,4)</f>
        <v>8291</v>
      </c>
      <c r="K2322" t="str">
        <f>IFERROR(VLOOKUP(VALUE(J2322),'Site Info'!$A:$G,3,FALSE),"")</f>
        <v>4373 CORUNNA RD</v>
      </c>
      <c r="L2322" t="str">
        <f>IFERROR(VLOOKUP(VALUE(J2322),'Site Info'!$A:$G,4,FALSE),"")</f>
        <v>FLINT</v>
      </c>
      <c r="M2322" t="str">
        <f>IFERROR(VLOOKUP(VALUE(J2322),'Site Info'!$A:$G,5,FALSE),"")</f>
        <v>MI</v>
      </c>
      <c r="N2322" t="str">
        <f>IFERROR(VLOOKUP(VALUE(J2322),'Site Info'!$A:$G,6,FALSE),"")</f>
        <v>48532-4152</v>
      </c>
      <c r="O2322">
        <f>IFERROR(VLOOKUP(VALUE(J2322),'Site Info'!$A:$G,7,FALSE),"")</f>
        <v>8102306700</v>
      </c>
    </row>
    <row r="2323" spans="1:15" x14ac:dyDescent="0.45">
      <c r="A2323" t="s">
        <v>9784</v>
      </c>
      <c r="B2323" t="s">
        <v>9785</v>
      </c>
      <c r="C2323" t="s">
        <v>9786</v>
      </c>
      <c r="D2323" t="s">
        <v>3444</v>
      </c>
      <c r="E2323" s="1">
        <v>46152.194004629629</v>
      </c>
      <c r="F2323">
        <v>1547</v>
      </c>
      <c r="G2323" t="s">
        <v>9787</v>
      </c>
      <c r="H2323" t="s">
        <v>15</v>
      </c>
      <c r="I2323" t="s">
        <v>3446</v>
      </c>
      <c r="J2323" t="str">
        <f>RIGHT(D2323,4)</f>
        <v>8291</v>
      </c>
      <c r="K2323" t="str">
        <f>IFERROR(VLOOKUP(VALUE(J2323),'Site Info'!$A:$G,3,FALSE),"")</f>
        <v>4373 CORUNNA RD</v>
      </c>
      <c r="L2323" t="str">
        <f>IFERROR(VLOOKUP(VALUE(J2323),'Site Info'!$A:$G,4,FALSE),"")</f>
        <v>FLINT</v>
      </c>
      <c r="M2323" t="str">
        <f>IFERROR(VLOOKUP(VALUE(J2323),'Site Info'!$A:$G,5,FALSE),"")</f>
        <v>MI</v>
      </c>
      <c r="N2323" t="str">
        <f>IFERROR(VLOOKUP(VALUE(J2323),'Site Info'!$A:$G,6,FALSE),"")</f>
        <v>48532-4152</v>
      </c>
      <c r="O2323">
        <f>IFERROR(VLOOKUP(VALUE(J2323),'Site Info'!$A:$G,7,FALSE),"")</f>
        <v>8102306700</v>
      </c>
    </row>
    <row r="2324" spans="1:15" x14ac:dyDescent="0.45">
      <c r="A2324" t="s">
        <v>13892</v>
      </c>
      <c r="B2324" t="s">
        <v>13893</v>
      </c>
      <c r="C2324" t="s">
        <v>13894</v>
      </c>
      <c r="D2324" t="s">
        <v>3444</v>
      </c>
      <c r="E2324" s="1">
        <v>46153.285219907404</v>
      </c>
      <c r="F2324">
        <v>1547</v>
      </c>
      <c r="G2324" t="s">
        <v>13895</v>
      </c>
      <c r="H2324" t="s">
        <v>15</v>
      </c>
      <c r="I2324" t="s">
        <v>3446</v>
      </c>
      <c r="J2324" t="str">
        <f>RIGHT(D2324,4)</f>
        <v>8291</v>
      </c>
      <c r="K2324" t="str">
        <f>IFERROR(VLOOKUP(VALUE(J2324),'Site Info'!$A:$G,3,FALSE),"")</f>
        <v>4373 CORUNNA RD</v>
      </c>
      <c r="L2324" t="str">
        <f>IFERROR(VLOOKUP(VALUE(J2324),'Site Info'!$A:$G,4,FALSE),"")</f>
        <v>FLINT</v>
      </c>
      <c r="M2324" t="str">
        <f>IFERROR(VLOOKUP(VALUE(J2324),'Site Info'!$A:$G,5,FALSE),"")</f>
        <v>MI</v>
      </c>
      <c r="N2324" t="str">
        <f>IFERROR(VLOOKUP(VALUE(J2324),'Site Info'!$A:$G,6,FALSE),"")</f>
        <v>48532-4152</v>
      </c>
      <c r="O2324">
        <f>IFERROR(VLOOKUP(VALUE(J2324),'Site Info'!$A:$G,7,FALSE),"")</f>
        <v>8102306700</v>
      </c>
    </row>
    <row r="2325" spans="1:15" x14ac:dyDescent="0.45">
      <c r="A2325" t="s">
        <v>12408</v>
      </c>
      <c r="B2325" t="s">
        <v>12409</v>
      </c>
      <c r="C2325" t="s">
        <v>12410</v>
      </c>
      <c r="D2325" t="s">
        <v>3444</v>
      </c>
      <c r="E2325" s="1">
        <v>46153.321620370371</v>
      </c>
      <c r="F2325">
        <v>1547</v>
      </c>
      <c r="G2325" t="s">
        <v>12411</v>
      </c>
      <c r="H2325" t="s">
        <v>15</v>
      </c>
      <c r="I2325" t="s">
        <v>3446</v>
      </c>
      <c r="J2325" t="str">
        <f>RIGHT(D2325,4)</f>
        <v>8291</v>
      </c>
      <c r="K2325" t="str">
        <f>IFERROR(VLOOKUP(VALUE(J2325),'Site Info'!$A:$G,3,FALSE),"")</f>
        <v>4373 CORUNNA RD</v>
      </c>
      <c r="L2325" t="str">
        <f>IFERROR(VLOOKUP(VALUE(J2325),'Site Info'!$A:$G,4,FALSE),"")</f>
        <v>FLINT</v>
      </c>
      <c r="M2325" t="str">
        <f>IFERROR(VLOOKUP(VALUE(J2325),'Site Info'!$A:$G,5,FALSE),"")</f>
        <v>MI</v>
      </c>
      <c r="N2325" t="str">
        <f>IFERROR(VLOOKUP(VALUE(J2325),'Site Info'!$A:$G,6,FALSE),"")</f>
        <v>48532-4152</v>
      </c>
      <c r="O2325">
        <f>IFERROR(VLOOKUP(VALUE(J2325),'Site Info'!$A:$G,7,FALSE),"")</f>
        <v>8102306700</v>
      </c>
    </row>
    <row r="2326" spans="1:15" x14ac:dyDescent="0.45">
      <c r="A2326" t="s">
        <v>12128</v>
      </c>
      <c r="B2326" t="s">
        <v>12129</v>
      </c>
      <c r="C2326" t="s">
        <v>12130</v>
      </c>
      <c r="D2326" t="s">
        <v>3444</v>
      </c>
      <c r="E2326" s="1">
        <v>46153.339317129627</v>
      </c>
      <c r="F2326">
        <v>1547</v>
      </c>
      <c r="G2326" t="s">
        <v>12131</v>
      </c>
      <c r="H2326" t="s">
        <v>15</v>
      </c>
      <c r="I2326" t="s">
        <v>3446</v>
      </c>
      <c r="J2326" t="str">
        <f>RIGHT(D2326,4)</f>
        <v>8291</v>
      </c>
      <c r="K2326" t="str">
        <f>IFERROR(VLOOKUP(VALUE(J2326),'Site Info'!$A:$G,3,FALSE),"")</f>
        <v>4373 CORUNNA RD</v>
      </c>
      <c r="L2326" t="str">
        <f>IFERROR(VLOOKUP(VALUE(J2326),'Site Info'!$A:$G,4,FALSE),"")</f>
        <v>FLINT</v>
      </c>
      <c r="M2326" t="str">
        <f>IFERROR(VLOOKUP(VALUE(J2326),'Site Info'!$A:$G,5,FALSE),"")</f>
        <v>MI</v>
      </c>
      <c r="N2326" t="str">
        <f>IFERROR(VLOOKUP(VALUE(J2326),'Site Info'!$A:$G,6,FALSE),"")</f>
        <v>48532-4152</v>
      </c>
      <c r="O2326">
        <f>IFERROR(VLOOKUP(VALUE(J2326),'Site Info'!$A:$G,7,FALSE),"")</f>
        <v>8102306700</v>
      </c>
    </row>
    <row r="2327" spans="1:15" x14ac:dyDescent="0.45">
      <c r="A2327" t="s">
        <v>3977</v>
      </c>
      <c r="B2327" t="s">
        <v>3978</v>
      </c>
      <c r="C2327" t="s">
        <v>3979</v>
      </c>
      <c r="D2327" t="s">
        <v>3444</v>
      </c>
      <c r="E2327" s="1">
        <v>46152.017569444448</v>
      </c>
      <c r="F2327">
        <v>1481</v>
      </c>
      <c r="G2327" t="s">
        <v>3980</v>
      </c>
      <c r="H2327" t="s">
        <v>15</v>
      </c>
      <c r="I2327" t="s">
        <v>3446</v>
      </c>
      <c r="J2327" t="str">
        <f>RIGHT(D2327,4)</f>
        <v>8291</v>
      </c>
      <c r="K2327" t="str">
        <f>IFERROR(VLOOKUP(VALUE(J2327),'Site Info'!$A:$G,3,FALSE),"")</f>
        <v>4373 CORUNNA RD</v>
      </c>
      <c r="L2327" t="str">
        <f>IFERROR(VLOOKUP(VALUE(J2327),'Site Info'!$A:$G,4,FALSE),"")</f>
        <v>FLINT</v>
      </c>
      <c r="M2327" t="str">
        <f>IFERROR(VLOOKUP(VALUE(J2327),'Site Info'!$A:$G,5,FALSE),"")</f>
        <v>MI</v>
      </c>
      <c r="N2327" t="str">
        <f>IFERROR(VLOOKUP(VALUE(J2327),'Site Info'!$A:$G,6,FALSE),"")</f>
        <v>48532-4152</v>
      </c>
      <c r="O2327">
        <f>IFERROR(VLOOKUP(VALUE(J2327),'Site Info'!$A:$G,7,FALSE),"")</f>
        <v>8102306700</v>
      </c>
    </row>
    <row r="2328" spans="1:15" x14ac:dyDescent="0.45">
      <c r="A2328" t="s">
        <v>3441</v>
      </c>
      <c r="B2328" t="s">
        <v>3442</v>
      </c>
      <c r="C2328" t="s">
        <v>3443</v>
      </c>
      <c r="D2328" t="s">
        <v>3444</v>
      </c>
      <c r="E2328" s="1">
        <v>46153.218298611115</v>
      </c>
      <c r="F2328">
        <v>1481</v>
      </c>
      <c r="G2328" t="s">
        <v>3445</v>
      </c>
      <c r="H2328" t="s">
        <v>15</v>
      </c>
      <c r="I2328" t="s">
        <v>3446</v>
      </c>
      <c r="J2328" t="str">
        <f>RIGHT(D2328,4)</f>
        <v>8291</v>
      </c>
      <c r="K2328" t="str">
        <f>IFERROR(VLOOKUP(VALUE(J2328),'Site Info'!$A:$G,3,FALSE),"")</f>
        <v>4373 CORUNNA RD</v>
      </c>
      <c r="L2328" t="str">
        <f>IFERROR(VLOOKUP(VALUE(J2328),'Site Info'!$A:$G,4,FALSE),"")</f>
        <v>FLINT</v>
      </c>
      <c r="M2328" t="str">
        <f>IFERROR(VLOOKUP(VALUE(J2328),'Site Info'!$A:$G,5,FALSE),"")</f>
        <v>MI</v>
      </c>
      <c r="N2328" t="str">
        <f>IFERROR(VLOOKUP(VALUE(J2328),'Site Info'!$A:$G,6,FALSE),"")</f>
        <v>48532-4152</v>
      </c>
      <c r="O2328">
        <f>IFERROR(VLOOKUP(VALUE(J2328),'Site Info'!$A:$G,7,FALSE),"")</f>
        <v>8102306700</v>
      </c>
    </row>
    <row r="2329" spans="1:15" x14ac:dyDescent="0.45">
      <c r="A2329" t="s">
        <v>16928</v>
      </c>
      <c r="B2329" t="s">
        <v>17317</v>
      </c>
      <c r="C2329" t="s">
        <v>17318</v>
      </c>
      <c r="D2329" t="s">
        <v>3444</v>
      </c>
      <c r="E2329" s="1">
        <v>46153.313032407408</v>
      </c>
      <c r="F2329">
        <v>1863</v>
      </c>
      <c r="G2329" t="s">
        <v>17319</v>
      </c>
      <c r="H2329" t="s">
        <v>136</v>
      </c>
      <c r="I2329" t="s">
        <v>3446</v>
      </c>
      <c r="J2329" t="str">
        <f>RIGHT(D2329,4)</f>
        <v>8291</v>
      </c>
      <c r="K2329" t="str">
        <f>IFERROR(VLOOKUP(VALUE(J2329),'Site Info'!$A:$G,3,FALSE),"")</f>
        <v>4373 CORUNNA RD</v>
      </c>
      <c r="L2329" t="str">
        <f>IFERROR(VLOOKUP(VALUE(J2329),'Site Info'!$A:$G,4,FALSE),"")</f>
        <v>FLINT</v>
      </c>
      <c r="M2329" t="str">
        <f>IFERROR(VLOOKUP(VALUE(J2329),'Site Info'!$A:$G,5,FALSE),"")</f>
        <v>MI</v>
      </c>
      <c r="N2329" t="str">
        <f>IFERROR(VLOOKUP(VALUE(J2329),'Site Info'!$A:$G,6,FALSE),"")</f>
        <v>48532-4152</v>
      </c>
      <c r="O2329">
        <f>IFERROR(VLOOKUP(VALUE(J2329),'Site Info'!$A:$G,7,FALSE),"")</f>
        <v>8102306700</v>
      </c>
    </row>
    <row r="2330" spans="1:15" x14ac:dyDescent="0.45">
      <c r="A2330" t="s">
        <v>12012</v>
      </c>
      <c r="B2330" t="s">
        <v>12013</v>
      </c>
      <c r="C2330" t="s">
        <v>12014</v>
      </c>
      <c r="D2330" t="s">
        <v>403</v>
      </c>
      <c r="E2330" s="1">
        <v>46151.832465277781</v>
      </c>
      <c r="F2330">
        <v>1547</v>
      </c>
      <c r="G2330" t="s">
        <v>12015</v>
      </c>
      <c r="H2330" t="s">
        <v>15</v>
      </c>
      <c r="I2330" t="s">
        <v>405</v>
      </c>
      <c r="J2330" t="str">
        <f>RIGHT(D2330,4)</f>
        <v>8272</v>
      </c>
      <c r="K2330" t="str">
        <f>IFERROR(VLOOKUP(VALUE(J2330),'Site Info'!$A:$G,3,FALSE),"")</f>
        <v>4385 VENETUCCI BOULEVARD</v>
      </c>
      <c r="L2330" t="str">
        <f>IFERROR(VLOOKUP(VALUE(J2330),'Site Info'!$A:$G,4,FALSE),"")</f>
        <v>COLORADO SPRINGS</v>
      </c>
      <c r="M2330" t="str">
        <f>IFERROR(VLOOKUP(VALUE(J2330),'Site Info'!$A:$G,5,FALSE),"")</f>
        <v>CO</v>
      </c>
      <c r="N2330" t="str">
        <f>IFERROR(VLOOKUP(VALUE(J2330),'Site Info'!$A:$G,6,FALSE),"")</f>
        <v>80906-4049</v>
      </c>
      <c r="O2330">
        <f>IFERROR(VLOOKUP(VALUE(J2330),'Site Info'!$A:$G,7,FALSE),"")</f>
        <v>7195972311</v>
      </c>
    </row>
    <row r="2331" spans="1:15" x14ac:dyDescent="0.45">
      <c r="A2331" t="s">
        <v>13379</v>
      </c>
      <c r="B2331" t="s">
        <v>13380</v>
      </c>
      <c r="C2331" t="s">
        <v>13381</v>
      </c>
      <c r="D2331" t="s">
        <v>403</v>
      </c>
      <c r="E2331" s="1">
        <v>46152.169803240744</v>
      </c>
      <c r="F2331">
        <v>1547</v>
      </c>
      <c r="G2331" t="s">
        <v>13382</v>
      </c>
      <c r="H2331" t="s">
        <v>15</v>
      </c>
      <c r="I2331" t="s">
        <v>405</v>
      </c>
      <c r="J2331" t="str">
        <f>RIGHT(D2331,4)</f>
        <v>8272</v>
      </c>
      <c r="K2331" t="str">
        <f>IFERROR(VLOOKUP(VALUE(J2331),'Site Info'!$A:$G,3,FALSE),"")</f>
        <v>4385 VENETUCCI BOULEVARD</v>
      </c>
      <c r="L2331" t="str">
        <f>IFERROR(VLOOKUP(VALUE(J2331),'Site Info'!$A:$G,4,FALSE),"")</f>
        <v>COLORADO SPRINGS</v>
      </c>
      <c r="M2331" t="str">
        <f>IFERROR(VLOOKUP(VALUE(J2331),'Site Info'!$A:$G,5,FALSE),"")</f>
        <v>CO</v>
      </c>
      <c r="N2331" t="str">
        <f>IFERROR(VLOOKUP(VALUE(J2331),'Site Info'!$A:$G,6,FALSE),"")</f>
        <v>80906-4049</v>
      </c>
      <c r="O2331">
        <f>IFERROR(VLOOKUP(VALUE(J2331),'Site Info'!$A:$G,7,FALSE),"")</f>
        <v>7195972311</v>
      </c>
    </row>
    <row r="2332" spans="1:15" x14ac:dyDescent="0.45">
      <c r="A2332" t="s">
        <v>13299</v>
      </c>
      <c r="B2332" t="s">
        <v>13300</v>
      </c>
      <c r="C2332" t="s">
        <v>13301</v>
      </c>
      <c r="D2332" t="s">
        <v>403</v>
      </c>
      <c r="E2332" s="1">
        <v>46152.659131944441</v>
      </c>
      <c r="F2332">
        <v>1547</v>
      </c>
      <c r="G2332" t="s">
        <v>13302</v>
      </c>
      <c r="H2332" t="s">
        <v>15</v>
      </c>
      <c r="I2332" t="s">
        <v>405</v>
      </c>
      <c r="J2332" t="str">
        <f>RIGHT(D2332,4)</f>
        <v>8272</v>
      </c>
      <c r="K2332" t="str">
        <f>IFERROR(VLOOKUP(VALUE(J2332),'Site Info'!$A:$G,3,FALSE),"")</f>
        <v>4385 VENETUCCI BOULEVARD</v>
      </c>
      <c r="L2332" t="str">
        <f>IFERROR(VLOOKUP(VALUE(J2332),'Site Info'!$A:$G,4,FALSE),"")</f>
        <v>COLORADO SPRINGS</v>
      </c>
      <c r="M2332" t="str">
        <f>IFERROR(VLOOKUP(VALUE(J2332),'Site Info'!$A:$G,5,FALSE),"")</f>
        <v>CO</v>
      </c>
      <c r="N2332" t="str">
        <f>IFERROR(VLOOKUP(VALUE(J2332),'Site Info'!$A:$G,6,FALSE),"")</f>
        <v>80906-4049</v>
      </c>
      <c r="O2332">
        <f>IFERROR(VLOOKUP(VALUE(J2332),'Site Info'!$A:$G,7,FALSE),"")</f>
        <v>7195972311</v>
      </c>
    </row>
    <row r="2333" spans="1:15" x14ac:dyDescent="0.45">
      <c r="A2333" t="s">
        <v>14391</v>
      </c>
      <c r="B2333" t="s">
        <v>14392</v>
      </c>
      <c r="C2333" t="s">
        <v>14393</v>
      </c>
      <c r="D2333" t="s">
        <v>403</v>
      </c>
      <c r="E2333" s="1">
        <v>46152.75571759259</v>
      </c>
      <c r="F2333">
        <v>1547</v>
      </c>
      <c r="G2333" t="s">
        <v>14394</v>
      </c>
      <c r="H2333" t="s">
        <v>15</v>
      </c>
      <c r="I2333" t="s">
        <v>405</v>
      </c>
      <c r="J2333" t="str">
        <f>RIGHT(D2333,4)</f>
        <v>8272</v>
      </c>
      <c r="K2333" t="str">
        <f>IFERROR(VLOOKUP(VALUE(J2333),'Site Info'!$A:$G,3,FALSE),"")</f>
        <v>4385 VENETUCCI BOULEVARD</v>
      </c>
      <c r="L2333" t="str">
        <f>IFERROR(VLOOKUP(VALUE(J2333),'Site Info'!$A:$G,4,FALSE),"")</f>
        <v>COLORADO SPRINGS</v>
      </c>
      <c r="M2333" t="str">
        <f>IFERROR(VLOOKUP(VALUE(J2333),'Site Info'!$A:$G,5,FALSE),"")</f>
        <v>CO</v>
      </c>
      <c r="N2333" t="str">
        <f>IFERROR(VLOOKUP(VALUE(J2333),'Site Info'!$A:$G,6,FALSE),"")</f>
        <v>80906-4049</v>
      </c>
      <c r="O2333">
        <f>IFERROR(VLOOKUP(VALUE(J2333),'Site Info'!$A:$G,7,FALSE),"")</f>
        <v>7195972311</v>
      </c>
    </row>
    <row r="2334" spans="1:15" x14ac:dyDescent="0.45">
      <c r="A2334" t="s">
        <v>12212</v>
      </c>
      <c r="B2334" t="s">
        <v>12213</v>
      </c>
      <c r="C2334" t="s">
        <v>12214</v>
      </c>
      <c r="D2334" t="s">
        <v>403</v>
      </c>
      <c r="E2334" s="1">
        <v>46152.758391203701</v>
      </c>
      <c r="F2334">
        <v>1547</v>
      </c>
      <c r="G2334" t="s">
        <v>12215</v>
      </c>
      <c r="H2334" t="s">
        <v>15</v>
      </c>
      <c r="I2334" t="s">
        <v>405</v>
      </c>
      <c r="J2334" t="str">
        <f>RIGHT(D2334,4)</f>
        <v>8272</v>
      </c>
      <c r="K2334" t="str">
        <f>IFERROR(VLOOKUP(VALUE(J2334),'Site Info'!$A:$G,3,FALSE),"")</f>
        <v>4385 VENETUCCI BOULEVARD</v>
      </c>
      <c r="L2334" t="str">
        <f>IFERROR(VLOOKUP(VALUE(J2334),'Site Info'!$A:$G,4,FALSE),"")</f>
        <v>COLORADO SPRINGS</v>
      </c>
      <c r="M2334" t="str">
        <f>IFERROR(VLOOKUP(VALUE(J2334),'Site Info'!$A:$G,5,FALSE),"")</f>
        <v>CO</v>
      </c>
      <c r="N2334" t="str">
        <f>IFERROR(VLOOKUP(VALUE(J2334),'Site Info'!$A:$G,6,FALSE),"")</f>
        <v>80906-4049</v>
      </c>
      <c r="O2334">
        <f>IFERROR(VLOOKUP(VALUE(J2334),'Site Info'!$A:$G,7,FALSE),"")</f>
        <v>7195972311</v>
      </c>
    </row>
    <row r="2335" spans="1:15" x14ac:dyDescent="0.45">
      <c r="A2335" t="s">
        <v>13155</v>
      </c>
      <c r="B2335" t="s">
        <v>13156</v>
      </c>
      <c r="C2335" t="s">
        <v>13157</v>
      </c>
      <c r="D2335" t="s">
        <v>403</v>
      </c>
      <c r="E2335" s="1">
        <v>46152.772546296299</v>
      </c>
      <c r="F2335">
        <v>1547</v>
      </c>
      <c r="G2335" t="s">
        <v>13158</v>
      </c>
      <c r="H2335" t="s">
        <v>15</v>
      </c>
      <c r="I2335" t="s">
        <v>405</v>
      </c>
      <c r="J2335" t="str">
        <f>RIGHT(D2335,4)</f>
        <v>8272</v>
      </c>
      <c r="K2335" t="str">
        <f>IFERROR(VLOOKUP(VALUE(J2335),'Site Info'!$A:$G,3,FALSE),"")</f>
        <v>4385 VENETUCCI BOULEVARD</v>
      </c>
      <c r="L2335" t="str">
        <f>IFERROR(VLOOKUP(VALUE(J2335),'Site Info'!$A:$G,4,FALSE),"")</f>
        <v>COLORADO SPRINGS</v>
      </c>
      <c r="M2335" t="str">
        <f>IFERROR(VLOOKUP(VALUE(J2335),'Site Info'!$A:$G,5,FALSE),"")</f>
        <v>CO</v>
      </c>
      <c r="N2335" t="str">
        <f>IFERROR(VLOOKUP(VALUE(J2335),'Site Info'!$A:$G,6,FALSE),"")</f>
        <v>80906-4049</v>
      </c>
      <c r="O2335">
        <f>IFERROR(VLOOKUP(VALUE(J2335),'Site Info'!$A:$G,7,FALSE),"")</f>
        <v>7195972311</v>
      </c>
    </row>
    <row r="2336" spans="1:15" x14ac:dyDescent="0.45">
      <c r="A2336" t="s">
        <v>400</v>
      </c>
      <c r="B2336" t="s">
        <v>401</v>
      </c>
      <c r="C2336" t="s">
        <v>402</v>
      </c>
      <c r="D2336" t="s">
        <v>403</v>
      </c>
      <c r="E2336" s="1">
        <v>46153.270057870373</v>
      </c>
      <c r="F2336">
        <v>1481</v>
      </c>
      <c r="G2336" t="s">
        <v>404</v>
      </c>
      <c r="H2336" t="s">
        <v>15</v>
      </c>
      <c r="I2336" t="s">
        <v>405</v>
      </c>
      <c r="J2336" t="str">
        <f>RIGHT(D2336,4)</f>
        <v>8272</v>
      </c>
      <c r="K2336" t="str">
        <f>IFERROR(VLOOKUP(VALUE(J2336),'Site Info'!$A:$G,3,FALSE),"")</f>
        <v>4385 VENETUCCI BOULEVARD</v>
      </c>
      <c r="L2336" t="str">
        <f>IFERROR(VLOOKUP(VALUE(J2336),'Site Info'!$A:$G,4,FALSE),"")</f>
        <v>COLORADO SPRINGS</v>
      </c>
      <c r="M2336" t="str">
        <f>IFERROR(VLOOKUP(VALUE(J2336),'Site Info'!$A:$G,5,FALSE),"")</f>
        <v>CO</v>
      </c>
      <c r="N2336" t="str">
        <f>IFERROR(VLOOKUP(VALUE(J2336),'Site Info'!$A:$G,6,FALSE),"")</f>
        <v>80906-4049</v>
      </c>
      <c r="O2336">
        <f>IFERROR(VLOOKUP(VALUE(J2336),'Site Info'!$A:$G,7,FALSE),"")</f>
        <v>7195972311</v>
      </c>
    </row>
    <row r="2337" spans="1:15" x14ac:dyDescent="0.45">
      <c r="A2337" t="s">
        <v>17257</v>
      </c>
      <c r="B2337" t="s">
        <v>17258</v>
      </c>
      <c r="C2337" t="s">
        <v>17259</v>
      </c>
      <c r="D2337" t="s">
        <v>403</v>
      </c>
      <c r="E2337" s="1">
        <v>46153.359872685185</v>
      </c>
      <c r="F2337">
        <v>1547</v>
      </c>
      <c r="G2337" t="s">
        <v>17260</v>
      </c>
      <c r="H2337" t="s">
        <v>15</v>
      </c>
      <c r="I2337" t="s">
        <v>405</v>
      </c>
      <c r="J2337" t="str">
        <f>RIGHT(D2337,4)</f>
        <v>8272</v>
      </c>
      <c r="K2337" t="str">
        <f>IFERROR(VLOOKUP(VALUE(J2337),'Site Info'!$A:$G,3,FALSE),"")</f>
        <v>4385 VENETUCCI BOULEVARD</v>
      </c>
      <c r="L2337" t="str">
        <f>IFERROR(VLOOKUP(VALUE(J2337),'Site Info'!$A:$G,4,FALSE),"")</f>
        <v>COLORADO SPRINGS</v>
      </c>
      <c r="M2337" t="str">
        <f>IFERROR(VLOOKUP(VALUE(J2337),'Site Info'!$A:$G,5,FALSE),"")</f>
        <v>CO</v>
      </c>
      <c r="N2337" t="str">
        <f>IFERROR(VLOOKUP(VALUE(J2337),'Site Info'!$A:$G,6,FALSE),"")</f>
        <v>80906-4049</v>
      </c>
      <c r="O2337">
        <f>IFERROR(VLOOKUP(VALUE(J2337),'Site Info'!$A:$G,7,FALSE),"")</f>
        <v>7195972311</v>
      </c>
    </row>
    <row r="2338" spans="1:15" x14ac:dyDescent="0.45">
      <c r="A2338" t="s">
        <v>4360</v>
      </c>
      <c r="B2338" t="s">
        <v>4361</v>
      </c>
      <c r="C2338" t="s">
        <v>4362</v>
      </c>
      <c r="D2338" t="s">
        <v>250</v>
      </c>
      <c r="E2338" s="1">
        <v>46150.800833333335</v>
      </c>
      <c r="F2338">
        <v>1547</v>
      </c>
      <c r="G2338" t="s">
        <v>4363</v>
      </c>
      <c r="H2338" t="s">
        <v>15</v>
      </c>
      <c r="I2338" t="s">
        <v>251</v>
      </c>
      <c r="J2338" t="str">
        <f>RIGHT(D2338,4)</f>
        <v>8186</v>
      </c>
      <c r="K2338" t="str">
        <f>IFERROR(VLOOKUP(VALUE(J2338),'Site Info'!$A:$G,3,FALSE),"")</f>
        <v>440 PAYNE RD</v>
      </c>
      <c r="L2338" t="str">
        <f>IFERROR(VLOOKUP(VALUE(J2338),'Site Info'!$A:$G,4,FALSE),"")</f>
        <v>SCARBOROUGH</v>
      </c>
      <c r="M2338" t="str">
        <f>IFERROR(VLOOKUP(VALUE(J2338),'Site Info'!$A:$G,5,FALSE),"")</f>
        <v>ME</v>
      </c>
      <c r="N2338" t="str">
        <f>IFERROR(VLOOKUP(VALUE(J2338),'Site Info'!$A:$G,6,FALSE),"")</f>
        <v>04074-8928</v>
      </c>
      <c r="O2338">
        <f>IFERROR(VLOOKUP(VALUE(J2338),'Site Info'!$A:$G,7,FALSE),"")</f>
        <v>2078835553</v>
      </c>
    </row>
    <row r="2339" spans="1:15" x14ac:dyDescent="0.45">
      <c r="A2339" t="s">
        <v>13968</v>
      </c>
      <c r="B2339" t="s">
        <v>13969</v>
      </c>
      <c r="C2339" t="s">
        <v>13970</v>
      </c>
      <c r="D2339" t="s">
        <v>250</v>
      </c>
      <c r="E2339" s="1">
        <v>46152.880115740743</v>
      </c>
      <c r="F2339">
        <v>1547</v>
      </c>
      <c r="G2339" t="s">
        <v>13971</v>
      </c>
      <c r="H2339" t="s">
        <v>15</v>
      </c>
      <c r="I2339" t="s">
        <v>251</v>
      </c>
      <c r="J2339" t="str">
        <f>RIGHT(D2339,4)</f>
        <v>8186</v>
      </c>
      <c r="K2339" t="str">
        <f>IFERROR(VLOOKUP(VALUE(J2339),'Site Info'!$A:$G,3,FALSE),"")</f>
        <v>440 PAYNE RD</v>
      </c>
      <c r="L2339" t="str">
        <f>IFERROR(VLOOKUP(VALUE(J2339),'Site Info'!$A:$G,4,FALSE),"")</f>
        <v>SCARBOROUGH</v>
      </c>
      <c r="M2339" t="str">
        <f>IFERROR(VLOOKUP(VALUE(J2339),'Site Info'!$A:$G,5,FALSE),"")</f>
        <v>ME</v>
      </c>
      <c r="N2339" t="str">
        <f>IFERROR(VLOOKUP(VALUE(J2339),'Site Info'!$A:$G,6,FALSE),"")</f>
        <v>04074-8928</v>
      </c>
      <c r="O2339">
        <f>IFERROR(VLOOKUP(VALUE(J2339),'Site Info'!$A:$G,7,FALSE),"")</f>
        <v>2078835553</v>
      </c>
    </row>
    <row r="2340" spans="1:15" x14ac:dyDescent="0.45">
      <c r="A2340" t="s">
        <v>1100</v>
      </c>
      <c r="B2340" t="s">
        <v>1101</v>
      </c>
      <c r="C2340" t="s">
        <v>1102</v>
      </c>
      <c r="D2340" t="s">
        <v>250</v>
      </c>
      <c r="E2340" s="1">
        <v>46151.813506944447</v>
      </c>
      <c r="F2340">
        <v>1481</v>
      </c>
      <c r="G2340" t="s">
        <v>1103</v>
      </c>
      <c r="H2340" t="s">
        <v>15</v>
      </c>
      <c r="I2340" t="s">
        <v>251</v>
      </c>
      <c r="J2340" t="str">
        <f>RIGHT(D2340,4)</f>
        <v>8186</v>
      </c>
      <c r="K2340" t="str">
        <f>IFERROR(VLOOKUP(VALUE(J2340),'Site Info'!$A:$G,3,FALSE),"")</f>
        <v>440 PAYNE RD</v>
      </c>
      <c r="L2340" t="str">
        <f>IFERROR(VLOOKUP(VALUE(J2340),'Site Info'!$A:$G,4,FALSE),"")</f>
        <v>SCARBOROUGH</v>
      </c>
      <c r="M2340" t="str">
        <f>IFERROR(VLOOKUP(VALUE(J2340),'Site Info'!$A:$G,5,FALSE),"")</f>
        <v>ME</v>
      </c>
      <c r="N2340" t="str">
        <f>IFERROR(VLOOKUP(VALUE(J2340),'Site Info'!$A:$G,6,FALSE),"")</f>
        <v>04074-8928</v>
      </c>
      <c r="O2340">
        <f>IFERROR(VLOOKUP(VALUE(J2340),'Site Info'!$A:$G,7,FALSE),"")</f>
        <v>2078835553</v>
      </c>
    </row>
    <row r="2341" spans="1:15" x14ac:dyDescent="0.45">
      <c r="A2341" t="s">
        <v>3689</v>
      </c>
      <c r="B2341" t="s">
        <v>3690</v>
      </c>
      <c r="C2341" t="s">
        <v>3691</v>
      </c>
      <c r="D2341" t="s">
        <v>250</v>
      </c>
      <c r="E2341" s="1">
        <v>46153.330358796295</v>
      </c>
      <c r="F2341">
        <v>1481</v>
      </c>
      <c r="G2341" t="s">
        <v>3692</v>
      </c>
      <c r="H2341" t="s">
        <v>15</v>
      </c>
      <c r="I2341" t="s">
        <v>251</v>
      </c>
      <c r="J2341" t="str">
        <f>RIGHT(D2341,4)</f>
        <v>8186</v>
      </c>
      <c r="K2341" t="str">
        <f>IFERROR(VLOOKUP(VALUE(J2341),'Site Info'!$A:$G,3,FALSE),"")</f>
        <v>440 PAYNE RD</v>
      </c>
      <c r="L2341" t="str">
        <f>IFERROR(VLOOKUP(VALUE(J2341),'Site Info'!$A:$G,4,FALSE),"")</f>
        <v>SCARBOROUGH</v>
      </c>
      <c r="M2341" t="str">
        <f>IFERROR(VLOOKUP(VALUE(J2341),'Site Info'!$A:$G,5,FALSE),"")</f>
        <v>ME</v>
      </c>
      <c r="N2341" t="str">
        <f>IFERROR(VLOOKUP(VALUE(J2341),'Site Info'!$A:$G,6,FALSE),"")</f>
        <v>04074-8928</v>
      </c>
      <c r="O2341">
        <f>IFERROR(VLOOKUP(VALUE(J2341),'Site Info'!$A:$G,7,FALSE),"")</f>
        <v>2078835553</v>
      </c>
    </row>
    <row r="2342" spans="1:15" x14ac:dyDescent="0.45">
      <c r="A2342" t="s">
        <v>12766</v>
      </c>
      <c r="B2342" t="s">
        <v>12767</v>
      </c>
      <c r="C2342" t="s">
        <v>12768</v>
      </c>
      <c r="D2342" t="s">
        <v>4935</v>
      </c>
      <c r="E2342" s="1">
        <v>46149.338078703702</v>
      </c>
      <c r="F2342">
        <v>1547</v>
      </c>
      <c r="G2342" t="s">
        <v>12769</v>
      </c>
      <c r="H2342" t="s">
        <v>15</v>
      </c>
      <c r="I2342" t="s">
        <v>4937</v>
      </c>
      <c r="J2342" t="str">
        <f>RIGHT(D2342,4)</f>
        <v>4973</v>
      </c>
      <c r="K2342" t="str">
        <f>IFERROR(VLOOKUP(VALUE(J2342),'Site Info'!$A:$G,3,FALSE),"")</f>
        <v>4400 ASBURY RD</v>
      </c>
      <c r="L2342" t="str">
        <f>IFERROR(VLOOKUP(VALUE(J2342),'Site Info'!$A:$G,4,FALSE),"")</f>
        <v>DUBUQUE</v>
      </c>
      <c r="M2342" t="str">
        <f>IFERROR(VLOOKUP(VALUE(J2342),'Site Info'!$A:$G,5,FALSE),"")</f>
        <v>IA</v>
      </c>
      <c r="N2342" t="str">
        <f>IFERROR(VLOOKUP(VALUE(J2342),'Site Info'!$A:$G,6,FALSE),"")</f>
        <v>52002-0406</v>
      </c>
      <c r="O2342">
        <f>IFERROR(VLOOKUP(VALUE(J2342),'Site Info'!$A:$G,7,FALSE),"")</f>
        <v>5635870576</v>
      </c>
    </row>
    <row r="2343" spans="1:15" x14ac:dyDescent="0.45">
      <c r="A2343" t="s">
        <v>12922</v>
      </c>
      <c r="B2343" t="s">
        <v>12923</v>
      </c>
      <c r="C2343" t="s">
        <v>12924</v>
      </c>
      <c r="D2343" t="s">
        <v>4935</v>
      </c>
      <c r="E2343" s="1">
        <v>46151.617824074077</v>
      </c>
      <c r="F2343">
        <v>1547</v>
      </c>
      <c r="G2343" t="s">
        <v>12925</v>
      </c>
      <c r="H2343" t="s">
        <v>15</v>
      </c>
      <c r="I2343" t="s">
        <v>4937</v>
      </c>
      <c r="J2343" t="str">
        <f>RIGHT(D2343,4)</f>
        <v>4973</v>
      </c>
      <c r="K2343" t="str">
        <f>IFERROR(VLOOKUP(VALUE(J2343),'Site Info'!$A:$G,3,FALSE),"")</f>
        <v>4400 ASBURY RD</v>
      </c>
      <c r="L2343" t="str">
        <f>IFERROR(VLOOKUP(VALUE(J2343),'Site Info'!$A:$G,4,FALSE),"")</f>
        <v>DUBUQUE</v>
      </c>
      <c r="M2343" t="str">
        <f>IFERROR(VLOOKUP(VALUE(J2343),'Site Info'!$A:$G,5,FALSE),"")</f>
        <v>IA</v>
      </c>
      <c r="N2343" t="str">
        <f>IFERROR(VLOOKUP(VALUE(J2343),'Site Info'!$A:$G,6,FALSE),"")</f>
        <v>52002-0406</v>
      </c>
      <c r="O2343">
        <f>IFERROR(VLOOKUP(VALUE(J2343),'Site Info'!$A:$G,7,FALSE),"")</f>
        <v>5635870576</v>
      </c>
    </row>
    <row r="2344" spans="1:15" x14ac:dyDescent="0.45">
      <c r="A2344" t="s">
        <v>4932</v>
      </c>
      <c r="B2344" t="s">
        <v>4933</v>
      </c>
      <c r="C2344" t="s">
        <v>4934</v>
      </c>
      <c r="D2344" t="s">
        <v>4935</v>
      </c>
      <c r="E2344" s="1">
        <v>46152.271261574075</v>
      </c>
      <c r="F2344">
        <v>1547</v>
      </c>
      <c r="G2344" t="s">
        <v>4936</v>
      </c>
      <c r="H2344" t="s">
        <v>15</v>
      </c>
      <c r="I2344" t="s">
        <v>4937</v>
      </c>
      <c r="J2344" t="str">
        <f>RIGHT(D2344,4)</f>
        <v>4973</v>
      </c>
      <c r="K2344" t="str">
        <f>IFERROR(VLOOKUP(VALUE(J2344),'Site Info'!$A:$G,3,FALSE),"")</f>
        <v>4400 ASBURY RD</v>
      </c>
      <c r="L2344" t="str">
        <f>IFERROR(VLOOKUP(VALUE(J2344),'Site Info'!$A:$G,4,FALSE),"")</f>
        <v>DUBUQUE</v>
      </c>
      <c r="M2344" t="str">
        <f>IFERROR(VLOOKUP(VALUE(J2344),'Site Info'!$A:$G,5,FALSE),"")</f>
        <v>IA</v>
      </c>
      <c r="N2344" t="str">
        <f>IFERROR(VLOOKUP(VALUE(J2344),'Site Info'!$A:$G,6,FALSE),"")</f>
        <v>52002-0406</v>
      </c>
      <c r="O2344">
        <f>IFERROR(VLOOKUP(VALUE(J2344),'Site Info'!$A:$G,7,FALSE),"")</f>
        <v>5635870576</v>
      </c>
    </row>
    <row r="2345" spans="1:15" x14ac:dyDescent="0.45">
      <c r="A2345" t="s">
        <v>9601</v>
      </c>
      <c r="B2345" t="s">
        <v>9602</v>
      </c>
      <c r="C2345" t="s">
        <v>9603</v>
      </c>
      <c r="D2345" t="s">
        <v>4935</v>
      </c>
      <c r="E2345" s="1">
        <v>46153.28197916667</v>
      </c>
      <c r="F2345">
        <v>1547</v>
      </c>
      <c r="G2345" t="s">
        <v>9604</v>
      </c>
      <c r="H2345" t="s">
        <v>15</v>
      </c>
      <c r="I2345" t="s">
        <v>4937</v>
      </c>
      <c r="J2345" t="str">
        <f>RIGHT(D2345,4)</f>
        <v>4973</v>
      </c>
      <c r="K2345" t="str">
        <f>IFERROR(VLOOKUP(VALUE(J2345),'Site Info'!$A:$G,3,FALSE),"")</f>
        <v>4400 ASBURY RD</v>
      </c>
      <c r="L2345" t="str">
        <f>IFERROR(VLOOKUP(VALUE(J2345),'Site Info'!$A:$G,4,FALSE),"")</f>
        <v>DUBUQUE</v>
      </c>
      <c r="M2345" t="str">
        <f>IFERROR(VLOOKUP(VALUE(J2345),'Site Info'!$A:$G,5,FALSE),"")</f>
        <v>IA</v>
      </c>
      <c r="N2345" t="str">
        <f>IFERROR(VLOOKUP(VALUE(J2345),'Site Info'!$A:$G,6,FALSE),"")</f>
        <v>52002-0406</v>
      </c>
      <c r="O2345">
        <f>IFERROR(VLOOKUP(VALUE(J2345),'Site Info'!$A:$G,7,FALSE),"")</f>
        <v>5635870576</v>
      </c>
    </row>
    <row r="2346" spans="1:15" x14ac:dyDescent="0.45">
      <c r="A2346" t="s">
        <v>12216</v>
      </c>
      <c r="B2346" t="s">
        <v>12217</v>
      </c>
      <c r="C2346" t="s">
        <v>12218</v>
      </c>
      <c r="D2346" t="s">
        <v>8572</v>
      </c>
      <c r="E2346" s="1">
        <v>46100.542557870373</v>
      </c>
      <c r="F2346">
        <v>1548</v>
      </c>
      <c r="G2346" t="s">
        <v>12219</v>
      </c>
      <c r="H2346" t="s">
        <v>15</v>
      </c>
      <c r="I2346" t="s">
        <v>8574</v>
      </c>
      <c r="J2346" t="str">
        <f>RIGHT(D2346,4)</f>
        <v>4742</v>
      </c>
      <c r="K2346" t="str">
        <f>IFERROR(VLOOKUP(VALUE(J2346),'Site Info'!$A:$G,3,FALSE),"")</f>
        <v>4400 BRYANT IRVIN RD</v>
      </c>
      <c r="L2346" t="str">
        <f>IFERROR(VLOOKUP(VALUE(J2346),'Site Info'!$A:$G,4,FALSE),"")</f>
        <v>FORT WORTH</v>
      </c>
      <c r="M2346" t="str">
        <f>IFERROR(VLOOKUP(VALUE(J2346),'Site Info'!$A:$G,5,FALSE),"")</f>
        <v>TX</v>
      </c>
      <c r="N2346" t="str">
        <f>IFERROR(VLOOKUP(VALUE(J2346),'Site Info'!$A:$G,6,FALSE),"")</f>
        <v>76132-1064</v>
      </c>
      <c r="O2346">
        <f>IFERROR(VLOOKUP(VALUE(J2346),'Site Info'!$A:$G,7,FALSE),"")</f>
        <v>8179891992</v>
      </c>
    </row>
    <row r="2347" spans="1:15" x14ac:dyDescent="0.45">
      <c r="A2347" t="s">
        <v>12240</v>
      </c>
      <c r="B2347" t="s">
        <v>12241</v>
      </c>
      <c r="C2347" t="s">
        <v>12242</v>
      </c>
      <c r="D2347" t="s">
        <v>8572</v>
      </c>
      <c r="E2347" s="1">
        <v>46152.667164351849</v>
      </c>
      <c r="F2347">
        <v>1547</v>
      </c>
      <c r="G2347" t="s">
        <v>12243</v>
      </c>
      <c r="H2347" t="s">
        <v>15</v>
      </c>
      <c r="I2347" t="s">
        <v>8574</v>
      </c>
      <c r="J2347" t="str">
        <f>RIGHT(D2347,4)</f>
        <v>4742</v>
      </c>
      <c r="K2347" t="str">
        <f>IFERROR(VLOOKUP(VALUE(J2347),'Site Info'!$A:$G,3,FALSE),"")</f>
        <v>4400 BRYANT IRVIN RD</v>
      </c>
      <c r="L2347" t="str">
        <f>IFERROR(VLOOKUP(VALUE(J2347),'Site Info'!$A:$G,4,FALSE),"")</f>
        <v>FORT WORTH</v>
      </c>
      <c r="M2347" t="str">
        <f>IFERROR(VLOOKUP(VALUE(J2347),'Site Info'!$A:$G,5,FALSE),"")</f>
        <v>TX</v>
      </c>
      <c r="N2347" t="str">
        <f>IFERROR(VLOOKUP(VALUE(J2347),'Site Info'!$A:$G,6,FALSE),"")</f>
        <v>76132-1064</v>
      </c>
      <c r="O2347">
        <f>IFERROR(VLOOKUP(VALUE(J2347),'Site Info'!$A:$G,7,FALSE),"")</f>
        <v>8179891992</v>
      </c>
    </row>
    <row r="2348" spans="1:15" x14ac:dyDescent="0.45">
      <c r="A2348" t="s">
        <v>13948</v>
      </c>
      <c r="B2348" t="s">
        <v>13949</v>
      </c>
      <c r="C2348" t="s">
        <v>13950</v>
      </c>
      <c r="D2348" t="s">
        <v>8572</v>
      </c>
      <c r="E2348" s="1">
        <v>46152.887986111113</v>
      </c>
      <c r="F2348">
        <v>1547</v>
      </c>
      <c r="G2348" t="s">
        <v>13951</v>
      </c>
      <c r="H2348" t="s">
        <v>15</v>
      </c>
      <c r="I2348" t="s">
        <v>8574</v>
      </c>
      <c r="J2348" t="str">
        <f>RIGHT(D2348,4)</f>
        <v>4742</v>
      </c>
      <c r="K2348" t="str">
        <f>IFERROR(VLOOKUP(VALUE(J2348),'Site Info'!$A:$G,3,FALSE),"")</f>
        <v>4400 BRYANT IRVIN RD</v>
      </c>
      <c r="L2348" t="str">
        <f>IFERROR(VLOOKUP(VALUE(J2348),'Site Info'!$A:$G,4,FALSE),"")</f>
        <v>FORT WORTH</v>
      </c>
      <c r="M2348" t="str">
        <f>IFERROR(VLOOKUP(VALUE(J2348),'Site Info'!$A:$G,5,FALSE),"")</f>
        <v>TX</v>
      </c>
      <c r="N2348" t="str">
        <f>IFERROR(VLOOKUP(VALUE(J2348),'Site Info'!$A:$G,6,FALSE),"")</f>
        <v>76132-1064</v>
      </c>
      <c r="O2348">
        <f>IFERROR(VLOOKUP(VALUE(J2348),'Site Info'!$A:$G,7,FALSE),"")</f>
        <v>8179891992</v>
      </c>
    </row>
    <row r="2349" spans="1:15" x14ac:dyDescent="0.45">
      <c r="A2349" t="s">
        <v>8569</v>
      </c>
      <c r="B2349" t="s">
        <v>8570</v>
      </c>
      <c r="C2349" t="s">
        <v>8571</v>
      </c>
      <c r="D2349" t="s">
        <v>8572</v>
      </c>
      <c r="E2349" s="1">
        <v>46153.16810185185</v>
      </c>
      <c r="F2349">
        <v>1547</v>
      </c>
      <c r="G2349" t="s">
        <v>8573</v>
      </c>
      <c r="H2349" t="s">
        <v>15</v>
      </c>
      <c r="I2349" t="s">
        <v>8574</v>
      </c>
      <c r="J2349" t="str">
        <f>RIGHT(D2349,4)</f>
        <v>4742</v>
      </c>
      <c r="K2349" t="str">
        <f>IFERROR(VLOOKUP(VALUE(J2349),'Site Info'!$A:$G,3,FALSE),"")</f>
        <v>4400 BRYANT IRVIN RD</v>
      </c>
      <c r="L2349" t="str">
        <f>IFERROR(VLOOKUP(VALUE(J2349),'Site Info'!$A:$G,4,FALSE),"")</f>
        <v>FORT WORTH</v>
      </c>
      <c r="M2349" t="str">
        <f>IFERROR(VLOOKUP(VALUE(J2349),'Site Info'!$A:$G,5,FALSE),"")</f>
        <v>TX</v>
      </c>
      <c r="N2349" t="str">
        <f>IFERROR(VLOOKUP(VALUE(J2349),'Site Info'!$A:$G,6,FALSE),"")</f>
        <v>76132-1064</v>
      </c>
      <c r="O2349">
        <f>IFERROR(VLOOKUP(VALUE(J2349),'Site Info'!$A:$G,7,FALSE),"")</f>
        <v>8179891992</v>
      </c>
    </row>
    <row r="2350" spans="1:15" x14ac:dyDescent="0.45">
      <c r="A2350" t="s">
        <v>6885</v>
      </c>
      <c r="B2350" t="s">
        <v>6886</v>
      </c>
      <c r="C2350" t="s">
        <v>6887</v>
      </c>
      <c r="D2350" t="s">
        <v>6782</v>
      </c>
      <c r="E2350" s="1">
        <v>46152.698483796295</v>
      </c>
      <c r="F2350">
        <v>1547</v>
      </c>
      <c r="G2350" t="s">
        <v>6888</v>
      </c>
      <c r="H2350" t="s">
        <v>15</v>
      </c>
      <c r="I2350" t="s">
        <v>6784</v>
      </c>
      <c r="J2350" t="str">
        <f>RIGHT(D2350,4)</f>
        <v>4961</v>
      </c>
      <c r="K2350" t="str">
        <f>IFERROR(VLOOKUP(VALUE(J2350),'Site Info'!$A:$G,3,FALSE),"")</f>
        <v>4400 N MAIN ST</v>
      </c>
      <c r="L2350" t="str">
        <f>IFERROR(VLOOKUP(VALUE(J2350),'Site Info'!$A:$G,4,FALSE),"")</f>
        <v>ROSWELL</v>
      </c>
      <c r="M2350" t="str">
        <f>IFERROR(VLOOKUP(VALUE(J2350),'Site Info'!$A:$G,5,FALSE),"")</f>
        <v>NM</v>
      </c>
      <c r="N2350" t="str">
        <f>IFERROR(VLOOKUP(VALUE(J2350),'Site Info'!$A:$G,6,FALSE),"")</f>
        <v>88201-0314</v>
      </c>
      <c r="O2350">
        <f>IFERROR(VLOOKUP(VALUE(J2350),'Site Info'!$A:$G,7,FALSE),"")</f>
        <v>5756279852</v>
      </c>
    </row>
    <row r="2351" spans="1:15" x14ac:dyDescent="0.45">
      <c r="A2351" t="s">
        <v>6779</v>
      </c>
      <c r="B2351" t="s">
        <v>6780</v>
      </c>
      <c r="C2351" t="s">
        <v>6781</v>
      </c>
      <c r="D2351" t="s">
        <v>6782</v>
      </c>
      <c r="E2351" s="1">
        <v>46152.703356481485</v>
      </c>
      <c r="F2351">
        <v>1547</v>
      </c>
      <c r="G2351" t="s">
        <v>6783</v>
      </c>
      <c r="H2351" t="s">
        <v>15</v>
      </c>
      <c r="I2351" t="s">
        <v>6784</v>
      </c>
      <c r="J2351" t="str">
        <f>RIGHT(D2351,4)</f>
        <v>4961</v>
      </c>
      <c r="K2351" t="str">
        <f>IFERROR(VLOOKUP(VALUE(J2351),'Site Info'!$A:$G,3,FALSE),"")</f>
        <v>4400 N MAIN ST</v>
      </c>
      <c r="L2351" t="str">
        <f>IFERROR(VLOOKUP(VALUE(J2351),'Site Info'!$A:$G,4,FALSE),"")</f>
        <v>ROSWELL</v>
      </c>
      <c r="M2351" t="str">
        <f>IFERROR(VLOOKUP(VALUE(J2351),'Site Info'!$A:$G,5,FALSE),"")</f>
        <v>NM</v>
      </c>
      <c r="N2351" t="str">
        <f>IFERROR(VLOOKUP(VALUE(J2351),'Site Info'!$A:$G,6,FALSE),"")</f>
        <v>88201-0314</v>
      </c>
      <c r="O2351">
        <f>IFERROR(VLOOKUP(VALUE(J2351),'Site Info'!$A:$G,7,FALSE),"")</f>
        <v>5756279852</v>
      </c>
    </row>
    <row r="2352" spans="1:15" x14ac:dyDescent="0.45">
      <c r="A2352" t="s">
        <v>6801</v>
      </c>
      <c r="B2352" t="s">
        <v>6802</v>
      </c>
      <c r="C2352" t="s">
        <v>6803</v>
      </c>
      <c r="D2352" t="s">
        <v>6782</v>
      </c>
      <c r="E2352" s="1">
        <v>46152.730300925927</v>
      </c>
      <c r="F2352">
        <v>1547</v>
      </c>
      <c r="G2352" t="s">
        <v>6804</v>
      </c>
      <c r="H2352" t="s">
        <v>15</v>
      </c>
      <c r="I2352" t="s">
        <v>6784</v>
      </c>
      <c r="J2352" t="str">
        <f>RIGHT(D2352,4)</f>
        <v>4961</v>
      </c>
      <c r="K2352" t="str">
        <f>IFERROR(VLOOKUP(VALUE(J2352),'Site Info'!$A:$G,3,FALSE),"")</f>
        <v>4400 N MAIN ST</v>
      </c>
      <c r="L2352" t="str">
        <f>IFERROR(VLOOKUP(VALUE(J2352),'Site Info'!$A:$G,4,FALSE),"")</f>
        <v>ROSWELL</v>
      </c>
      <c r="M2352" t="str">
        <f>IFERROR(VLOOKUP(VALUE(J2352),'Site Info'!$A:$G,5,FALSE),"")</f>
        <v>NM</v>
      </c>
      <c r="N2352" t="str">
        <f>IFERROR(VLOOKUP(VALUE(J2352),'Site Info'!$A:$G,6,FALSE),"")</f>
        <v>88201-0314</v>
      </c>
      <c r="O2352">
        <f>IFERROR(VLOOKUP(VALUE(J2352),'Site Info'!$A:$G,7,FALSE),"")</f>
        <v>5756279852</v>
      </c>
    </row>
    <row r="2353" spans="1:15" x14ac:dyDescent="0.45">
      <c r="A2353" t="s">
        <v>14527</v>
      </c>
      <c r="B2353" t="s">
        <v>14528</v>
      </c>
      <c r="C2353" t="s">
        <v>14529</v>
      </c>
      <c r="D2353" t="s">
        <v>6782</v>
      </c>
      <c r="E2353" s="1">
        <v>46153.278252314813</v>
      </c>
      <c r="F2353">
        <v>1547</v>
      </c>
      <c r="G2353" t="s">
        <v>14530</v>
      </c>
      <c r="H2353" t="s">
        <v>15</v>
      </c>
      <c r="I2353" t="s">
        <v>6784</v>
      </c>
      <c r="J2353" t="str">
        <f>RIGHT(D2353,4)</f>
        <v>4961</v>
      </c>
      <c r="K2353" t="str">
        <f>IFERROR(VLOOKUP(VALUE(J2353),'Site Info'!$A:$G,3,FALSE),"")</f>
        <v>4400 N MAIN ST</v>
      </c>
      <c r="L2353" t="str">
        <f>IFERROR(VLOOKUP(VALUE(J2353),'Site Info'!$A:$G,4,FALSE),"")</f>
        <v>ROSWELL</v>
      </c>
      <c r="M2353" t="str">
        <f>IFERROR(VLOOKUP(VALUE(J2353),'Site Info'!$A:$G,5,FALSE),"")</f>
        <v>NM</v>
      </c>
      <c r="N2353" t="str">
        <f>IFERROR(VLOOKUP(VALUE(J2353),'Site Info'!$A:$G,6,FALSE),"")</f>
        <v>88201-0314</v>
      </c>
      <c r="O2353">
        <f>IFERROR(VLOOKUP(VALUE(J2353),'Site Info'!$A:$G,7,FALSE),"")</f>
        <v>5756279852</v>
      </c>
    </row>
    <row r="2354" spans="1:15" x14ac:dyDescent="0.45">
      <c r="A2354" t="s">
        <v>7677</v>
      </c>
      <c r="B2354" t="s">
        <v>7678</v>
      </c>
      <c r="C2354" t="s">
        <v>7679</v>
      </c>
      <c r="D2354" t="s">
        <v>3576</v>
      </c>
      <c r="E2354" s="1">
        <v>46152.665335648147</v>
      </c>
      <c r="F2354">
        <v>1547</v>
      </c>
      <c r="G2354" t="s">
        <v>7680</v>
      </c>
      <c r="H2354" t="s">
        <v>15</v>
      </c>
      <c r="I2354" t="s">
        <v>3578</v>
      </c>
      <c r="J2354" t="str">
        <f>RIGHT(D2354,4)</f>
        <v>8191</v>
      </c>
      <c r="K2354" t="str">
        <f>IFERROR(VLOOKUP(VALUE(J2354),'Site Info'!$A:$G,3,FALSE),"")</f>
        <v>441 WILKES BARRE TOWNSHIP BLVD</v>
      </c>
      <c r="L2354" t="str">
        <f>IFERROR(VLOOKUP(VALUE(J2354),'Site Info'!$A:$G,4,FALSE),"")</f>
        <v>WILKES BARRE</v>
      </c>
      <c r="M2354" t="str">
        <f>IFERROR(VLOOKUP(VALUE(J2354),'Site Info'!$A:$G,5,FALSE),"")</f>
        <v>PA</v>
      </c>
      <c r="N2354" t="str">
        <f>IFERROR(VLOOKUP(VALUE(J2354),'Site Info'!$A:$G,6,FALSE),"")</f>
        <v>18702-6603</v>
      </c>
      <c r="O2354">
        <f>IFERROR(VLOOKUP(VALUE(J2354),'Site Info'!$A:$G,7,FALSE),"")</f>
        <v>5708215500</v>
      </c>
    </row>
    <row r="2355" spans="1:15" x14ac:dyDescent="0.45">
      <c r="A2355" t="s">
        <v>7839</v>
      </c>
      <c r="B2355" t="s">
        <v>7840</v>
      </c>
      <c r="C2355" t="s">
        <v>7841</v>
      </c>
      <c r="D2355" t="s">
        <v>3576</v>
      </c>
      <c r="E2355" s="1">
        <v>46152.730879629627</v>
      </c>
      <c r="F2355">
        <v>1547</v>
      </c>
      <c r="G2355" t="s">
        <v>7842</v>
      </c>
      <c r="H2355" t="s">
        <v>15</v>
      </c>
      <c r="I2355" t="s">
        <v>3578</v>
      </c>
      <c r="J2355" t="str">
        <f>RIGHT(D2355,4)</f>
        <v>8191</v>
      </c>
      <c r="K2355" t="str">
        <f>IFERROR(VLOOKUP(VALUE(J2355),'Site Info'!$A:$G,3,FALSE),"")</f>
        <v>441 WILKES BARRE TOWNSHIP BLVD</v>
      </c>
      <c r="L2355" t="str">
        <f>IFERROR(VLOOKUP(VALUE(J2355),'Site Info'!$A:$G,4,FALSE),"")</f>
        <v>WILKES BARRE</v>
      </c>
      <c r="M2355" t="str">
        <f>IFERROR(VLOOKUP(VALUE(J2355),'Site Info'!$A:$G,5,FALSE),"")</f>
        <v>PA</v>
      </c>
      <c r="N2355" t="str">
        <f>IFERROR(VLOOKUP(VALUE(J2355),'Site Info'!$A:$G,6,FALSE),"")</f>
        <v>18702-6603</v>
      </c>
      <c r="O2355">
        <f>IFERROR(VLOOKUP(VALUE(J2355),'Site Info'!$A:$G,7,FALSE),"")</f>
        <v>5708215500</v>
      </c>
    </row>
    <row r="2356" spans="1:15" x14ac:dyDescent="0.45">
      <c r="A2356" t="s">
        <v>11164</v>
      </c>
      <c r="B2356" t="s">
        <v>11165</v>
      </c>
      <c r="C2356" t="s">
        <v>11166</v>
      </c>
      <c r="D2356" t="s">
        <v>3576</v>
      </c>
      <c r="E2356" s="1">
        <v>46153.317187499997</v>
      </c>
      <c r="F2356">
        <v>1547</v>
      </c>
      <c r="G2356" t="s">
        <v>11167</v>
      </c>
      <c r="H2356" t="s">
        <v>15</v>
      </c>
      <c r="I2356" t="s">
        <v>3578</v>
      </c>
      <c r="J2356" t="str">
        <f>RIGHT(D2356,4)</f>
        <v>8191</v>
      </c>
      <c r="K2356" t="str">
        <f>IFERROR(VLOOKUP(VALUE(J2356),'Site Info'!$A:$G,3,FALSE),"")</f>
        <v>441 WILKES BARRE TOWNSHIP BLVD</v>
      </c>
      <c r="L2356" t="str">
        <f>IFERROR(VLOOKUP(VALUE(J2356),'Site Info'!$A:$G,4,FALSE),"")</f>
        <v>WILKES BARRE</v>
      </c>
      <c r="M2356" t="str">
        <f>IFERROR(VLOOKUP(VALUE(J2356),'Site Info'!$A:$G,5,FALSE),"")</f>
        <v>PA</v>
      </c>
      <c r="N2356" t="str">
        <f>IFERROR(VLOOKUP(VALUE(J2356),'Site Info'!$A:$G,6,FALSE),"")</f>
        <v>18702-6603</v>
      </c>
      <c r="O2356">
        <f>IFERROR(VLOOKUP(VALUE(J2356),'Site Info'!$A:$G,7,FALSE),"")</f>
        <v>5708215500</v>
      </c>
    </row>
    <row r="2357" spans="1:15" x14ac:dyDescent="0.45">
      <c r="A2357" t="s">
        <v>7745</v>
      </c>
      <c r="B2357" t="s">
        <v>7746</v>
      </c>
      <c r="C2357" t="s">
        <v>7747</v>
      </c>
      <c r="D2357" t="s">
        <v>3576</v>
      </c>
      <c r="E2357" s="1">
        <v>46153.337141203701</v>
      </c>
      <c r="F2357">
        <v>1547</v>
      </c>
      <c r="G2357" t="s">
        <v>7748</v>
      </c>
      <c r="H2357" t="s">
        <v>15</v>
      </c>
      <c r="I2357" t="s">
        <v>3578</v>
      </c>
      <c r="J2357" t="str">
        <f>RIGHT(D2357,4)</f>
        <v>8191</v>
      </c>
      <c r="K2357" t="str">
        <f>IFERROR(VLOOKUP(VALUE(J2357),'Site Info'!$A:$G,3,FALSE),"")</f>
        <v>441 WILKES BARRE TOWNSHIP BLVD</v>
      </c>
      <c r="L2357" t="str">
        <f>IFERROR(VLOOKUP(VALUE(J2357),'Site Info'!$A:$G,4,FALSE),"")</f>
        <v>WILKES BARRE</v>
      </c>
      <c r="M2357" t="str">
        <f>IFERROR(VLOOKUP(VALUE(J2357),'Site Info'!$A:$G,5,FALSE),"")</f>
        <v>PA</v>
      </c>
      <c r="N2357" t="str">
        <f>IFERROR(VLOOKUP(VALUE(J2357),'Site Info'!$A:$G,6,FALSE),"")</f>
        <v>18702-6603</v>
      </c>
      <c r="O2357">
        <f>IFERROR(VLOOKUP(VALUE(J2357),'Site Info'!$A:$G,7,FALSE),"")</f>
        <v>5708215500</v>
      </c>
    </row>
    <row r="2358" spans="1:15" x14ac:dyDescent="0.45">
      <c r="A2358" t="s">
        <v>3573</v>
      </c>
      <c r="B2358" t="s">
        <v>3574</v>
      </c>
      <c r="C2358" t="s">
        <v>3575</v>
      </c>
      <c r="D2358" t="s">
        <v>3576</v>
      </c>
      <c r="E2358" s="1">
        <v>46153.37263888889</v>
      </c>
      <c r="F2358">
        <v>1481</v>
      </c>
      <c r="G2358" t="s">
        <v>3577</v>
      </c>
      <c r="H2358" t="s">
        <v>15</v>
      </c>
      <c r="I2358" t="s">
        <v>3578</v>
      </c>
      <c r="J2358" t="str">
        <f>RIGHT(D2358,4)</f>
        <v>8191</v>
      </c>
      <c r="K2358" t="str">
        <f>IFERROR(VLOOKUP(VALUE(J2358),'Site Info'!$A:$G,3,FALSE),"")</f>
        <v>441 WILKES BARRE TOWNSHIP BLVD</v>
      </c>
      <c r="L2358" t="str">
        <f>IFERROR(VLOOKUP(VALUE(J2358),'Site Info'!$A:$G,4,FALSE),"")</f>
        <v>WILKES BARRE</v>
      </c>
      <c r="M2358" t="str">
        <f>IFERROR(VLOOKUP(VALUE(J2358),'Site Info'!$A:$G,5,FALSE),"")</f>
        <v>PA</v>
      </c>
      <c r="N2358" t="str">
        <f>IFERROR(VLOOKUP(VALUE(J2358),'Site Info'!$A:$G,6,FALSE),"")</f>
        <v>18702-6603</v>
      </c>
      <c r="O2358">
        <f>IFERROR(VLOOKUP(VALUE(J2358),'Site Info'!$A:$G,7,FALSE),"")</f>
        <v>5708215500</v>
      </c>
    </row>
    <row r="2359" spans="1:15" x14ac:dyDescent="0.45">
      <c r="A2359" t="s">
        <v>7827</v>
      </c>
      <c r="B2359" t="s">
        <v>7828</v>
      </c>
      <c r="C2359" t="s">
        <v>7829</v>
      </c>
      <c r="D2359" t="s">
        <v>7327</v>
      </c>
      <c r="E2359" s="1">
        <v>46152.721747685187</v>
      </c>
      <c r="F2359">
        <v>1547</v>
      </c>
      <c r="G2359" t="s">
        <v>7830</v>
      </c>
      <c r="H2359" t="s">
        <v>15</v>
      </c>
      <c r="I2359" t="s">
        <v>7329</v>
      </c>
      <c r="J2359" t="str">
        <f>RIGHT(D2359,4)</f>
        <v>6402</v>
      </c>
      <c r="K2359" t="str">
        <f>IFERROR(VLOOKUP(VALUE(J2359),'Site Info'!$A:$G,3,FALSE),"")</f>
        <v>4418 W WENDOVER AVE</v>
      </c>
      <c r="L2359" t="str">
        <f>IFERROR(VLOOKUP(VALUE(J2359),'Site Info'!$A:$G,4,FALSE),"")</f>
        <v>GREENSBORO</v>
      </c>
      <c r="M2359" t="str">
        <f>IFERROR(VLOOKUP(VALUE(J2359),'Site Info'!$A:$G,5,FALSE),"")</f>
        <v>NC</v>
      </c>
      <c r="N2359" t="str">
        <f>IFERROR(VLOOKUP(VALUE(J2359),'Site Info'!$A:$G,6,FALSE),"")</f>
        <v>27407-2600</v>
      </c>
      <c r="O2359">
        <f>IFERROR(VLOOKUP(VALUE(J2359),'Site Info'!$A:$G,7,FALSE),"")</f>
        <v>3368526212</v>
      </c>
    </row>
    <row r="2360" spans="1:15" x14ac:dyDescent="0.45">
      <c r="A2360" t="s">
        <v>14025</v>
      </c>
      <c r="B2360" t="s">
        <v>14026</v>
      </c>
      <c r="C2360" t="s">
        <v>14027</v>
      </c>
      <c r="D2360" t="s">
        <v>7327</v>
      </c>
      <c r="E2360" s="1">
        <v>46152.795057870368</v>
      </c>
      <c r="F2360">
        <v>1547</v>
      </c>
      <c r="G2360" t="s">
        <v>14028</v>
      </c>
      <c r="H2360" t="s">
        <v>15</v>
      </c>
      <c r="I2360" t="s">
        <v>7329</v>
      </c>
      <c r="J2360" t="str">
        <f>RIGHT(D2360,4)</f>
        <v>6402</v>
      </c>
      <c r="K2360" t="str">
        <f>IFERROR(VLOOKUP(VALUE(J2360),'Site Info'!$A:$G,3,FALSE),"")</f>
        <v>4418 W WENDOVER AVE</v>
      </c>
      <c r="L2360" t="str">
        <f>IFERROR(VLOOKUP(VALUE(J2360),'Site Info'!$A:$G,4,FALSE),"")</f>
        <v>GREENSBORO</v>
      </c>
      <c r="M2360" t="str">
        <f>IFERROR(VLOOKUP(VALUE(J2360),'Site Info'!$A:$G,5,FALSE),"")</f>
        <v>NC</v>
      </c>
      <c r="N2360" t="str">
        <f>IFERROR(VLOOKUP(VALUE(J2360),'Site Info'!$A:$G,6,FALSE),"")</f>
        <v>27407-2600</v>
      </c>
      <c r="O2360">
        <f>IFERROR(VLOOKUP(VALUE(J2360),'Site Info'!$A:$G,7,FALSE),"")</f>
        <v>3368526212</v>
      </c>
    </row>
    <row r="2361" spans="1:15" x14ac:dyDescent="0.45">
      <c r="A2361" t="s">
        <v>12750</v>
      </c>
      <c r="B2361" t="s">
        <v>12751</v>
      </c>
      <c r="C2361" t="s">
        <v>12752</v>
      </c>
      <c r="D2361" t="s">
        <v>7327</v>
      </c>
      <c r="E2361" s="1">
        <v>46152.809444444443</v>
      </c>
      <c r="F2361">
        <v>1547</v>
      </c>
      <c r="G2361" t="s">
        <v>12753</v>
      </c>
      <c r="H2361" t="s">
        <v>15</v>
      </c>
      <c r="I2361" t="s">
        <v>7329</v>
      </c>
      <c r="J2361" t="str">
        <f>RIGHT(D2361,4)</f>
        <v>6402</v>
      </c>
      <c r="K2361" t="str">
        <f>IFERROR(VLOOKUP(VALUE(J2361),'Site Info'!$A:$G,3,FALSE),"")</f>
        <v>4418 W WENDOVER AVE</v>
      </c>
      <c r="L2361" t="str">
        <f>IFERROR(VLOOKUP(VALUE(J2361),'Site Info'!$A:$G,4,FALSE),"")</f>
        <v>GREENSBORO</v>
      </c>
      <c r="M2361" t="str">
        <f>IFERROR(VLOOKUP(VALUE(J2361),'Site Info'!$A:$G,5,FALSE),"")</f>
        <v>NC</v>
      </c>
      <c r="N2361" t="str">
        <f>IFERROR(VLOOKUP(VALUE(J2361),'Site Info'!$A:$G,6,FALSE),"")</f>
        <v>27407-2600</v>
      </c>
      <c r="O2361">
        <f>IFERROR(VLOOKUP(VALUE(J2361),'Site Info'!$A:$G,7,FALSE),"")</f>
        <v>3368526212</v>
      </c>
    </row>
    <row r="2362" spans="1:15" x14ac:dyDescent="0.45">
      <c r="A2362" t="s">
        <v>7709</v>
      </c>
      <c r="B2362" t="s">
        <v>7710</v>
      </c>
      <c r="C2362" t="s">
        <v>7711</v>
      </c>
      <c r="D2362" t="s">
        <v>7327</v>
      </c>
      <c r="E2362" s="1">
        <v>46153.309178240743</v>
      </c>
      <c r="F2362">
        <v>1547</v>
      </c>
      <c r="G2362" t="s">
        <v>7712</v>
      </c>
      <c r="H2362" t="s">
        <v>15</v>
      </c>
      <c r="I2362" t="s">
        <v>7329</v>
      </c>
      <c r="J2362" t="str">
        <f>RIGHT(D2362,4)</f>
        <v>6402</v>
      </c>
      <c r="K2362" t="str">
        <f>IFERROR(VLOOKUP(VALUE(J2362),'Site Info'!$A:$G,3,FALSE),"")</f>
        <v>4418 W WENDOVER AVE</v>
      </c>
      <c r="L2362" t="str">
        <f>IFERROR(VLOOKUP(VALUE(J2362),'Site Info'!$A:$G,4,FALSE),"")</f>
        <v>GREENSBORO</v>
      </c>
      <c r="M2362" t="str">
        <f>IFERROR(VLOOKUP(VALUE(J2362),'Site Info'!$A:$G,5,FALSE),"")</f>
        <v>NC</v>
      </c>
      <c r="N2362" t="str">
        <f>IFERROR(VLOOKUP(VALUE(J2362),'Site Info'!$A:$G,6,FALSE),"")</f>
        <v>27407-2600</v>
      </c>
      <c r="O2362">
        <f>IFERROR(VLOOKUP(VALUE(J2362),'Site Info'!$A:$G,7,FALSE),"")</f>
        <v>3368526212</v>
      </c>
    </row>
    <row r="2363" spans="1:15" x14ac:dyDescent="0.45">
      <c r="A2363" t="s">
        <v>7324</v>
      </c>
      <c r="B2363" t="s">
        <v>7325</v>
      </c>
      <c r="C2363" t="s">
        <v>7326</v>
      </c>
      <c r="D2363" t="s">
        <v>7327</v>
      </c>
      <c r="E2363" s="1">
        <v>46153.359583333331</v>
      </c>
      <c r="F2363">
        <v>1547</v>
      </c>
      <c r="G2363" t="s">
        <v>7328</v>
      </c>
      <c r="H2363" t="s">
        <v>15</v>
      </c>
      <c r="I2363" t="s">
        <v>7329</v>
      </c>
      <c r="J2363" t="str">
        <f>RIGHT(D2363,4)</f>
        <v>6402</v>
      </c>
      <c r="K2363" t="str">
        <f>IFERROR(VLOOKUP(VALUE(J2363),'Site Info'!$A:$G,3,FALSE),"")</f>
        <v>4418 W WENDOVER AVE</v>
      </c>
      <c r="L2363" t="str">
        <f>IFERROR(VLOOKUP(VALUE(J2363),'Site Info'!$A:$G,4,FALSE),"")</f>
        <v>GREENSBORO</v>
      </c>
      <c r="M2363" t="str">
        <f>IFERROR(VLOOKUP(VALUE(J2363),'Site Info'!$A:$G,5,FALSE),"")</f>
        <v>NC</v>
      </c>
      <c r="N2363" t="str">
        <f>IFERROR(VLOOKUP(VALUE(J2363),'Site Info'!$A:$G,6,FALSE),"")</f>
        <v>27407-2600</v>
      </c>
      <c r="O2363">
        <f>IFERROR(VLOOKUP(VALUE(J2363),'Site Info'!$A:$G,7,FALSE),"")</f>
        <v>3368526212</v>
      </c>
    </row>
    <row r="2364" spans="1:15" x14ac:dyDescent="0.45">
      <c r="A2364" t="s">
        <v>12802</v>
      </c>
      <c r="B2364" t="s">
        <v>12803</v>
      </c>
      <c r="C2364" t="s">
        <v>12804</v>
      </c>
      <c r="D2364" t="s">
        <v>7327</v>
      </c>
      <c r="E2364" s="1">
        <v>46153.369201388887</v>
      </c>
      <c r="F2364">
        <v>1547</v>
      </c>
      <c r="G2364" t="s">
        <v>12805</v>
      </c>
      <c r="H2364" t="s">
        <v>15</v>
      </c>
      <c r="I2364" t="s">
        <v>7329</v>
      </c>
      <c r="J2364" t="str">
        <f>RIGHT(D2364,4)</f>
        <v>6402</v>
      </c>
      <c r="K2364" t="str">
        <f>IFERROR(VLOOKUP(VALUE(J2364),'Site Info'!$A:$G,3,FALSE),"")</f>
        <v>4418 W WENDOVER AVE</v>
      </c>
      <c r="L2364" t="str">
        <f>IFERROR(VLOOKUP(VALUE(J2364),'Site Info'!$A:$G,4,FALSE),"")</f>
        <v>GREENSBORO</v>
      </c>
      <c r="M2364" t="str">
        <f>IFERROR(VLOOKUP(VALUE(J2364),'Site Info'!$A:$G,5,FALSE),"")</f>
        <v>NC</v>
      </c>
      <c r="N2364" t="str">
        <f>IFERROR(VLOOKUP(VALUE(J2364),'Site Info'!$A:$G,6,FALSE),"")</f>
        <v>27407-2600</v>
      </c>
      <c r="O2364">
        <f>IFERROR(VLOOKUP(VALUE(J2364),'Site Info'!$A:$G,7,FALSE),"")</f>
        <v>3368526212</v>
      </c>
    </row>
    <row r="2365" spans="1:15" x14ac:dyDescent="0.45">
      <c r="A2365" t="s">
        <v>5520</v>
      </c>
      <c r="B2365" t="s">
        <v>5521</v>
      </c>
      <c r="C2365" t="s">
        <v>5522</v>
      </c>
      <c r="D2365" t="s">
        <v>1045</v>
      </c>
      <c r="E2365" s="1">
        <v>46150.353622685187</v>
      </c>
      <c r="F2365">
        <v>1547</v>
      </c>
      <c r="G2365" t="s">
        <v>5523</v>
      </c>
      <c r="H2365" t="s">
        <v>15</v>
      </c>
      <c r="I2365" t="s">
        <v>1047</v>
      </c>
      <c r="J2365" t="str">
        <f>RIGHT(D2365,4)</f>
        <v>4805</v>
      </c>
      <c r="K2365" t="str">
        <f>IFERROR(VLOOKUP(VALUE(J2365),'Site Info'!$A:$G,3,FALSE),"")</f>
        <v>4420 KING AVE E</v>
      </c>
      <c r="L2365" t="str">
        <f>IFERROR(VLOOKUP(VALUE(J2365),'Site Info'!$A:$G,4,FALSE),"")</f>
        <v>BILLINGS</v>
      </c>
      <c r="M2365" t="str">
        <f>IFERROR(VLOOKUP(VALUE(J2365),'Site Info'!$A:$G,5,FALSE),"")</f>
        <v>MT</v>
      </c>
      <c r="N2365" t="str">
        <f>IFERROR(VLOOKUP(VALUE(J2365),'Site Info'!$A:$G,6,FALSE),"")</f>
        <v>59101-4913</v>
      </c>
      <c r="O2365">
        <f>IFERROR(VLOOKUP(VALUE(J2365),'Site Info'!$A:$G,7,FALSE),"")</f>
        <v>4062567277</v>
      </c>
    </row>
    <row r="2366" spans="1:15" x14ac:dyDescent="0.45">
      <c r="A2366" t="s">
        <v>5158</v>
      </c>
      <c r="B2366" t="s">
        <v>5159</v>
      </c>
      <c r="C2366" t="s">
        <v>5160</v>
      </c>
      <c r="D2366" t="s">
        <v>1045</v>
      </c>
      <c r="E2366" s="1">
        <v>46151.667372685188</v>
      </c>
      <c r="F2366">
        <v>1547</v>
      </c>
      <c r="G2366" t="s">
        <v>5161</v>
      </c>
      <c r="H2366" t="s">
        <v>15</v>
      </c>
      <c r="I2366" t="s">
        <v>1047</v>
      </c>
      <c r="J2366" t="str">
        <f>RIGHT(D2366,4)</f>
        <v>4805</v>
      </c>
      <c r="K2366" t="str">
        <f>IFERROR(VLOOKUP(VALUE(J2366),'Site Info'!$A:$G,3,FALSE),"")</f>
        <v>4420 KING AVE E</v>
      </c>
      <c r="L2366" t="str">
        <f>IFERROR(VLOOKUP(VALUE(J2366),'Site Info'!$A:$G,4,FALSE),"")</f>
        <v>BILLINGS</v>
      </c>
      <c r="M2366" t="str">
        <f>IFERROR(VLOOKUP(VALUE(J2366),'Site Info'!$A:$G,5,FALSE),"")</f>
        <v>MT</v>
      </c>
      <c r="N2366" t="str">
        <f>IFERROR(VLOOKUP(VALUE(J2366),'Site Info'!$A:$G,6,FALSE),"")</f>
        <v>59101-4913</v>
      </c>
      <c r="O2366">
        <f>IFERROR(VLOOKUP(VALUE(J2366),'Site Info'!$A:$G,7,FALSE),"")</f>
        <v>4062567277</v>
      </c>
    </row>
    <row r="2367" spans="1:15" x14ac:dyDescent="0.45">
      <c r="A2367" t="s">
        <v>5424</v>
      </c>
      <c r="B2367" t="s">
        <v>5425</v>
      </c>
      <c r="C2367" t="s">
        <v>5426</v>
      </c>
      <c r="D2367" t="s">
        <v>1045</v>
      </c>
      <c r="E2367" s="1">
        <v>46152.803553240738</v>
      </c>
      <c r="F2367">
        <v>1547</v>
      </c>
      <c r="G2367" t="s">
        <v>5427</v>
      </c>
      <c r="H2367" t="s">
        <v>15</v>
      </c>
      <c r="I2367" t="s">
        <v>1047</v>
      </c>
      <c r="J2367" t="str">
        <f>RIGHT(D2367,4)</f>
        <v>4805</v>
      </c>
      <c r="K2367" t="str">
        <f>IFERROR(VLOOKUP(VALUE(J2367),'Site Info'!$A:$G,3,FALSE),"")</f>
        <v>4420 KING AVE E</v>
      </c>
      <c r="L2367" t="str">
        <f>IFERROR(VLOOKUP(VALUE(J2367),'Site Info'!$A:$G,4,FALSE),"")</f>
        <v>BILLINGS</v>
      </c>
      <c r="M2367" t="str">
        <f>IFERROR(VLOOKUP(VALUE(J2367),'Site Info'!$A:$G,5,FALSE),"")</f>
        <v>MT</v>
      </c>
      <c r="N2367" t="str">
        <f>IFERROR(VLOOKUP(VALUE(J2367),'Site Info'!$A:$G,6,FALSE),"")</f>
        <v>59101-4913</v>
      </c>
      <c r="O2367">
        <f>IFERROR(VLOOKUP(VALUE(J2367),'Site Info'!$A:$G,7,FALSE),"")</f>
        <v>4062567277</v>
      </c>
    </row>
    <row r="2368" spans="1:15" x14ac:dyDescent="0.45">
      <c r="A2368" t="s">
        <v>5638</v>
      </c>
      <c r="B2368" t="s">
        <v>5639</v>
      </c>
      <c r="C2368" t="s">
        <v>5640</v>
      </c>
      <c r="D2368" t="s">
        <v>1045</v>
      </c>
      <c r="E2368" s="1">
        <v>46153.343923611108</v>
      </c>
      <c r="F2368">
        <v>1547</v>
      </c>
      <c r="G2368" t="s">
        <v>5641</v>
      </c>
      <c r="H2368" t="s">
        <v>15</v>
      </c>
      <c r="I2368" t="s">
        <v>1047</v>
      </c>
      <c r="J2368" t="str">
        <f>RIGHT(D2368,4)</f>
        <v>4805</v>
      </c>
      <c r="K2368" t="str">
        <f>IFERROR(VLOOKUP(VALUE(J2368),'Site Info'!$A:$G,3,FALSE),"")</f>
        <v>4420 KING AVE E</v>
      </c>
      <c r="L2368" t="str">
        <f>IFERROR(VLOOKUP(VALUE(J2368),'Site Info'!$A:$G,4,FALSE),"")</f>
        <v>BILLINGS</v>
      </c>
      <c r="M2368" t="str">
        <f>IFERROR(VLOOKUP(VALUE(J2368),'Site Info'!$A:$G,5,FALSE),"")</f>
        <v>MT</v>
      </c>
      <c r="N2368" t="str">
        <f>IFERROR(VLOOKUP(VALUE(J2368),'Site Info'!$A:$G,6,FALSE),"")</f>
        <v>59101-4913</v>
      </c>
      <c r="O2368">
        <f>IFERROR(VLOOKUP(VALUE(J2368),'Site Info'!$A:$G,7,FALSE),"")</f>
        <v>4062567277</v>
      </c>
    </row>
    <row r="2369" spans="1:15" x14ac:dyDescent="0.45">
      <c r="A2369" t="s">
        <v>6266</v>
      </c>
      <c r="B2369" t="s">
        <v>6267</v>
      </c>
      <c r="C2369" t="s">
        <v>6268</v>
      </c>
      <c r="D2369" t="s">
        <v>1045</v>
      </c>
      <c r="E2369" s="1">
        <v>46153.373240740744</v>
      </c>
      <c r="F2369">
        <v>1547</v>
      </c>
      <c r="G2369" t="s">
        <v>6269</v>
      </c>
      <c r="H2369" t="s">
        <v>15</v>
      </c>
      <c r="I2369" t="s">
        <v>1047</v>
      </c>
      <c r="J2369" t="str">
        <f>RIGHT(D2369,4)</f>
        <v>4805</v>
      </c>
      <c r="K2369" t="str">
        <f>IFERROR(VLOOKUP(VALUE(J2369),'Site Info'!$A:$G,3,FALSE),"")</f>
        <v>4420 KING AVE E</v>
      </c>
      <c r="L2369" t="str">
        <f>IFERROR(VLOOKUP(VALUE(J2369),'Site Info'!$A:$G,4,FALSE),"")</f>
        <v>BILLINGS</v>
      </c>
      <c r="M2369" t="str">
        <f>IFERROR(VLOOKUP(VALUE(J2369),'Site Info'!$A:$G,5,FALSE),"")</f>
        <v>MT</v>
      </c>
      <c r="N2369" t="str">
        <f>IFERROR(VLOOKUP(VALUE(J2369),'Site Info'!$A:$G,6,FALSE),"")</f>
        <v>59101-4913</v>
      </c>
      <c r="O2369">
        <f>IFERROR(VLOOKUP(VALUE(J2369),'Site Info'!$A:$G,7,FALSE),"")</f>
        <v>4062567277</v>
      </c>
    </row>
    <row r="2370" spans="1:15" x14ac:dyDescent="0.45">
      <c r="A2370" t="s">
        <v>1042</v>
      </c>
      <c r="B2370" t="s">
        <v>1043</v>
      </c>
      <c r="C2370" t="s">
        <v>1044</v>
      </c>
      <c r="D2370" t="s">
        <v>1045</v>
      </c>
      <c r="E2370" s="1">
        <v>46153.349490740744</v>
      </c>
      <c r="F2370">
        <v>1481</v>
      </c>
      <c r="G2370" t="s">
        <v>1046</v>
      </c>
      <c r="H2370" t="s">
        <v>15</v>
      </c>
      <c r="I2370" t="s">
        <v>1047</v>
      </c>
      <c r="J2370" t="str">
        <f>RIGHT(D2370,4)</f>
        <v>4805</v>
      </c>
      <c r="K2370" t="str">
        <f>IFERROR(VLOOKUP(VALUE(J2370),'Site Info'!$A:$G,3,FALSE),"")</f>
        <v>4420 KING AVE E</v>
      </c>
      <c r="L2370" t="str">
        <f>IFERROR(VLOOKUP(VALUE(J2370),'Site Info'!$A:$G,4,FALSE),"")</f>
        <v>BILLINGS</v>
      </c>
      <c r="M2370" t="str">
        <f>IFERROR(VLOOKUP(VALUE(J2370),'Site Info'!$A:$G,5,FALSE),"")</f>
        <v>MT</v>
      </c>
      <c r="N2370" t="str">
        <f>IFERROR(VLOOKUP(VALUE(J2370),'Site Info'!$A:$G,6,FALSE),"")</f>
        <v>59101-4913</v>
      </c>
      <c r="O2370">
        <f>IFERROR(VLOOKUP(VALUE(J2370),'Site Info'!$A:$G,7,FALSE),"")</f>
        <v>4062567277</v>
      </c>
    </row>
    <row r="2371" spans="1:15" x14ac:dyDescent="0.45">
      <c r="A2371" t="s">
        <v>9277</v>
      </c>
      <c r="B2371" t="s">
        <v>9278</v>
      </c>
      <c r="C2371" t="s">
        <v>9279</v>
      </c>
      <c r="D2371" t="s">
        <v>3840</v>
      </c>
      <c r="E2371" s="1">
        <v>46153.077696759261</v>
      </c>
      <c r="F2371">
        <v>1547</v>
      </c>
      <c r="G2371" t="s">
        <v>9280</v>
      </c>
      <c r="H2371" t="s">
        <v>15</v>
      </c>
      <c r="I2371" t="s">
        <v>3842</v>
      </c>
      <c r="J2371" t="str">
        <f>RIGHT(D2371,4)</f>
        <v>8263</v>
      </c>
      <c r="K2371" t="str">
        <f>IFERROR(VLOOKUP(VALUE(J2371),'Site Info'!$A:$G,3,FALSE),"")</f>
        <v>4420 S SHERIDAN RD</v>
      </c>
      <c r="L2371" t="str">
        <f>IFERROR(VLOOKUP(VALUE(J2371),'Site Info'!$A:$G,4,FALSE),"")</f>
        <v>TULSA</v>
      </c>
      <c r="M2371" t="str">
        <f>IFERROR(VLOOKUP(VALUE(J2371),'Site Info'!$A:$G,5,FALSE),"")</f>
        <v>OK</v>
      </c>
      <c r="N2371" t="str">
        <f>IFERROR(VLOOKUP(VALUE(J2371),'Site Info'!$A:$G,6,FALSE),"")</f>
        <v>74145-1122</v>
      </c>
      <c r="O2371">
        <f>IFERROR(VLOOKUP(VALUE(J2371),'Site Info'!$A:$G,7,FALSE),"")</f>
        <v>9186271443</v>
      </c>
    </row>
    <row r="2372" spans="1:15" x14ac:dyDescent="0.45">
      <c r="A2372" t="s">
        <v>12496</v>
      </c>
      <c r="B2372" t="s">
        <v>12497</v>
      </c>
      <c r="C2372" t="s">
        <v>12498</v>
      </c>
      <c r="D2372" t="s">
        <v>3840</v>
      </c>
      <c r="E2372" s="1">
        <v>46153.328194444446</v>
      </c>
      <c r="F2372">
        <v>1547</v>
      </c>
      <c r="G2372" t="s">
        <v>12499</v>
      </c>
      <c r="H2372" t="s">
        <v>15</v>
      </c>
      <c r="I2372" t="s">
        <v>3842</v>
      </c>
      <c r="J2372" t="str">
        <f>RIGHT(D2372,4)</f>
        <v>8263</v>
      </c>
      <c r="K2372" t="str">
        <f>IFERROR(VLOOKUP(VALUE(J2372),'Site Info'!$A:$G,3,FALSE),"")</f>
        <v>4420 S SHERIDAN RD</v>
      </c>
      <c r="L2372" t="str">
        <f>IFERROR(VLOOKUP(VALUE(J2372),'Site Info'!$A:$G,4,FALSE),"")</f>
        <v>TULSA</v>
      </c>
      <c r="M2372" t="str">
        <f>IFERROR(VLOOKUP(VALUE(J2372),'Site Info'!$A:$G,5,FALSE),"")</f>
        <v>OK</v>
      </c>
      <c r="N2372" t="str">
        <f>IFERROR(VLOOKUP(VALUE(J2372),'Site Info'!$A:$G,6,FALSE),"")</f>
        <v>74145-1122</v>
      </c>
      <c r="O2372">
        <f>IFERROR(VLOOKUP(VALUE(J2372),'Site Info'!$A:$G,7,FALSE),"")</f>
        <v>9186271443</v>
      </c>
    </row>
    <row r="2373" spans="1:15" x14ac:dyDescent="0.45">
      <c r="A2373" t="s">
        <v>9439</v>
      </c>
      <c r="B2373" t="s">
        <v>9440</v>
      </c>
      <c r="C2373" t="s">
        <v>9441</v>
      </c>
      <c r="D2373" t="s">
        <v>3840</v>
      </c>
      <c r="E2373" s="1">
        <v>46153.33253472222</v>
      </c>
      <c r="F2373">
        <v>1547</v>
      </c>
      <c r="G2373" t="s">
        <v>9442</v>
      </c>
      <c r="H2373" t="s">
        <v>15</v>
      </c>
      <c r="I2373" t="s">
        <v>3842</v>
      </c>
      <c r="J2373" t="str">
        <f>RIGHT(D2373,4)</f>
        <v>8263</v>
      </c>
      <c r="K2373" t="str">
        <f>IFERROR(VLOOKUP(VALUE(J2373),'Site Info'!$A:$G,3,FALSE),"")</f>
        <v>4420 S SHERIDAN RD</v>
      </c>
      <c r="L2373" t="str">
        <f>IFERROR(VLOOKUP(VALUE(J2373),'Site Info'!$A:$G,4,FALSE),"")</f>
        <v>TULSA</v>
      </c>
      <c r="M2373" t="str">
        <f>IFERROR(VLOOKUP(VALUE(J2373),'Site Info'!$A:$G,5,FALSE),"")</f>
        <v>OK</v>
      </c>
      <c r="N2373" t="str">
        <f>IFERROR(VLOOKUP(VALUE(J2373),'Site Info'!$A:$G,6,FALSE),"")</f>
        <v>74145-1122</v>
      </c>
      <c r="O2373">
        <f>IFERROR(VLOOKUP(VALUE(J2373),'Site Info'!$A:$G,7,FALSE),"")</f>
        <v>9186271443</v>
      </c>
    </row>
    <row r="2374" spans="1:15" x14ac:dyDescent="0.45">
      <c r="A2374" t="s">
        <v>3837</v>
      </c>
      <c r="B2374" t="s">
        <v>3838</v>
      </c>
      <c r="C2374" t="s">
        <v>3839</v>
      </c>
      <c r="D2374" t="s">
        <v>3840</v>
      </c>
      <c r="E2374" s="1">
        <v>46151.74560185185</v>
      </c>
      <c r="F2374">
        <v>1481</v>
      </c>
      <c r="G2374" t="s">
        <v>3841</v>
      </c>
      <c r="H2374" t="s">
        <v>15</v>
      </c>
      <c r="I2374" t="s">
        <v>3842</v>
      </c>
      <c r="J2374" t="str">
        <f>RIGHT(D2374,4)</f>
        <v>8263</v>
      </c>
      <c r="K2374" t="str">
        <f>IFERROR(VLOOKUP(VALUE(J2374),'Site Info'!$A:$G,3,FALSE),"")</f>
        <v>4420 S SHERIDAN RD</v>
      </c>
      <c r="L2374" t="str">
        <f>IFERROR(VLOOKUP(VALUE(J2374),'Site Info'!$A:$G,4,FALSE),"")</f>
        <v>TULSA</v>
      </c>
      <c r="M2374" t="str">
        <f>IFERROR(VLOOKUP(VALUE(J2374),'Site Info'!$A:$G,5,FALSE),"")</f>
        <v>OK</v>
      </c>
      <c r="N2374" t="str">
        <f>IFERROR(VLOOKUP(VALUE(J2374),'Site Info'!$A:$G,6,FALSE),"")</f>
        <v>74145-1122</v>
      </c>
      <c r="O2374">
        <f>IFERROR(VLOOKUP(VALUE(J2374),'Site Info'!$A:$G,7,FALSE),"")</f>
        <v>9186271443</v>
      </c>
    </row>
    <row r="2375" spans="1:15" x14ac:dyDescent="0.45">
      <c r="A2375" t="s">
        <v>16427</v>
      </c>
      <c r="B2375" t="s">
        <v>17236</v>
      </c>
      <c r="C2375" t="s">
        <v>17237</v>
      </c>
      <c r="D2375" t="s">
        <v>3840</v>
      </c>
      <c r="E2375" s="1">
        <v>46152.659884259258</v>
      </c>
      <c r="F2375">
        <v>1863</v>
      </c>
      <c r="G2375" t="s">
        <v>17238</v>
      </c>
      <c r="H2375" t="s">
        <v>136</v>
      </c>
      <c r="I2375" t="s">
        <v>3842</v>
      </c>
      <c r="J2375" t="str">
        <f>RIGHT(D2375,4)</f>
        <v>8263</v>
      </c>
      <c r="K2375" t="str">
        <f>IFERROR(VLOOKUP(VALUE(J2375),'Site Info'!$A:$G,3,FALSE),"")</f>
        <v>4420 S SHERIDAN RD</v>
      </c>
      <c r="L2375" t="str">
        <f>IFERROR(VLOOKUP(VALUE(J2375),'Site Info'!$A:$G,4,FALSE),"")</f>
        <v>TULSA</v>
      </c>
      <c r="M2375" t="str">
        <f>IFERROR(VLOOKUP(VALUE(J2375),'Site Info'!$A:$G,5,FALSE),"")</f>
        <v>OK</v>
      </c>
      <c r="N2375" t="str">
        <f>IFERROR(VLOOKUP(VALUE(J2375),'Site Info'!$A:$G,6,FALSE),"")</f>
        <v>74145-1122</v>
      </c>
      <c r="O2375">
        <f>IFERROR(VLOOKUP(VALUE(J2375),'Site Info'!$A:$G,7,FALSE),"")</f>
        <v>9186271443</v>
      </c>
    </row>
    <row r="2376" spans="1:15" x14ac:dyDescent="0.45">
      <c r="A2376" t="s">
        <v>14632</v>
      </c>
      <c r="B2376" t="s">
        <v>17239</v>
      </c>
      <c r="C2376" t="s">
        <v>17240</v>
      </c>
      <c r="D2376" t="s">
        <v>3840</v>
      </c>
      <c r="E2376" s="1">
        <v>46152.664733796293</v>
      </c>
      <c r="F2376">
        <v>1863</v>
      </c>
      <c r="G2376" t="s">
        <v>17241</v>
      </c>
      <c r="H2376" t="s">
        <v>136</v>
      </c>
      <c r="I2376" t="s">
        <v>3842</v>
      </c>
      <c r="J2376" t="str">
        <f>RIGHT(D2376,4)</f>
        <v>8263</v>
      </c>
      <c r="K2376" t="str">
        <f>IFERROR(VLOOKUP(VALUE(J2376),'Site Info'!$A:$G,3,FALSE),"")</f>
        <v>4420 S SHERIDAN RD</v>
      </c>
      <c r="L2376" t="str">
        <f>IFERROR(VLOOKUP(VALUE(J2376),'Site Info'!$A:$G,4,FALSE),"")</f>
        <v>TULSA</v>
      </c>
      <c r="M2376" t="str">
        <f>IFERROR(VLOOKUP(VALUE(J2376),'Site Info'!$A:$G,5,FALSE),"")</f>
        <v>OK</v>
      </c>
      <c r="N2376" t="str">
        <f>IFERROR(VLOOKUP(VALUE(J2376),'Site Info'!$A:$G,6,FALSE),"")</f>
        <v>74145-1122</v>
      </c>
      <c r="O2376">
        <f>IFERROR(VLOOKUP(VALUE(J2376),'Site Info'!$A:$G,7,FALSE),"")</f>
        <v>9186271443</v>
      </c>
    </row>
    <row r="2377" spans="1:15" x14ac:dyDescent="0.45">
      <c r="A2377" t="s">
        <v>9753</v>
      </c>
      <c r="B2377" t="s">
        <v>9754</v>
      </c>
      <c r="C2377" t="s">
        <v>9755</v>
      </c>
      <c r="D2377" t="s">
        <v>886</v>
      </c>
      <c r="E2377" s="1">
        <v>46153.339907407404</v>
      </c>
      <c r="F2377">
        <v>1548</v>
      </c>
      <c r="G2377" t="s">
        <v>9756</v>
      </c>
      <c r="H2377" t="s">
        <v>15</v>
      </c>
      <c r="I2377" t="s">
        <v>9757</v>
      </c>
      <c r="J2377" t="str">
        <f>RIGHT(D2377,4)</f>
        <v>6462</v>
      </c>
      <c r="K2377" t="str">
        <f>IFERROR(VLOOKUP(VALUE(J2377),'Site Info'!$A:$G,3,FALSE),"")</f>
        <v>45 MARKETPLACE DR</v>
      </c>
      <c r="L2377" t="str">
        <f>IFERROR(VLOOKUP(VALUE(J2377),'Site Info'!$A:$G,4,FALSE),"")</f>
        <v>AUGUSTA</v>
      </c>
      <c r="M2377" t="str">
        <f>IFERROR(VLOOKUP(VALUE(J2377),'Site Info'!$A:$G,5,FALSE),"")</f>
        <v>ME</v>
      </c>
      <c r="N2377" t="str">
        <f>IFERROR(VLOOKUP(VALUE(J2377),'Site Info'!$A:$G,6,FALSE),"")</f>
        <v>04330-8037</v>
      </c>
      <c r="O2377">
        <f>IFERROR(VLOOKUP(VALUE(J2377),'Site Info'!$A:$G,7,FALSE),"")</f>
        <v>2076232757</v>
      </c>
    </row>
    <row r="2378" spans="1:15" x14ac:dyDescent="0.45">
      <c r="A2378" t="s">
        <v>11714</v>
      </c>
      <c r="B2378" t="s">
        <v>11715</v>
      </c>
      <c r="C2378" t="s">
        <v>11716</v>
      </c>
      <c r="D2378" t="s">
        <v>886</v>
      </c>
      <c r="E2378" s="1">
        <v>46148.891342592593</v>
      </c>
      <c r="F2378">
        <v>1547</v>
      </c>
      <c r="G2378" t="s">
        <v>11717</v>
      </c>
      <c r="H2378" t="s">
        <v>15</v>
      </c>
      <c r="I2378" t="s">
        <v>9757</v>
      </c>
      <c r="J2378" t="str">
        <f>RIGHT(D2378,4)</f>
        <v>6462</v>
      </c>
      <c r="K2378" t="str">
        <f>IFERROR(VLOOKUP(VALUE(J2378),'Site Info'!$A:$G,3,FALSE),"")</f>
        <v>45 MARKETPLACE DR</v>
      </c>
      <c r="L2378" t="str">
        <f>IFERROR(VLOOKUP(VALUE(J2378),'Site Info'!$A:$G,4,FALSE),"")</f>
        <v>AUGUSTA</v>
      </c>
      <c r="M2378" t="str">
        <f>IFERROR(VLOOKUP(VALUE(J2378),'Site Info'!$A:$G,5,FALSE),"")</f>
        <v>ME</v>
      </c>
      <c r="N2378" t="str">
        <f>IFERROR(VLOOKUP(VALUE(J2378),'Site Info'!$A:$G,6,FALSE),"")</f>
        <v>04330-8037</v>
      </c>
      <c r="O2378">
        <f>IFERROR(VLOOKUP(VALUE(J2378),'Site Info'!$A:$G,7,FALSE),"")</f>
        <v>2076232757</v>
      </c>
    </row>
    <row r="2379" spans="1:15" x14ac:dyDescent="0.45">
      <c r="A2379" t="s">
        <v>11614</v>
      </c>
      <c r="B2379" t="s">
        <v>11615</v>
      </c>
      <c r="C2379" t="s">
        <v>11616</v>
      </c>
      <c r="D2379" t="s">
        <v>886</v>
      </c>
      <c r="E2379" s="1">
        <v>46151.587280092594</v>
      </c>
      <c r="F2379">
        <v>1547</v>
      </c>
      <c r="G2379" t="s">
        <v>11617</v>
      </c>
      <c r="H2379" t="s">
        <v>15</v>
      </c>
      <c r="I2379" t="s">
        <v>9757</v>
      </c>
      <c r="J2379" t="str">
        <f>RIGHT(D2379,4)</f>
        <v>6462</v>
      </c>
      <c r="K2379" t="str">
        <f>IFERROR(VLOOKUP(VALUE(J2379),'Site Info'!$A:$G,3,FALSE),"")</f>
        <v>45 MARKETPLACE DR</v>
      </c>
      <c r="L2379" t="str">
        <f>IFERROR(VLOOKUP(VALUE(J2379),'Site Info'!$A:$G,4,FALSE),"")</f>
        <v>AUGUSTA</v>
      </c>
      <c r="M2379" t="str">
        <f>IFERROR(VLOOKUP(VALUE(J2379),'Site Info'!$A:$G,5,FALSE),"")</f>
        <v>ME</v>
      </c>
      <c r="N2379" t="str">
        <f>IFERROR(VLOOKUP(VALUE(J2379),'Site Info'!$A:$G,6,FALSE),"")</f>
        <v>04330-8037</v>
      </c>
      <c r="O2379">
        <f>IFERROR(VLOOKUP(VALUE(J2379),'Site Info'!$A:$G,7,FALSE),"")</f>
        <v>2076232757</v>
      </c>
    </row>
    <row r="2380" spans="1:15" x14ac:dyDescent="0.45">
      <c r="A2380" t="s">
        <v>883</v>
      </c>
      <c r="B2380" t="s">
        <v>884</v>
      </c>
      <c r="C2380" t="s">
        <v>885</v>
      </c>
      <c r="D2380" t="s">
        <v>886</v>
      </c>
      <c r="E2380" s="1">
        <v>46152.435266203705</v>
      </c>
      <c r="F2380">
        <v>1481</v>
      </c>
      <c r="G2380" t="s">
        <v>887</v>
      </c>
      <c r="H2380" t="s">
        <v>15</v>
      </c>
      <c r="J2380" t="str">
        <f>RIGHT(D2380,4)</f>
        <v>6462</v>
      </c>
      <c r="K2380" t="str">
        <f>IFERROR(VLOOKUP(VALUE(J2380),'Site Info'!$A:$G,3,FALSE),"")</f>
        <v>45 MARKETPLACE DR</v>
      </c>
      <c r="L2380" t="str">
        <f>IFERROR(VLOOKUP(VALUE(J2380),'Site Info'!$A:$G,4,FALSE),"")</f>
        <v>AUGUSTA</v>
      </c>
      <c r="M2380" t="str">
        <f>IFERROR(VLOOKUP(VALUE(J2380),'Site Info'!$A:$G,5,FALSE),"")</f>
        <v>ME</v>
      </c>
      <c r="N2380" t="str">
        <f>IFERROR(VLOOKUP(VALUE(J2380),'Site Info'!$A:$G,6,FALSE),"")</f>
        <v>04330-8037</v>
      </c>
      <c r="O2380">
        <f>IFERROR(VLOOKUP(VALUE(J2380),'Site Info'!$A:$G,7,FALSE),"")</f>
        <v>2076232757</v>
      </c>
    </row>
    <row r="2381" spans="1:15" x14ac:dyDescent="0.45">
      <c r="A2381" t="s">
        <v>16493</v>
      </c>
      <c r="B2381" t="s">
        <v>16892</v>
      </c>
      <c r="C2381" t="s">
        <v>16893</v>
      </c>
      <c r="D2381" t="s">
        <v>886</v>
      </c>
      <c r="E2381" s="1">
        <v>46153.369976851849</v>
      </c>
      <c r="F2381">
        <v>1628</v>
      </c>
      <c r="G2381" t="s">
        <v>16894</v>
      </c>
      <c r="H2381" t="s">
        <v>13988</v>
      </c>
      <c r="I2381" t="s">
        <v>9757</v>
      </c>
      <c r="J2381" t="str">
        <f>RIGHT(D2381,4)</f>
        <v>6462</v>
      </c>
      <c r="K2381" t="str">
        <f>IFERROR(VLOOKUP(VALUE(J2381),'Site Info'!$A:$G,3,FALSE),"")</f>
        <v>45 MARKETPLACE DR</v>
      </c>
      <c r="L2381" t="str">
        <f>IFERROR(VLOOKUP(VALUE(J2381),'Site Info'!$A:$G,4,FALSE),"")</f>
        <v>AUGUSTA</v>
      </c>
      <c r="M2381" t="str">
        <f>IFERROR(VLOOKUP(VALUE(J2381),'Site Info'!$A:$G,5,FALSE),"")</f>
        <v>ME</v>
      </c>
      <c r="N2381" t="str">
        <f>IFERROR(VLOOKUP(VALUE(J2381),'Site Info'!$A:$G,6,FALSE),"")</f>
        <v>04330-8037</v>
      </c>
      <c r="O2381">
        <f>IFERROR(VLOOKUP(VALUE(J2381),'Site Info'!$A:$G,7,FALSE),"")</f>
        <v>2076232757</v>
      </c>
    </row>
    <row r="2382" spans="1:15" x14ac:dyDescent="0.45">
      <c r="A2382" t="s">
        <v>9041</v>
      </c>
      <c r="B2382" t="s">
        <v>9042</v>
      </c>
      <c r="C2382" t="s">
        <v>9043</v>
      </c>
      <c r="D2382" t="s">
        <v>325</v>
      </c>
      <c r="E2382" s="1">
        <v>46153.308067129627</v>
      </c>
      <c r="F2382">
        <v>1547</v>
      </c>
      <c r="G2382" t="s">
        <v>9044</v>
      </c>
      <c r="H2382" t="s">
        <v>15</v>
      </c>
      <c r="I2382" t="s">
        <v>327</v>
      </c>
      <c r="J2382" t="str">
        <f>RIGHT(D2382,4)</f>
        <v>6204</v>
      </c>
      <c r="K2382" t="str">
        <f>IFERROR(VLOOKUP(VALUE(J2382),'Site Info'!$A:$G,3,FALSE),"")</f>
        <v>450 NORMAN DR</v>
      </c>
      <c r="L2382" t="str">
        <f>IFERROR(VLOOKUP(VALUE(J2382),'Site Info'!$A:$G,4,FALSE),"")</f>
        <v>VALDOSTA</v>
      </c>
      <c r="M2382" t="str">
        <f>IFERROR(VLOOKUP(VALUE(J2382),'Site Info'!$A:$G,5,FALSE),"")</f>
        <v>GA</v>
      </c>
      <c r="N2382" t="str">
        <f>IFERROR(VLOOKUP(VALUE(J2382),'Site Info'!$A:$G,6,FALSE),"")</f>
        <v>31601-7708</v>
      </c>
      <c r="O2382">
        <f>IFERROR(VLOOKUP(VALUE(J2382),'Site Info'!$A:$G,7,FALSE),"")</f>
        <v>2292443939</v>
      </c>
    </row>
    <row r="2383" spans="1:15" x14ac:dyDescent="0.45">
      <c r="A2383" t="s">
        <v>7035</v>
      </c>
      <c r="B2383" t="s">
        <v>7036</v>
      </c>
      <c r="C2383" t="s">
        <v>7037</v>
      </c>
      <c r="D2383" t="s">
        <v>325</v>
      </c>
      <c r="E2383" s="1">
        <v>46153.350937499999</v>
      </c>
      <c r="F2383">
        <v>1547</v>
      </c>
      <c r="G2383" t="s">
        <v>7038</v>
      </c>
      <c r="H2383" t="s">
        <v>15</v>
      </c>
      <c r="I2383" t="s">
        <v>327</v>
      </c>
      <c r="J2383" t="str">
        <f>RIGHT(D2383,4)</f>
        <v>6204</v>
      </c>
      <c r="K2383" t="str">
        <f>IFERROR(VLOOKUP(VALUE(J2383),'Site Info'!$A:$G,3,FALSE),"")</f>
        <v>450 NORMAN DR</v>
      </c>
      <c r="L2383" t="str">
        <f>IFERROR(VLOOKUP(VALUE(J2383),'Site Info'!$A:$G,4,FALSE),"")</f>
        <v>VALDOSTA</v>
      </c>
      <c r="M2383" t="str">
        <f>IFERROR(VLOOKUP(VALUE(J2383),'Site Info'!$A:$G,5,FALSE),"")</f>
        <v>GA</v>
      </c>
      <c r="N2383" t="str">
        <f>IFERROR(VLOOKUP(VALUE(J2383),'Site Info'!$A:$G,6,FALSE),"")</f>
        <v>31601-7708</v>
      </c>
      <c r="O2383">
        <f>IFERROR(VLOOKUP(VALUE(J2383),'Site Info'!$A:$G,7,FALSE),"")</f>
        <v>2292443939</v>
      </c>
    </row>
    <row r="2384" spans="1:15" x14ac:dyDescent="0.45">
      <c r="A2384" t="s">
        <v>7089</v>
      </c>
      <c r="B2384" t="s">
        <v>7090</v>
      </c>
      <c r="C2384" t="s">
        <v>7091</v>
      </c>
      <c r="D2384" t="s">
        <v>325</v>
      </c>
      <c r="E2384" s="1">
        <v>46153.351747685185</v>
      </c>
      <c r="F2384">
        <v>1547</v>
      </c>
      <c r="G2384" t="s">
        <v>7092</v>
      </c>
      <c r="H2384" t="s">
        <v>15</v>
      </c>
      <c r="I2384" t="s">
        <v>327</v>
      </c>
      <c r="J2384" t="str">
        <f>RIGHT(D2384,4)</f>
        <v>6204</v>
      </c>
      <c r="K2384" t="str">
        <f>IFERROR(VLOOKUP(VALUE(J2384),'Site Info'!$A:$G,3,FALSE),"")</f>
        <v>450 NORMAN DR</v>
      </c>
      <c r="L2384" t="str">
        <f>IFERROR(VLOOKUP(VALUE(J2384),'Site Info'!$A:$G,4,FALSE),"")</f>
        <v>VALDOSTA</v>
      </c>
      <c r="M2384" t="str">
        <f>IFERROR(VLOOKUP(VALUE(J2384),'Site Info'!$A:$G,5,FALSE),"")</f>
        <v>GA</v>
      </c>
      <c r="N2384" t="str">
        <f>IFERROR(VLOOKUP(VALUE(J2384),'Site Info'!$A:$G,6,FALSE),"")</f>
        <v>31601-7708</v>
      </c>
      <c r="O2384">
        <f>IFERROR(VLOOKUP(VALUE(J2384),'Site Info'!$A:$G,7,FALSE),"")</f>
        <v>2292443939</v>
      </c>
    </row>
    <row r="2385" spans="1:15" x14ac:dyDescent="0.45">
      <c r="A2385" t="s">
        <v>946</v>
      </c>
      <c r="B2385" t="s">
        <v>947</v>
      </c>
      <c r="C2385" t="s">
        <v>948</v>
      </c>
      <c r="D2385" t="s">
        <v>325</v>
      </c>
      <c r="E2385" s="1">
        <v>46153.286296296297</v>
      </c>
      <c r="F2385">
        <v>1481</v>
      </c>
      <c r="G2385" t="s">
        <v>949</v>
      </c>
      <c r="H2385" t="s">
        <v>15</v>
      </c>
      <c r="I2385" t="s">
        <v>327</v>
      </c>
      <c r="J2385" t="str">
        <f>RIGHT(D2385,4)</f>
        <v>6204</v>
      </c>
      <c r="K2385" t="str">
        <f>IFERROR(VLOOKUP(VALUE(J2385),'Site Info'!$A:$G,3,FALSE),"")</f>
        <v>450 NORMAN DR</v>
      </c>
      <c r="L2385" t="str">
        <f>IFERROR(VLOOKUP(VALUE(J2385),'Site Info'!$A:$G,4,FALSE),"")</f>
        <v>VALDOSTA</v>
      </c>
      <c r="M2385" t="str">
        <f>IFERROR(VLOOKUP(VALUE(J2385),'Site Info'!$A:$G,5,FALSE),"")</f>
        <v>GA</v>
      </c>
      <c r="N2385" t="str">
        <f>IFERROR(VLOOKUP(VALUE(J2385),'Site Info'!$A:$G,6,FALSE),"")</f>
        <v>31601-7708</v>
      </c>
      <c r="O2385">
        <f>IFERROR(VLOOKUP(VALUE(J2385),'Site Info'!$A:$G,7,FALSE),"")</f>
        <v>2292443939</v>
      </c>
    </row>
    <row r="2386" spans="1:15" x14ac:dyDescent="0.45">
      <c r="A2386" t="s">
        <v>1372</v>
      </c>
      <c r="B2386" t="s">
        <v>1373</v>
      </c>
      <c r="C2386" t="s">
        <v>1374</v>
      </c>
      <c r="D2386" t="s">
        <v>325</v>
      </c>
      <c r="E2386" s="1">
        <v>46153.36791666667</v>
      </c>
      <c r="F2386">
        <v>1481</v>
      </c>
      <c r="G2386" t="s">
        <v>1375</v>
      </c>
      <c r="H2386" t="s">
        <v>15</v>
      </c>
      <c r="I2386" t="s">
        <v>327</v>
      </c>
      <c r="J2386" t="str">
        <f>RIGHT(D2386,4)</f>
        <v>6204</v>
      </c>
      <c r="K2386" t="str">
        <f>IFERROR(VLOOKUP(VALUE(J2386),'Site Info'!$A:$G,3,FALSE),"")</f>
        <v>450 NORMAN DR</v>
      </c>
      <c r="L2386" t="str">
        <f>IFERROR(VLOOKUP(VALUE(J2386),'Site Info'!$A:$G,4,FALSE),"")</f>
        <v>VALDOSTA</v>
      </c>
      <c r="M2386" t="str">
        <f>IFERROR(VLOOKUP(VALUE(J2386),'Site Info'!$A:$G,5,FALSE),"")</f>
        <v>GA</v>
      </c>
      <c r="N2386" t="str">
        <f>IFERROR(VLOOKUP(VALUE(J2386),'Site Info'!$A:$G,6,FALSE),"")</f>
        <v>31601-7708</v>
      </c>
      <c r="O2386">
        <f>IFERROR(VLOOKUP(VALUE(J2386),'Site Info'!$A:$G,7,FALSE),"")</f>
        <v>2292443939</v>
      </c>
    </row>
    <row r="2387" spans="1:15" x14ac:dyDescent="0.45">
      <c r="A2387" t="s">
        <v>322</v>
      </c>
      <c r="B2387" t="s">
        <v>323</v>
      </c>
      <c r="C2387" t="s">
        <v>324</v>
      </c>
      <c r="D2387" t="s">
        <v>325</v>
      </c>
      <c r="E2387" s="1">
        <v>46153.370046296295</v>
      </c>
      <c r="F2387">
        <v>1481</v>
      </c>
      <c r="G2387" t="s">
        <v>326</v>
      </c>
      <c r="H2387" t="s">
        <v>15</v>
      </c>
      <c r="I2387" t="s">
        <v>327</v>
      </c>
      <c r="J2387" t="str">
        <f>RIGHT(D2387,4)</f>
        <v>6204</v>
      </c>
      <c r="K2387" t="str">
        <f>IFERROR(VLOOKUP(VALUE(J2387),'Site Info'!$A:$G,3,FALSE),"")</f>
        <v>450 NORMAN DR</v>
      </c>
      <c r="L2387" t="str">
        <f>IFERROR(VLOOKUP(VALUE(J2387),'Site Info'!$A:$G,4,FALSE),"")</f>
        <v>VALDOSTA</v>
      </c>
      <c r="M2387" t="str">
        <f>IFERROR(VLOOKUP(VALUE(J2387),'Site Info'!$A:$G,5,FALSE),"")</f>
        <v>GA</v>
      </c>
      <c r="N2387" t="str">
        <f>IFERROR(VLOOKUP(VALUE(J2387),'Site Info'!$A:$G,6,FALSE),"")</f>
        <v>31601-7708</v>
      </c>
      <c r="O2387">
        <f>IFERROR(VLOOKUP(VALUE(J2387),'Site Info'!$A:$G,7,FALSE),"")</f>
        <v>2292443939</v>
      </c>
    </row>
    <row r="2388" spans="1:15" x14ac:dyDescent="0.45">
      <c r="A2388" t="s">
        <v>16606</v>
      </c>
      <c r="B2388" t="s">
        <v>16607</v>
      </c>
      <c r="C2388" t="s">
        <v>16608</v>
      </c>
      <c r="D2388" t="s">
        <v>325</v>
      </c>
      <c r="E2388" s="1">
        <v>46153.367488425924</v>
      </c>
      <c r="F2388">
        <v>1547</v>
      </c>
      <c r="G2388" t="s">
        <v>16609</v>
      </c>
      <c r="H2388" t="s">
        <v>15</v>
      </c>
      <c r="I2388" t="s">
        <v>327</v>
      </c>
      <c r="J2388" t="str">
        <f>RIGHT(D2388,4)</f>
        <v>6204</v>
      </c>
      <c r="K2388" t="str">
        <f>IFERROR(VLOOKUP(VALUE(J2388),'Site Info'!$A:$G,3,FALSE),"")</f>
        <v>450 NORMAN DR</v>
      </c>
      <c r="L2388" t="str">
        <f>IFERROR(VLOOKUP(VALUE(J2388),'Site Info'!$A:$G,4,FALSE),"")</f>
        <v>VALDOSTA</v>
      </c>
      <c r="M2388" t="str">
        <f>IFERROR(VLOOKUP(VALUE(J2388),'Site Info'!$A:$G,5,FALSE),"")</f>
        <v>GA</v>
      </c>
      <c r="N2388" t="str">
        <f>IFERROR(VLOOKUP(VALUE(J2388),'Site Info'!$A:$G,6,FALSE),"")</f>
        <v>31601-7708</v>
      </c>
      <c r="O2388">
        <f>IFERROR(VLOOKUP(VALUE(J2388),'Site Info'!$A:$G,7,FALSE),"")</f>
        <v>2292443939</v>
      </c>
    </row>
    <row r="2389" spans="1:15" x14ac:dyDescent="0.45">
      <c r="A2389" t="s">
        <v>11192</v>
      </c>
      <c r="B2389" t="s">
        <v>11193</v>
      </c>
      <c r="C2389" t="s">
        <v>11194</v>
      </c>
      <c r="D2389" t="s">
        <v>1417</v>
      </c>
      <c r="E2389" s="1">
        <v>46152.624699074076</v>
      </c>
      <c r="F2389">
        <v>1547</v>
      </c>
      <c r="G2389" t="s">
        <v>11195</v>
      </c>
      <c r="H2389" t="s">
        <v>15</v>
      </c>
      <c r="I2389" t="s">
        <v>1419</v>
      </c>
      <c r="J2389" t="str">
        <f>RIGHT(D2389,4)</f>
        <v>4991</v>
      </c>
      <c r="K2389" t="str">
        <f>IFERROR(VLOOKUP(VALUE(J2389),'Site Info'!$A:$G,3,FALSE),"")</f>
        <v>450 TOWNSEND RD</v>
      </c>
      <c r="L2389" t="str">
        <f>IFERROR(VLOOKUP(VALUE(J2389),'Site Info'!$A:$G,4,FALSE),"")</f>
        <v>COCOA</v>
      </c>
      <c r="M2389" t="str">
        <f>IFERROR(VLOOKUP(VALUE(J2389),'Site Info'!$A:$G,5,FALSE),"")</f>
        <v>FL</v>
      </c>
      <c r="N2389" t="str">
        <f>IFERROR(VLOOKUP(VALUE(J2389),'Site Info'!$A:$G,6,FALSE),"")</f>
        <v>32926-3308</v>
      </c>
      <c r="O2389">
        <f>IFERROR(VLOOKUP(VALUE(J2389),'Site Info'!$A:$G,7,FALSE),"")</f>
        <v>3216390124</v>
      </c>
    </row>
    <row r="2390" spans="1:15" x14ac:dyDescent="0.45">
      <c r="A2390" t="s">
        <v>11212</v>
      </c>
      <c r="B2390" t="s">
        <v>11213</v>
      </c>
      <c r="C2390" t="s">
        <v>11214</v>
      </c>
      <c r="D2390" t="s">
        <v>1417</v>
      </c>
      <c r="E2390" s="1">
        <v>46153.335648148146</v>
      </c>
      <c r="F2390">
        <v>1547</v>
      </c>
      <c r="G2390" t="s">
        <v>11215</v>
      </c>
      <c r="H2390" t="s">
        <v>15</v>
      </c>
      <c r="I2390" t="s">
        <v>1419</v>
      </c>
      <c r="J2390" t="str">
        <f>RIGHT(D2390,4)</f>
        <v>4991</v>
      </c>
      <c r="K2390" t="str">
        <f>IFERROR(VLOOKUP(VALUE(J2390),'Site Info'!$A:$G,3,FALSE),"")</f>
        <v>450 TOWNSEND RD</v>
      </c>
      <c r="L2390" t="str">
        <f>IFERROR(VLOOKUP(VALUE(J2390),'Site Info'!$A:$G,4,FALSE),"")</f>
        <v>COCOA</v>
      </c>
      <c r="M2390" t="str">
        <f>IFERROR(VLOOKUP(VALUE(J2390),'Site Info'!$A:$G,5,FALSE),"")</f>
        <v>FL</v>
      </c>
      <c r="N2390" t="str">
        <f>IFERROR(VLOOKUP(VALUE(J2390),'Site Info'!$A:$G,6,FALSE),"")</f>
        <v>32926-3308</v>
      </c>
      <c r="O2390">
        <f>IFERROR(VLOOKUP(VALUE(J2390),'Site Info'!$A:$G,7,FALSE),"")</f>
        <v>3216390124</v>
      </c>
    </row>
    <row r="2391" spans="1:15" x14ac:dyDescent="0.45">
      <c r="A2391" t="s">
        <v>4246</v>
      </c>
      <c r="B2391" t="s">
        <v>4247</v>
      </c>
      <c r="C2391" t="s">
        <v>4248</v>
      </c>
      <c r="D2391" t="s">
        <v>1417</v>
      </c>
      <c r="E2391" s="1">
        <v>46153.357627314814</v>
      </c>
      <c r="F2391">
        <v>1547</v>
      </c>
      <c r="G2391" t="s">
        <v>4249</v>
      </c>
      <c r="H2391" t="s">
        <v>15</v>
      </c>
      <c r="I2391" t="s">
        <v>1419</v>
      </c>
      <c r="J2391" t="str">
        <f>RIGHT(D2391,4)</f>
        <v>4991</v>
      </c>
      <c r="K2391" t="str">
        <f>IFERROR(VLOOKUP(VALUE(J2391),'Site Info'!$A:$G,3,FALSE),"")</f>
        <v>450 TOWNSEND RD</v>
      </c>
      <c r="L2391" t="str">
        <f>IFERROR(VLOOKUP(VALUE(J2391),'Site Info'!$A:$G,4,FALSE),"")</f>
        <v>COCOA</v>
      </c>
      <c r="M2391" t="str">
        <f>IFERROR(VLOOKUP(VALUE(J2391),'Site Info'!$A:$G,5,FALSE),"")</f>
        <v>FL</v>
      </c>
      <c r="N2391" t="str">
        <f>IFERROR(VLOOKUP(VALUE(J2391),'Site Info'!$A:$G,6,FALSE),"")</f>
        <v>32926-3308</v>
      </c>
      <c r="O2391">
        <f>IFERROR(VLOOKUP(VALUE(J2391),'Site Info'!$A:$G,7,FALSE),"")</f>
        <v>3216390124</v>
      </c>
    </row>
    <row r="2392" spans="1:15" x14ac:dyDescent="0.45">
      <c r="A2392" t="s">
        <v>14423</v>
      </c>
      <c r="B2392" t="s">
        <v>14424</v>
      </c>
      <c r="C2392" t="s">
        <v>14425</v>
      </c>
      <c r="D2392" t="s">
        <v>1417</v>
      </c>
      <c r="E2392" s="1">
        <v>46153.374201388891</v>
      </c>
      <c r="F2392">
        <v>1547</v>
      </c>
      <c r="G2392" t="s">
        <v>14426</v>
      </c>
      <c r="H2392" t="s">
        <v>15</v>
      </c>
      <c r="I2392" t="s">
        <v>1419</v>
      </c>
      <c r="J2392" t="str">
        <f>RIGHT(D2392,4)</f>
        <v>4991</v>
      </c>
      <c r="K2392" t="str">
        <f>IFERROR(VLOOKUP(VALUE(J2392),'Site Info'!$A:$G,3,FALSE),"")</f>
        <v>450 TOWNSEND RD</v>
      </c>
      <c r="L2392" t="str">
        <f>IFERROR(VLOOKUP(VALUE(J2392),'Site Info'!$A:$G,4,FALSE),"")</f>
        <v>COCOA</v>
      </c>
      <c r="M2392" t="str">
        <f>IFERROR(VLOOKUP(VALUE(J2392),'Site Info'!$A:$G,5,FALSE),"")</f>
        <v>FL</v>
      </c>
      <c r="N2392" t="str">
        <f>IFERROR(VLOOKUP(VALUE(J2392),'Site Info'!$A:$G,6,FALSE),"")</f>
        <v>32926-3308</v>
      </c>
      <c r="O2392">
        <f>IFERROR(VLOOKUP(VALUE(J2392),'Site Info'!$A:$G,7,FALSE),"")</f>
        <v>3216390124</v>
      </c>
    </row>
    <row r="2393" spans="1:15" x14ac:dyDescent="0.45">
      <c r="A2393" t="s">
        <v>2359</v>
      </c>
      <c r="B2393" t="s">
        <v>2360</v>
      </c>
      <c r="C2393" t="s">
        <v>2361</v>
      </c>
      <c r="D2393" t="s">
        <v>1417</v>
      </c>
      <c r="E2393" s="1">
        <v>46153.128020833334</v>
      </c>
      <c r="F2393">
        <v>1481</v>
      </c>
      <c r="G2393" t="s">
        <v>2362</v>
      </c>
      <c r="H2393" t="s">
        <v>15</v>
      </c>
      <c r="I2393" t="s">
        <v>1419</v>
      </c>
      <c r="J2393" t="str">
        <f>RIGHT(D2393,4)</f>
        <v>4991</v>
      </c>
      <c r="K2393" t="str">
        <f>IFERROR(VLOOKUP(VALUE(J2393),'Site Info'!$A:$G,3,FALSE),"")</f>
        <v>450 TOWNSEND RD</v>
      </c>
      <c r="L2393" t="str">
        <f>IFERROR(VLOOKUP(VALUE(J2393),'Site Info'!$A:$G,4,FALSE),"")</f>
        <v>COCOA</v>
      </c>
      <c r="M2393" t="str">
        <f>IFERROR(VLOOKUP(VALUE(J2393),'Site Info'!$A:$G,5,FALSE),"")</f>
        <v>FL</v>
      </c>
      <c r="N2393" t="str">
        <f>IFERROR(VLOOKUP(VALUE(J2393),'Site Info'!$A:$G,6,FALSE),"")</f>
        <v>32926-3308</v>
      </c>
      <c r="O2393">
        <f>IFERROR(VLOOKUP(VALUE(J2393),'Site Info'!$A:$G,7,FALSE),"")</f>
        <v>3216390124</v>
      </c>
    </row>
    <row r="2394" spans="1:15" x14ac:dyDescent="0.45">
      <c r="A2394" t="s">
        <v>1414</v>
      </c>
      <c r="B2394" t="s">
        <v>1415</v>
      </c>
      <c r="C2394" t="s">
        <v>1416</v>
      </c>
      <c r="D2394" t="s">
        <v>1417</v>
      </c>
      <c r="E2394" s="1">
        <v>46153.336423611108</v>
      </c>
      <c r="F2394">
        <v>1481</v>
      </c>
      <c r="G2394" t="s">
        <v>1418</v>
      </c>
      <c r="H2394" t="s">
        <v>15</v>
      </c>
      <c r="I2394" t="s">
        <v>1419</v>
      </c>
      <c r="J2394" t="str">
        <f>RIGHT(D2394,4)</f>
        <v>4991</v>
      </c>
      <c r="K2394" t="str">
        <f>IFERROR(VLOOKUP(VALUE(J2394),'Site Info'!$A:$G,3,FALSE),"")</f>
        <v>450 TOWNSEND RD</v>
      </c>
      <c r="L2394" t="str">
        <f>IFERROR(VLOOKUP(VALUE(J2394),'Site Info'!$A:$G,4,FALSE),"")</f>
        <v>COCOA</v>
      </c>
      <c r="M2394" t="str">
        <f>IFERROR(VLOOKUP(VALUE(J2394),'Site Info'!$A:$G,5,FALSE),"")</f>
        <v>FL</v>
      </c>
      <c r="N2394" t="str">
        <f>IFERROR(VLOOKUP(VALUE(J2394),'Site Info'!$A:$G,6,FALSE),"")</f>
        <v>32926-3308</v>
      </c>
      <c r="O2394">
        <f>IFERROR(VLOOKUP(VALUE(J2394),'Site Info'!$A:$G,7,FALSE),"")</f>
        <v>3216390124</v>
      </c>
    </row>
    <row r="2395" spans="1:15" x14ac:dyDescent="0.45">
      <c r="A2395" t="s">
        <v>7645</v>
      </c>
      <c r="B2395" t="s">
        <v>7646</v>
      </c>
      <c r="C2395" t="s">
        <v>7647</v>
      </c>
      <c r="D2395" t="s">
        <v>2616</v>
      </c>
      <c r="E2395" s="1">
        <v>46151.45826388889</v>
      </c>
      <c r="F2395">
        <v>1547</v>
      </c>
      <c r="G2395" t="s">
        <v>7648</v>
      </c>
      <c r="H2395" t="s">
        <v>15</v>
      </c>
      <c r="I2395" t="s">
        <v>2618</v>
      </c>
      <c r="J2395" t="str">
        <f>RIGHT(D2395,4)</f>
        <v>6347</v>
      </c>
      <c r="K2395" t="str">
        <f>IFERROR(VLOOKUP(VALUE(J2395),'Site Info'!$A:$G,3,FALSE),"")</f>
        <v>4500 E MAIN ST</v>
      </c>
      <c r="L2395" t="str">
        <f>IFERROR(VLOOKUP(VALUE(J2395),'Site Info'!$A:$G,4,FALSE),"")</f>
        <v>FARMINGTON</v>
      </c>
      <c r="M2395" t="str">
        <f>IFERROR(VLOOKUP(VALUE(J2395),'Site Info'!$A:$G,5,FALSE),"")</f>
        <v>NM</v>
      </c>
      <c r="N2395" t="str">
        <f>IFERROR(VLOOKUP(VALUE(J2395),'Site Info'!$A:$G,6,FALSE),"")</f>
        <v>87402-8665</v>
      </c>
      <c r="O2395">
        <f>IFERROR(VLOOKUP(VALUE(J2395),'Site Info'!$A:$G,7,FALSE),"")</f>
        <v>5053263500</v>
      </c>
    </row>
    <row r="2396" spans="1:15" x14ac:dyDescent="0.45">
      <c r="A2396" t="s">
        <v>7252</v>
      </c>
      <c r="B2396" t="s">
        <v>7253</v>
      </c>
      <c r="C2396" t="s">
        <v>7254</v>
      </c>
      <c r="D2396" t="s">
        <v>2616</v>
      </c>
      <c r="E2396" s="1">
        <v>46152.404930555553</v>
      </c>
      <c r="F2396">
        <v>1547</v>
      </c>
      <c r="G2396" t="s">
        <v>7255</v>
      </c>
      <c r="H2396" t="s">
        <v>15</v>
      </c>
      <c r="I2396" t="s">
        <v>2618</v>
      </c>
      <c r="J2396" t="str">
        <f>RIGHT(D2396,4)</f>
        <v>6347</v>
      </c>
      <c r="K2396" t="str">
        <f>IFERROR(VLOOKUP(VALUE(J2396),'Site Info'!$A:$G,3,FALSE),"")</f>
        <v>4500 E MAIN ST</v>
      </c>
      <c r="L2396" t="str">
        <f>IFERROR(VLOOKUP(VALUE(J2396),'Site Info'!$A:$G,4,FALSE),"")</f>
        <v>FARMINGTON</v>
      </c>
      <c r="M2396" t="str">
        <f>IFERROR(VLOOKUP(VALUE(J2396),'Site Info'!$A:$G,5,FALSE),"")</f>
        <v>NM</v>
      </c>
      <c r="N2396" t="str">
        <f>IFERROR(VLOOKUP(VALUE(J2396),'Site Info'!$A:$G,6,FALSE),"")</f>
        <v>87402-8665</v>
      </c>
      <c r="O2396">
        <f>IFERROR(VLOOKUP(VALUE(J2396),'Site Info'!$A:$G,7,FALSE),"")</f>
        <v>5053263500</v>
      </c>
    </row>
    <row r="2397" spans="1:15" x14ac:dyDescent="0.45">
      <c r="A2397" t="s">
        <v>7685</v>
      </c>
      <c r="B2397" t="s">
        <v>7686</v>
      </c>
      <c r="C2397" t="s">
        <v>7687</v>
      </c>
      <c r="D2397" t="s">
        <v>2616</v>
      </c>
      <c r="E2397" s="1">
        <v>46152.70653935185</v>
      </c>
      <c r="F2397">
        <v>1547</v>
      </c>
      <c r="G2397" t="s">
        <v>7688</v>
      </c>
      <c r="H2397" t="s">
        <v>15</v>
      </c>
      <c r="I2397" t="s">
        <v>2618</v>
      </c>
      <c r="J2397" t="str">
        <f>RIGHT(D2397,4)</f>
        <v>6347</v>
      </c>
      <c r="K2397" t="str">
        <f>IFERROR(VLOOKUP(VALUE(J2397),'Site Info'!$A:$G,3,FALSE),"")</f>
        <v>4500 E MAIN ST</v>
      </c>
      <c r="L2397" t="str">
        <f>IFERROR(VLOOKUP(VALUE(J2397),'Site Info'!$A:$G,4,FALSE),"")</f>
        <v>FARMINGTON</v>
      </c>
      <c r="M2397" t="str">
        <f>IFERROR(VLOOKUP(VALUE(J2397),'Site Info'!$A:$G,5,FALSE),"")</f>
        <v>NM</v>
      </c>
      <c r="N2397" t="str">
        <f>IFERROR(VLOOKUP(VALUE(J2397),'Site Info'!$A:$G,6,FALSE),"")</f>
        <v>87402-8665</v>
      </c>
      <c r="O2397">
        <f>IFERROR(VLOOKUP(VALUE(J2397),'Site Info'!$A:$G,7,FALSE),"")</f>
        <v>5053263500</v>
      </c>
    </row>
    <row r="2398" spans="1:15" x14ac:dyDescent="0.45">
      <c r="A2398" t="s">
        <v>7823</v>
      </c>
      <c r="B2398" t="s">
        <v>7824</v>
      </c>
      <c r="C2398" t="s">
        <v>7825</v>
      </c>
      <c r="D2398" t="s">
        <v>2616</v>
      </c>
      <c r="E2398" s="1">
        <v>46152.785555555558</v>
      </c>
      <c r="F2398">
        <v>1547</v>
      </c>
      <c r="G2398" t="s">
        <v>7826</v>
      </c>
      <c r="H2398" t="s">
        <v>15</v>
      </c>
      <c r="I2398" t="s">
        <v>2618</v>
      </c>
      <c r="J2398" t="str">
        <f>RIGHT(D2398,4)</f>
        <v>6347</v>
      </c>
      <c r="K2398" t="str">
        <f>IFERROR(VLOOKUP(VALUE(J2398),'Site Info'!$A:$G,3,FALSE),"")</f>
        <v>4500 E MAIN ST</v>
      </c>
      <c r="L2398" t="str">
        <f>IFERROR(VLOOKUP(VALUE(J2398),'Site Info'!$A:$G,4,FALSE),"")</f>
        <v>FARMINGTON</v>
      </c>
      <c r="M2398" t="str">
        <f>IFERROR(VLOOKUP(VALUE(J2398),'Site Info'!$A:$G,5,FALSE),"")</f>
        <v>NM</v>
      </c>
      <c r="N2398" t="str">
        <f>IFERROR(VLOOKUP(VALUE(J2398),'Site Info'!$A:$G,6,FALSE),"")</f>
        <v>87402-8665</v>
      </c>
      <c r="O2398">
        <f>IFERROR(VLOOKUP(VALUE(J2398),'Site Info'!$A:$G,7,FALSE),"")</f>
        <v>5053263500</v>
      </c>
    </row>
    <row r="2399" spans="1:15" x14ac:dyDescent="0.45">
      <c r="A2399" t="s">
        <v>8037</v>
      </c>
      <c r="B2399" t="s">
        <v>8038</v>
      </c>
      <c r="C2399" t="s">
        <v>8039</v>
      </c>
      <c r="D2399" t="s">
        <v>2616</v>
      </c>
      <c r="E2399" s="1">
        <v>46152.800868055558</v>
      </c>
      <c r="F2399">
        <v>1547</v>
      </c>
      <c r="G2399" t="s">
        <v>8040</v>
      </c>
      <c r="H2399" t="s">
        <v>15</v>
      </c>
      <c r="I2399" t="s">
        <v>2618</v>
      </c>
      <c r="J2399" t="str">
        <f>RIGHT(D2399,4)</f>
        <v>6347</v>
      </c>
      <c r="K2399" t="str">
        <f>IFERROR(VLOOKUP(VALUE(J2399),'Site Info'!$A:$G,3,FALSE),"")</f>
        <v>4500 E MAIN ST</v>
      </c>
      <c r="L2399" t="str">
        <f>IFERROR(VLOOKUP(VALUE(J2399),'Site Info'!$A:$G,4,FALSE),"")</f>
        <v>FARMINGTON</v>
      </c>
      <c r="M2399" t="str">
        <f>IFERROR(VLOOKUP(VALUE(J2399),'Site Info'!$A:$G,5,FALSE),"")</f>
        <v>NM</v>
      </c>
      <c r="N2399" t="str">
        <f>IFERROR(VLOOKUP(VALUE(J2399),'Site Info'!$A:$G,6,FALSE),"")</f>
        <v>87402-8665</v>
      </c>
      <c r="O2399">
        <f>IFERROR(VLOOKUP(VALUE(J2399),'Site Info'!$A:$G,7,FALSE),"")</f>
        <v>5053263500</v>
      </c>
    </row>
    <row r="2400" spans="1:15" x14ac:dyDescent="0.45">
      <c r="A2400" t="s">
        <v>8557</v>
      </c>
      <c r="B2400" t="s">
        <v>8558</v>
      </c>
      <c r="C2400" t="s">
        <v>8559</v>
      </c>
      <c r="D2400" t="s">
        <v>2616</v>
      </c>
      <c r="E2400" s="1">
        <v>46153.347731481481</v>
      </c>
      <c r="F2400">
        <v>1547</v>
      </c>
      <c r="G2400" t="s">
        <v>8560</v>
      </c>
      <c r="H2400" t="s">
        <v>15</v>
      </c>
      <c r="I2400" t="s">
        <v>2618</v>
      </c>
      <c r="J2400" t="str">
        <f>RIGHT(D2400,4)</f>
        <v>6347</v>
      </c>
      <c r="K2400" t="str">
        <f>IFERROR(VLOOKUP(VALUE(J2400),'Site Info'!$A:$G,3,FALSE),"")</f>
        <v>4500 E MAIN ST</v>
      </c>
      <c r="L2400" t="str">
        <f>IFERROR(VLOOKUP(VALUE(J2400),'Site Info'!$A:$G,4,FALSE),"")</f>
        <v>FARMINGTON</v>
      </c>
      <c r="M2400" t="str">
        <f>IFERROR(VLOOKUP(VALUE(J2400),'Site Info'!$A:$G,5,FALSE),"")</f>
        <v>NM</v>
      </c>
      <c r="N2400" t="str">
        <f>IFERROR(VLOOKUP(VALUE(J2400),'Site Info'!$A:$G,6,FALSE),"")</f>
        <v>87402-8665</v>
      </c>
      <c r="O2400">
        <f>IFERROR(VLOOKUP(VALUE(J2400),'Site Info'!$A:$G,7,FALSE),"")</f>
        <v>5053263500</v>
      </c>
    </row>
    <row r="2401" spans="1:15" x14ac:dyDescent="0.45">
      <c r="A2401" t="s">
        <v>2613</v>
      </c>
      <c r="B2401" t="s">
        <v>2614</v>
      </c>
      <c r="C2401" t="s">
        <v>2615</v>
      </c>
      <c r="D2401" t="s">
        <v>2616</v>
      </c>
      <c r="E2401" s="1">
        <v>46152.323136574072</v>
      </c>
      <c r="F2401">
        <v>1481</v>
      </c>
      <c r="G2401" t="s">
        <v>2617</v>
      </c>
      <c r="H2401" t="s">
        <v>15</v>
      </c>
      <c r="I2401" t="s">
        <v>2618</v>
      </c>
      <c r="J2401" t="str">
        <f>RIGHT(D2401,4)</f>
        <v>6347</v>
      </c>
      <c r="K2401" t="str">
        <f>IFERROR(VLOOKUP(VALUE(J2401),'Site Info'!$A:$G,3,FALSE),"")</f>
        <v>4500 E MAIN ST</v>
      </c>
      <c r="L2401" t="str">
        <f>IFERROR(VLOOKUP(VALUE(J2401),'Site Info'!$A:$G,4,FALSE),"")</f>
        <v>FARMINGTON</v>
      </c>
      <c r="M2401" t="str">
        <f>IFERROR(VLOOKUP(VALUE(J2401),'Site Info'!$A:$G,5,FALSE),"")</f>
        <v>NM</v>
      </c>
      <c r="N2401" t="str">
        <f>IFERROR(VLOOKUP(VALUE(J2401),'Site Info'!$A:$G,6,FALSE),"")</f>
        <v>87402-8665</v>
      </c>
      <c r="O2401">
        <f>IFERROR(VLOOKUP(VALUE(J2401),'Site Info'!$A:$G,7,FALSE),"")</f>
        <v>5053263500</v>
      </c>
    </row>
    <row r="2402" spans="1:15" x14ac:dyDescent="0.45">
      <c r="A2402" t="s">
        <v>7501</v>
      </c>
      <c r="B2402" t="s">
        <v>7502</v>
      </c>
      <c r="C2402" t="s">
        <v>7503</v>
      </c>
      <c r="D2402" t="s">
        <v>2033</v>
      </c>
      <c r="E2402" s="1">
        <v>46149.386354166665</v>
      </c>
      <c r="F2402">
        <v>1547</v>
      </c>
      <c r="G2402" t="s">
        <v>7504</v>
      </c>
      <c r="H2402" t="s">
        <v>15</v>
      </c>
      <c r="I2402" t="s">
        <v>2035</v>
      </c>
      <c r="J2402" t="str">
        <f>RIGHT(D2402,4)</f>
        <v>8205</v>
      </c>
      <c r="K2402" t="str">
        <f>IFERROR(VLOOKUP(VALUE(J2402),'Site Info'!$A:$G,3,FALSE),"")</f>
        <v>4512 LEMAY FERRY RD</v>
      </c>
      <c r="L2402" t="str">
        <f>IFERROR(VLOOKUP(VALUE(J2402),'Site Info'!$A:$G,4,FALSE),"")</f>
        <v>SAINT LOUIS</v>
      </c>
      <c r="M2402" t="str">
        <f>IFERROR(VLOOKUP(VALUE(J2402),'Site Info'!$A:$G,5,FALSE),"")</f>
        <v>MO</v>
      </c>
      <c r="N2402" t="str">
        <f>IFERROR(VLOOKUP(VALUE(J2402),'Site Info'!$A:$G,6,FALSE),"")</f>
        <v>63129-1614</v>
      </c>
      <c r="O2402">
        <f>IFERROR(VLOOKUP(VALUE(J2402),'Site Info'!$A:$G,7,FALSE),"")</f>
        <v>3148925579</v>
      </c>
    </row>
    <row r="2403" spans="1:15" x14ac:dyDescent="0.45">
      <c r="A2403" t="s">
        <v>7661</v>
      </c>
      <c r="B2403" t="s">
        <v>7662</v>
      </c>
      <c r="C2403" t="s">
        <v>7663</v>
      </c>
      <c r="D2403" t="s">
        <v>2033</v>
      </c>
      <c r="E2403" s="1">
        <v>46151.644826388889</v>
      </c>
      <c r="F2403">
        <v>1547</v>
      </c>
      <c r="G2403" t="s">
        <v>7664</v>
      </c>
      <c r="H2403" t="s">
        <v>15</v>
      </c>
      <c r="I2403" t="s">
        <v>2035</v>
      </c>
      <c r="J2403" t="str">
        <f>RIGHT(D2403,4)</f>
        <v>8205</v>
      </c>
      <c r="K2403" t="str">
        <f>IFERROR(VLOOKUP(VALUE(J2403),'Site Info'!$A:$G,3,FALSE),"")</f>
        <v>4512 LEMAY FERRY RD</v>
      </c>
      <c r="L2403" t="str">
        <f>IFERROR(VLOOKUP(VALUE(J2403),'Site Info'!$A:$G,4,FALSE),"")</f>
        <v>SAINT LOUIS</v>
      </c>
      <c r="M2403" t="str">
        <f>IFERROR(VLOOKUP(VALUE(J2403),'Site Info'!$A:$G,5,FALSE),"")</f>
        <v>MO</v>
      </c>
      <c r="N2403" t="str">
        <f>IFERROR(VLOOKUP(VALUE(J2403),'Site Info'!$A:$G,6,FALSE),"")</f>
        <v>63129-1614</v>
      </c>
      <c r="O2403">
        <f>IFERROR(VLOOKUP(VALUE(J2403),'Site Info'!$A:$G,7,FALSE),"")</f>
        <v>3148925579</v>
      </c>
    </row>
    <row r="2404" spans="1:15" x14ac:dyDescent="0.45">
      <c r="A2404" t="s">
        <v>7835</v>
      </c>
      <c r="B2404" t="s">
        <v>7836</v>
      </c>
      <c r="C2404" t="s">
        <v>7837</v>
      </c>
      <c r="D2404" t="s">
        <v>2033</v>
      </c>
      <c r="E2404" s="1">
        <v>46153.208287037036</v>
      </c>
      <c r="F2404">
        <v>1547</v>
      </c>
      <c r="G2404" t="s">
        <v>7838</v>
      </c>
      <c r="H2404" t="s">
        <v>15</v>
      </c>
      <c r="I2404" t="s">
        <v>2035</v>
      </c>
      <c r="J2404" t="str">
        <f>RIGHT(D2404,4)</f>
        <v>8205</v>
      </c>
      <c r="K2404" t="str">
        <f>IFERROR(VLOOKUP(VALUE(J2404),'Site Info'!$A:$G,3,FALSE),"")</f>
        <v>4512 LEMAY FERRY RD</v>
      </c>
      <c r="L2404" t="str">
        <f>IFERROR(VLOOKUP(VALUE(J2404),'Site Info'!$A:$G,4,FALSE),"")</f>
        <v>SAINT LOUIS</v>
      </c>
      <c r="M2404" t="str">
        <f>IFERROR(VLOOKUP(VALUE(J2404),'Site Info'!$A:$G,5,FALSE),"")</f>
        <v>MO</v>
      </c>
      <c r="N2404" t="str">
        <f>IFERROR(VLOOKUP(VALUE(J2404),'Site Info'!$A:$G,6,FALSE),"")</f>
        <v>63129-1614</v>
      </c>
      <c r="O2404">
        <f>IFERROR(VLOOKUP(VALUE(J2404),'Site Info'!$A:$G,7,FALSE),"")</f>
        <v>3148925579</v>
      </c>
    </row>
    <row r="2405" spans="1:15" x14ac:dyDescent="0.45">
      <c r="A2405" t="s">
        <v>11706</v>
      </c>
      <c r="B2405" t="s">
        <v>11707</v>
      </c>
      <c r="C2405" t="s">
        <v>11708</v>
      </c>
      <c r="D2405" t="s">
        <v>2033</v>
      </c>
      <c r="E2405" s="1">
        <v>46153.234826388885</v>
      </c>
      <c r="F2405">
        <v>1547</v>
      </c>
      <c r="G2405" t="s">
        <v>11709</v>
      </c>
      <c r="H2405" t="s">
        <v>15</v>
      </c>
      <c r="I2405" t="s">
        <v>2035</v>
      </c>
      <c r="J2405" t="str">
        <f>RIGHT(D2405,4)</f>
        <v>8205</v>
      </c>
      <c r="K2405" t="str">
        <f>IFERROR(VLOOKUP(VALUE(J2405),'Site Info'!$A:$G,3,FALSE),"")</f>
        <v>4512 LEMAY FERRY RD</v>
      </c>
      <c r="L2405" t="str">
        <f>IFERROR(VLOOKUP(VALUE(J2405),'Site Info'!$A:$G,4,FALSE),"")</f>
        <v>SAINT LOUIS</v>
      </c>
      <c r="M2405" t="str">
        <f>IFERROR(VLOOKUP(VALUE(J2405),'Site Info'!$A:$G,5,FALSE),"")</f>
        <v>MO</v>
      </c>
      <c r="N2405" t="str">
        <f>IFERROR(VLOOKUP(VALUE(J2405),'Site Info'!$A:$G,6,FALSE),"")</f>
        <v>63129-1614</v>
      </c>
      <c r="O2405">
        <f>IFERROR(VLOOKUP(VALUE(J2405),'Site Info'!$A:$G,7,FALSE),"")</f>
        <v>3148925579</v>
      </c>
    </row>
    <row r="2406" spans="1:15" x14ac:dyDescent="0.45">
      <c r="A2406" t="s">
        <v>8685</v>
      </c>
      <c r="B2406" t="s">
        <v>8686</v>
      </c>
      <c r="C2406" t="s">
        <v>8687</v>
      </c>
      <c r="D2406" t="s">
        <v>2033</v>
      </c>
      <c r="E2406" s="1">
        <v>46153.318865740737</v>
      </c>
      <c r="F2406">
        <v>1547</v>
      </c>
      <c r="G2406" t="s">
        <v>8688</v>
      </c>
      <c r="H2406" t="s">
        <v>15</v>
      </c>
      <c r="I2406" t="s">
        <v>2035</v>
      </c>
      <c r="J2406" t="str">
        <f>RIGHT(D2406,4)</f>
        <v>8205</v>
      </c>
      <c r="K2406" t="str">
        <f>IFERROR(VLOOKUP(VALUE(J2406),'Site Info'!$A:$G,3,FALSE),"")</f>
        <v>4512 LEMAY FERRY RD</v>
      </c>
      <c r="L2406" t="str">
        <f>IFERROR(VLOOKUP(VALUE(J2406),'Site Info'!$A:$G,4,FALSE),"")</f>
        <v>SAINT LOUIS</v>
      </c>
      <c r="M2406" t="str">
        <f>IFERROR(VLOOKUP(VALUE(J2406),'Site Info'!$A:$G,5,FALSE),"")</f>
        <v>MO</v>
      </c>
      <c r="N2406" t="str">
        <f>IFERROR(VLOOKUP(VALUE(J2406),'Site Info'!$A:$G,6,FALSE),"")</f>
        <v>63129-1614</v>
      </c>
      <c r="O2406">
        <f>IFERROR(VLOOKUP(VALUE(J2406),'Site Info'!$A:$G,7,FALSE),"")</f>
        <v>3148925579</v>
      </c>
    </row>
    <row r="2407" spans="1:15" x14ac:dyDescent="0.45">
      <c r="A2407" t="s">
        <v>7489</v>
      </c>
      <c r="B2407" t="s">
        <v>7490</v>
      </c>
      <c r="C2407" t="s">
        <v>7491</v>
      </c>
      <c r="D2407" t="s">
        <v>2033</v>
      </c>
      <c r="E2407" s="1">
        <v>46153.338240740741</v>
      </c>
      <c r="F2407">
        <v>1547</v>
      </c>
      <c r="G2407" t="s">
        <v>7492</v>
      </c>
      <c r="H2407" t="s">
        <v>15</v>
      </c>
      <c r="I2407" t="s">
        <v>2035</v>
      </c>
      <c r="J2407" t="str">
        <f>RIGHT(D2407,4)</f>
        <v>8205</v>
      </c>
      <c r="K2407" t="str">
        <f>IFERROR(VLOOKUP(VALUE(J2407),'Site Info'!$A:$G,3,FALSE),"")</f>
        <v>4512 LEMAY FERRY RD</v>
      </c>
      <c r="L2407" t="str">
        <f>IFERROR(VLOOKUP(VALUE(J2407),'Site Info'!$A:$G,4,FALSE),"")</f>
        <v>SAINT LOUIS</v>
      </c>
      <c r="M2407" t="str">
        <f>IFERROR(VLOOKUP(VALUE(J2407),'Site Info'!$A:$G,5,FALSE),"")</f>
        <v>MO</v>
      </c>
      <c r="N2407" t="str">
        <f>IFERROR(VLOOKUP(VALUE(J2407),'Site Info'!$A:$G,6,FALSE),"")</f>
        <v>63129-1614</v>
      </c>
      <c r="O2407">
        <f>IFERROR(VLOOKUP(VALUE(J2407),'Site Info'!$A:$G,7,FALSE),"")</f>
        <v>3148925579</v>
      </c>
    </row>
    <row r="2408" spans="1:15" x14ac:dyDescent="0.45">
      <c r="A2408" t="s">
        <v>2030</v>
      </c>
      <c r="B2408" t="s">
        <v>2031</v>
      </c>
      <c r="C2408" t="s">
        <v>2032</v>
      </c>
      <c r="D2408" t="s">
        <v>2033</v>
      </c>
      <c r="E2408" s="1">
        <v>46108.678194444445</v>
      </c>
      <c r="F2408">
        <v>1481</v>
      </c>
      <c r="G2408" t="s">
        <v>2034</v>
      </c>
      <c r="H2408" t="s">
        <v>15</v>
      </c>
      <c r="I2408" t="s">
        <v>2035</v>
      </c>
      <c r="J2408" t="str">
        <f>RIGHT(D2408,4)</f>
        <v>8205</v>
      </c>
      <c r="K2408" t="str">
        <f>IFERROR(VLOOKUP(VALUE(J2408),'Site Info'!$A:$G,3,FALSE),"")</f>
        <v>4512 LEMAY FERRY RD</v>
      </c>
      <c r="L2408" t="str">
        <f>IFERROR(VLOOKUP(VALUE(J2408),'Site Info'!$A:$G,4,FALSE),"")</f>
        <v>SAINT LOUIS</v>
      </c>
      <c r="M2408" t="str">
        <f>IFERROR(VLOOKUP(VALUE(J2408),'Site Info'!$A:$G,5,FALSE),"")</f>
        <v>MO</v>
      </c>
      <c r="N2408" t="str">
        <f>IFERROR(VLOOKUP(VALUE(J2408),'Site Info'!$A:$G,6,FALSE),"")</f>
        <v>63129-1614</v>
      </c>
      <c r="O2408">
        <f>IFERROR(VLOOKUP(VALUE(J2408),'Site Info'!$A:$G,7,FALSE),"")</f>
        <v>3148925579</v>
      </c>
    </row>
    <row r="2409" spans="1:15" x14ac:dyDescent="0.45">
      <c r="A2409" t="s">
        <v>3795</v>
      </c>
      <c r="B2409" t="s">
        <v>3796</v>
      </c>
      <c r="C2409" t="s">
        <v>3797</v>
      </c>
      <c r="D2409" t="s">
        <v>2033</v>
      </c>
      <c r="E2409" s="1">
        <v>46152.438090277778</v>
      </c>
      <c r="F2409">
        <v>1481</v>
      </c>
      <c r="G2409" t="s">
        <v>3798</v>
      </c>
      <c r="H2409" t="s">
        <v>15</v>
      </c>
      <c r="I2409" t="s">
        <v>2035</v>
      </c>
      <c r="J2409" t="str">
        <f>RIGHT(D2409,4)</f>
        <v>8205</v>
      </c>
      <c r="K2409" t="str">
        <f>IFERROR(VLOOKUP(VALUE(J2409),'Site Info'!$A:$G,3,FALSE),"")</f>
        <v>4512 LEMAY FERRY RD</v>
      </c>
      <c r="L2409" t="str">
        <f>IFERROR(VLOOKUP(VALUE(J2409),'Site Info'!$A:$G,4,FALSE),"")</f>
        <v>SAINT LOUIS</v>
      </c>
      <c r="M2409" t="str">
        <f>IFERROR(VLOOKUP(VALUE(J2409),'Site Info'!$A:$G,5,FALSE),"")</f>
        <v>MO</v>
      </c>
      <c r="N2409" t="str">
        <f>IFERROR(VLOOKUP(VALUE(J2409),'Site Info'!$A:$G,6,FALSE),"")</f>
        <v>63129-1614</v>
      </c>
      <c r="O2409">
        <f>IFERROR(VLOOKUP(VALUE(J2409),'Site Info'!$A:$G,7,FALSE),"")</f>
        <v>3148925579</v>
      </c>
    </row>
    <row r="2410" spans="1:15" x14ac:dyDescent="0.45">
      <c r="A2410" t="s">
        <v>9796</v>
      </c>
      <c r="B2410" t="s">
        <v>9797</v>
      </c>
      <c r="C2410" t="s">
        <v>9798</v>
      </c>
      <c r="D2410" t="s">
        <v>609</v>
      </c>
      <c r="E2410" s="1">
        <v>46151.53570601852</v>
      </c>
      <c r="F2410">
        <v>1547</v>
      </c>
      <c r="G2410" t="s">
        <v>9799</v>
      </c>
      <c r="H2410" t="s">
        <v>15</v>
      </c>
      <c r="I2410" t="s">
        <v>611</v>
      </c>
      <c r="J2410" t="str">
        <f>RIGHT(D2410,4)</f>
        <v>4729</v>
      </c>
      <c r="K2410" t="str">
        <f>IFERROR(VLOOKUP(VALUE(J2410),'Site Info'!$A:$G,3,FALSE),"")</f>
        <v>45425 DULLES CROSSING PLZ</v>
      </c>
      <c r="L2410" t="str">
        <f>IFERROR(VLOOKUP(VALUE(J2410),'Site Info'!$A:$G,4,FALSE),"")</f>
        <v>STERLING</v>
      </c>
      <c r="M2410" t="str">
        <f>IFERROR(VLOOKUP(VALUE(J2410),'Site Info'!$A:$G,5,FALSE),"")</f>
        <v>VA</v>
      </c>
      <c r="N2410" t="str">
        <f>IFERROR(VLOOKUP(VALUE(J2410),'Site Info'!$A:$G,6,FALSE),"")</f>
        <v>20166-8921</v>
      </c>
      <c r="O2410">
        <f>IFERROR(VLOOKUP(VALUE(J2410),'Site Info'!$A:$G,7,FALSE),"")</f>
        <v>5714348711</v>
      </c>
    </row>
    <row r="2411" spans="1:15" x14ac:dyDescent="0.45">
      <c r="A2411" t="s">
        <v>9459</v>
      </c>
      <c r="B2411" t="s">
        <v>9460</v>
      </c>
      <c r="C2411" t="s">
        <v>9461</v>
      </c>
      <c r="D2411" t="s">
        <v>609</v>
      </c>
      <c r="E2411" s="1">
        <v>46151.556284722225</v>
      </c>
      <c r="F2411">
        <v>1547</v>
      </c>
      <c r="G2411" t="s">
        <v>9462</v>
      </c>
      <c r="H2411" t="s">
        <v>15</v>
      </c>
      <c r="I2411" t="s">
        <v>611</v>
      </c>
      <c r="J2411" t="str">
        <f>RIGHT(D2411,4)</f>
        <v>4729</v>
      </c>
      <c r="K2411" t="str">
        <f>IFERROR(VLOOKUP(VALUE(J2411),'Site Info'!$A:$G,3,FALSE),"")</f>
        <v>45425 DULLES CROSSING PLZ</v>
      </c>
      <c r="L2411" t="str">
        <f>IFERROR(VLOOKUP(VALUE(J2411),'Site Info'!$A:$G,4,FALSE),"")</f>
        <v>STERLING</v>
      </c>
      <c r="M2411" t="str">
        <f>IFERROR(VLOOKUP(VALUE(J2411),'Site Info'!$A:$G,5,FALSE),"")</f>
        <v>VA</v>
      </c>
      <c r="N2411" t="str">
        <f>IFERROR(VLOOKUP(VALUE(J2411),'Site Info'!$A:$G,6,FALSE),"")</f>
        <v>20166-8921</v>
      </c>
      <c r="O2411">
        <f>IFERROR(VLOOKUP(VALUE(J2411),'Site Info'!$A:$G,7,FALSE),"")</f>
        <v>5714348711</v>
      </c>
    </row>
    <row r="2412" spans="1:15" x14ac:dyDescent="0.45">
      <c r="A2412" t="s">
        <v>12810</v>
      </c>
      <c r="B2412" t="s">
        <v>12811</v>
      </c>
      <c r="C2412" t="s">
        <v>12812</v>
      </c>
      <c r="D2412" t="s">
        <v>609</v>
      </c>
      <c r="E2412" s="1">
        <v>46152.695763888885</v>
      </c>
      <c r="F2412">
        <v>1547</v>
      </c>
      <c r="G2412" t="s">
        <v>12813</v>
      </c>
      <c r="H2412" t="s">
        <v>15</v>
      </c>
      <c r="I2412" t="s">
        <v>611</v>
      </c>
      <c r="J2412" t="str">
        <f>RIGHT(D2412,4)</f>
        <v>4729</v>
      </c>
      <c r="K2412" t="str">
        <f>IFERROR(VLOOKUP(VALUE(J2412),'Site Info'!$A:$G,3,FALSE),"")</f>
        <v>45425 DULLES CROSSING PLZ</v>
      </c>
      <c r="L2412" t="str">
        <f>IFERROR(VLOOKUP(VALUE(J2412),'Site Info'!$A:$G,4,FALSE),"")</f>
        <v>STERLING</v>
      </c>
      <c r="M2412" t="str">
        <f>IFERROR(VLOOKUP(VALUE(J2412),'Site Info'!$A:$G,5,FALSE),"")</f>
        <v>VA</v>
      </c>
      <c r="N2412" t="str">
        <f>IFERROR(VLOOKUP(VALUE(J2412),'Site Info'!$A:$G,6,FALSE),"")</f>
        <v>20166-8921</v>
      </c>
      <c r="O2412">
        <f>IFERROR(VLOOKUP(VALUE(J2412),'Site Info'!$A:$G,7,FALSE),"")</f>
        <v>5714348711</v>
      </c>
    </row>
    <row r="2413" spans="1:15" x14ac:dyDescent="0.45">
      <c r="A2413" t="s">
        <v>13411</v>
      </c>
      <c r="B2413" t="s">
        <v>13412</v>
      </c>
      <c r="C2413" t="s">
        <v>13413</v>
      </c>
      <c r="D2413" t="s">
        <v>609</v>
      </c>
      <c r="E2413" s="1">
        <v>46153.321759259263</v>
      </c>
      <c r="F2413">
        <v>1547</v>
      </c>
      <c r="G2413" t="s">
        <v>13414</v>
      </c>
      <c r="H2413" t="s">
        <v>15</v>
      </c>
      <c r="I2413" t="s">
        <v>611</v>
      </c>
      <c r="J2413" t="str">
        <f>RIGHT(D2413,4)</f>
        <v>4729</v>
      </c>
      <c r="K2413" t="str">
        <f>IFERROR(VLOOKUP(VALUE(J2413),'Site Info'!$A:$G,3,FALSE),"")</f>
        <v>45425 DULLES CROSSING PLZ</v>
      </c>
      <c r="L2413" t="str">
        <f>IFERROR(VLOOKUP(VALUE(J2413),'Site Info'!$A:$G,4,FALSE),"")</f>
        <v>STERLING</v>
      </c>
      <c r="M2413" t="str">
        <f>IFERROR(VLOOKUP(VALUE(J2413),'Site Info'!$A:$G,5,FALSE),"")</f>
        <v>VA</v>
      </c>
      <c r="N2413" t="str">
        <f>IFERROR(VLOOKUP(VALUE(J2413),'Site Info'!$A:$G,6,FALSE),"")</f>
        <v>20166-8921</v>
      </c>
      <c r="O2413">
        <f>IFERROR(VLOOKUP(VALUE(J2413),'Site Info'!$A:$G,7,FALSE),"")</f>
        <v>5714348711</v>
      </c>
    </row>
    <row r="2414" spans="1:15" x14ac:dyDescent="0.45">
      <c r="A2414" t="s">
        <v>12954</v>
      </c>
      <c r="B2414" t="s">
        <v>12955</v>
      </c>
      <c r="C2414" t="s">
        <v>12956</v>
      </c>
      <c r="D2414" t="s">
        <v>609</v>
      </c>
      <c r="E2414" s="1">
        <v>46153.349178240744</v>
      </c>
      <c r="F2414">
        <v>1547</v>
      </c>
      <c r="G2414" t="s">
        <v>12957</v>
      </c>
      <c r="H2414" t="s">
        <v>15</v>
      </c>
      <c r="I2414" t="s">
        <v>611</v>
      </c>
      <c r="J2414" t="str">
        <f>RIGHT(D2414,4)</f>
        <v>4729</v>
      </c>
      <c r="K2414" t="str">
        <f>IFERROR(VLOOKUP(VALUE(J2414),'Site Info'!$A:$G,3,FALSE),"")</f>
        <v>45425 DULLES CROSSING PLZ</v>
      </c>
      <c r="L2414" t="str">
        <f>IFERROR(VLOOKUP(VALUE(J2414),'Site Info'!$A:$G,4,FALSE),"")</f>
        <v>STERLING</v>
      </c>
      <c r="M2414" t="str">
        <f>IFERROR(VLOOKUP(VALUE(J2414),'Site Info'!$A:$G,5,FALSE),"")</f>
        <v>VA</v>
      </c>
      <c r="N2414" t="str">
        <f>IFERROR(VLOOKUP(VALUE(J2414),'Site Info'!$A:$G,6,FALSE),"")</f>
        <v>20166-8921</v>
      </c>
      <c r="O2414">
        <f>IFERROR(VLOOKUP(VALUE(J2414),'Site Info'!$A:$G,7,FALSE),"")</f>
        <v>5714348711</v>
      </c>
    </row>
    <row r="2415" spans="1:15" x14ac:dyDescent="0.45">
      <c r="A2415" t="s">
        <v>2114</v>
      </c>
      <c r="B2415" t="s">
        <v>2115</v>
      </c>
      <c r="C2415" t="s">
        <v>2116</v>
      </c>
      <c r="D2415" t="s">
        <v>609</v>
      </c>
      <c r="E2415" s="1">
        <v>46151.978020833332</v>
      </c>
      <c r="F2415">
        <v>1481</v>
      </c>
      <c r="G2415" t="s">
        <v>2117</v>
      </c>
      <c r="H2415" t="s">
        <v>15</v>
      </c>
      <c r="I2415" t="s">
        <v>611</v>
      </c>
      <c r="J2415" t="str">
        <f>RIGHT(D2415,4)</f>
        <v>4729</v>
      </c>
      <c r="K2415" t="str">
        <f>IFERROR(VLOOKUP(VALUE(J2415),'Site Info'!$A:$G,3,FALSE),"")</f>
        <v>45425 DULLES CROSSING PLZ</v>
      </c>
      <c r="L2415" t="str">
        <f>IFERROR(VLOOKUP(VALUE(J2415),'Site Info'!$A:$G,4,FALSE),"")</f>
        <v>STERLING</v>
      </c>
      <c r="M2415" t="str">
        <f>IFERROR(VLOOKUP(VALUE(J2415),'Site Info'!$A:$G,5,FALSE),"")</f>
        <v>VA</v>
      </c>
      <c r="N2415" t="str">
        <f>IFERROR(VLOOKUP(VALUE(J2415),'Site Info'!$A:$G,6,FALSE),"")</f>
        <v>20166-8921</v>
      </c>
      <c r="O2415">
        <f>IFERROR(VLOOKUP(VALUE(J2415),'Site Info'!$A:$G,7,FALSE),"")</f>
        <v>5714348711</v>
      </c>
    </row>
    <row r="2416" spans="1:15" x14ac:dyDescent="0.45">
      <c r="A2416" t="s">
        <v>606</v>
      </c>
      <c r="B2416" t="s">
        <v>607</v>
      </c>
      <c r="C2416" t="s">
        <v>608</v>
      </c>
      <c r="D2416" t="s">
        <v>609</v>
      </c>
      <c r="E2416" s="1">
        <v>46152.415486111109</v>
      </c>
      <c r="F2416">
        <v>1481</v>
      </c>
      <c r="G2416" t="s">
        <v>610</v>
      </c>
      <c r="H2416" t="s">
        <v>15</v>
      </c>
      <c r="I2416" t="s">
        <v>611</v>
      </c>
      <c r="J2416" t="str">
        <f>RIGHT(D2416,4)</f>
        <v>4729</v>
      </c>
      <c r="K2416" t="str">
        <f>IFERROR(VLOOKUP(VALUE(J2416),'Site Info'!$A:$G,3,FALSE),"")</f>
        <v>45425 DULLES CROSSING PLZ</v>
      </c>
      <c r="L2416" t="str">
        <f>IFERROR(VLOOKUP(VALUE(J2416),'Site Info'!$A:$G,4,FALSE),"")</f>
        <v>STERLING</v>
      </c>
      <c r="M2416" t="str">
        <f>IFERROR(VLOOKUP(VALUE(J2416),'Site Info'!$A:$G,5,FALSE),"")</f>
        <v>VA</v>
      </c>
      <c r="N2416" t="str">
        <f>IFERROR(VLOOKUP(VALUE(J2416),'Site Info'!$A:$G,6,FALSE),"")</f>
        <v>20166-8921</v>
      </c>
      <c r="O2416">
        <f>IFERROR(VLOOKUP(VALUE(J2416),'Site Info'!$A:$G,7,FALSE),"")</f>
        <v>5714348711</v>
      </c>
    </row>
    <row r="2417" spans="1:15" x14ac:dyDescent="0.45">
      <c r="A2417" t="s">
        <v>1572</v>
      </c>
      <c r="B2417" t="s">
        <v>1573</v>
      </c>
      <c r="C2417" t="s">
        <v>1574</v>
      </c>
      <c r="D2417" t="s">
        <v>609</v>
      </c>
      <c r="E2417" s="1">
        <v>46152.886192129627</v>
      </c>
      <c r="F2417">
        <v>1481</v>
      </c>
      <c r="G2417" t="s">
        <v>1575</v>
      </c>
      <c r="H2417" t="s">
        <v>15</v>
      </c>
      <c r="I2417" t="s">
        <v>611</v>
      </c>
      <c r="J2417" t="str">
        <f>RIGHT(D2417,4)</f>
        <v>4729</v>
      </c>
      <c r="K2417" t="str">
        <f>IFERROR(VLOOKUP(VALUE(J2417),'Site Info'!$A:$G,3,FALSE),"")</f>
        <v>45425 DULLES CROSSING PLZ</v>
      </c>
      <c r="L2417" t="str">
        <f>IFERROR(VLOOKUP(VALUE(J2417),'Site Info'!$A:$G,4,FALSE),"")</f>
        <v>STERLING</v>
      </c>
      <c r="M2417" t="str">
        <f>IFERROR(VLOOKUP(VALUE(J2417),'Site Info'!$A:$G,5,FALSE),"")</f>
        <v>VA</v>
      </c>
      <c r="N2417" t="str">
        <f>IFERROR(VLOOKUP(VALUE(J2417),'Site Info'!$A:$G,6,FALSE),"")</f>
        <v>20166-8921</v>
      </c>
      <c r="O2417">
        <f>IFERROR(VLOOKUP(VALUE(J2417),'Site Info'!$A:$G,7,FALSE),"")</f>
        <v>5714348711</v>
      </c>
    </row>
    <row r="2418" spans="1:15" x14ac:dyDescent="0.45">
      <c r="A2418" t="s">
        <v>8667</v>
      </c>
      <c r="B2418" t="s">
        <v>8668</v>
      </c>
      <c r="C2418" t="s">
        <v>8669</v>
      </c>
      <c r="D2418" t="s">
        <v>257</v>
      </c>
      <c r="E2418" s="1">
        <v>46141.441053240742</v>
      </c>
      <c r="F2418">
        <v>1547</v>
      </c>
      <c r="G2418" t="s">
        <v>8670</v>
      </c>
      <c r="H2418" t="s">
        <v>15</v>
      </c>
      <c r="I2418" t="s">
        <v>258</v>
      </c>
      <c r="J2418" t="str">
        <f>RIGHT(D2418,4)</f>
        <v>8261</v>
      </c>
      <c r="K2418" t="str">
        <f>IFERROR(VLOOKUP(VALUE(J2418),'Site Info'!$A:$G,3,FALSE),"")</f>
        <v>455 31ST ST</v>
      </c>
      <c r="L2418" t="str">
        <f>IFERROR(VLOOKUP(VALUE(J2418),'Site Info'!$A:$G,4,FALSE),"")</f>
        <v>KENNER</v>
      </c>
      <c r="M2418" t="str">
        <f>IFERROR(VLOOKUP(VALUE(J2418),'Site Info'!$A:$G,5,FALSE),"")</f>
        <v>LA</v>
      </c>
      <c r="N2418" t="str">
        <f>IFERROR(VLOOKUP(VALUE(J2418),'Site Info'!$A:$G,6,FALSE),"")</f>
        <v>70065-4101</v>
      </c>
      <c r="O2418">
        <f>IFERROR(VLOOKUP(VALUE(J2418),'Site Info'!$A:$G,7,FALSE),"")</f>
        <v>5044679677</v>
      </c>
    </row>
    <row r="2419" spans="1:15" x14ac:dyDescent="0.45">
      <c r="A2419" t="s">
        <v>8365</v>
      </c>
      <c r="B2419" t="s">
        <v>8366</v>
      </c>
      <c r="C2419" t="s">
        <v>8367</v>
      </c>
      <c r="D2419" t="s">
        <v>257</v>
      </c>
      <c r="E2419" s="1">
        <v>46151.76152777778</v>
      </c>
      <c r="F2419">
        <v>1547</v>
      </c>
      <c r="G2419" t="s">
        <v>8368</v>
      </c>
      <c r="H2419" t="s">
        <v>15</v>
      </c>
      <c r="I2419" t="s">
        <v>258</v>
      </c>
      <c r="J2419" t="str">
        <f>RIGHT(D2419,4)</f>
        <v>8261</v>
      </c>
      <c r="K2419" t="str">
        <f>IFERROR(VLOOKUP(VALUE(J2419),'Site Info'!$A:$G,3,FALSE),"")</f>
        <v>455 31ST ST</v>
      </c>
      <c r="L2419" t="str">
        <f>IFERROR(VLOOKUP(VALUE(J2419),'Site Info'!$A:$G,4,FALSE),"")</f>
        <v>KENNER</v>
      </c>
      <c r="M2419" t="str">
        <f>IFERROR(VLOOKUP(VALUE(J2419),'Site Info'!$A:$G,5,FALSE),"")</f>
        <v>LA</v>
      </c>
      <c r="N2419" t="str">
        <f>IFERROR(VLOOKUP(VALUE(J2419),'Site Info'!$A:$G,6,FALSE),"")</f>
        <v>70065-4101</v>
      </c>
      <c r="O2419">
        <f>IFERROR(VLOOKUP(VALUE(J2419),'Site Info'!$A:$G,7,FALSE),"")</f>
        <v>5044679677</v>
      </c>
    </row>
    <row r="2420" spans="1:15" x14ac:dyDescent="0.45">
      <c r="A2420" t="s">
        <v>7851</v>
      </c>
      <c r="B2420" t="s">
        <v>7852</v>
      </c>
      <c r="C2420" t="s">
        <v>7853</v>
      </c>
      <c r="D2420" t="s">
        <v>257</v>
      </c>
      <c r="E2420" s="1">
        <v>46152.66983796296</v>
      </c>
      <c r="F2420">
        <v>1547</v>
      </c>
      <c r="G2420" t="s">
        <v>7854</v>
      </c>
      <c r="H2420" t="s">
        <v>15</v>
      </c>
      <c r="I2420" t="s">
        <v>258</v>
      </c>
      <c r="J2420" t="str">
        <f>RIGHT(D2420,4)</f>
        <v>8261</v>
      </c>
      <c r="K2420" t="str">
        <f>IFERROR(VLOOKUP(VALUE(J2420),'Site Info'!$A:$G,3,FALSE),"")</f>
        <v>455 31ST ST</v>
      </c>
      <c r="L2420" t="str">
        <f>IFERROR(VLOOKUP(VALUE(J2420),'Site Info'!$A:$G,4,FALSE),"")</f>
        <v>KENNER</v>
      </c>
      <c r="M2420" t="str">
        <f>IFERROR(VLOOKUP(VALUE(J2420),'Site Info'!$A:$G,5,FALSE),"")</f>
        <v>LA</v>
      </c>
      <c r="N2420" t="str">
        <f>IFERROR(VLOOKUP(VALUE(J2420),'Site Info'!$A:$G,6,FALSE),"")</f>
        <v>70065-4101</v>
      </c>
      <c r="O2420">
        <f>IFERROR(VLOOKUP(VALUE(J2420),'Site Info'!$A:$G,7,FALSE),"")</f>
        <v>5044679677</v>
      </c>
    </row>
    <row r="2421" spans="1:15" x14ac:dyDescent="0.45">
      <c r="A2421" t="s">
        <v>7713</v>
      </c>
      <c r="B2421" t="s">
        <v>7714</v>
      </c>
      <c r="C2421" t="s">
        <v>7715</v>
      </c>
      <c r="D2421" t="s">
        <v>257</v>
      </c>
      <c r="E2421" s="1">
        <v>46153.318726851852</v>
      </c>
      <c r="F2421">
        <v>1547</v>
      </c>
      <c r="G2421" t="s">
        <v>7716</v>
      </c>
      <c r="H2421" t="s">
        <v>15</v>
      </c>
      <c r="I2421" t="s">
        <v>258</v>
      </c>
      <c r="J2421" t="str">
        <f>RIGHT(D2421,4)</f>
        <v>8261</v>
      </c>
      <c r="K2421" t="str">
        <f>IFERROR(VLOOKUP(VALUE(J2421),'Site Info'!$A:$G,3,FALSE),"")</f>
        <v>455 31ST ST</v>
      </c>
      <c r="L2421" t="str">
        <f>IFERROR(VLOOKUP(VALUE(J2421),'Site Info'!$A:$G,4,FALSE),"")</f>
        <v>KENNER</v>
      </c>
      <c r="M2421" t="str">
        <f>IFERROR(VLOOKUP(VALUE(J2421),'Site Info'!$A:$G,5,FALSE),"")</f>
        <v>LA</v>
      </c>
      <c r="N2421" t="str">
        <f>IFERROR(VLOOKUP(VALUE(J2421),'Site Info'!$A:$G,6,FALSE),"")</f>
        <v>70065-4101</v>
      </c>
      <c r="O2421">
        <f>IFERROR(VLOOKUP(VALUE(J2421),'Site Info'!$A:$G,7,FALSE),"")</f>
        <v>5044679677</v>
      </c>
    </row>
    <row r="2422" spans="1:15" x14ac:dyDescent="0.45">
      <c r="A2422" t="s">
        <v>760</v>
      </c>
      <c r="B2422" t="s">
        <v>761</v>
      </c>
      <c r="C2422" t="s">
        <v>762</v>
      </c>
      <c r="D2422" t="s">
        <v>257</v>
      </c>
      <c r="E2422" s="1">
        <v>46139.264074074075</v>
      </c>
      <c r="F2422">
        <v>1481</v>
      </c>
      <c r="G2422" t="s">
        <v>763</v>
      </c>
      <c r="H2422" t="s">
        <v>15</v>
      </c>
      <c r="I2422" t="s">
        <v>258</v>
      </c>
      <c r="J2422" t="str">
        <f>RIGHT(D2422,4)</f>
        <v>8261</v>
      </c>
      <c r="K2422" t="str">
        <f>IFERROR(VLOOKUP(VALUE(J2422),'Site Info'!$A:$G,3,FALSE),"")</f>
        <v>455 31ST ST</v>
      </c>
      <c r="L2422" t="str">
        <f>IFERROR(VLOOKUP(VALUE(J2422),'Site Info'!$A:$G,4,FALSE),"")</f>
        <v>KENNER</v>
      </c>
      <c r="M2422" t="str">
        <f>IFERROR(VLOOKUP(VALUE(J2422),'Site Info'!$A:$G,5,FALSE),"")</f>
        <v>LA</v>
      </c>
      <c r="N2422" t="str">
        <f>IFERROR(VLOOKUP(VALUE(J2422),'Site Info'!$A:$G,6,FALSE),"")</f>
        <v>70065-4101</v>
      </c>
      <c r="O2422">
        <f>IFERROR(VLOOKUP(VALUE(J2422),'Site Info'!$A:$G,7,FALSE),"")</f>
        <v>5044679677</v>
      </c>
    </row>
    <row r="2423" spans="1:15" x14ac:dyDescent="0.45">
      <c r="A2423" t="s">
        <v>1250</v>
      </c>
      <c r="B2423" t="s">
        <v>1251</v>
      </c>
      <c r="C2423" t="s">
        <v>1252</v>
      </c>
      <c r="D2423" t="s">
        <v>257</v>
      </c>
      <c r="E2423" s="1">
        <v>46153.305625000001</v>
      </c>
      <c r="F2423">
        <v>1481</v>
      </c>
      <c r="G2423" t="s">
        <v>1253</v>
      </c>
      <c r="H2423" t="s">
        <v>15</v>
      </c>
      <c r="I2423" t="s">
        <v>258</v>
      </c>
      <c r="J2423" t="str">
        <f>RIGHT(D2423,4)</f>
        <v>8261</v>
      </c>
      <c r="K2423" t="str">
        <f>IFERROR(VLOOKUP(VALUE(J2423),'Site Info'!$A:$G,3,FALSE),"")</f>
        <v>455 31ST ST</v>
      </c>
      <c r="L2423" t="str">
        <f>IFERROR(VLOOKUP(VALUE(J2423),'Site Info'!$A:$G,4,FALSE),"")</f>
        <v>KENNER</v>
      </c>
      <c r="M2423" t="str">
        <f>IFERROR(VLOOKUP(VALUE(J2423),'Site Info'!$A:$G,5,FALSE),"")</f>
        <v>LA</v>
      </c>
      <c r="N2423" t="str">
        <f>IFERROR(VLOOKUP(VALUE(J2423),'Site Info'!$A:$G,6,FALSE),"")</f>
        <v>70065-4101</v>
      </c>
      <c r="O2423">
        <f>IFERROR(VLOOKUP(VALUE(J2423),'Site Info'!$A:$G,7,FALSE),"")</f>
        <v>5044679677</v>
      </c>
    </row>
    <row r="2424" spans="1:15" x14ac:dyDescent="0.45">
      <c r="A2424" t="s">
        <v>14564</v>
      </c>
      <c r="B2424" t="s">
        <v>14565</v>
      </c>
      <c r="C2424" t="s">
        <v>14566</v>
      </c>
      <c r="D2424" t="s">
        <v>257</v>
      </c>
      <c r="E2424" s="1">
        <v>46153.314722222225</v>
      </c>
      <c r="F2424">
        <v>1481</v>
      </c>
      <c r="G2424" t="s">
        <v>14567</v>
      </c>
      <c r="H2424" t="s">
        <v>15</v>
      </c>
      <c r="I2424" t="s">
        <v>258</v>
      </c>
      <c r="J2424" t="str">
        <f>RIGHT(D2424,4)</f>
        <v>8261</v>
      </c>
      <c r="K2424" t="str">
        <f>IFERROR(VLOOKUP(VALUE(J2424),'Site Info'!$A:$G,3,FALSE),"")</f>
        <v>455 31ST ST</v>
      </c>
      <c r="L2424" t="str">
        <f>IFERROR(VLOOKUP(VALUE(J2424),'Site Info'!$A:$G,4,FALSE),"")</f>
        <v>KENNER</v>
      </c>
      <c r="M2424" t="str">
        <f>IFERROR(VLOOKUP(VALUE(J2424),'Site Info'!$A:$G,5,FALSE),"")</f>
        <v>LA</v>
      </c>
      <c r="N2424" t="str">
        <f>IFERROR(VLOOKUP(VALUE(J2424),'Site Info'!$A:$G,6,FALSE),"")</f>
        <v>70065-4101</v>
      </c>
      <c r="O2424">
        <f>IFERROR(VLOOKUP(VALUE(J2424),'Site Info'!$A:$G,7,FALSE),"")</f>
        <v>5044679677</v>
      </c>
    </row>
    <row r="2425" spans="1:15" x14ac:dyDescent="0.45">
      <c r="A2425" t="s">
        <v>5380</v>
      </c>
      <c r="B2425" t="s">
        <v>5381</v>
      </c>
      <c r="C2425" t="s">
        <v>5382</v>
      </c>
      <c r="D2425" t="s">
        <v>1765</v>
      </c>
      <c r="E2425" s="1">
        <v>46151.639722222222</v>
      </c>
      <c r="F2425">
        <v>1547</v>
      </c>
      <c r="G2425" t="s">
        <v>5383</v>
      </c>
      <c r="H2425" t="s">
        <v>15</v>
      </c>
      <c r="I2425" t="s">
        <v>1767</v>
      </c>
      <c r="J2425" t="str">
        <f>RIGHT(D2425,4)</f>
        <v>6664</v>
      </c>
      <c r="K2425" t="str">
        <f>IFERROR(VLOOKUP(VALUE(J2425),'Site Info'!$A:$G,3,FALSE),"")</f>
        <v>45600 UTICA PARK BLVD</v>
      </c>
      <c r="L2425" t="str">
        <f>IFERROR(VLOOKUP(VALUE(J2425),'Site Info'!$A:$G,4,FALSE),"")</f>
        <v>UTICA</v>
      </c>
      <c r="M2425" t="str">
        <f>IFERROR(VLOOKUP(VALUE(J2425),'Site Info'!$A:$G,5,FALSE),"")</f>
        <v>MI</v>
      </c>
      <c r="N2425" t="str">
        <f>IFERROR(VLOOKUP(VALUE(J2425),'Site Info'!$A:$G,6,FALSE),"")</f>
        <v>48315-5917</v>
      </c>
      <c r="O2425">
        <f>IFERROR(VLOOKUP(VALUE(J2425),'Site Info'!$A:$G,7,FALSE),"")</f>
        <v>5867269800</v>
      </c>
    </row>
    <row r="2426" spans="1:15" x14ac:dyDescent="0.45">
      <c r="A2426" t="s">
        <v>5540</v>
      </c>
      <c r="B2426" t="s">
        <v>5541</v>
      </c>
      <c r="C2426" t="s">
        <v>5542</v>
      </c>
      <c r="D2426" t="s">
        <v>1765</v>
      </c>
      <c r="E2426" s="1">
        <v>46153.352847222224</v>
      </c>
      <c r="F2426">
        <v>1547</v>
      </c>
      <c r="G2426" t="s">
        <v>5543</v>
      </c>
      <c r="H2426" t="s">
        <v>15</v>
      </c>
      <c r="I2426" t="s">
        <v>1767</v>
      </c>
      <c r="J2426" t="str">
        <f>RIGHT(D2426,4)</f>
        <v>6664</v>
      </c>
      <c r="K2426" t="str">
        <f>IFERROR(VLOOKUP(VALUE(J2426),'Site Info'!$A:$G,3,FALSE),"")</f>
        <v>45600 UTICA PARK BLVD</v>
      </c>
      <c r="L2426" t="str">
        <f>IFERROR(VLOOKUP(VALUE(J2426),'Site Info'!$A:$G,4,FALSE),"")</f>
        <v>UTICA</v>
      </c>
      <c r="M2426" t="str">
        <f>IFERROR(VLOOKUP(VALUE(J2426),'Site Info'!$A:$G,5,FALSE),"")</f>
        <v>MI</v>
      </c>
      <c r="N2426" t="str">
        <f>IFERROR(VLOOKUP(VALUE(J2426),'Site Info'!$A:$G,6,FALSE),"")</f>
        <v>48315-5917</v>
      </c>
      <c r="O2426">
        <f>IFERROR(VLOOKUP(VALUE(J2426),'Site Info'!$A:$G,7,FALSE),"")</f>
        <v>5867269800</v>
      </c>
    </row>
    <row r="2427" spans="1:15" x14ac:dyDescent="0.45">
      <c r="A2427" t="s">
        <v>5360</v>
      </c>
      <c r="B2427" t="s">
        <v>5361</v>
      </c>
      <c r="C2427" t="s">
        <v>5362</v>
      </c>
      <c r="D2427" t="s">
        <v>1765</v>
      </c>
      <c r="E2427" s="1">
        <v>46153.356203703705</v>
      </c>
      <c r="F2427">
        <v>1547</v>
      </c>
      <c r="G2427" t="s">
        <v>5363</v>
      </c>
      <c r="H2427" t="s">
        <v>15</v>
      </c>
      <c r="I2427" t="s">
        <v>1767</v>
      </c>
      <c r="J2427" t="str">
        <f>RIGHT(D2427,4)</f>
        <v>6664</v>
      </c>
      <c r="K2427" t="str">
        <f>IFERROR(VLOOKUP(VALUE(J2427),'Site Info'!$A:$G,3,FALSE),"")</f>
        <v>45600 UTICA PARK BLVD</v>
      </c>
      <c r="L2427" t="str">
        <f>IFERROR(VLOOKUP(VALUE(J2427),'Site Info'!$A:$G,4,FALSE),"")</f>
        <v>UTICA</v>
      </c>
      <c r="M2427" t="str">
        <f>IFERROR(VLOOKUP(VALUE(J2427),'Site Info'!$A:$G,5,FALSE),"")</f>
        <v>MI</v>
      </c>
      <c r="N2427" t="str">
        <f>IFERROR(VLOOKUP(VALUE(J2427),'Site Info'!$A:$G,6,FALSE),"")</f>
        <v>48315-5917</v>
      </c>
      <c r="O2427">
        <f>IFERROR(VLOOKUP(VALUE(J2427),'Site Info'!$A:$G,7,FALSE),"")</f>
        <v>5867269800</v>
      </c>
    </row>
    <row r="2428" spans="1:15" x14ac:dyDescent="0.45">
      <c r="A2428" t="s">
        <v>5134</v>
      </c>
      <c r="B2428" t="s">
        <v>5135</v>
      </c>
      <c r="C2428" t="s">
        <v>5136</v>
      </c>
      <c r="D2428" t="s">
        <v>1765</v>
      </c>
      <c r="E2428" s="1">
        <v>46153.361122685186</v>
      </c>
      <c r="F2428">
        <v>1547</v>
      </c>
      <c r="G2428" t="s">
        <v>5137</v>
      </c>
      <c r="H2428" t="s">
        <v>15</v>
      </c>
      <c r="I2428" t="s">
        <v>1767</v>
      </c>
      <c r="J2428" t="str">
        <f>RIGHT(D2428,4)</f>
        <v>6664</v>
      </c>
      <c r="K2428" t="str">
        <f>IFERROR(VLOOKUP(VALUE(J2428),'Site Info'!$A:$G,3,FALSE),"")</f>
        <v>45600 UTICA PARK BLVD</v>
      </c>
      <c r="L2428" t="str">
        <f>IFERROR(VLOOKUP(VALUE(J2428),'Site Info'!$A:$G,4,FALSE),"")</f>
        <v>UTICA</v>
      </c>
      <c r="M2428" t="str">
        <f>IFERROR(VLOOKUP(VALUE(J2428),'Site Info'!$A:$G,5,FALSE),"")</f>
        <v>MI</v>
      </c>
      <c r="N2428" t="str">
        <f>IFERROR(VLOOKUP(VALUE(J2428),'Site Info'!$A:$G,6,FALSE),"")</f>
        <v>48315-5917</v>
      </c>
      <c r="O2428">
        <f>IFERROR(VLOOKUP(VALUE(J2428),'Site Info'!$A:$G,7,FALSE),"")</f>
        <v>5867269800</v>
      </c>
    </row>
    <row r="2429" spans="1:15" x14ac:dyDescent="0.45">
      <c r="A2429" t="s">
        <v>5034</v>
      </c>
      <c r="B2429" t="s">
        <v>5035</v>
      </c>
      <c r="C2429" t="s">
        <v>5036</v>
      </c>
      <c r="D2429" t="s">
        <v>1765</v>
      </c>
      <c r="E2429" s="1">
        <v>46153.366018518522</v>
      </c>
      <c r="F2429">
        <v>1547</v>
      </c>
      <c r="G2429" t="s">
        <v>5037</v>
      </c>
      <c r="H2429" t="s">
        <v>15</v>
      </c>
      <c r="I2429" t="s">
        <v>1767</v>
      </c>
      <c r="J2429" t="str">
        <f>RIGHT(D2429,4)</f>
        <v>6664</v>
      </c>
      <c r="K2429" t="str">
        <f>IFERROR(VLOOKUP(VALUE(J2429),'Site Info'!$A:$G,3,FALSE),"")</f>
        <v>45600 UTICA PARK BLVD</v>
      </c>
      <c r="L2429" t="str">
        <f>IFERROR(VLOOKUP(VALUE(J2429),'Site Info'!$A:$G,4,FALSE),"")</f>
        <v>UTICA</v>
      </c>
      <c r="M2429" t="str">
        <f>IFERROR(VLOOKUP(VALUE(J2429),'Site Info'!$A:$G,5,FALSE),"")</f>
        <v>MI</v>
      </c>
      <c r="N2429" t="str">
        <f>IFERROR(VLOOKUP(VALUE(J2429),'Site Info'!$A:$G,6,FALSE),"")</f>
        <v>48315-5917</v>
      </c>
      <c r="O2429">
        <f>IFERROR(VLOOKUP(VALUE(J2429),'Site Info'!$A:$G,7,FALSE),"")</f>
        <v>5867269800</v>
      </c>
    </row>
    <row r="2430" spans="1:15" x14ac:dyDescent="0.45">
      <c r="A2430" t="s">
        <v>1762</v>
      </c>
      <c r="B2430" t="s">
        <v>1763</v>
      </c>
      <c r="C2430" t="s">
        <v>1764</v>
      </c>
      <c r="D2430" t="s">
        <v>1765</v>
      </c>
      <c r="E2430" s="1">
        <v>46151.626539351855</v>
      </c>
      <c r="F2430">
        <v>1481</v>
      </c>
      <c r="G2430" t="s">
        <v>1766</v>
      </c>
      <c r="H2430" t="s">
        <v>15</v>
      </c>
      <c r="I2430" t="s">
        <v>1767</v>
      </c>
      <c r="J2430" t="str">
        <f>RIGHT(D2430,4)</f>
        <v>6664</v>
      </c>
      <c r="K2430" t="str">
        <f>IFERROR(VLOOKUP(VALUE(J2430),'Site Info'!$A:$G,3,FALSE),"")</f>
        <v>45600 UTICA PARK BLVD</v>
      </c>
      <c r="L2430" t="str">
        <f>IFERROR(VLOOKUP(VALUE(J2430),'Site Info'!$A:$G,4,FALSE),"")</f>
        <v>UTICA</v>
      </c>
      <c r="M2430" t="str">
        <f>IFERROR(VLOOKUP(VALUE(J2430),'Site Info'!$A:$G,5,FALSE),"")</f>
        <v>MI</v>
      </c>
      <c r="N2430" t="str">
        <f>IFERROR(VLOOKUP(VALUE(J2430),'Site Info'!$A:$G,6,FALSE),"")</f>
        <v>48315-5917</v>
      </c>
      <c r="O2430">
        <f>IFERROR(VLOOKUP(VALUE(J2430),'Site Info'!$A:$G,7,FALSE),"")</f>
        <v>5867269800</v>
      </c>
    </row>
    <row r="2431" spans="1:15" x14ac:dyDescent="0.45">
      <c r="A2431" t="s">
        <v>6747</v>
      </c>
      <c r="B2431" t="s">
        <v>6748</v>
      </c>
      <c r="C2431" t="s">
        <v>6749</v>
      </c>
      <c r="D2431" t="s">
        <v>6750</v>
      </c>
      <c r="E2431" s="1">
        <v>46151.765717592592</v>
      </c>
      <c r="F2431">
        <v>1547</v>
      </c>
      <c r="G2431" t="s">
        <v>6751</v>
      </c>
      <c r="H2431" t="s">
        <v>15</v>
      </c>
      <c r="I2431" t="s">
        <v>6752</v>
      </c>
      <c r="J2431" t="str">
        <f>RIGHT(D2431,4)</f>
        <v>6425</v>
      </c>
      <c r="K2431" t="str">
        <f>IFERROR(VLOOKUP(VALUE(J2431),'Site Info'!$A:$G,3,FALSE),"")</f>
        <v>4600 E 2ND ST</v>
      </c>
      <c r="L2431" t="str">
        <f>IFERROR(VLOOKUP(VALUE(J2431),'Site Info'!$A:$G,4,FALSE),"")</f>
        <v>CASPER</v>
      </c>
      <c r="M2431" t="str">
        <f>IFERROR(VLOOKUP(VALUE(J2431),'Site Info'!$A:$G,5,FALSE),"")</f>
        <v>WY</v>
      </c>
      <c r="N2431" t="str">
        <f>IFERROR(VLOOKUP(VALUE(J2431),'Site Info'!$A:$G,6,FALSE),"")</f>
        <v>82609-4224</v>
      </c>
      <c r="O2431">
        <f>IFERROR(VLOOKUP(VALUE(J2431),'Site Info'!$A:$G,7,FALSE),"")</f>
        <v>3072378877</v>
      </c>
    </row>
    <row r="2432" spans="1:15" x14ac:dyDescent="0.45">
      <c r="A2432" t="s">
        <v>13956</v>
      </c>
      <c r="B2432" t="s">
        <v>13957</v>
      </c>
      <c r="C2432" t="s">
        <v>13958</v>
      </c>
      <c r="D2432" t="s">
        <v>6750</v>
      </c>
      <c r="E2432" s="1">
        <v>46152.598402777781</v>
      </c>
      <c r="F2432">
        <v>1547</v>
      </c>
      <c r="G2432" t="s">
        <v>13959</v>
      </c>
      <c r="H2432" t="s">
        <v>15</v>
      </c>
      <c r="I2432" t="s">
        <v>6752</v>
      </c>
      <c r="J2432" t="str">
        <f>RIGHT(D2432,4)</f>
        <v>6425</v>
      </c>
      <c r="K2432" t="str">
        <f>IFERROR(VLOOKUP(VALUE(J2432),'Site Info'!$A:$G,3,FALSE),"")</f>
        <v>4600 E 2ND ST</v>
      </c>
      <c r="L2432" t="str">
        <f>IFERROR(VLOOKUP(VALUE(J2432),'Site Info'!$A:$G,4,FALSE),"")</f>
        <v>CASPER</v>
      </c>
      <c r="M2432" t="str">
        <f>IFERROR(VLOOKUP(VALUE(J2432),'Site Info'!$A:$G,5,FALSE),"")</f>
        <v>WY</v>
      </c>
      <c r="N2432" t="str">
        <f>IFERROR(VLOOKUP(VALUE(J2432),'Site Info'!$A:$G,6,FALSE),"")</f>
        <v>82609-4224</v>
      </c>
      <c r="O2432">
        <f>IFERROR(VLOOKUP(VALUE(J2432),'Site Info'!$A:$G,7,FALSE),"")</f>
        <v>3072378877</v>
      </c>
    </row>
    <row r="2433" spans="1:15" x14ac:dyDescent="0.45">
      <c r="A2433" t="s">
        <v>14447</v>
      </c>
      <c r="B2433" t="s">
        <v>14448</v>
      </c>
      <c r="C2433" t="s">
        <v>14449</v>
      </c>
      <c r="D2433" t="s">
        <v>6750</v>
      </c>
      <c r="E2433" s="1">
        <v>46152.713738425926</v>
      </c>
      <c r="F2433">
        <v>1547</v>
      </c>
      <c r="G2433" t="s">
        <v>14450</v>
      </c>
      <c r="H2433" t="s">
        <v>15</v>
      </c>
      <c r="I2433" t="s">
        <v>6752</v>
      </c>
      <c r="J2433" t="str">
        <f>RIGHT(D2433,4)</f>
        <v>6425</v>
      </c>
      <c r="K2433" t="str">
        <f>IFERROR(VLOOKUP(VALUE(J2433),'Site Info'!$A:$G,3,FALSE),"")</f>
        <v>4600 E 2ND ST</v>
      </c>
      <c r="L2433" t="str">
        <f>IFERROR(VLOOKUP(VALUE(J2433),'Site Info'!$A:$G,4,FALSE),"")</f>
        <v>CASPER</v>
      </c>
      <c r="M2433" t="str">
        <f>IFERROR(VLOOKUP(VALUE(J2433),'Site Info'!$A:$G,5,FALSE),"")</f>
        <v>WY</v>
      </c>
      <c r="N2433" t="str">
        <f>IFERROR(VLOOKUP(VALUE(J2433),'Site Info'!$A:$G,6,FALSE),"")</f>
        <v>82609-4224</v>
      </c>
      <c r="O2433">
        <f>IFERROR(VLOOKUP(VALUE(J2433),'Site Info'!$A:$G,7,FALSE),"")</f>
        <v>3072378877</v>
      </c>
    </row>
    <row r="2434" spans="1:15" x14ac:dyDescent="0.45">
      <c r="A2434" t="s">
        <v>11554</v>
      </c>
      <c r="B2434" t="s">
        <v>11555</v>
      </c>
      <c r="C2434" t="s">
        <v>11556</v>
      </c>
      <c r="D2434" t="s">
        <v>6750</v>
      </c>
      <c r="E2434" s="1">
        <v>46153.247476851851</v>
      </c>
      <c r="F2434">
        <v>1547</v>
      </c>
      <c r="G2434" t="s">
        <v>11557</v>
      </c>
      <c r="H2434" t="s">
        <v>15</v>
      </c>
      <c r="I2434" t="s">
        <v>6752</v>
      </c>
      <c r="J2434" t="str">
        <f>RIGHT(D2434,4)</f>
        <v>6425</v>
      </c>
      <c r="K2434" t="str">
        <f>IFERROR(VLOOKUP(VALUE(J2434),'Site Info'!$A:$G,3,FALSE),"")</f>
        <v>4600 E 2ND ST</v>
      </c>
      <c r="L2434" t="str">
        <f>IFERROR(VLOOKUP(VALUE(J2434),'Site Info'!$A:$G,4,FALSE),"")</f>
        <v>CASPER</v>
      </c>
      <c r="M2434" t="str">
        <f>IFERROR(VLOOKUP(VALUE(J2434),'Site Info'!$A:$G,5,FALSE),"")</f>
        <v>WY</v>
      </c>
      <c r="N2434" t="str">
        <f>IFERROR(VLOOKUP(VALUE(J2434),'Site Info'!$A:$G,6,FALSE),"")</f>
        <v>82609-4224</v>
      </c>
      <c r="O2434">
        <f>IFERROR(VLOOKUP(VALUE(J2434),'Site Info'!$A:$G,7,FALSE),"")</f>
        <v>3072378877</v>
      </c>
    </row>
    <row r="2435" spans="1:15" x14ac:dyDescent="0.45">
      <c r="A2435" t="s">
        <v>12036</v>
      </c>
      <c r="B2435" t="s">
        <v>12037</v>
      </c>
      <c r="C2435" t="s">
        <v>12038</v>
      </c>
      <c r="D2435" t="s">
        <v>6750</v>
      </c>
      <c r="E2435" s="1">
        <v>46153.36991898148</v>
      </c>
      <c r="F2435">
        <v>1547</v>
      </c>
      <c r="G2435" t="s">
        <v>12039</v>
      </c>
      <c r="H2435" t="s">
        <v>15</v>
      </c>
      <c r="I2435" t="s">
        <v>6752</v>
      </c>
      <c r="J2435" t="str">
        <f>RIGHT(D2435,4)</f>
        <v>6425</v>
      </c>
      <c r="K2435" t="str">
        <f>IFERROR(VLOOKUP(VALUE(J2435),'Site Info'!$A:$G,3,FALSE),"")</f>
        <v>4600 E 2ND ST</v>
      </c>
      <c r="L2435" t="str">
        <f>IFERROR(VLOOKUP(VALUE(J2435),'Site Info'!$A:$G,4,FALSE),"")</f>
        <v>CASPER</v>
      </c>
      <c r="M2435" t="str">
        <f>IFERROR(VLOOKUP(VALUE(J2435),'Site Info'!$A:$G,5,FALSE),"")</f>
        <v>WY</v>
      </c>
      <c r="N2435" t="str">
        <f>IFERROR(VLOOKUP(VALUE(J2435),'Site Info'!$A:$G,6,FALSE),"")</f>
        <v>82609-4224</v>
      </c>
      <c r="O2435">
        <f>IFERROR(VLOOKUP(VALUE(J2435),'Site Info'!$A:$G,7,FALSE),"")</f>
        <v>3072378877</v>
      </c>
    </row>
    <row r="2436" spans="1:15" x14ac:dyDescent="0.45">
      <c r="A2436" t="s">
        <v>16849</v>
      </c>
      <c r="B2436" t="s">
        <v>16850</v>
      </c>
      <c r="C2436" t="s">
        <v>16851</v>
      </c>
      <c r="D2436" t="s">
        <v>6750</v>
      </c>
      <c r="E2436" s="1">
        <v>46152.380636574075</v>
      </c>
      <c r="F2436">
        <v>1547</v>
      </c>
      <c r="G2436" t="s">
        <v>16852</v>
      </c>
      <c r="H2436" t="s">
        <v>15</v>
      </c>
      <c r="I2436" t="s">
        <v>6752</v>
      </c>
      <c r="J2436" t="str">
        <f>RIGHT(D2436,4)</f>
        <v>6425</v>
      </c>
      <c r="K2436" t="str">
        <f>IFERROR(VLOOKUP(VALUE(J2436),'Site Info'!$A:$G,3,FALSE),"")</f>
        <v>4600 E 2ND ST</v>
      </c>
      <c r="L2436" t="str">
        <f>IFERROR(VLOOKUP(VALUE(J2436),'Site Info'!$A:$G,4,FALSE),"")</f>
        <v>CASPER</v>
      </c>
      <c r="M2436" t="str">
        <f>IFERROR(VLOOKUP(VALUE(J2436),'Site Info'!$A:$G,5,FALSE),"")</f>
        <v>WY</v>
      </c>
      <c r="N2436" t="str">
        <f>IFERROR(VLOOKUP(VALUE(J2436),'Site Info'!$A:$G,6,FALSE),"")</f>
        <v>82609-4224</v>
      </c>
      <c r="O2436">
        <f>IFERROR(VLOOKUP(VALUE(J2436),'Site Info'!$A:$G,7,FALSE),"")</f>
        <v>3072378877</v>
      </c>
    </row>
    <row r="2437" spans="1:15" x14ac:dyDescent="0.45">
      <c r="A2437" t="s">
        <v>5596</v>
      </c>
      <c r="B2437" t="s">
        <v>5597</v>
      </c>
      <c r="C2437" t="s">
        <v>5598</v>
      </c>
      <c r="D2437" t="s">
        <v>1993</v>
      </c>
      <c r="E2437" s="1">
        <v>46151.742372685185</v>
      </c>
      <c r="F2437">
        <v>1547</v>
      </c>
      <c r="G2437" t="s">
        <v>5599</v>
      </c>
      <c r="H2437" t="s">
        <v>15</v>
      </c>
      <c r="I2437" t="s">
        <v>1995</v>
      </c>
      <c r="J2437" t="str">
        <f>RIGHT(D2437,4)</f>
        <v>6441</v>
      </c>
      <c r="K2437" t="str">
        <f>IFERROR(VLOOKUP(VALUE(J2437),'Site Info'!$A:$G,3,FALSE),"")</f>
        <v>4600 US HIGHWAY 98 N</v>
      </c>
      <c r="L2437" t="str">
        <f>IFERROR(VLOOKUP(VALUE(J2437),'Site Info'!$A:$G,4,FALSE),"")</f>
        <v>LAKELAND</v>
      </c>
      <c r="M2437" t="str">
        <f>IFERROR(VLOOKUP(VALUE(J2437),'Site Info'!$A:$G,5,FALSE),"")</f>
        <v>FL</v>
      </c>
      <c r="N2437" t="str">
        <f>IFERROR(VLOOKUP(VALUE(J2437),'Site Info'!$A:$G,6,FALSE),"")</f>
        <v>33809-3603</v>
      </c>
      <c r="O2437">
        <f>IFERROR(VLOOKUP(VALUE(J2437),'Site Info'!$A:$G,7,FALSE),"")</f>
        <v>8638532654</v>
      </c>
    </row>
    <row r="2438" spans="1:15" x14ac:dyDescent="0.45">
      <c r="A2438" t="s">
        <v>5634</v>
      </c>
      <c r="B2438" t="s">
        <v>5635</v>
      </c>
      <c r="C2438" t="s">
        <v>5636</v>
      </c>
      <c r="D2438" t="s">
        <v>1993</v>
      </c>
      <c r="E2438" s="1">
        <v>46153.313437500001</v>
      </c>
      <c r="F2438">
        <v>1547</v>
      </c>
      <c r="G2438" t="s">
        <v>5637</v>
      </c>
      <c r="H2438" t="s">
        <v>15</v>
      </c>
      <c r="I2438" t="s">
        <v>1995</v>
      </c>
      <c r="J2438" t="str">
        <f>RIGHT(D2438,4)</f>
        <v>6441</v>
      </c>
      <c r="K2438" t="str">
        <f>IFERROR(VLOOKUP(VALUE(J2438),'Site Info'!$A:$G,3,FALSE),"")</f>
        <v>4600 US HIGHWAY 98 N</v>
      </c>
      <c r="L2438" t="str">
        <f>IFERROR(VLOOKUP(VALUE(J2438),'Site Info'!$A:$G,4,FALSE),"")</f>
        <v>LAKELAND</v>
      </c>
      <c r="M2438" t="str">
        <f>IFERROR(VLOOKUP(VALUE(J2438),'Site Info'!$A:$G,5,FALSE),"")</f>
        <v>FL</v>
      </c>
      <c r="N2438" t="str">
        <f>IFERROR(VLOOKUP(VALUE(J2438),'Site Info'!$A:$G,6,FALSE),"")</f>
        <v>33809-3603</v>
      </c>
      <c r="O2438">
        <f>IFERROR(VLOOKUP(VALUE(J2438),'Site Info'!$A:$G,7,FALSE),"")</f>
        <v>8638532654</v>
      </c>
    </row>
    <row r="2439" spans="1:15" x14ac:dyDescent="0.45">
      <c r="A2439" t="s">
        <v>5162</v>
      </c>
      <c r="B2439" t="s">
        <v>5163</v>
      </c>
      <c r="C2439" t="s">
        <v>5164</v>
      </c>
      <c r="D2439" t="s">
        <v>1993</v>
      </c>
      <c r="E2439" s="1">
        <v>46153.334131944444</v>
      </c>
      <c r="F2439">
        <v>1547</v>
      </c>
      <c r="G2439" t="s">
        <v>5165</v>
      </c>
      <c r="H2439" t="s">
        <v>15</v>
      </c>
      <c r="I2439" t="s">
        <v>1995</v>
      </c>
      <c r="J2439" t="str">
        <f>RIGHT(D2439,4)</f>
        <v>6441</v>
      </c>
      <c r="K2439" t="str">
        <f>IFERROR(VLOOKUP(VALUE(J2439),'Site Info'!$A:$G,3,FALSE),"")</f>
        <v>4600 US HIGHWAY 98 N</v>
      </c>
      <c r="L2439" t="str">
        <f>IFERROR(VLOOKUP(VALUE(J2439),'Site Info'!$A:$G,4,FALSE),"")</f>
        <v>LAKELAND</v>
      </c>
      <c r="M2439" t="str">
        <f>IFERROR(VLOOKUP(VALUE(J2439),'Site Info'!$A:$G,5,FALSE),"")</f>
        <v>FL</v>
      </c>
      <c r="N2439" t="str">
        <f>IFERROR(VLOOKUP(VALUE(J2439),'Site Info'!$A:$G,6,FALSE),"")</f>
        <v>33809-3603</v>
      </c>
      <c r="O2439">
        <f>IFERROR(VLOOKUP(VALUE(J2439),'Site Info'!$A:$G,7,FALSE),"")</f>
        <v>8638532654</v>
      </c>
    </row>
    <row r="2440" spans="1:15" x14ac:dyDescent="0.45">
      <c r="A2440" t="s">
        <v>2929</v>
      </c>
      <c r="B2440" t="s">
        <v>2930</v>
      </c>
      <c r="C2440" t="s">
        <v>2931</v>
      </c>
      <c r="D2440" t="s">
        <v>1993</v>
      </c>
      <c r="E2440" s="1">
        <v>46119.55773148148</v>
      </c>
      <c r="F2440">
        <v>1481</v>
      </c>
      <c r="G2440" t="s">
        <v>2932</v>
      </c>
      <c r="H2440" t="s">
        <v>15</v>
      </c>
      <c r="I2440" t="s">
        <v>1995</v>
      </c>
      <c r="J2440" t="str">
        <f>RIGHT(D2440,4)</f>
        <v>6441</v>
      </c>
      <c r="K2440" t="str">
        <f>IFERROR(VLOOKUP(VALUE(J2440),'Site Info'!$A:$G,3,FALSE),"")</f>
        <v>4600 US HIGHWAY 98 N</v>
      </c>
      <c r="L2440" t="str">
        <f>IFERROR(VLOOKUP(VALUE(J2440),'Site Info'!$A:$G,4,FALSE),"")</f>
        <v>LAKELAND</v>
      </c>
      <c r="M2440" t="str">
        <f>IFERROR(VLOOKUP(VALUE(J2440),'Site Info'!$A:$G,5,FALSE),"")</f>
        <v>FL</v>
      </c>
      <c r="N2440" t="str">
        <f>IFERROR(VLOOKUP(VALUE(J2440),'Site Info'!$A:$G,6,FALSE),"")</f>
        <v>33809-3603</v>
      </c>
      <c r="O2440">
        <f>IFERROR(VLOOKUP(VALUE(J2440),'Site Info'!$A:$G,7,FALSE),"")</f>
        <v>8638532654</v>
      </c>
    </row>
    <row r="2441" spans="1:15" x14ac:dyDescent="0.45">
      <c r="A2441" t="s">
        <v>1990</v>
      </c>
      <c r="B2441" t="s">
        <v>1991</v>
      </c>
      <c r="C2441" t="s">
        <v>1992</v>
      </c>
      <c r="D2441" t="s">
        <v>1993</v>
      </c>
      <c r="E2441" s="1">
        <v>46153.350104166668</v>
      </c>
      <c r="F2441">
        <v>1481</v>
      </c>
      <c r="G2441" t="s">
        <v>1994</v>
      </c>
      <c r="H2441" t="s">
        <v>15</v>
      </c>
      <c r="I2441" t="s">
        <v>1995</v>
      </c>
      <c r="J2441" t="str">
        <f>RIGHT(D2441,4)</f>
        <v>6441</v>
      </c>
      <c r="K2441" t="str">
        <f>IFERROR(VLOOKUP(VALUE(J2441),'Site Info'!$A:$G,3,FALSE),"")</f>
        <v>4600 US HIGHWAY 98 N</v>
      </c>
      <c r="L2441" t="str">
        <f>IFERROR(VLOOKUP(VALUE(J2441),'Site Info'!$A:$G,4,FALSE),"")</f>
        <v>LAKELAND</v>
      </c>
      <c r="M2441" t="str">
        <f>IFERROR(VLOOKUP(VALUE(J2441),'Site Info'!$A:$G,5,FALSE),"")</f>
        <v>FL</v>
      </c>
      <c r="N2441" t="str">
        <f>IFERROR(VLOOKUP(VALUE(J2441),'Site Info'!$A:$G,6,FALSE),"")</f>
        <v>33809-3603</v>
      </c>
      <c r="O2441">
        <f>IFERROR(VLOOKUP(VALUE(J2441),'Site Info'!$A:$G,7,FALSE),"")</f>
        <v>8638532654</v>
      </c>
    </row>
    <row r="2442" spans="1:15" x14ac:dyDescent="0.45">
      <c r="A2442" t="s">
        <v>16878</v>
      </c>
      <c r="B2442" t="s">
        <v>16879</v>
      </c>
      <c r="C2442" t="s">
        <v>16880</v>
      </c>
      <c r="D2442" t="s">
        <v>1993</v>
      </c>
      <c r="E2442" s="1">
        <v>46153.334999999999</v>
      </c>
      <c r="F2442">
        <v>1547</v>
      </c>
      <c r="G2442" t="s">
        <v>16881</v>
      </c>
      <c r="H2442" t="s">
        <v>15</v>
      </c>
      <c r="I2442" t="s">
        <v>1995</v>
      </c>
      <c r="J2442" t="str">
        <f>RIGHT(D2442,4)</f>
        <v>6441</v>
      </c>
      <c r="K2442" t="str">
        <f>IFERROR(VLOOKUP(VALUE(J2442),'Site Info'!$A:$G,3,FALSE),"")</f>
        <v>4600 US HIGHWAY 98 N</v>
      </c>
      <c r="L2442" t="str">
        <f>IFERROR(VLOOKUP(VALUE(J2442),'Site Info'!$A:$G,4,FALSE),"")</f>
        <v>LAKELAND</v>
      </c>
      <c r="M2442" t="str">
        <f>IFERROR(VLOOKUP(VALUE(J2442),'Site Info'!$A:$G,5,FALSE),"")</f>
        <v>FL</v>
      </c>
      <c r="N2442" t="str">
        <f>IFERROR(VLOOKUP(VALUE(J2442),'Site Info'!$A:$G,6,FALSE),"")</f>
        <v>33809-3603</v>
      </c>
      <c r="O2442">
        <f>IFERROR(VLOOKUP(VALUE(J2442),'Site Info'!$A:$G,7,FALSE),"")</f>
        <v>8638532654</v>
      </c>
    </row>
    <row r="2443" spans="1:15" x14ac:dyDescent="0.45">
      <c r="A2443" t="s">
        <v>12436</v>
      </c>
      <c r="B2443" t="s">
        <v>12437</v>
      </c>
      <c r="C2443" t="s">
        <v>12438</v>
      </c>
      <c r="D2443" t="s">
        <v>2065</v>
      </c>
      <c r="E2443" s="1">
        <v>46142.530335648145</v>
      </c>
      <c r="F2443">
        <v>1547</v>
      </c>
      <c r="G2443" t="s">
        <v>12439</v>
      </c>
      <c r="H2443" t="s">
        <v>15</v>
      </c>
      <c r="I2443" t="s">
        <v>2067</v>
      </c>
      <c r="J2443" t="str">
        <f>RIGHT(D2443,4)</f>
        <v>6979</v>
      </c>
      <c r="K2443" t="str">
        <f>IFERROR(VLOOKUP(VALUE(J2443),'Site Info'!$A:$G,3,FALSE),"")</f>
        <v>4625 SE DELAWARE AVENUE</v>
      </c>
      <c r="L2443" t="str">
        <f>IFERROR(VLOOKUP(VALUE(J2443),'Site Info'!$A:$G,4,FALSE),"")</f>
        <v>ANKENY</v>
      </c>
      <c r="M2443" t="str">
        <f>IFERROR(VLOOKUP(VALUE(J2443),'Site Info'!$A:$G,5,FALSE),"")</f>
        <v>IA</v>
      </c>
      <c r="N2443" t="str">
        <f>IFERROR(VLOOKUP(VALUE(J2443),'Site Info'!$A:$G,6,FALSE),"")</f>
        <v>50021-0000</v>
      </c>
      <c r="O2443">
        <f>IFERROR(VLOOKUP(VALUE(J2443),'Site Info'!$A:$G,7,FALSE),"")</f>
        <v>5155591747</v>
      </c>
    </row>
    <row r="2444" spans="1:15" x14ac:dyDescent="0.45">
      <c r="A2444" t="s">
        <v>9339</v>
      </c>
      <c r="B2444" t="s">
        <v>9340</v>
      </c>
      <c r="C2444" t="s">
        <v>9341</v>
      </c>
      <c r="D2444" t="s">
        <v>2065</v>
      </c>
      <c r="E2444" s="1">
        <v>46152.671597222223</v>
      </c>
      <c r="F2444">
        <v>1547</v>
      </c>
      <c r="G2444" t="s">
        <v>9342</v>
      </c>
      <c r="H2444" t="s">
        <v>15</v>
      </c>
      <c r="I2444" t="s">
        <v>2067</v>
      </c>
      <c r="J2444" t="str">
        <f>RIGHT(D2444,4)</f>
        <v>6979</v>
      </c>
      <c r="K2444" t="str">
        <f>IFERROR(VLOOKUP(VALUE(J2444),'Site Info'!$A:$G,3,FALSE),"")</f>
        <v>4625 SE DELAWARE AVENUE</v>
      </c>
      <c r="L2444" t="str">
        <f>IFERROR(VLOOKUP(VALUE(J2444),'Site Info'!$A:$G,4,FALSE),"")</f>
        <v>ANKENY</v>
      </c>
      <c r="M2444" t="str">
        <f>IFERROR(VLOOKUP(VALUE(J2444),'Site Info'!$A:$G,5,FALSE),"")</f>
        <v>IA</v>
      </c>
      <c r="N2444" t="str">
        <f>IFERROR(VLOOKUP(VALUE(J2444),'Site Info'!$A:$G,6,FALSE),"")</f>
        <v>50021-0000</v>
      </c>
      <c r="O2444">
        <f>IFERROR(VLOOKUP(VALUE(J2444),'Site Info'!$A:$G,7,FALSE),"")</f>
        <v>5155591747</v>
      </c>
    </row>
    <row r="2445" spans="1:15" x14ac:dyDescent="0.45">
      <c r="A2445" t="s">
        <v>12444</v>
      </c>
      <c r="B2445" t="s">
        <v>12445</v>
      </c>
      <c r="C2445" t="s">
        <v>12446</v>
      </c>
      <c r="D2445" t="s">
        <v>2065</v>
      </c>
      <c r="E2445" s="1">
        <v>46153.039490740739</v>
      </c>
      <c r="F2445">
        <v>1547</v>
      </c>
      <c r="G2445" t="s">
        <v>12447</v>
      </c>
      <c r="H2445" t="s">
        <v>15</v>
      </c>
      <c r="I2445" t="s">
        <v>2067</v>
      </c>
      <c r="J2445" t="str">
        <f>RIGHT(D2445,4)</f>
        <v>6979</v>
      </c>
      <c r="K2445" t="str">
        <f>IFERROR(VLOOKUP(VALUE(J2445),'Site Info'!$A:$G,3,FALSE),"")</f>
        <v>4625 SE DELAWARE AVENUE</v>
      </c>
      <c r="L2445" t="str">
        <f>IFERROR(VLOOKUP(VALUE(J2445),'Site Info'!$A:$G,4,FALSE),"")</f>
        <v>ANKENY</v>
      </c>
      <c r="M2445" t="str">
        <f>IFERROR(VLOOKUP(VALUE(J2445),'Site Info'!$A:$G,5,FALSE),"")</f>
        <v>IA</v>
      </c>
      <c r="N2445" t="str">
        <f>IFERROR(VLOOKUP(VALUE(J2445),'Site Info'!$A:$G,6,FALSE),"")</f>
        <v>50021-0000</v>
      </c>
      <c r="O2445">
        <f>IFERROR(VLOOKUP(VALUE(J2445),'Site Info'!$A:$G,7,FALSE),"")</f>
        <v>5155591747</v>
      </c>
    </row>
    <row r="2446" spans="1:15" x14ac:dyDescent="0.45">
      <c r="A2446" t="s">
        <v>12072</v>
      </c>
      <c r="B2446" t="s">
        <v>12073</v>
      </c>
      <c r="C2446" t="s">
        <v>12074</v>
      </c>
      <c r="D2446" t="s">
        <v>2065</v>
      </c>
      <c r="E2446" s="1">
        <v>46153.306446759256</v>
      </c>
      <c r="F2446">
        <v>1547</v>
      </c>
      <c r="G2446" t="s">
        <v>12075</v>
      </c>
      <c r="H2446" t="s">
        <v>15</v>
      </c>
      <c r="I2446" t="s">
        <v>2067</v>
      </c>
      <c r="J2446" t="str">
        <f>RIGHT(D2446,4)</f>
        <v>6979</v>
      </c>
      <c r="K2446" t="str">
        <f>IFERROR(VLOOKUP(VALUE(J2446),'Site Info'!$A:$G,3,FALSE),"")</f>
        <v>4625 SE DELAWARE AVENUE</v>
      </c>
      <c r="L2446" t="str">
        <f>IFERROR(VLOOKUP(VALUE(J2446),'Site Info'!$A:$G,4,FALSE),"")</f>
        <v>ANKENY</v>
      </c>
      <c r="M2446" t="str">
        <f>IFERROR(VLOOKUP(VALUE(J2446),'Site Info'!$A:$G,5,FALSE),"")</f>
        <v>IA</v>
      </c>
      <c r="N2446" t="str">
        <f>IFERROR(VLOOKUP(VALUE(J2446),'Site Info'!$A:$G,6,FALSE),"")</f>
        <v>50021-0000</v>
      </c>
      <c r="O2446">
        <f>IFERROR(VLOOKUP(VALUE(J2446),'Site Info'!$A:$G,7,FALSE),"")</f>
        <v>5155591747</v>
      </c>
    </row>
    <row r="2447" spans="1:15" x14ac:dyDescent="0.45">
      <c r="A2447" t="s">
        <v>12056</v>
      </c>
      <c r="B2447" t="s">
        <v>12057</v>
      </c>
      <c r="C2447" t="s">
        <v>12058</v>
      </c>
      <c r="D2447" t="s">
        <v>2065</v>
      </c>
      <c r="E2447" s="1">
        <v>46153.353402777779</v>
      </c>
      <c r="F2447">
        <v>1547</v>
      </c>
      <c r="G2447" t="s">
        <v>12059</v>
      </c>
      <c r="H2447" t="s">
        <v>15</v>
      </c>
      <c r="I2447" t="s">
        <v>2067</v>
      </c>
      <c r="J2447" t="str">
        <f>RIGHT(D2447,4)</f>
        <v>6979</v>
      </c>
      <c r="K2447" t="str">
        <f>IFERROR(VLOOKUP(VALUE(J2447),'Site Info'!$A:$G,3,FALSE),"")</f>
        <v>4625 SE DELAWARE AVENUE</v>
      </c>
      <c r="L2447" t="str">
        <f>IFERROR(VLOOKUP(VALUE(J2447),'Site Info'!$A:$G,4,FALSE),"")</f>
        <v>ANKENY</v>
      </c>
      <c r="M2447" t="str">
        <f>IFERROR(VLOOKUP(VALUE(J2447),'Site Info'!$A:$G,5,FALSE),"")</f>
        <v>IA</v>
      </c>
      <c r="N2447" t="str">
        <f>IFERROR(VLOOKUP(VALUE(J2447),'Site Info'!$A:$G,6,FALSE),"")</f>
        <v>50021-0000</v>
      </c>
      <c r="O2447">
        <f>IFERROR(VLOOKUP(VALUE(J2447),'Site Info'!$A:$G,7,FALSE),"")</f>
        <v>5155591747</v>
      </c>
    </row>
    <row r="2448" spans="1:15" x14ac:dyDescent="0.45">
      <c r="A2448" t="s">
        <v>2128</v>
      </c>
      <c r="B2448" t="s">
        <v>2129</v>
      </c>
      <c r="C2448" t="s">
        <v>2130</v>
      </c>
      <c r="D2448" t="s">
        <v>2065</v>
      </c>
      <c r="E2448" s="1">
        <v>46152.497800925928</v>
      </c>
      <c r="F2448">
        <v>1481</v>
      </c>
      <c r="G2448" t="s">
        <v>2131</v>
      </c>
      <c r="H2448" t="s">
        <v>15</v>
      </c>
      <c r="I2448" t="s">
        <v>2067</v>
      </c>
      <c r="J2448" t="str">
        <f>RIGHT(D2448,4)</f>
        <v>6979</v>
      </c>
      <c r="K2448" t="str">
        <f>IFERROR(VLOOKUP(VALUE(J2448),'Site Info'!$A:$G,3,FALSE),"")</f>
        <v>4625 SE DELAWARE AVENUE</v>
      </c>
      <c r="L2448" t="str">
        <f>IFERROR(VLOOKUP(VALUE(J2448),'Site Info'!$A:$G,4,FALSE),"")</f>
        <v>ANKENY</v>
      </c>
      <c r="M2448" t="str">
        <f>IFERROR(VLOOKUP(VALUE(J2448),'Site Info'!$A:$G,5,FALSE),"")</f>
        <v>IA</v>
      </c>
      <c r="N2448" t="str">
        <f>IFERROR(VLOOKUP(VALUE(J2448),'Site Info'!$A:$G,6,FALSE),"")</f>
        <v>50021-0000</v>
      </c>
      <c r="O2448">
        <f>IFERROR(VLOOKUP(VALUE(J2448),'Site Info'!$A:$G,7,FALSE),"")</f>
        <v>5155591747</v>
      </c>
    </row>
    <row r="2449" spans="1:15" x14ac:dyDescent="0.45">
      <c r="A2449" t="s">
        <v>2062</v>
      </c>
      <c r="B2449" t="s">
        <v>2063</v>
      </c>
      <c r="C2449" t="s">
        <v>2064</v>
      </c>
      <c r="D2449" t="s">
        <v>2065</v>
      </c>
      <c r="E2449" s="1">
        <v>46153.341157407405</v>
      </c>
      <c r="F2449">
        <v>1481</v>
      </c>
      <c r="G2449" t="s">
        <v>2066</v>
      </c>
      <c r="H2449" t="s">
        <v>15</v>
      </c>
      <c r="I2449" t="s">
        <v>2067</v>
      </c>
      <c r="J2449" t="str">
        <f>RIGHT(D2449,4)</f>
        <v>6979</v>
      </c>
      <c r="K2449" t="str">
        <f>IFERROR(VLOOKUP(VALUE(J2449),'Site Info'!$A:$G,3,FALSE),"")</f>
        <v>4625 SE DELAWARE AVENUE</v>
      </c>
      <c r="L2449" t="str">
        <f>IFERROR(VLOOKUP(VALUE(J2449),'Site Info'!$A:$G,4,FALSE),"")</f>
        <v>ANKENY</v>
      </c>
      <c r="M2449" t="str">
        <f>IFERROR(VLOOKUP(VALUE(J2449),'Site Info'!$A:$G,5,FALSE),"")</f>
        <v>IA</v>
      </c>
      <c r="N2449" t="str">
        <f>IFERROR(VLOOKUP(VALUE(J2449),'Site Info'!$A:$G,6,FALSE),"")</f>
        <v>50021-0000</v>
      </c>
      <c r="O2449">
        <f>IFERROR(VLOOKUP(VALUE(J2449),'Site Info'!$A:$G,7,FALSE),"")</f>
        <v>5155591747</v>
      </c>
    </row>
    <row r="2450" spans="1:15" x14ac:dyDescent="0.45">
      <c r="A2450" t="s">
        <v>7911</v>
      </c>
      <c r="B2450" t="s">
        <v>7912</v>
      </c>
      <c r="C2450" t="s">
        <v>7913</v>
      </c>
      <c r="D2450" t="s">
        <v>7448</v>
      </c>
      <c r="E2450" s="1">
        <v>46151.78665509259</v>
      </c>
      <c r="F2450">
        <v>1547</v>
      </c>
      <c r="G2450" t="s">
        <v>7914</v>
      </c>
      <c r="H2450" t="s">
        <v>15</v>
      </c>
      <c r="I2450" t="s">
        <v>7450</v>
      </c>
      <c r="J2450" t="str">
        <f>RIGHT(D2450,4)</f>
        <v>4740</v>
      </c>
      <c r="K2450" t="str">
        <f>IFERROR(VLOOKUP(VALUE(J2450),'Site Info'!$A:$G,3,FALSE),"")</f>
        <v>465 GOODMAN RD E</v>
      </c>
      <c r="L2450" t="str">
        <f>IFERROR(VLOOKUP(VALUE(J2450),'Site Info'!$A:$G,4,FALSE),"")</f>
        <v>SOUTHAVEN</v>
      </c>
      <c r="M2450" t="str">
        <f>IFERROR(VLOOKUP(VALUE(J2450),'Site Info'!$A:$G,5,FALSE),"")</f>
        <v>MS</v>
      </c>
      <c r="N2450" t="str">
        <f>IFERROR(VLOOKUP(VALUE(J2450),'Site Info'!$A:$G,6,FALSE),"")</f>
        <v>38671-9525</v>
      </c>
      <c r="O2450">
        <f>IFERROR(VLOOKUP(VALUE(J2450),'Site Info'!$A:$G,7,FALSE),"")</f>
        <v>6623490723</v>
      </c>
    </row>
    <row r="2451" spans="1:15" x14ac:dyDescent="0.45">
      <c r="A2451" t="s">
        <v>8133</v>
      </c>
      <c r="B2451" t="s">
        <v>8134</v>
      </c>
      <c r="C2451" t="s">
        <v>8135</v>
      </c>
      <c r="D2451" t="s">
        <v>7448</v>
      </c>
      <c r="E2451" s="1">
        <v>46152.622789351852</v>
      </c>
      <c r="F2451">
        <v>1547</v>
      </c>
      <c r="G2451" t="s">
        <v>8136</v>
      </c>
      <c r="H2451" t="s">
        <v>15</v>
      </c>
      <c r="I2451" t="s">
        <v>7450</v>
      </c>
      <c r="J2451" t="str">
        <f>RIGHT(D2451,4)</f>
        <v>4740</v>
      </c>
      <c r="K2451" t="str">
        <f>IFERROR(VLOOKUP(VALUE(J2451),'Site Info'!$A:$G,3,FALSE),"")</f>
        <v>465 GOODMAN RD E</v>
      </c>
      <c r="L2451" t="str">
        <f>IFERROR(VLOOKUP(VALUE(J2451),'Site Info'!$A:$G,4,FALSE),"")</f>
        <v>SOUTHAVEN</v>
      </c>
      <c r="M2451" t="str">
        <f>IFERROR(VLOOKUP(VALUE(J2451),'Site Info'!$A:$G,5,FALSE),"")</f>
        <v>MS</v>
      </c>
      <c r="N2451" t="str">
        <f>IFERROR(VLOOKUP(VALUE(J2451),'Site Info'!$A:$G,6,FALSE),"")</f>
        <v>38671-9525</v>
      </c>
      <c r="O2451">
        <f>IFERROR(VLOOKUP(VALUE(J2451),'Site Info'!$A:$G,7,FALSE),"")</f>
        <v>6623490723</v>
      </c>
    </row>
    <row r="2452" spans="1:15" x14ac:dyDescent="0.45">
      <c r="A2452" t="s">
        <v>7445</v>
      </c>
      <c r="B2452" t="s">
        <v>7446</v>
      </c>
      <c r="C2452" t="s">
        <v>7447</v>
      </c>
      <c r="D2452" t="s">
        <v>7448</v>
      </c>
      <c r="E2452" s="1">
        <v>46153.107719907406</v>
      </c>
      <c r="F2452">
        <v>1547</v>
      </c>
      <c r="G2452" t="s">
        <v>7449</v>
      </c>
      <c r="H2452" t="s">
        <v>15</v>
      </c>
      <c r="I2452" t="s">
        <v>7450</v>
      </c>
      <c r="J2452" t="str">
        <f>RIGHT(D2452,4)</f>
        <v>4740</v>
      </c>
      <c r="K2452" t="str">
        <f>IFERROR(VLOOKUP(VALUE(J2452),'Site Info'!$A:$G,3,FALSE),"")</f>
        <v>465 GOODMAN RD E</v>
      </c>
      <c r="L2452" t="str">
        <f>IFERROR(VLOOKUP(VALUE(J2452),'Site Info'!$A:$G,4,FALSE),"")</f>
        <v>SOUTHAVEN</v>
      </c>
      <c r="M2452" t="str">
        <f>IFERROR(VLOOKUP(VALUE(J2452),'Site Info'!$A:$G,5,FALSE),"")</f>
        <v>MS</v>
      </c>
      <c r="N2452" t="str">
        <f>IFERROR(VLOOKUP(VALUE(J2452),'Site Info'!$A:$G,6,FALSE),"")</f>
        <v>38671-9525</v>
      </c>
      <c r="O2452">
        <f>IFERROR(VLOOKUP(VALUE(J2452),'Site Info'!$A:$G,7,FALSE),"")</f>
        <v>6623490723</v>
      </c>
    </row>
    <row r="2453" spans="1:15" x14ac:dyDescent="0.45">
      <c r="A2453" t="s">
        <v>7555</v>
      </c>
      <c r="B2453" t="s">
        <v>7556</v>
      </c>
      <c r="C2453" t="s">
        <v>7557</v>
      </c>
      <c r="D2453" t="s">
        <v>7448</v>
      </c>
      <c r="E2453" s="1">
        <v>46153.258773148147</v>
      </c>
      <c r="F2453">
        <v>1547</v>
      </c>
      <c r="G2453" t="s">
        <v>7558</v>
      </c>
      <c r="H2453" t="s">
        <v>15</v>
      </c>
      <c r="I2453" t="s">
        <v>7450</v>
      </c>
      <c r="J2453" t="str">
        <f>RIGHT(D2453,4)</f>
        <v>4740</v>
      </c>
      <c r="K2453" t="str">
        <f>IFERROR(VLOOKUP(VALUE(J2453),'Site Info'!$A:$G,3,FALSE),"")</f>
        <v>465 GOODMAN RD E</v>
      </c>
      <c r="L2453" t="str">
        <f>IFERROR(VLOOKUP(VALUE(J2453),'Site Info'!$A:$G,4,FALSE),"")</f>
        <v>SOUTHAVEN</v>
      </c>
      <c r="M2453" t="str">
        <f>IFERROR(VLOOKUP(VALUE(J2453),'Site Info'!$A:$G,5,FALSE),"")</f>
        <v>MS</v>
      </c>
      <c r="N2453" t="str">
        <f>IFERROR(VLOOKUP(VALUE(J2453),'Site Info'!$A:$G,6,FALSE),"")</f>
        <v>38671-9525</v>
      </c>
      <c r="O2453">
        <f>IFERROR(VLOOKUP(VALUE(J2453),'Site Info'!$A:$G,7,FALSE),"")</f>
        <v>6623490723</v>
      </c>
    </row>
    <row r="2454" spans="1:15" x14ac:dyDescent="0.45">
      <c r="A2454" t="s">
        <v>8169</v>
      </c>
      <c r="B2454" t="s">
        <v>8170</v>
      </c>
      <c r="C2454" t="s">
        <v>8171</v>
      </c>
      <c r="D2454" t="s">
        <v>7448</v>
      </c>
      <c r="E2454" s="1">
        <v>46153.26221064815</v>
      </c>
      <c r="F2454">
        <v>1547</v>
      </c>
      <c r="G2454" t="s">
        <v>8172</v>
      </c>
      <c r="H2454" t="s">
        <v>15</v>
      </c>
      <c r="I2454" t="s">
        <v>7450</v>
      </c>
      <c r="J2454" t="str">
        <f>RIGHT(D2454,4)</f>
        <v>4740</v>
      </c>
      <c r="K2454" t="str">
        <f>IFERROR(VLOOKUP(VALUE(J2454),'Site Info'!$A:$G,3,FALSE),"")</f>
        <v>465 GOODMAN RD E</v>
      </c>
      <c r="L2454" t="str">
        <f>IFERROR(VLOOKUP(VALUE(J2454),'Site Info'!$A:$G,4,FALSE),"")</f>
        <v>SOUTHAVEN</v>
      </c>
      <c r="M2454" t="str">
        <f>IFERROR(VLOOKUP(VALUE(J2454),'Site Info'!$A:$G,5,FALSE),"")</f>
        <v>MS</v>
      </c>
      <c r="N2454" t="str">
        <f>IFERROR(VLOOKUP(VALUE(J2454),'Site Info'!$A:$G,6,FALSE),"")</f>
        <v>38671-9525</v>
      </c>
      <c r="O2454">
        <f>IFERROR(VLOOKUP(VALUE(J2454),'Site Info'!$A:$G,7,FALSE),"")</f>
        <v>6623490723</v>
      </c>
    </row>
    <row r="2455" spans="1:15" x14ac:dyDescent="0.45">
      <c r="A2455" t="s">
        <v>12236</v>
      </c>
      <c r="B2455" t="s">
        <v>12237</v>
      </c>
      <c r="C2455" t="s">
        <v>12238</v>
      </c>
      <c r="D2455" t="s">
        <v>2189</v>
      </c>
      <c r="E2455" s="1">
        <v>46151.673101851855</v>
      </c>
      <c r="F2455">
        <v>1547</v>
      </c>
      <c r="G2455" t="s">
        <v>12239</v>
      </c>
      <c r="H2455" t="s">
        <v>15</v>
      </c>
      <c r="I2455" t="s">
        <v>2191</v>
      </c>
      <c r="J2455" t="str">
        <f>RIGHT(D2455,4)</f>
        <v>6333</v>
      </c>
      <c r="K2455" t="str">
        <f>IFERROR(VLOOKUP(VALUE(J2455),'Site Info'!$A:$G,3,FALSE),"")</f>
        <v>47 HASKELL RD</v>
      </c>
      <c r="L2455" t="str">
        <f>IFERROR(VLOOKUP(VALUE(J2455),'Site Info'!$A:$G,4,FALSE),"")</f>
        <v>BANGOR</v>
      </c>
      <c r="M2455" t="str">
        <f>IFERROR(VLOOKUP(VALUE(J2455),'Site Info'!$A:$G,5,FALSE),"")</f>
        <v>ME</v>
      </c>
      <c r="N2455" t="str">
        <f>IFERROR(VLOOKUP(VALUE(J2455),'Site Info'!$A:$G,6,FALSE),"")</f>
        <v>04401-4229</v>
      </c>
      <c r="O2455">
        <f>IFERROR(VLOOKUP(VALUE(J2455),'Site Info'!$A:$G,7,FALSE),"")</f>
        <v>2079474606</v>
      </c>
    </row>
    <row r="2456" spans="1:15" x14ac:dyDescent="0.45">
      <c r="A2456" t="s">
        <v>12064</v>
      </c>
      <c r="B2456" t="s">
        <v>12065</v>
      </c>
      <c r="C2456" t="s">
        <v>12066</v>
      </c>
      <c r="D2456" t="s">
        <v>2189</v>
      </c>
      <c r="E2456" s="1">
        <v>46152.820439814815</v>
      </c>
      <c r="F2456">
        <v>1547</v>
      </c>
      <c r="G2456" t="s">
        <v>12067</v>
      </c>
      <c r="H2456" t="s">
        <v>15</v>
      </c>
      <c r="I2456" t="s">
        <v>2191</v>
      </c>
      <c r="J2456" t="str">
        <f>RIGHT(D2456,4)</f>
        <v>6333</v>
      </c>
      <c r="K2456" t="str">
        <f>IFERROR(VLOOKUP(VALUE(J2456),'Site Info'!$A:$G,3,FALSE),"")</f>
        <v>47 HASKELL RD</v>
      </c>
      <c r="L2456" t="str">
        <f>IFERROR(VLOOKUP(VALUE(J2456),'Site Info'!$A:$G,4,FALSE),"")</f>
        <v>BANGOR</v>
      </c>
      <c r="M2456" t="str">
        <f>IFERROR(VLOOKUP(VALUE(J2456),'Site Info'!$A:$G,5,FALSE),"")</f>
        <v>ME</v>
      </c>
      <c r="N2456" t="str">
        <f>IFERROR(VLOOKUP(VALUE(J2456),'Site Info'!$A:$G,6,FALSE),"")</f>
        <v>04401-4229</v>
      </c>
      <c r="O2456">
        <f>IFERROR(VLOOKUP(VALUE(J2456),'Site Info'!$A:$G,7,FALSE),"")</f>
        <v>2079474606</v>
      </c>
    </row>
    <row r="2457" spans="1:15" x14ac:dyDescent="0.45">
      <c r="A2457" t="s">
        <v>12838</v>
      </c>
      <c r="B2457" t="s">
        <v>12839</v>
      </c>
      <c r="C2457" t="s">
        <v>12840</v>
      </c>
      <c r="D2457" t="s">
        <v>2189</v>
      </c>
      <c r="E2457" s="1">
        <v>46153.367488425924</v>
      </c>
      <c r="F2457">
        <v>1547</v>
      </c>
      <c r="G2457" t="s">
        <v>12841</v>
      </c>
      <c r="H2457" t="s">
        <v>15</v>
      </c>
      <c r="I2457" t="s">
        <v>2191</v>
      </c>
      <c r="J2457" t="str">
        <f>RIGHT(D2457,4)</f>
        <v>6333</v>
      </c>
      <c r="K2457" t="str">
        <f>IFERROR(VLOOKUP(VALUE(J2457),'Site Info'!$A:$G,3,FALSE),"")</f>
        <v>47 HASKELL RD</v>
      </c>
      <c r="L2457" t="str">
        <f>IFERROR(VLOOKUP(VALUE(J2457),'Site Info'!$A:$G,4,FALSE),"")</f>
        <v>BANGOR</v>
      </c>
      <c r="M2457" t="str">
        <f>IFERROR(VLOOKUP(VALUE(J2457),'Site Info'!$A:$G,5,FALSE),"")</f>
        <v>ME</v>
      </c>
      <c r="N2457" t="str">
        <f>IFERROR(VLOOKUP(VALUE(J2457),'Site Info'!$A:$G,6,FALSE),"")</f>
        <v>04401-4229</v>
      </c>
      <c r="O2457">
        <f>IFERROR(VLOOKUP(VALUE(J2457),'Site Info'!$A:$G,7,FALSE),"")</f>
        <v>2079474606</v>
      </c>
    </row>
    <row r="2458" spans="1:15" x14ac:dyDescent="0.45">
      <c r="A2458" t="s">
        <v>7681</v>
      </c>
      <c r="B2458" t="s">
        <v>7682</v>
      </c>
      <c r="C2458" t="s">
        <v>7683</v>
      </c>
      <c r="D2458" t="s">
        <v>2189</v>
      </c>
      <c r="E2458" s="1">
        <v>46153.371435185189</v>
      </c>
      <c r="F2458">
        <v>1547</v>
      </c>
      <c r="G2458" t="s">
        <v>7684</v>
      </c>
      <c r="H2458" t="s">
        <v>15</v>
      </c>
      <c r="I2458" t="s">
        <v>2191</v>
      </c>
      <c r="J2458" t="str">
        <f>RIGHT(D2458,4)</f>
        <v>6333</v>
      </c>
      <c r="K2458" t="str">
        <f>IFERROR(VLOOKUP(VALUE(J2458),'Site Info'!$A:$G,3,FALSE),"")</f>
        <v>47 HASKELL RD</v>
      </c>
      <c r="L2458" t="str">
        <f>IFERROR(VLOOKUP(VALUE(J2458),'Site Info'!$A:$G,4,FALSE),"")</f>
        <v>BANGOR</v>
      </c>
      <c r="M2458" t="str">
        <f>IFERROR(VLOOKUP(VALUE(J2458),'Site Info'!$A:$G,5,FALSE),"")</f>
        <v>ME</v>
      </c>
      <c r="N2458" t="str">
        <f>IFERROR(VLOOKUP(VALUE(J2458),'Site Info'!$A:$G,6,FALSE),"")</f>
        <v>04401-4229</v>
      </c>
      <c r="O2458">
        <f>IFERROR(VLOOKUP(VALUE(J2458),'Site Info'!$A:$G,7,FALSE),"")</f>
        <v>2079474606</v>
      </c>
    </row>
    <row r="2459" spans="1:15" x14ac:dyDescent="0.45">
      <c r="A2459" t="s">
        <v>2186</v>
      </c>
      <c r="B2459" t="s">
        <v>2187</v>
      </c>
      <c r="C2459" t="s">
        <v>2188</v>
      </c>
      <c r="D2459" t="s">
        <v>2189</v>
      </c>
      <c r="E2459" s="1">
        <v>46152.306377314817</v>
      </c>
      <c r="F2459">
        <v>1481</v>
      </c>
      <c r="G2459" t="s">
        <v>2190</v>
      </c>
      <c r="H2459" t="s">
        <v>15</v>
      </c>
      <c r="I2459" t="s">
        <v>2191</v>
      </c>
      <c r="J2459" t="str">
        <f>RIGHT(D2459,4)</f>
        <v>6333</v>
      </c>
      <c r="K2459" t="str">
        <f>IFERROR(VLOOKUP(VALUE(J2459),'Site Info'!$A:$G,3,FALSE),"")</f>
        <v>47 HASKELL RD</v>
      </c>
      <c r="L2459" t="str">
        <f>IFERROR(VLOOKUP(VALUE(J2459),'Site Info'!$A:$G,4,FALSE),"")</f>
        <v>BANGOR</v>
      </c>
      <c r="M2459" t="str">
        <f>IFERROR(VLOOKUP(VALUE(J2459),'Site Info'!$A:$G,5,FALSE),"")</f>
        <v>ME</v>
      </c>
      <c r="N2459" t="str">
        <f>IFERROR(VLOOKUP(VALUE(J2459),'Site Info'!$A:$G,6,FALSE),"")</f>
        <v>04401-4229</v>
      </c>
      <c r="O2459">
        <f>IFERROR(VLOOKUP(VALUE(J2459),'Site Info'!$A:$G,7,FALSE),"")</f>
        <v>2079474606</v>
      </c>
    </row>
    <row r="2460" spans="1:15" x14ac:dyDescent="0.45">
      <c r="A2460" t="s">
        <v>2483</v>
      </c>
      <c r="B2460" t="s">
        <v>2484</v>
      </c>
      <c r="C2460" t="s">
        <v>2485</v>
      </c>
      <c r="D2460" t="s">
        <v>2189</v>
      </c>
      <c r="E2460" s="1">
        <v>46153.308020833334</v>
      </c>
      <c r="F2460">
        <v>1481</v>
      </c>
      <c r="G2460" t="s">
        <v>2486</v>
      </c>
      <c r="H2460" t="s">
        <v>15</v>
      </c>
      <c r="I2460" t="s">
        <v>2191</v>
      </c>
      <c r="J2460" t="str">
        <f>RIGHT(D2460,4)</f>
        <v>6333</v>
      </c>
      <c r="K2460" t="str">
        <f>IFERROR(VLOOKUP(VALUE(J2460),'Site Info'!$A:$G,3,FALSE),"")</f>
        <v>47 HASKELL RD</v>
      </c>
      <c r="L2460" t="str">
        <f>IFERROR(VLOOKUP(VALUE(J2460),'Site Info'!$A:$G,4,FALSE),"")</f>
        <v>BANGOR</v>
      </c>
      <c r="M2460" t="str">
        <f>IFERROR(VLOOKUP(VALUE(J2460),'Site Info'!$A:$G,5,FALSE),"")</f>
        <v>ME</v>
      </c>
      <c r="N2460" t="str">
        <f>IFERROR(VLOOKUP(VALUE(J2460),'Site Info'!$A:$G,6,FALSE),"")</f>
        <v>04401-4229</v>
      </c>
      <c r="O2460">
        <f>IFERROR(VLOOKUP(VALUE(J2460),'Site Info'!$A:$G,7,FALSE),"")</f>
        <v>2079474606</v>
      </c>
    </row>
    <row r="2461" spans="1:15" x14ac:dyDescent="0.45">
      <c r="A2461" t="s">
        <v>2405</v>
      </c>
      <c r="B2461" t="s">
        <v>2406</v>
      </c>
      <c r="C2461" t="s">
        <v>2407</v>
      </c>
      <c r="D2461" t="s">
        <v>2189</v>
      </c>
      <c r="E2461" s="1">
        <v>46153.327881944446</v>
      </c>
      <c r="F2461">
        <v>1481</v>
      </c>
      <c r="G2461" t="s">
        <v>2408</v>
      </c>
      <c r="H2461" t="s">
        <v>15</v>
      </c>
      <c r="I2461" t="s">
        <v>2191</v>
      </c>
      <c r="J2461" t="str">
        <f>RIGHT(D2461,4)</f>
        <v>6333</v>
      </c>
      <c r="K2461" t="str">
        <f>IFERROR(VLOOKUP(VALUE(J2461),'Site Info'!$A:$G,3,FALSE),"")</f>
        <v>47 HASKELL RD</v>
      </c>
      <c r="L2461" t="str">
        <f>IFERROR(VLOOKUP(VALUE(J2461),'Site Info'!$A:$G,4,FALSE),"")</f>
        <v>BANGOR</v>
      </c>
      <c r="M2461" t="str">
        <f>IFERROR(VLOOKUP(VALUE(J2461),'Site Info'!$A:$G,5,FALSE),"")</f>
        <v>ME</v>
      </c>
      <c r="N2461" t="str">
        <f>IFERROR(VLOOKUP(VALUE(J2461),'Site Info'!$A:$G,6,FALSE),"")</f>
        <v>04401-4229</v>
      </c>
      <c r="O2461">
        <f>IFERROR(VLOOKUP(VALUE(J2461),'Site Info'!$A:$G,7,FALSE),"")</f>
        <v>2079474606</v>
      </c>
    </row>
    <row r="2462" spans="1:15" x14ac:dyDescent="0.45">
      <c r="A2462" t="s">
        <v>13267</v>
      </c>
      <c r="B2462" t="s">
        <v>13268</v>
      </c>
      <c r="C2462" t="s">
        <v>13269</v>
      </c>
      <c r="D2462" t="s">
        <v>1677</v>
      </c>
      <c r="E2462" s="1">
        <v>46150.670798611114</v>
      </c>
      <c r="F2462">
        <v>1547</v>
      </c>
      <c r="G2462" t="s">
        <v>13270</v>
      </c>
      <c r="H2462" t="s">
        <v>15</v>
      </c>
      <c r="I2462" t="s">
        <v>1679</v>
      </c>
      <c r="J2462" t="str">
        <f>RIGHT(D2462,4)</f>
        <v>6633</v>
      </c>
      <c r="K2462" t="str">
        <f>IFERROR(VLOOKUP(VALUE(J2462),'Site Info'!$A:$G,3,FALSE),"")</f>
        <v>4700 BOARDWALK DR</v>
      </c>
      <c r="L2462" t="str">
        <f>IFERROR(VLOOKUP(VALUE(J2462),'Site Info'!$A:$G,4,FALSE),"")</f>
        <v>FORT COLLINS</v>
      </c>
      <c r="M2462" t="str">
        <f>IFERROR(VLOOKUP(VALUE(J2462),'Site Info'!$A:$G,5,FALSE),"")</f>
        <v>CO</v>
      </c>
      <c r="N2462" t="str">
        <f>IFERROR(VLOOKUP(VALUE(J2462),'Site Info'!$A:$G,6,FALSE),"")</f>
        <v>80525-3729</v>
      </c>
      <c r="O2462">
        <f>IFERROR(VLOOKUP(VALUE(J2462),'Site Info'!$A:$G,7,FALSE),"")</f>
        <v>9702290797</v>
      </c>
    </row>
    <row r="2463" spans="1:15" x14ac:dyDescent="0.45">
      <c r="A2463" t="s">
        <v>14608</v>
      </c>
      <c r="B2463" t="s">
        <v>14609</v>
      </c>
      <c r="C2463" t="s">
        <v>14610</v>
      </c>
      <c r="D2463" t="s">
        <v>1677</v>
      </c>
      <c r="E2463" s="1">
        <v>46152.510451388887</v>
      </c>
      <c r="F2463">
        <v>1547</v>
      </c>
      <c r="G2463" t="s">
        <v>14611</v>
      </c>
      <c r="H2463" t="s">
        <v>15</v>
      </c>
      <c r="I2463" t="s">
        <v>1679</v>
      </c>
      <c r="J2463" t="str">
        <f>RIGHT(D2463,4)</f>
        <v>6633</v>
      </c>
      <c r="K2463" t="str">
        <f>IFERROR(VLOOKUP(VALUE(J2463),'Site Info'!$A:$G,3,FALSE),"")</f>
        <v>4700 BOARDWALK DR</v>
      </c>
      <c r="L2463" t="str">
        <f>IFERROR(VLOOKUP(VALUE(J2463),'Site Info'!$A:$G,4,FALSE),"")</f>
        <v>FORT COLLINS</v>
      </c>
      <c r="M2463" t="str">
        <f>IFERROR(VLOOKUP(VALUE(J2463),'Site Info'!$A:$G,5,FALSE),"")</f>
        <v>CO</v>
      </c>
      <c r="N2463" t="str">
        <f>IFERROR(VLOOKUP(VALUE(J2463),'Site Info'!$A:$G,6,FALSE),"")</f>
        <v>80525-3729</v>
      </c>
      <c r="O2463">
        <f>IFERROR(VLOOKUP(VALUE(J2463),'Site Info'!$A:$G,7,FALSE),"")</f>
        <v>9702290797</v>
      </c>
    </row>
    <row r="2464" spans="1:15" x14ac:dyDescent="0.45">
      <c r="A2464" t="s">
        <v>13018</v>
      </c>
      <c r="B2464" t="s">
        <v>13019</v>
      </c>
      <c r="C2464" t="s">
        <v>13020</v>
      </c>
      <c r="D2464" t="s">
        <v>1677</v>
      </c>
      <c r="E2464" s="1">
        <v>46152.566944444443</v>
      </c>
      <c r="F2464">
        <v>1547</v>
      </c>
      <c r="G2464" t="s">
        <v>13021</v>
      </c>
      <c r="H2464" t="s">
        <v>15</v>
      </c>
      <c r="I2464" t="s">
        <v>1679</v>
      </c>
      <c r="J2464" t="str">
        <f>RIGHT(D2464,4)</f>
        <v>6633</v>
      </c>
      <c r="K2464" t="str">
        <f>IFERROR(VLOOKUP(VALUE(J2464),'Site Info'!$A:$G,3,FALSE),"")</f>
        <v>4700 BOARDWALK DR</v>
      </c>
      <c r="L2464" t="str">
        <f>IFERROR(VLOOKUP(VALUE(J2464),'Site Info'!$A:$G,4,FALSE),"")</f>
        <v>FORT COLLINS</v>
      </c>
      <c r="M2464" t="str">
        <f>IFERROR(VLOOKUP(VALUE(J2464),'Site Info'!$A:$G,5,FALSE),"")</f>
        <v>CO</v>
      </c>
      <c r="N2464" t="str">
        <f>IFERROR(VLOOKUP(VALUE(J2464),'Site Info'!$A:$G,6,FALSE),"")</f>
        <v>80525-3729</v>
      </c>
      <c r="O2464">
        <f>IFERROR(VLOOKUP(VALUE(J2464),'Site Info'!$A:$G,7,FALSE),"")</f>
        <v>9702290797</v>
      </c>
    </row>
    <row r="2465" spans="1:15" x14ac:dyDescent="0.45">
      <c r="A2465" t="s">
        <v>11618</v>
      </c>
      <c r="B2465" t="s">
        <v>11619</v>
      </c>
      <c r="C2465" t="s">
        <v>11620</v>
      </c>
      <c r="D2465" t="s">
        <v>1677</v>
      </c>
      <c r="E2465" s="1">
        <v>46153.3590625</v>
      </c>
      <c r="F2465">
        <v>1547</v>
      </c>
      <c r="G2465" t="s">
        <v>11621</v>
      </c>
      <c r="H2465" t="s">
        <v>15</v>
      </c>
      <c r="I2465" t="s">
        <v>1679</v>
      </c>
      <c r="J2465" t="str">
        <f>RIGHT(D2465,4)</f>
        <v>6633</v>
      </c>
      <c r="K2465" t="str">
        <f>IFERROR(VLOOKUP(VALUE(J2465),'Site Info'!$A:$G,3,FALSE),"")</f>
        <v>4700 BOARDWALK DR</v>
      </c>
      <c r="L2465" t="str">
        <f>IFERROR(VLOOKUP(VALUE(J2465),'Site Info'!$A:$G,4,FALSE),"")</f>
        <v>FORT COLLINS</v>
      </c>
      <c r="M2465" t="str">
        <f>IFERROR(VLOOKUP(VALUE(J2465),'Site Info'!$A:$G,5,FALSE),"")</f>
        <v>CO</v>
      </c>
      <c r="N2465" t="str">
        <f>IFERROR(VLOOKUP(VALUE(J2465),'Site Info'!$A:$G,6,FALSE),"")</f>
        <v>80525-3729</v>
      </c>
      <c r="O2465">
        <f>IFERROR(VLOOKUP(VALUE(J2465),'Site Info'!$A:$G,7,FALSE),"")</f>
        <v>9702290797</v>
      </c>
    </row>
    <row r="2466" spans="1:15" x14ac:dyDescent="0.45">
      <c r="A2466" t="s">
        <v>7475</v>
      </c>
      <c r="B2466" t="s">
        <v>7476</v>
      </c>
      <c r="C2466" t="s">
        <v>7477</v>
      </c>
      <c r="D2466" t="s">
        <v>1677</v>
      </c>
      <c r="E2466" s="1">
        <v>46153.373287037037</v>
      </c>
      <c r="F2466">
        <v>1547</v>
      </c>
      <c r="G2466" t="s">
        <v>7478</v>
      </c>
      <c r="H2466" t="s">
        <v>15</v>
      </c>
      <c r="I2466" t="s">
        <v>1679</v>
      </c>
      <c r="J2466" t="str">
        <f>RIGHT(D2466,4)</f>
        <v>6633</v>
      </c>
      <c r="K2466" t="str">
        <f>IFERROR(VLOOKUP(VALUE(J2466),'Site Info'!$A:$G,3,FALSE),"")</f>
        <v>4700 BOARDWALK DR</v>
      </c>
      <c r="L2466" t="str">
        <f>IFERROR(VLOOKUP(VALUE(J2466),'Site Info'!$A:$G,4,FALSE),"")</f>
        <v>FORT COLLINS</v>
      </c>
      <c r="M2466" t="str">
        <f>IFERROR(VLOOKUP(VALUE(J2466),'Site Info'!$A:$G,5,FALSE),"")</f>
        <v>CO</v>
      </c>
      <c r="N2466" t="str">
        <f>IFERROR(VLOOKUP(VALUE(J2466),'Site Info'!$A:$G,6,FALSE),"")</f>
        <v>80525-3729</v>
      </c>
      <c r="O2466">
        <f>IFERROR(VLOOKUP(VALUE(J2466),'Site Info'!$A:$G,7,FALSE),"")</f>
        <v>9702290797</v>
      </c>
    </row>
    <row r="2467" spans="1:15" x14ac:dyDescent="0.45">
      <c r="A2467" t="s">
        <v>1950</v>
      </c>
      <c r="B2467" t="s">
        <v>1951</v>
      </c>
      <c r="C2467" t="s">
        <v>1952</v>
      </c>
      <c r="D2467" t="s">
        <v>1677</v>
      </c>
      <c r="E2467" s="1">
        <v>46152.476087962961</v>
      </c>
      <c r="F2467">
        <v>1481</v>
      </c>
      <c r="G2467" t="s">
        <v>1953</v>
      </c>
      <c r="H2467" t="s">
        <v>15</v>
      </c>
      <c r="I2467" t="s">
        <v>1679</v>
      </c>
      <c r="J2467" t="str">
        <f>RIGHT(D2467,4)</f>
        <v>6633</v>
      </c>
      <c r="K2467" t="str">
        <f>IFERROR(VLOOKUP(VALUE(J2467),'Site Info'!$A:$G,3,FALSE),"")</f>
        <v>4700 BOARDWALK DR</v>
      </c>
      <c r="L2467" t="str">
        <f>IFERROR(VLOOKUP(VALUE(J2467),'Site Info'!$A:$G,4,FALSE),"")</f>
        <v>FORT COLLINS</v>
      </c>
      <c r="M2467" t="str">
        <f>IFERROR(VLOOKUP(VALUE(J2467),'Site Info'!$A:$G,5,FALSE),"")</f>
        <v>CO</v>
      </c>
      <c r="N2467" t="str">
        <f>IFERROR(VLOOKUP(VALUE(J2467),'Site Info'!$A:$G,6,FALSE),"")</f>
        <v>80525-3729</v>
      </c>
      <c r="O2467">
        <f>IFERROR(VLOOKUP(VALUE(J2467),'Site Info'!$A:$G,7,FALSE),"")</f>
        <v>9702290797</v>
      </c>
    </row>
    <row r="2468" spans="1:15" x14ac:dyDescent="0.45">
      <c r="A2468" t="s">
        <v>1674</v>
      </c>
      <c r="B2468" t="s">
        <v>1675</v>
      </c>
      <c r="C2468" t="s">
        <v>1676</v>
      </c>
      <c r="D2468" t="s">
        <v>1677</v>
      </c>
      <c r="E2468" s="1">
        <v>46153.359016203707</v>
      </c>
      <c r="F2468">
        <v>1481</v>
      </c>
      <c r="G2468" t="s">
        <v>1678</v>
      </c>
      <c r="H2468" t="s">
        <v>15</v>
      </c>
      <c r="I2468" t="s">
        <v>1679</v>
      </c>
      <c r="J2468" t="str">
        <f>RIGHT(D2468,4)</f>
        <v>6633</v>
      </c>
      <c r="K2468" t="str">
        <f>IFERROR(VLOOKUP(VALUE(J2468),'Site Info'!$A:$G,3,FALSE),"")</f>
        <v>4700 BOARDWALK DR</v>
      </c>
      <c r="L2468" t="str">
        <f>IFERROR(VLOOKUP(VALUE(J2468),'Site Info'!$A:$G,4,FALSE),"")</f>
        <v>FORT COLLINS</v>
      </c>
      <c r="M2468" t="str">
        <f>IFERROR(VLOOKUP(VALUE(J2468),'Site Info'!$A:$G,5,FALSE),"")</f>
        <v>CO</v>
      </c>
      <c r="N2468" t="str">
        <f>IFERROR(VLOOKUP(VALUE(J2468),'Site Info'!$A:$G,6,FALSE),"")</f>
        <v>80525-3729</v>
      </c>
      <c r="O2468">
        <f>IFERROR(VLOOKUP(VALUE(J2468),'Site Info'!$A:$G,7,FALSE),"")</f>
        <v>9702290797</v>
      </c>
    </row>
    <row r="2469" spans="1:15" x14ac:dyDescent="0.45">
      <c r="A2469" t="s">
        <v>14203</v>
      </c>
      <c r="B2469" t="s">
        <v>14204</v>
      </c>
      <c r="C2469" t="s">
        <v>14205</v>
      </c>
      <c r="D2469" t="s">
        <v>7404</v>
      </c>
      <c r="E2469" s="1">
        <v>46151.423703703702</v>
      </c>
      <c r="F2469">
        <v>1863</v>
      </c>
      <c r="G2469" t="s">
        <v>14206</v>
      </c>
      <c r="H2469" t="s">
        <v>136</v>
      </c>
      <c r="I2469" t="s">
        <v>7406</v>
      </c>
      <c r="J2469" t="str">
        <f>RIGHT(D2469,4)</f>
        <v>8225</v>
      </c>
      <c r="K2469" t="str">
        <f>IFERROR(VLOOKUP(VALUE(J2469),'Site Info'!$A:$G,3,FALSE),"")</f>
        <v>4701 LOG CABIN DR</v>
      </c>
      <c r="L2469" t="str">
        <f>IFERROR(VLOOKUP(VALUE(J2469),'Site Info'!$A:$G,4,FALSE),"")</f>
        <v>MACON</v>
      </c>
      <c r="M2469" t="str">
        <f>IFERROR(VLOOKUP(VALUE(J2469),'Site Info'!$A:$G,5,FALSE),"")</f>
        <v>GA</v>
      </c>
      <c r="N2469" t="str">
        <f>IFERROR(VLOOKUP(VALUE(J2469),'Site Info'!$A:$G,6,FALSE),"")</f>
        <v>31204-6318</v>
      </c>
      <c r="O2469">
        <f>IFERROR(VLOOKUP(VALUE(J2469),'Site Info'!$A:$G,7,FALSE),"")</f>
        <v>4787886121</v>
      </c>
    </row>
    <row r="2470" spans="1:15" x14ac:dyDescent="0.45">
      <c r="A2470" t="s">
        <v>14379</v>
      </c>
      <c r="B2470" t="s">
        <v>14380</v>
      </c>
      <c r="C2470" t="s">
        <v>14381</v>
      </c>
      <c r="D2470" t="s">
        <v>7404</v>
      </c>
      <c r="E2470" s="1">
        <v>46150.69835648148</v>
      </c>
      <c r="F2470">
        <v>1547</v>
      </c>
      <c r="G2470" t="s">
        <v>14382</v>
      </c>
      <c r="H2470" t="s">
        <v>15</v>
      </c>
      <c r="I2470" t="s">
        <v>7406</v>
      </c>
      <c r="J2470" t="str">
        <f>RIGHT(D2470,4)</f>
        <v>8225</v>
      </c>
      <c r="K2470" t="str">
        <f>IFERROR(VLOOKUP(VALUE(J2470),'Site Info'!$A:$G,3,FALSE),"")</f>
        <v>4701 LOG CABIN DR</v>
      </c>
      <c r="L2470" t="str">
        <f>IFERROR(VLOOKUP(VALUE(J2470),'Site Info'!$A:$G,4,FALSE),"")</f>
        <v>MACON</v>
      </c>
      <c r="M2470" t="str">
        <f>IFERROR(VLOOKUP(VALUE(J2470),'Site Info'!$A:$G,5,FALSE),"")</f>
        <v>GA</v>
      </c>
      <c r="N2470" t="str">
        <f>IFERROR(VLOOKUP(VALUE(J2470),'Site Info'!$A:$G,6,FALSE),"")</f>
        <v>31204-6318</v>
      </c>
      <c r="O2470">
        <f>IFERROR(VLOOKUP(VALUE(J2470),'Site Info'!$A:$G,7,FALSE),"")</f>
        <v>4787886121</v>
      </c>
    </row>
    <row r="2471" spans="1:15" x14ac:dyDescent="0.45">
      <c r="A2471" t="s">
        <v>8449</v>
      </c>
      <c r="B2471" t="s">
        <v>8450</v>
      </c>
      <c r="C2471" t="s">
        <v>8451</v>
      </c>
      <c r="D2471" t="s">
        <v>7404</v>
      </c>
      <c r="E2471" s="1">
        <v>46152.554328703707</v>
      </c>
      <c r="F2471">
        <v>1547</v>
      </c>
      <c r="G2471" t="s">
        <v>8452</v>
      </c>
      <c r="H2471" t="s">
        <v>15</v>
      </c>
      <c r="I2471" t="s">
        <v>7406</v>
      </c>
      <c r="J2471" t="str">
        <f>RIGHT(D2471,4)</f>
        <v>8225</v>
      </c>
      <c r="K2471" t="str">
        <f>IFERROR(VLOOKUP(VALUE(J2471),'Site Info'!$A:$G,3,FALSE),"")</f>
        <v>4701 LOG CABIN DR</v>
      </c>
      <c r="L2471" t="str">
        <f>IFERROR(VLOOKUP(VALUE(J2471),'Site Info'!$A:$G,4,FALSE),"")</f>
        <v>MACON</v>
      </c>
      <c r="M2471" t="str">
        <f>IFERROR(VLOOKUP(VALUE(J2471),'Site Info'!$A:$G,5,FALSE),"")</f>
        <v>GA</v>
      </c>
      <c r="N2471" t="str">
        <f>IFERROR(VLOOKUP(VALUE(J2471),'Site Info'!$A:$G,6,FALSE),"")</f>
        <v>31204-6318</v>
      </c>
      <c r="O2471">
        <f>IFERROR(VLOOKUP(VALUE(J2471),'Site Info'!$A:$G,7,FALSE),"")</f>
        <v>4787886121</v>
      </c>
    </row>
    <row r="2472" spans="1:15" x14ac:dyDescent="0.45">
      <c r="A2472" t="s">
        <v>14455</v>
      </c>
      <c r="B2472" t="s">
        <v>14456</v>
      </c>
      <c r="C2472" t="s">
        <v>14457</v>
      </c>
      <c r="D2472" t="s">
        <v>7404</v>
      </c>
      <c r="E2472" s="1">
        <v>46152.560532407406</v>
      </c>
      <c r="F2472">
        <v>1547</v>
      </c>
      <c r="G2472" t="s">
        <v>14458</v>
      </c>
      <c r="H2472" t="s">
        <v>15</v>
      </c>
      <c r="I2472" t="s">
        <v>7406</v>
      </c>
      <c r="J2472" t="str">
        <f>RIGHT(D2472,4)</f>
        <v>8225</v>
      </c>
      <c r="K2472" t="str">
        <f>IFERROR(VLOOKUP(VALUE(J2472),'Site Info'!$A:$G,3,FALSE),"")</f>
        <v>4701 LOG CABIN DR</v>
      </c>
      <c r="L2472" t="str">
        <f>IFERROR(VLOOKUP(VALUE(J2472),'Site Info'!$A:$G,4,FALSE),"")</f>
        <v>MACON</v>
      </c>
      <c r="M2472" t="str">
        <f>IFERROR(VLOOKUP(VALUE(J2472),'Site Info'!$A:$G,5,FALSE),"")</f>
        <v>GA</v>
      </c>
      <c r="N2472" t="str">
        <f>IFERROR(VLOOKUP(VALUE(J2472),'Site Info'!$A:$G,6,FALSE),"")</f>
        <v>31204-6318</v>
      </c>
      <c r="O2472">
        <f>IFERROR(VLOOKUP(VALUE(J2472),'Site Info'!$A:$G,7,FALSE),"")</f>
        <v>4787886121</v>
      </c>
    </row>
    <row r="2473" spans="1:15" x14ac:dyDescent="0.45">
      <c r="A2473" t="s">
        <v>7401</v>
      </c>
      <c r="B2473" t="s">
        <v>7402</v>
      </c>
      <c r="C2473" t="s">
        <v>7403</v>
      </c>
      <c r="D2473" t="s">
        <v>7404</v>
      </c>
      <c r="E2473" s="1">
        <v>46153.369409722225</v>
      </c>
      <c r="F2473">
        <v>1547</v>
      </c>
      <c r="G2473" t="s">
        <v>7405</v>
      </c>
      <c r="H2473" t="s">
        <v>15</v>
      </c>
      <c r="I2473" t="s">
        <v>7406</v>
      </c>
      <c r="J2473" t="str">
        <f>RIGHT(D2473,4)</f>
        <v>8225</v>
      </c>
      <c r="K2473" t="str">
        <f>IFERROR(VLOOKUP(VALUE(J2473),'Site Info'!$A:$G,3,FALSE),"")</f>
        <v>4701 LOG CABIN DR</v>
      </c>
      <c r="L2473" t="str">
        <f>IFERROR(VLOOKUP(VALUE(J2473),'Site Info'!$A:$G,4,FALSE),"")</f>
        <v>MACON</v>
      </c>
      <c r="M2473" t="str">
        <f>IFERROR(VLOOKUP(VALUE(J2473),'Site Info'!$A:$G,5,FALSE),"")</f>
        <v>GA</v>
      </c>
      <c r="N2473" t="str">
        <f>IFERROR(VLOOKUP(VALUE(J2473),'Site Info'!$A:$G,6,FALSE),"")</f>
        <v>31204-6318</v>
      </c>
      <c r="O2473">
        <f>IFERROR(VLOOKUP(VALUE(J2473),'Site Info'!$A:$G,7,FALSE),"")</f>
        <v>4787886121</v>
      </c>
    </row>
    <row r="2474" spans="1:15" x14ac:dyDescent="0.45">
      <c r="A2474" t="s">
        <v>16504</v>
      </c>
      <c r="B2474" t="s">
        <v>17186</v>
      </c>
      <c r="C2474" t="s">
        <v>17187</v>
      </c>
      <c r="D2474" t="s">
        <v>7404</v>
      </c>
      <c r="E2474" s="1">
        <v>46153.277974537035</v>
      </c>
      <c r="F2474">
        <v>1628</v>
      </c>
      <c r="G2474" t="s">
        <v>17188</v>
      </c>
      <c r="H2474" t="s">
        <v>13988</v>
      </c>
      <c r="I2474" t="s">
        <v>7406</v>
      </c>
      <c r="J2474" t="str">
        <f>RIGHT(D2474,4)</f>
        <v>8225</v>
      </c>
      <c r="K2474" t="str">
        <f>IFERROR(VLOOKUP(VALUE(J2474),'Site Info'!$A:$G,3,FALSE),"")</f>
        <v>4701 LOG CABIN DR</v>
      </c>
      <c r="L2474" t="str">
        <f>IFERROR(VLOOKUP(VALUE(J2474),'Site Info'!$A:$G,4,FALSE),"")</f>
        <v>MACON</v>
      </c>
      <c r="M2474" t="str">
        <f>IFERROR(VLOOKUP(VALUE(J2474),'Site Info'!$A:$G,5,FALSE),"")</f>
        <v>GA</v>
      </c>
      <c r="N2474" t="str">
        <f>IFERROR(VLOOKUP(VALUE(J2474),'Site Info'!$A:$G,6,FALSE),"")</f>
        <v>31204-6318</v>
      </c>
      <c r="O2474">
        <f>IFERROR(VLOOKUP(VALUE(J2474),'Site Info'!$A:$G,7,FALSE),"")</f>
        <v>4787886121</v>
      </c>
    </row>
    <row r="2475" spans="1:15" x14ac:dyDescent="0.45">
      <c r="A2475" t="s">
        <v>13571</v>
      </c>
      <c r="B2475" t="s">
        <v>13572</v>
      </c>
      <c r="C2475" t="s">
        <v>13573</v>
      </c>
      <c r="D2475" t="s">
        <v>767</v>
      </c>
      <c r="E2475" s="1">
        <v>46150.380312499998</v>
      </c>
      <c r="F2475">
        <v>1547</v>
      </c>
      <c r="G2475" t="s">
        <v>13574</v>
      </c>
      <c r="H2475" t="s">
        <v>15</v>
      </c>
      <c r="I2475" t="s">
        <v>769</v>
      </c>
      <c r="J2475" t="str">
        <f>RIGHT(D2475,4)</f>
        <v>6692</v>
      </c>
      <c r="K2475" t="str">
        <f>IFERROR(VLOOKUP(VALUE(J2475),'Site Info'!$A:$G,3,FALSE),"")</f>
        <v>4701 N STONE AVE</v>
      </c>
      <c r="L2475" t="str">
        <f>IFERROR(VLOOKUP(VALUE(J2475),'Site Info'!$A:$G,4,FALSE),"")</f>
        <v>TUCSON</v>
      </c>
      <c r="M2475" t="str">
        <f>IFERROR(VLOOKUP(VALUE(J2475),'Site Info'!$A:$G,5,FALSE),"")</f>
        <v>AZ</v>
      </c>
      <c r="N2475" t="str">
        <f>IFERROR(VLOOKUP(VALUE(J2475),'Site Info'!$A:$G,6,FALSE),"")</f>
        <v>85704-5700</v>
      </c>
      <c r="O2475">
        <f>IFERROR(VLOOKUP(VALUE(J2475),'Site Info'!$A:$G,7,FALSE),"")</f>
        <v>5202929789</v>
      </c>
    </row>
    <row r="2476" spans="1:15" x14ac:dyDescent="0.45">
      <c r="A2476" t="s">
        <v>6899</v>
      </c>
      <c r="B2476" t="s">
        <v>6900</v>
      </c>
      <c r="C2476" t="s">
        <v>6901</v>
      </c>
      <c r="D2476" t="s">
        <v>767</v>
      </c>
      <c r="E2476" s="1">
        <v>46152.679652777777</v>
      </c>
      <c r="F2476">
        <v>1547</v>
      </c>
      <c r="G2476" t="s">
        <v>6902</v>
      </c>
      <c r="H2476" t="s">
        <v>15</v>
      </c>
      <c r="I2476" t="s">
        <v>769</v>
      </c>
      <c r="J2476" t="str">
        <f>RIGHT(D2476,4)</f>
        <v>6692</v>
      </c>
      <c r="K2476" t="str">
        <f>IFERROR(VLOOKUP(VALUE(J2476),'Site Info'!$A:$G,3,FALSE),"")</f>
        <v>4701 N STONE AVE</v>
      </c>
      <c r="L2476" t="str">
        <f>IFERROR(VLOOKUP(VALUE(J2476),'Site Info'!$A:$G,4,FALSE),"")</f>
        <v>TUCSON</v>
      </c>
      <c r="M2476" t="str">
        <f>IFERROR(VLOOKUP(VALUE(J2476),'Site Info'!$A:$G,5,FALSE),"")</f>
        <v>AZ</v>
      </c>
      <c r="N2476" t="str">
        <f>IFERROR(VLOOKUP(VALUE(J2476),'Site Info'!$A:$G,6,FALSE),"")</f>
        <v>85704-5700</v>
      </c>
      <c r="O2476">
        <f>IFERROR(VLOOKUP(VALUE(J2476),'Site Info'!$A:$G,7,FALSE),"")</f>
        <v>5202929789</v>
      </c>
    </row>
    <row r="2477" spans="1:15" x14ac:dyDescent="0.45">
      <c r="A2477" t="s">
        <v>7081</v>
      </c>
      <c r="B2477" t="s">
        <v>7082</v>
      </c>
      <c r="C2477" t="s">
        <v>7083</v>
      </c>
      <c r="D2477" t="s">
        <v>767</v>
      </c>
      <c r="E2477" s="1">
        <v>46152.726388888892</v>
      </c>
      <c r="F2477">
        <v>1547</v>
      </c>
      <c r="G2477" t="s">
        <v>7084</v>
      </c>
      <c r="H2477" t="s">
        <v>15</v>
      </c>
      <c r="I2477" t="s">
        <v>769</v>
      </c>
      <c r="J2477" t="str">
        <f>RIGHT(D2477,4)</f>
        <v>6692</v>
      </c>
      <c r="K2477" t="str">
        <f>IFERROR(VLOOKUP(VALUE(J2477),'Site Info'!$A:$G,3,FALSE),"")</f>
        <v>4701 N STONE AVE</v>
      </c>
      <c r="L2477" t="str">
        <f>IFERROR(VLOOKUP(VALUE(J2477),'Site Info'!$A:$G,4,FALSE),"")</f>
        <v>TUCSON</v>
      </c>
      <c r="M2477" t="str">
        <f>IFERROR(VLOOKUP(VALUE(J2477),'Site Info'!$A:$G,5,FALSE),"")</f>
        <v>AZ</v>
      </c>
      <c r="N2477" t="str">
        <f>IFERROR(VLOOKUP(VALUE(J2477),'Site Info'!$A:$G,6,FALSE),"")</f>
        <v>85704-5700</v>
      </c>
      <c r="O2477">
        <f>IFERROR(VLOOKUP(VALUE(J2477),'Site Info'!$A:$G,7,FALSE),"")</f>
        <v>5202929789</v>
      </c>
    </row>
    <row r="2478" spans="1:15" x14ac:dyDescent="0.45">
      <c r="A2478" t="s">
        <v>6847</v>
      </c>
      <c r="B2478" t="s">
        <v>6848</v>
      </c>
      <c r="C2478" t="s">
        <v>6849</v>
      </c>
      <c r="D2478" t="s">
        <v>767</v>
      </c>
      <c r="E2478" s="1">
        <v>46152.779872685183</v>
      </c>
      <c r="F2478">
        <v>1547</v>
      </c>
      <c r="G2478" t="s">
        <v>6850</v>
      </c>
      <c r="H2478" t="s">
        <v>15</v>
      </c>
      <c r="I2478" t="s">
        <v>769</v>
      </c>
      <c r="J2478" t="str">
        <f>RIGHT(D2478,4)</f>
        <v>6692</v>
      </c>
      <c r="K2478" t="str">
        <f>IFERROR(VLOOKUP(VALUE(J2478),'Site Info'!$A:$G,3,FALSE),"")</f>
        <v>4701 N STONE AVE</v>
      </c>
      <c r="L2478" t="str">
        <f>IFERROR(VLOOKUP(VALUE(J2478),'Site Info'!$A:$G,4,FALSE),"")</f>
        <v>TUCSON</v>
      </c>
      <c r="M2478" t="str">
        <f>IFERROR(VLOOKUP(VALUE(J2478),'Site Info'!$A:$G,5,FALSE),"")</f>
        <v>AZ</v>
      </c>
      <c r="N2478" t="str">
        <f>IFERROR(VLOOKUP(VALUE(J2478),'Site Info'!$A:$G,6,FALSE),"")</f>
        <v>85704-5700</v>
      </c>
      <c r="O2478">
        <f>IFERROR(VLOOKUP(VALUE(J2478),'Site Info'!$A:$G,7,FALSE),"")</f>
        <v>5202929789</v>
      </c>
    </row>
    <row r="2479" spans="1:15" x14ac:dyDescent="0.45">
      <c r="A2479" t="s">
        <v>7069</v>
      </c>
      <c r="B2479" t="s">
        <v>7070</v>
      </c>
      <c r="C2479" t="s">
        <v>7071</v>
      </c>
      <c r="D2479" t="s">
        <v>767</v>
      </c>
      <c r="E2479" s="1">
        <v>46152.975034722222</v>
      </c>
      <c r="F2479">
        <v>1547</v>
      </c>
      <c r="G2479" t="s">
        <v>7072</v>
      </c>
      <c r="H2479" t="s">
        <v>15</v>
      </c>
      <c r="I2479" t="s">
        <v>769</v>
      </c>
      <c r="J2479" t="str">
        <f>RIGHT(D2479,4)</f>
        <v>6692</v>
      </c>
      <c r="K2479" t="str">
        <f>IFERROR(VLOOKUP(VALUE(J2479),'Site Info'!$A:$G,3,FALSE),"")</f>
        <v>4701 N STONE AVE</v>
      </c>
      <c r="L2479" t="str">
        <f>IFERROR(VLOOKUP(VALUE(J2479),'Site Info'!$A:$G,4,FALSE),"")</f>
        <v>TUCSON</v>
      </c>
      <c r="M2479" t="str">
        <f>IFERROR(VLOOKUP(VALUE(J2479),'Site Info'!$A:$G,5,FALSE),"")</f>
        <v>AZ</v>
      </c>
      <c r="N2479" t="str">
        <f>IFERROR(VLOOKUP(VALUE(J2479),'Site Info'!$A:$G,6,FALSE),"")</f>
        <v>85704-5700</v>
      </c>
      <c r="O2479">
        <f>IFERROR(VLOOKUP(VALUE(J2479),'Site Info'!$A:$G,7,FALSE),"")</f>
        <v>5202929789</v>
      </c>
    </row>
    <row r="2480" spans="1:15" x14ac:dyDescent="0.45">
      <c r="A2480" t="s">
        <v>764</v>
      </c>
      <c r="B2480" t="s">
        <v>765</v>
      </c>
      <c r="C2480" t="s">
        <v>766</v>
      </c>
      <c r="D2480" t="s">
        <v>767</v>
      </c>
      <c r="E2480" s="1">
        <v>46091.451157407406</v>
      </c>
      <c r="F2480">
        <v>1481</v>
      </c>
      <c r="G2480" t="s">
        <v>768</v>
      </c>
      <c r="H2480" t="s">
        <v>15</v>
      </c>
      <c r="I2480" t="s">
        <v>769</v>
      </c>
      <c r="J2480" t="str">
        <f>RIGHT(D2480,4)</f>
        <v>6692</v>
      </c>
      <c r="K2480" t="str">
        <f>IFERROR(VLOOKUP(VALUE(J2480),'Site Info'!$A:$G,3,FALSE),"")</f>
        <v>4701 N STONE AVE</v>
      </c>
      <c r="L2480" t="str">
        <f>IFERROR(VLOOKUP(VALUE(J2480),'Site Info'!$A:$G,4,FALSE),"")</f>
        <v>TUCSON</v>
      </c>
      <c r="M2480" t="str">
        <f>IFERROR(VLOOKUP(VALUE(J2480),'Site Info'!$A:$G,5,FALSE),"")</f>
        <v>AZ</v>
      </c>
      <c r="N2480" t="str">
        <f>IFERROR(VLOOKUP(VALUE(J2480),'Site Info'!$A:$G,6,FALSE),"")</f>
        <v>85704-5700</v>
      </c>
      <c r="O2480">
        <f>IFERROR(VLOOKUP(VALUE(J2480),'Site Info'!$A:$G,7,FALSE),"")</f>
        <v>5202929789</v>
      </c>
    </row>
    <row r="2481" spans="1:15" x14ac:dyDescent="0.45">
      <c r="A2481" t="s">
        <v>9862</v>
      </c>
      <c r="B2481" t="s">
        <v>9863</v>
      </c>
      <c r="C2481" t="s">
        <v>9864</v>
      </c>
      <c r="D2481" t="s">
        <v>2161</v>
      </c>
      <c r="E2481" s="1">
        <v>46151.440069444441</v>
      </c>
      <c r="F2481">
        <v>1547</v>
      </c>
      <c r="G2481" t="s">
        <v>9865</v>
      </c>
      <c r="H2481" t="s">
        <v>15</v>
      </c>
      <c r="I2481" t="s">
        <v>2163</v>
      </c>
      <c r="J2481" t="str">
        <f>RIGHT(D2481,4)</f>
        <v>6320</v>
      </c>
      <c r="K2481" t="str">
        <f>IFERROR(VLOOKUP(VALUE(J2481),'Site Info'!$A:$G,3,FALSE),"")</f>
        <v>4743 MAPLE GROVE RD</v>
      </c>
      <c r="L2481" t="str">
        <f>IFERROR(VLOOKUP(VALUE(J2481),'Site Info'!$A:$G,4,FALSE),"")</f>
        <v>HERMANTOWN</v>
      </c>
      <c r="M2481" t="str">
        <f>IFERROR(VLOOKUP(VALUE(J2481),'Site Info'!$A:$G,5,FALSE),"")</f>
        <v>MN</v>
      </c>
      <c r="N2481" t="str">
        <f>IFERROR(VLOOKUP(VALUE(J2481),'Site Info'!$A:$G,6,FALSE),"")</f>
        <v>55811-3920</v>
      </c>
      <c r="O2481">
        <f>IFERROR(VLOOKUP(VALUE(J2481),'Site Info'!$A:$G,7,FALSE),"")</f>
        <v>2187229740</v>
      </c>
    </row>
    <row r="2482" spans="1:15" x14ac:dyDescent="0.45">
      <c r="A2482" t="s">
        <v>11784</v>
      </c>
      <c r="B2482" t="s">
        <v>11785</v>
      </c>
      <c r="C2482" t="s">
        <v>11786</v>
      </c>
      <c r="D2482" t="s">
        <v>2161</v>
      </c>
      <c r="E2482" s="1">
        <v>46153.305277777778</v>
      </c>
      <c r="F2482">
        <v>1547</v>
      </c>
      <c r="G2482" t="s">
        <v>11787</v>
      </c>
      <c r="H2482" t="s">
        <v>15</v>
      </c>
      <c r="I2482" t="s">
        <v>2163</v>
      </c>
      <c r="J2482" t="str">
        <f>RIGHT(D2482,4)</f>
        <v>6320</v>
      </c>
      <c r="K2482" t="str">
        <f>IFERROR(VLOOKUP(VALUE(J2482),'Site Info'!$A:$G,3,FALSE),"")</f>
        <v>4743 MAPLE GROVE RD</v>
      </c>
      <c r="L2482" t="str">
        <f>IFERROR(VLOOKUP(VALUE(J2482),'Site Info'!$A:$G,4,FALSE),"")</f>
        <v>HERMANTOWN</v>
      </c>
      <c r="M2482" t="str">
        <f>IFERROR(VLOOKUP(VALUE(J2482),'Site Info'!$A:$G,5,FALSE),"")</f>
        <v>MN</v>
      </c>
      <c r="N2482" t="str">
        <f>IFERROR(VLOOKUP(VALUE(J2482),'Site Info'!$A:$G,6,FALSE),"")</f>
        <v>55811-3920</v>
      </c>
      <c r="O2482">
        <f>IFERROR(VLOOKUP(VALUE(J2482),'Site Info'!$A:$G,7,FALSE),"")</f>
        <v>2187229740</v>
      </c>
    </row>
    <row r="2483" spans="1:15" x14ac:dyDescent="0.45">
      <c r="A2483" t="s">
        <v>9982</v>
      </c>
      <c r="B2483" t="s">
        <v>9983</v>
      </c>
      <c r="C2483" t="s">
        <v>9984</v>
      </c>
      <c r="D2483" t="s">
        <v>2161</v>
      </c>
      <c r="E2483" s="1">
        <v>46153.386608796296</v>
      </c>
      <c r="F2483">
        <v>1547</v>
      </c>
      <c r="G2483" t="s">
        <v>9985</v>
      </c>
      <c r="H2483" t="s">
        <v>15</v>
      </c>
      <c r="I2483" t="s">
        <v>2163</v>
      </c>
      <c r="J2483" t="str">
        <f>RIGHT(D2483,4)</f>
        <v>6320</v>
      </c>
      <c r="K2483" t="str">
        <f>IFERROR(VLOOKUP(VALUE(J2483),'Site Info'!$A:$G,3,FALSE),"")</f>
        <v>4743 MAPLE GROVE RD</v>
      </c>
      <c r="L2483" t="str">
        <f>IFERROR(VLOOKUP(VALUE(J2483),'Site Info'!$A:$G,4,FALSE),"")</f>
        <v>HERMANTOWN</v>
      </c>
      <c r="M2483" t="str">
        <f>IFERROR(VLOOKUP(VALUE(J2483),'Site Info'!$A:$G,5,FALSE),"")</f>
        <v>MN</v>
      </c>
      <c r="N2483" t="str">
        <f>IFERROR(VLOOKUP(VALUE(J2483),'Site Info'!$A:$G,6,FALSE),"")</f>
        <v>55811-3920</v>
      </c>
      <c r="O2483">
        <f>IFERROR(VLOOKUP(VALUE(J2483),'Site Info'!$A:$G,7,FALSE),"")</f>
        <v>2187229740</v>
      </c>
    </row>
    <row r="2484" spans="1:15" x14ac:dyDescent="0.45">
      <c r="A2484" t="s">
        <v>2158</v>
      </c>
      <c r="B2484" t="s">
        <v>2159</v>
      </c>
      <c r="C2484" t="s">
        <v>2160</v>
      </c>
      <c r="D2484" t="s">
        <v>2161</v>
      </c>
      <c r="E2484" s="1">
        <v>46147.655613425923</v>
      </c>
      <c r="F2484">
        <v>1481</v>
      </c>
      <c r="G2484" t="s">
        <v>2162</v>
      </c>
      <c r="H2484" t="s">
        <v>15</v>
      </c>
      <c r="I2484" t="s">
        <v>2163</v>
      </c>
      <c r="J2484" t="str">
        <f>RIGHT(D2484,4)</f>
        <v>6320</v>
      </c>
      <c r="K2484" t="str">
        <f>IFERROR(VLOOKUP(VALUE(J2484),'Site Info'!$A:$G,3,FALSE),"")</f>
        <v>4743 MAPLE GROVE RD</v>
      </c>
      <c r="L2484" t="str">
        <f>IFERROR(VLOOKUP(VALUE(J2484),'Site Info'!$A:$G,4,FALSE),"")</f>
        <v>HERMANTOWN</v>
      </c>
      <c r="M2484" t="str">
        <f>IFERROR(VLOOKUP(VALUE(J2484),'Site Info'!$A:$G,5,FALSE),"")</f>
        <v>MN</v>
      </c>
      <c r="N2484" t="str">
        <f>IFERROR(VLOOKUP(VALUE(J2484),'Site Info'!$A:$G,6,FALSE),"")</f>
        <v>55811-3920</v>
      </c>
      <c r="O2484">
        <f>IFERROR(VLOOKUP(VALUE(J2484),'Site Info'!$A:$G,7,FALSE),"")</f>
        <v>2187229740</v>
      </c>
    </row>
    <row r="2485" spans="1:15" x14ac:dyDescent="0.45">
      <c r="A2485" t="s">
        <v>3283</v>
      </c>
      <c r="B2485" t="s">
        <v>3284</v>
      </c>
      <c r="C2485" t="s">
        <v>3285</v>
      </c>
      <c r="D2485" t="s">
        <v>2161</v>
      </c>
      <c r="E2485" s="1">
        <v>46151.075266203705</v>
      </c>
      <c r="F2485">
        <v>1481</v>
      </c>
      <c r="G2485" t="s">
        <v>3286</v>
      </c>
      <c r="H2485" t="s">
        <v>15</v>
      </c>
      <c r="I2485" t="s">
        <v>2163</v>
      </c>
      <c r="J2485" t="str">
        <f>RIGHT(D2485,4)</f>
        <v>6320</v>
      </c>
      <c r="K2485" t="str">
        <f>IFERROR(VLOOKUP(VALUE(J2485),'Site Info'!$A:$G,3,FALSE),"")</f>
        <v>4743 MAPLE GROVE RD</v>
      </c>
      <c r="L2485" t="str">
        <f>IFERROR(VLOOKUP(VALUE(J2485),'Site Info'!$A:$G,4,FALSE),"")</f>
        <v>HERMANTOWN</v>
      </c>
      <c r="M2485" t="str">
        <f>IFERROR(VLOOKUP(VALUE(J2485),'Site Info'!$A:$G,5,FALSE),"")</f>
        <v>MN</v>
      </c>
      <c r="N2485" t="str">
        <f>IFERROR(VLOOKUP(VALUE(J2485),'Site Info'!$A:$G,6,FALSE),"")</f>
        <v>55811-3920</v>
      </c>
      <c r="O2485">
        <f>IFERROR(VLOOKUP(VALUE(J2485),'Site Info'!$A:$G,7,FALSE),"")</f>
        <v>2187229740</v>
      </c>
    </row>
    <row r="2486" spans="1:15" x14ac:dyDescent="0.45">
      <c r="A2486" t="s">
        <v>6497</v>
      </c>
      <c r="B2486" t="s">
        <v>6498</v>
      </c>
      <c r="C2486" t="s">
        <v>6499</v>
      </c>
      <c r="D2486" t="s">
        <v>4433</v>
      </c>
      <c r="E2486" s="1">
        <v>46151.627743055556</v>
      </c>
      <c r="F2486">
        <v>1547</v>
      </c>
      <c r="G2486" t="s">
        <v>6500</v>
      </c>
      <c r="H2486" t="s">
        <v>15</v>
      </c>
      <c r="I2486" t="s">
        <v>4435</v>
      </c>
      <c r="J2486" t="str">
        <f>RIGHT(D2486,4)</f>
        <v>4782</v>
      </c>
      <c r="K2486" t="str">
        <f>IFERROR(VLOOKUP(VALUE(J2486),'Site Info'!$A:$G,3,FALSE),"")</f>
        <v>4763 WEST IRLO BRONSON MEM HWY</v>
      </c>
      <c r="L2486" t="str">
        <f>IFERROR(VLOOKUP(VALUE(J2486),'Site Info'!$A:$G,4,FALSE),"")</f>
        <v>KISSIMMEE</v>
      </c>
      <c r="M2486" t="str">
        <f>IFERROR(VLOOKUP(VALUE(J2486),'Site Info'!$A:$G,5,FALSE),"")</f>
        <v>FL</v>
      </c>
      <c r="N2486" t="str">
        <f>IFERROR(VLOOKUP(VALUE(J2486),'Site Info'!$A:$G,6,FALSE),"")</f>
        <v>34746-0000</v>
      </c>
      <c r="O2486">
        <f>IFERROR(VLOOKUP(VALUE(J2486),'Site Info'!$A:$G,7,FALSE),"")</f>
        <v>4073979910</v>
      </c>
    </row>
    <row r="2487" spans="1:15" x14ac:dyDescent="0.45">
      <c r="A2487" t="s">
        <v>4430</v>
      </c>
      <c r="B2487" t="s">
        <v>4431</v>
      </c>
      <c r="C2487" t="s">
        <v>4432</v>
      </c>
      <c r="D2487" t="s">
        <v>4433</v>
      </c>
      <c r="E2487" s="1">
        <v>46152.62972222222</v>
      </c>
      <c r="F2487">
        <v>1547</v>
      </c>
      <c r="G2487" t="s">
        <v>4434</v>
      </c>
      <c r="H2487" t="s">
        <v>15</v>
      </c>
      <c r="I2487" t="s">
        <v>4435</v>
      </c>
      <c r="J2487" t="str">
        <f>RIGHT(D2487,4)</f>
        <v>4782</v>
      </c>
      <c r="K2487" t="str">
        <f>IFERROR(VLOOKUP(VALUE(J2487),'Site Info'!$A:$G,3,FALSE),"")</f>
        <v>4763 WEST IRLO BRONSON MEM HWY</v>
      </c>
      <c r="L2487" t="str">
        <f>IFERROR(VLOOKUP(VALUE(J2487),'Site Info'!$A:$G,4,FALSE),"")</f>
        <v>KISSIMMEE</v>
      </c>
      <c r="M2487" t="str">
        <f>IFERROR(VLOOKUP(VALUE(J2487),'Site Info'!$A:$G,5,FALSE),"")</f>
        <v>FL</v>
      </c>
      <c r="N2487" t="str">
        <f>IFERROR(VLOOKUP(VALUE(J2487),'Site Info'!$A:$G,6,FALSE),"")</f>
        <v>34746-0000</v>
      </c>
      <c r="O2487">
        <f>IFERROR(VLOOKUP(VALUE(J2487),'Site Info'!$A:$G,7,FALSE),"")</f>
        <v>4073979910</v>
      </c>
    </row>
    <row r="2488" spans="1:15" x14ac:dyDescent="0.45">
      <c r="A2488" t="s">
        <v>6513</v>
      </c>
      <c r="B2488" t="s">
        <v>6514</v>
      </c>
      <c r="C2488" t="s">
        <v>6515</v>
      </c>
      <c r="D2488" t="s">
        <v>4433</v>
      </c>
      <c r="E2488" s="1">
        <v>46153.255127314813</v>
      </c>
      <c r="F2488">
        <v>1547</v>
      </c>
      <c r="G2488" t="s">
        <v>6516</v>
      </c>
      <c r="H2488" t="s">
        <v>15</v>
      </c>
      <c r="I2488" t="s">
        <v>4435</v>
      </c>
      <c r="J2488" t="str">
        <f>RIGHT(D2488,4)</f>
        <v>4782</v>
      </c>
      <c r="K2488" t="str">
        <f>IFERROR(VLOOKUP(VALUE(J2488),'Site Info'!$A:$G,3,FALSE),"")</f>
        <v>4763 WEST IRLO BRONSON MEM HWY</v>
      </c>
      <c r="L2488" t="str">
        <f>IFERROR(VLOOKUP(VALUE(J2488),'Site Info'!$A:$G,4,FALSE),"")</f>
        <v>KISSIMMEE</v>
      </c>
      <c r="M2488" t="str">
        <f>IFERROR(VLOOKUP(VALUE(J2488),'Site Info'!$A:$G,5,FALSE),"")</f>
        <v>FL</v>
      </c>
      <c r="N2488" t="str">
        <f>IFERROR(VLOOKUP(VALUE(J2488),'Site Info'!$A:$G,6,FALSE),"")</f>
        <v>34746-0000</v>
      </c>
      <c r="O2488">
        <f>IFERROR(VLOOKUP(VALUE(J2488),'Site Info'!$A:$G,7,FALSE),"")</f>
        <v>4073979910</v>
      </c>
    </row>
    <row r="2489" spans="1:15" x14ac:dyDescent="0.45">
      <c r="A2489" t="s">
        <v>6246</v>
      </c>
      <c r="B2489" t="s">
        <v>6247</v>
      </c>
      <c r="C2489" t="s">
        <v>6248</v>
      </c>
      <c r="D2489" t="s">
        <v>4433</v>
      </c>
      <c r="E2489" s="1">
        <v>46153.257743055554</v>
      </c>
      <c r="F2489">
        <v>1547</v>
      </c>
      <c r="G2489" t="s">
        <v>6249</v>
      </c>
      <c r="H2489" t="s">
        <v>15</v>
      </c>
      <c r="I2489" t="s">
        <v>4435</v>
      </c>
      <c r="J2489" t="str">
        <f>RIGHT(D2489,4)</f>
        <v>4782</v>
      </c>
      <c r="K2489" t="str">
        <f>IFERROR(VLOOKUP(VALUE(J2489),'Site Info'!$A:$G,3,FALSE),"")</f>
        <v>4763 WEST IRLO BRONSON MEM HWY</v>
      </c>
      <c r="L2489" t="str">
        <f>IFERROR(VLOOKUP(VALUE(J2489),'Site Info'!$A:$G,4,FALSE),"")</f>
        <v>KISSIMMEE</v>
      </c>
      <c r="M2489" t="str">
        <f>IFERROR(VLOOKUP(VALUE(J2489),'Site Info'!$A:$G,5,FALSE),"")</f>
        <v>FL</v>
      </c>
      <c r="N2489" t="str">
        <f>IFERROR(VLOOKUP(VALUE(J2489),'Site Info'!$A:$G,6,FALSE),"")</f>
        <v>34746-0000</v>
      </c>
      <c r="O2489">
        <f>IFERROR(VLOOKUP(VALUE(J2489),'Site Info'!$A:$G,7,FALSE),"")</f>
        <v>4073979910</v>
      </c>
    </row>
    <row r="2490" spans="1:15" x14ac:dyDescent="0.45">
      <c r="A2490" t="s">
        <v>13984</v>
      </c>
      <c r="B2490" t="s">
        <v>13985</v>
      </c>
      <c r="C2490" t="s">
        <v>13986</v>
      </c>
      <c r="D2490" t="s">
        <v>111</v>
      </c>
      <c r="E2490" s="1">
        <v>46152.305428240739</v>
      </c>
      <c r="F2490">
        <v>1628</v>
      </c>
      <c r="G2490" t="s">
        <v>13987</v>
      </c>
      <c r="H2490" t="s">
        <v>13988</v>
      </c>
      <c r="I2490" t="s">
        <v>113</v>
      </c>
      <c r="J2490" t="str">
        <f>RIGHT(D2490,4)</f>
        <v>6317</v>
      </c>
      <c r="K2490" t="str">
        <f>IFERROR(VLOOKUP(VALUE(J2490),'Site Info'!$A:$G,3,FALSE),"")</f>
        <v>4790 PORTAGE ST NW</v>
      </c>
      <c r="L2490" t="str">
        <f>IFERROR(VLOOKUP(VALUE(J2490),'Site Info'!$A:$G,4,FALSE),"")</f>
        <v>CANTON</v>
      </c>
      <c r="M2490" t="str">
        <f>IFERROR(VLOOKUP(VALUE(J2490),'Site Info'!$A:$G,5,FALSE),"")</f>
        <v>OH</v>
      </c>
      <c r="N2490" t="str">
        <f>IFERROR(VLOOKUP(VALUE(J2490),'Site Info'!$A:$G,6,FALSE),"")</f>
        <v>44720-7245</v>
      </c>
      <c r="O2490">
        <f>IFERROR(VLOOKUP(VALUE(J2490),'Site Info'!$A:$G,7,FALSE),"")</f>
        <v>3304975295</v>
      </c>
    </row>
    <row r="2491" spans="1:15" x14ac:dyDescent="0.45">
      <c r="A2491" t="s">
        <v>8977</v>
      </c>
      <c r="B2491" t="s">
        <v>8978</v>
      </c>
      <c r="C2491" t="s">
        <v>8979</v>
      </c>
      <c r="D2491" t="s">
        <v>111</v>
      </c>
      <c r="E2491" s="1">
        <v>46151.747581018521</v>
      </c>
      <c r="F2491">
        <v>1547</v>
      </c>
      <c r="G2491" t="s">
        <v>8980</v>
      </c>
      <c r="H2491" t="s">
        <v>15</v>
      </c>
      <c r="I2491" t="s">
        <v>113</v>
      </c>
      <c r="J2491" t="str">
        <f>RIGHT(D2491,4)</f>
        <v>6317</v>
      </c>
      <c r="K2491" t="str">
        <f>IFERROR(VLOOKUP(VALUE(J2491),'Site Info'!$A:$G,3,FALSE),"")</f>
        <v>4790 PORTAGE ST NW</v>
      </c>
      <c r="L2491" t="str">
        <f>IFERROR(VLOOKUP(VALUE(J2491),'Site Info'!$A:$G,4,FALSE),"")</f>
        <v>CANTON</v>
      </c>
      <c r="M2491" t="str">
        <f>IFERROR(VLOOKUP(VALUE(J2491),'Site Info'!$A:$G,5,FALSE),"")</f>
        <v>OH</v>
      </c>
      <c r="N2491" t="str">
        <f>IFERROR(VLOOKUP(VALUE(J2491),'Site Info'!$A:$G,6,FALSE),"")</f>
        <v>44720-7245</v>
      </c>
      <c r="O2491">
        <f>IFERROR(VLOOKUP(VALUE(J2491),'Site Info'!$A:$G,7,FALSE),"")</f>
        <v>3304975295</v>
      </c>
    </row>
    <row r="2492" spans="1:15" x14ac:dyDescent="0.45">
      <c r="A2492" t="s">
        <v>8869</v>
      </c>
      <c r="B2492" t="s">
        <v>8870</v>
      </c>
      <c r="C2492" t="s">
        <v>8871</v>
      </c>
      <c r="D2492" t="s">
        <v>111</v>
      </c>
      <c r="E2492" s="1">
        <v>46152.633321759262</v>
      </c>
      <c r="F2492">
        <v>1547</v>
      </c>
      <c r="G2492" t="s">
        <v>8872</v>
      </c>
      <c r="H2492" t="s">
        <v>15</v>
      </c>
      <c r="I2492" t="s">
        <v>113</v>
      </c>
      <c r="J2492" t="str">
        <f>RIGHT(D2492,4)</f>
        <v>6317</v>
      </c>
      <c r="K2492" t="str">
        <f>IFERROR(VLOOKUP(VALUE(J2492),'Site Info'!$A:$G,3,FALSE),"")</f>
        <v>4790 PORTAGE ST NW</v>
      </c>
      <c r="L2492" t="str">
        <f>IFERROR(VLOOKUP(VALUE(J2492),'Site Info'!$A:$G,4,FALSE),"")</f>
        <v>CANTON</v>
      </c>
      <c r="M2492" t="str">
        <f>IFERROR(VLOOKUP(VALUE(J2492),'Site Info'!$A:$G,5,FALSE),"")</f>
        <v>OH</v>
      </c>
      <c r="N2492" t="str">
        <f>IFERROR(VLOOKUP(VALUE(J2492),'Site Info'!$A:$G,6,FALSE),"")</f>
        <v>44720-7245</v>
      </c>
      <c r="O2492">
        <f>IFERROR(VLOOKUP(VALUE(J2492),'Site Info'!$A:$G,7,FALSE),"")</f>
        <v>3304975295</v>
      </c>
    </row>
    <row r="2493" spans="1:15" x14ac:dyDescent="0.45">
      <c r="A2493" t="s">
        <v>9113</v>
      </c>
      <c r="B2493" t="s">
        <v>9114</v>
      </c>
      <c r="C2493" t="s">
        <v>9115</v>
      </c>
      <c r="D2493" t="s">
        <v>111</v>
      </c>
      <c r="E2493" s="1">
        <v>46153.271319444444</v>
      </c>
      <c r="F2493">
        <v>1547</v>
      </c>
      <c r="G2493" t="s">
        <v>9116</v>
      </c>
      <c r="H2493" t="s">
        <v>15</v>
      </c>
      <c r="I2493" t="s">
        <v>113</v>
      </c>
      <c r="J2493" t="str">
        <f>RIGHT(D2493,4)</f>
        <v>6317</v>
      </c>
      <c r="K2493" t="str">
        <f>IFERROR(VLOOKUP(VALUE(J2493),'Site Info'!$A:$G,3,FALSE),"")</f>
        <v>4790 PORTAGE ST NW</v>
      </c>
      <c r="L2493" t="str">
        <f>IFERROR(VLOOKUP(VALUE(J2493),'Site Info'!$A:$G,4,FALSE),"")</f>
        <v>CANTON</v>
      </c>
      <c r="M2493" t="str">
        <f>IFERROR(VLOOKUP(VALUE(J2493),'Site Info'!$A:$G,5,FALSE),"")</f>
        <v>OH</v>
      </c>
      <c r="N2493" t="str">
        <f>IFERROR(VLOOKUP(VALUE(J2493),'Site Info'!$A:$G,6,FALSE),"")</f>
        <v>44720-7245</v>
      </c>
      <c r="O2493">
        <f>IFERROR(VLOOKUP(VALUE(J2493),'Site Info'!$A:$G,7,FALSE),"")</f>
        <v>3304975295</v>
      </c>
    </row>
    <row r="2494" spans="1:15" x14ac:dyDescent="0.45">
      <c r="A2494" t="s">
        <v>7222</v>
      </c>
      <c r="B2494" t="s">
        <v>7223</v>
      </c>
      <c r="C2494" t="s">
        <v>7224</v>
      </c>
      <c r="D2494" t="s">
        <v>111</v>
      </c>
      <c r="E2494" s="1">
        <v>46153.289166666669</v>
      </c>
      <c r="F2494">
        <v>1547</v>
      </c>
      <c r="G2494" t="s">
        <v>7225</v>
      </c>
      <c r="H2494" t="s">
        <v>15</v>
      </c>
      <c r="I2494" t="s">
        <v>113</v>
      </c>
      <c r="J2494" t="str">
        <f>RIGHT(D2494,4)</f>
        <v>6317</v>
      </c>
      <c r="K2494" t="str">
        <f>IFERROR(VLOOKUP(VALUE(J2494),'Site Info'!$A:$G,3,FALSE),"")</f>
        <v>4790 PORTAGE ST NW</v>
      </c>
      <c r="L2494" t="str">
        <f>IFERROR(VLOOKUP(VALUE(J2494),'Site Info'!$A:$G,4,FALSE),"")</f>
        <v>CANTON</v>
      </c>
      <c r="M2494" t="str">
        <f>IFERROR(VLOOKUP(VALUE(J2494),'Site Info'!$A:$G,5,FALSE),"")</f>
        <v>OH</v>
      </c>
      <c r="N2494" t="str">
        <f>IFERROR(VLOOKUP(VALUE(J2494),'Site Info'!$A:$G,6,FALSE),"")</f>
        <v>44720-7245</v>
      </c>
      <c r="O2494">
        <f>IFERROR(VLOOKUP(VALUE(J2494),'Site Info'!$A:$G,7,FALSE),"")</f>
        <v>3304975295</v>
      </c>
    </row>
    <row r="2495" spans="1:15" x14ac:dyDescent="0.45">
      <c r="A2495" t="s">
        <v>7113</v>
      </c>
      <c r="B2495" t="s">
        <v>7114</v>
      </c>
      <c r="C2495" t="s">
        <v>7115</v>
      </c>
      <c r="D2495" t="s">
        <v>111</v>
      </c>
      <c r="E2495" s="1">
        <v>46153.317604166667</v>
      </c>
      <c r="F2495">
        <v>1547</v>
      </c>
      <c r="G2495" t="s">
        <v>7116</v>
      </c>
      <c r="H2495" t="s">
        <v>15</v>
      </c>
      <c r="I2495" t="s">
        <v>113</v>
      </c>
      <c r="J2495" t="str">
        <f>RIGHT(D2495,4)</f>
        <v>6317</v>
      </c>
      <c r="K2495" t="str">
        <f>IFERROR(VLOOKUP(VALUE(J2495),'Site Info'!$A:$G,3,FALSE),"")</f>
        <v>4790 PORTAGE ST NW</v>
      </c>
      <c r="L2495" t="str">
        <f>IFERROR(VLOOKUP(VALUE(J2495),'Site Info'!$A:$G,4,FALSE),"")</f>
        <v>CANTON</v>
      </c>
      <c r="M2495" t="str">
        <f>IFERROR(VLOOKUP(VALUE(J2495),'Site Info'!$A:$G,5,FALSE),"")</f>
        <v>OH</v>
      </c>
      <c r="N2495" t="str">
        <f>IFERROR(VLOOKUP(VALUE(J2495),'Site Info'!$A:$G,6,FALSE),"")</f>
        <v>44720-7245</v>
      </c>
      <c r="O2495">
        <f>IFERROR(VLOOKUP(VALUE(J2495),'Site Info'!$A:$G,7,FALSE),"")</f>
        <v>3304975295</v>
      </c>
    </row>
    <row r="2496" spans="1:15" x14ac:dyDescent="0.45">
      <c r="A2496" t="s">
        <v>9081</v>
      </c>
      <c r="B2496" t="s">
        <v>9082</v>
      </c>
      <c r="C2496" t="s">
        <v>9083</v>
      </c>
      <c r="D2496" t="s">
        <v>111</v>
      </c>
      <c r="E2496" s="1">
        <v>46153.367361111108</v>
      </c>
      <c r="F2496">
        <v>1547</v>
      </c>
      <c r="G2496" t="s">
        <v>9084</v>
      </c>
      <c r="H2496" t="s">
        <v>15</v>
      </c>
      <c r="I2496" t="s">
        <v>113</v>
      </c>
      <c r="J2496" t="str">
        <f>RIGHT(D2496,4)</f>
        <v>6317</v>
      </c>
      <c r="K2496" t="str">
        <f>IFERROR(VLOOKUP(VALUE(J2496),'Site Info'!$A:$G,3,FALSE),"")</f>
        <v>4790 PORTAGE ST NW</v>
      </c>
      <c r="L2496" t="str">
        <f>IFERROR(VLOOKUP(VALUE(J2496),'Site Info'!$A:$G,4,FALSE),"")</f>
        <v>CANTON</v>
      </c>
      <c r="M2496" t="str">
        <f>IFERROR(VLOOKUP(VALUE(J2496),'Site Info'!$A:$G,5,FALSE),"")</f>
        <v>OH</v>
      </c>
      <c r="N2496" t="str">
        <f>IFERROR(VLOOKUP(VALUE(J2496),'Site Info'!$A:$G,6,FALSE),"")</f>
        <v>44720-7245</v>
      </c>
      <c r="O2496">
        <f>IFERROR(VLOOKUP(VALUE(J2496),'Site Info'!$A:$G,7,FALSE),"")</f>
        <v>3304975295</v>
      </c>
    </row>
    <row r="2497" spans="1:15" x14ac:dyDescent="0.45">
      <c r="A2497" t="s">
        <v>96</v>
      </c>
      <c r="B2497" t="s">
        <v>109</v>
      </c>
      <c r="C2497" t="s">
        <v>110</v>
      </c>
      <c r="D2497" t="s">
        <v>111</v>
      </c>
      <c r="E2497" s="1">
        <v>46152.220879629633</v>
      </c>
      <c r="F2497">
        <v>1481</v>
      </c>
      <c r="G2497" t="s">
        <v>112</v>
      </c>
      <c r="H2497" t="s">
        <v>15</v>
      </c>
      <c r="I2497" t="s">
        <v>113</v>
      </c>
      <c r="J2497" t="str">
        <f>RIGHT(D2497,4)</f>
        <v>6317</v>
      </c>
      <c r="K2497" t="str">
        <f>IFERROR(VLOOKUP(VALUE(J2497),'Site Info'!$A:$G,3,FALSE),"")</f>
        <v>4790 PORTAGE ST NW</v>
      </c>
      <c r="L2497" t="str">
        <f>IFERROR(VLOOKUP(VALUE(J2497),'Site Info'!$A:$G,4,FALSE),"")</f>
        <v>CANTON</v>
      </c>
      <c r="M2497" t="str">
        <f>IFERROR(VLOOKUP(VALUE(J2497),'Site Info'!$A:$G,5,FALSE),"")</f>
        <v>OH</v>
      </c>
      <c r="N2497" t="str">
        <f>IFERROR(VLOOKUP(VALUE(J2497),'Site Info'!$A:$G,6,FALSE),"")</f>
        <v>44720-7245</v>
      </c>
      <c r="O2497">
        <f>IFERROR(VLOOKUP(VALUE(J2497),'Site Info'!$A:$G,7,FALSE),"")</f>
        <v>3304975295</v>
      </c>
    </row>
    <row r="2498" spans="1:15" x14ac:dyDescent="0.45">
      <c r="A2498" t="s">
        <v>2271</v>
      </c>
      <c r="B2498" t="s">
        <v>2272</v>
      </c>
      <c r="C2498" t="s">
        <v>2273</v>
      </c>
      <c r="D2498" t="s">
        <v>111</v>
      </c>
      <c r="E2498" s="1">
        <v>46153.34306712963</v>
      </c>
      <c r="F2498">
        <v>1481</v>
      </c>
      <c r="G2498" t="s">
        <v>2274</v>
      </c>
      <c r="H2498" t="s">
        <v>15</v>
      </c>
      <c r="I2498" t="s">
        <v>113</v>
      </c>
      <c r="J2498" t="str">
        <f>RIGHT(D2498,4)</f>
        <v>6317</v>
      </c>
      <c r="K2498" t="str">
        <f>IFERROR(VLOOKUP(VALUE(J2498),'Site Info'!$A:$G,3,FALSE),"")</f>
        <v>4790 PORTAGE ST NW</v>
      </c>
      <c r="L2498" t="str">
        <f>IFERROR(VLOOKUP(VALUE(J2498),'Site Info'!$A:$G,4,FALSE),"")</f>
        <v>CANTON</v>
      </c>
      <c r="M2498" t="str">
        <f>IFERROR(VLOOKUP(VALUE(J2498),'Site Info'!$A:$G,5,FALSE),"")</f>
        <v>OH</v>
      </c>
      <c r="N2498" t="str">
        <f>IFERROR(VLOOKUP(VALUE(J2498),'Site Info'!$A:$G,6,FALSE),"")</f>
        <v>44720-7245</v>
      </c>
      <c r="O2498">
        <f>IFERROR(VLOOKUP(VALUE(J2498),'Site Info'!$A:$G,7,FALSE),"")</f>
        <v>3304975295</v>
      </c>
    </row>
    <row r="2499" spans="1:15" x14ac:dyDescent="0.45">
      <c r="A2499" t="s">
        <v>2313</v>
      </c>
      <c r="B2499" t="s">
        <v>2314</v>
      </c>
      <c r="C2499" t="s">
        <v>2315</v>
      </c>
      <c r="D2499" t="s">
        <v>111</v>
      </c>
      <c r="E2499" s="1">
        <v>46153.371712962966</v>
      </c>
      <c r="F2499">
        <v>1481</v>
      </c>
      <c r="G2499" t="s">
        <v>2316</v>
      </c>
      <c r="H2499" t="s">
        <v>15</v>
      </c>
      <c r="I2499" t="s">
        <v>113</v>
      </c>
      <c r="J2499" t="str">
        <f>RIGHT(D2499,4)</f>
        <v>6317</v>
      </c>
      <c r="K2499" t="str">
        <f>IFERROR(VLOOKUP(VALUE(J2499),'Site Info'!$A:$G,3,FALSE),"")</f>
        <v>4790 PORTAGE ST NW</v>
      </c>
      <c r="L2499" t="str">
        <f>IFERROR(VLOOKUP(VALUE(J2499),'Site Info'!$A:$G,4,FALSE),"")</f>
        <v>CANTON</v>
      </c>
      <c r="M2499" t="str">
        <f>IFERROR(VLOOKUP(VALUE(J2499),'Site Info'!$A:$G,5,FALSE),"")</f>
        <v>OH</v>
      </c>
      <c r="N2499" t="str">
        <f>IFERROR(VLOOKUP(VALUE(J2499),'Site Info'!$A:$G,6,FALSE),"")</f>
        <v>44720-7245</v>
      </c>
      <c r="O2499">
        <f>IFERROR(VLOOKUP(VALUE(J2499),'Site Info'!$A:$G,7,FALSE),"")</f>
        <v>3304975295</v>
      </c>
    </row>
    <row r="2500" spans="1:15" x14ac:dyDescent="0.45">
      <c r="A2500" t="s">
        <v>6657</v>
      </c>
      <c r="B2500" t="s">
        <v>6658</v>
      </c>
      <c r="C2500" t="s">
        <v>6659</v>
      </c>
      <c r="D2500" t="s">
        <v>1627</v>
      </c>
      <c r="E2500" s="1">
        <v>46151.677905092591</v>
      </c>
      <c r="F2500">
        <v>1547</v>
      </c>
      <c r="G2500" t="s">
        <v>6660</v>
      </c>
      <c r="H2500" t="s">
        <v>15</v>
      </c>
      <c r="I2500" t="s">
        <v>1629</v>
      </c>
      <c r="J2500" t="str">
        <f>RIGHT(D2500,4)</f>
        <v>4802</v>
      </c>
      <c r="K2500" t="str">
        <f>IFERROR(VLOOKUP(VALUE(J2500),'Site Info'!$A:$G,3,FALSE),"")</f>
        <v>4798 JIMMY LEE SMITH PKWY</v>
      </c>
      <c r="L2500" t="str">
        <f>IFERROR(VLOOKUP(VALUE(J2500),'Site Info'!$A:$G,4,FALSE),"")</f>
        <v>HIRAM</v>
      </c>
      <c r="M2500" t="str">
        <f>IFERROR(VLOOKUP(VALUE(J2500),'Site Info'!$A:$G,5,FALSE),"")</f>
        <v>GA</v>
      </c>
      <c r="N2500" t="str">
        <f>IFERROR(VLOOKUP(VALUE(J2500),'Site Info'!$A:$G,6,FALSE),"")</f>
        <v>30141-2729</v>
      </c>
      <c r="O2500">
        <f>IFERROR(VLOOKUP(VALUE(J2500),'Site Info'!$A:$G,7,FALSE),"")</f>
        <v>6785675990</v>
      </c>
    </row>
    <row r="2501" spans="1:15" x14ac:dyDescent="0.45">
      <c r="A2501" t="s">
        <v>10040</v>
      </c>
      <c r="B2501" t="s">
        <v>10041</v>
      </c>
      <c r="C2501" t="s">
        <v>10042</v>
      </c>
      <c r="D2501" t="s">
        <v>1627</v>
      </c>
      <c r="E2501" s="1">
        <v>46151.763055555559</v>
      </c>
      <c r="F2501">
        <v>1547</v>
      </c>
      <c r="G2501" t="s">
        <v>10043</v>
      </c>
      <c r="H2501" t="s">
        <v>15</v>
      </c>
      <c r="I2501" t="s">
        <v>1629</v>
      </c>
      <c r="J2501" t="str">
        <f>RIGHT(D2501,4)</f>
        <v>4802</v>
      </c>
      <c r="K2501" t="str">
        <f>IFERROR(VLOOKUP(VALUE(J2501),'Site Info'!$A:$G,3,FALSE),"")</f>
        <v>4798 JIMMY LEE SMITH PKWY</v>
      </c>
      <c r="L2501" t="str">
        <f>IFERROR(VLOOKUP(VALUE(J2501),'Site Info'!$A:$G,4,FALSE),"")</f>
        <v>HIRAM</v>
      </c>
      <c r="M2501" t="str">
        <f>IFERROR(VLOOKUP(VALUE(J2501),'Site Info'!$A:$G,5,FALSE),"")</f>
        <v>GA</v>
      </c>
      <c r="N2501" t="str">
        <f>IFERROR(VLOOKUP(VALUE(J2501),'Site Info'!$A:$G,6,FALSE),"")</f>
        <v>30141-2729</v>
      </c>
      <c r="O2501">
        <f>IFERROR(VLOOKUP(VALUE(J2501),'Site Info'!$A:$G,7,FALSE),"")</f>
        <v>6785675990</v>
      </c>
    </row>
    <row r="2502" spans="1:15" x14ac:dyDescent="0.45">
      <c r="A2502" t="s">
        <v>10074</v>
      </c>
      <c r="B2502" t="s">
        <v>10075</v>
      </c>
      <c r="C2502" t="s">
        <v>10076</v>
      </c>
      <c r="D2502" t="s">
        <v>1627</v>
      </c>
      <c r="E2502" s="1">
        <v>46153.354375000003</v>
      </c>
      <c r="F2502">
        <v>1547</v>
      </c>
      <c r="G2502" t="s">
        <v>10077</v>
      </c>
      <c r="H2502" t="s">
        <v>15</v>
      </c>
      <c r="I2502" t="s">
        <v>1629</v>
      </c>
      <c r="J2502" t="str">
        <f>RIGHT(D2502,4)</f>
        <v>4802</v>
      </c>
      <c r="K2502" t="str">
        <f>IFERROR(VLOOKUP(VALUE(J2502),'Site Info'!$A:$G,3,FALSE),"")</f>
        <v>4798 JIMMY LEE SMITH PKWY</v>
      </c>
      <c r="L2502" t="str">
        <f>IFERROR(VLOOKUP(VALUE(J2502),'Site Info'!$A:$G,4,FALSE),"")</f>
        <v>HIRAM</v>
      </c>
      <c r="M2502" t="str">
        <f>IFERROR(VLOOKUP(VALUE(J2502),'Site Info'!$A:$G,5,FALSE),"")</f>
        <v>GA</v>
      </c>
      <c r="N2502" t="str">
        <f>IFERROR(VLOOKUP(VALUE(J2502),'Site Info'!$A:$G,6,FALSE),"")</f>
        <v>30141-2729</v>
      </c>
      <c r="O2502">
        <f>IFERROR(VLOOKUP(VALUE(J2502),'Site Info'!$A:$G,7,FALSE),"")</f>
        <v>6785675990</v>
      </c>
    </row>
    <row r="2503" spans="1:15" x14ac:dyDescent="0.45">
      <c r="A2503" t="s">
        <v>13940</v>
      </c>
      <c r="B2503" t="s">
        <v>13941</v>
      </c>
      <c r="C2503" t="s">
        <v>13942</v>
      </c>
      <c r="D2503" t="s">
        <v>1627</v>
      </c>
      <c r="E2503" s="1">
        <v>46153.359317129631</v>
      </c>
      <c r="F2503">
        <v>1547</v>
      </c>
      <c r="G2503" t="s">
        <v>13943</v>
      </c>
      <c r="H2503" t="s">
        <v>15</v>
      </c>
      <c r="I2503" t="s">
        <v>1629</v>
      </c>
      <c r="J2503" t="str">
        <f>RIGHT(D2503,4)</f>
        <v>4802</v>
      </c>
      <c r="K2503" t="str">
        <f>IFERROR(VLOOKUP(VALUE(J2503),'Site Info'!$A:$G,3,FALSE),"")</f>
        <v>4798 JIMMY LEE SMITH PKWY</v>
      </c>
      <c r="L2503" t="str">
        <f>IFERROR(VLOOKUP(VALUE(J2503),'Site Info'!$A:$G,4,FALSE),"")</f>
        <v>HIRAM</v>
      </c>
      <c r="M2503" t="str">
        <f>IFERROR(VLOOKUP(VALUE(J2503),'Site Info'!$A:$G,5,FALSE),"")</f>
        <v>GA</v>
      </c>
      <c r="N2503" t="str">
        <f>IFERROR(VLOOKUP(VALUE(J2503),'Site Info'!$A:$G,6,FALSE),"")</f>
        <v>30141-2729</v>
      </c>
      <c r="O2503">
        <f>IFERROR(VLOOKUP(VALUE(J2503),'Site Info'!$A:$G,7,FALSE),"")</f>
        <v>6785675990</v>
      </c>
    </row>
    <row r="2504" spans="1:15" x14ac:dyDescent="0.45">
      <c r="A2504" t="s">
        <v>1624</v>
      </c>
      <c r="B2504" t="s">
        <v>1625</v>
      </c>
      <c r="C2504" t="s">
        <v>1626</v>
      </c>
      <c r="D2504" t="s">
        <v>1627</v>
      </c>
      <c r="E2504" s="1">
        <v>46153.192962962959</v>
      </c>
      <c r="F2504">
        <v>1481</v>
      </c>
      <c r="G2504" t="s">
        <v>1628</v>
      </c>
      <c r="H2504" t="s">
        <v>15</v>
      </c>
      <c r="I2504" t="s">
        <v>1629</v>
      </c>
      <c r="J2504" t="str">
        <f>RIGHT(D2504,4)</f>
        <v>4802</v>
      </c>
      <c r="K2504" t="str">
        <f>IFERROR(VLOOKUP(VALUE(J2504),'Site Info'!$A:$G,3,FALSE),"")</f>
        <v>4798 JIMMY LEE SMITH PKWY</v>
      </c>
      <c r="L2504" t="str">
        <f>IFERROR(VLOOKUP(VALUE(J2504),'Site Info'!$A:$G,4,FALSE),"")</f>
        <v>HIRAM</v>
      </c>
      <c r="M2504" t="str">
        <f>IFERROR(VLOOKUP(VALUE(J2504),'Site Info'!$A:$G,5,FALSE),"")</f>
        <v>GA</v>
      </c>
      <c r="N2504" t="str">
        <f>IFERROR(VLOOKUP(VALUE(J2504),'Site Info'!$A:$G,6,FALSE),"")</f>
        <v>30141-2729</v>
      </c>
      <c r="O2504">
        <f>IFERROR(VLOOKUP(VALUE(J2504),'Site Info'!$A:$G,7,FALSE),"")</f>
        <v>6785675990</v>
      </c>
    </row>
    <row r="2505" spans="1:15" x14ac:dyDescent="0.45">
      <c r="A2505" t="s">
        <v>2625</v>
      </c>
      <c r="B2505" t="s">
        <v>2626</v>
      </c>
      <c r="C2505" t="s">
        <v>2627</v>
      </c>
      <c r="D2505" t="s">
        <v>1627</v>
      </c>
      <c r="E2505" s="1">
        <v>46153.34065972222</v>
      </c>
      <c r="F2505">
        <v>1481</v>
      </c>
      <c r="G2505" t="s">
        <v>2628</v>
      </c>
      <c r="H2505" t="s">
        <v>15</v>
      </c>
      <c r="I2505" t="s">
        <v>1629</v>
      </c>
      <c r="J2505" t="str">
        <f>RIGHT(D2505,4)</f>
        <v>4802</v>
      </c>
      <c r="K2505" t="str">
        <f>IFERROR(VLOOKUP(VALUE(J2505),'Site Info'!$A:$G,3,FALSE),"")</f>
        <v>4798 JIMMY LEE SMITH PKWY</v>
      </c>
      <c r="L2505" t="str">
        <f>IFERROR(VLOOKUP(VALUE(J2505),'Site Info'!$A:$G,4,FALSE),"")</f>
        <v>HIRAM</v>
      </c>
      <c r="M2505" t="str">
        <f>IFERROR(VLOOKUP(VALUE(J2505),'Site Info'!$A:$G,5,FALSE),"")</f>
        <v>GA</v>
      </c>
      <c r="N2505" t="str">
        <f>IFERROR(VLOOKUP(VALUE(J2505),'Site Info'!$A:$G,6,FALSE),"")</f>
        <v>30141-2729</v>
      </c>
      <c r="O2505">
        <f>IFERROR(VLOOKUP(VALUE(J2505),'Site Info'!$A:$G,7,FALSE),"")</f>
        <v>6785675990</v>
      </c>
    </row>
    <row r="2506" spans="1:15" x14ac:dyDescent="0.45">
      <c r="A2506" t="s">
        <v>1822</v>
      </c>
      <c r="B2506" t="s">
        <v>1823</v>
      </c>
      <c r="C2506" t="s">
        <v>1824</v>
      </c>
      <c r="D2506" t="s">
        <v>1627</v>
      </c>
      <c r="E2506" s="1">
        <v>46153.34878472222</v>
      </c>
      <c r="F2506">
        <v>1481</v>
      </c>
      <c r="G2506" t="s">
        <v>1825</v>
      </c>
      <c r="H2506" t="s">
        <v>15</v>
      </c>
      <c r="I2506" t="s">
        <v>1629</v>
      </c>
      <c r="J2506" t="str">
        <f>RIGHT(D2506,4)</f>
        <v>4802</v>
      </c>
      <c r="K2506" t="str">
        <f>IFERROR(VLOOKUP(VALUE(J2506),'Site Info'!$A:$G,3,FALSE),"")</f>
        <v>4798 JIMMY LEE SMITH PKWY</v>
      </c>
      <c r="L2506" t="str">
        <f>IFERROR(VLOOKUP(VALUE(J2506),'Site Info'!$A:$G,4,FALSE),"")</f>
        <v>HIRAM</v>
      </c>
      <c r="M2506" t="str">
        <f>IFERROR(VLOOKUP(VALUE(J2506),'Site Info'!$A:$G,5,FALSE),"")</f>
        <v>GA</v>
      </c>
      <c r="N2506" t="str">
        <f>IFERROR(VLOOKUP(VALUE(J2506),'Site Info'!$A:$G,6,FALSE),"")</f>
        <v>30141-2729</v>
      </c>
      <c r="O2506">
        <f>IFERROR(VLOOKUP(VALUE(J2506),'Site Info'!$A:$G,7,FALSE),"")</f>
        <v>6785675990</v>
      </c>
    </row>
    <row r="2507" spans="1:15" x14ac:dyDescent="0.45">
      <c r="A2507" t="s">
        <v>16420</v>
      </c>
      <c r="B2507" t="s">
        <v>16458</v>
      </c>
      <c r="C2507" t="s">
        <v>16459</v>
      </c>
      <c r="D2507" t="s">
        <v>1627</v>
      </c>
      <c r="E2507" s="1">
        <v>46151.62908564815</v>
      </c>
      <c r="F2507">
        <v>1628</v>
      </c>
      <c r="G2507" t="s">
        <v>16460</v>
      </c>
      <c r="H2507" t="s">
        <v>13988</v>
      </c>
      <c r="I2507" t="s">
        <v>1629</v>
      </c>
      <c r="J2507" t="str">
        <f>RIGHT(D2507,4)</f>
        <v>4802</v>
      </c>
      <c r="K2507" t="str">
        <f>IFERROR(VLOOKUP(VALUE(J2507),'Site Info'!$A:$G,3,FALSE),"")</f>
        <v>4798 JIMMY LEE SMITH PKWY</v>
      </c>
      <c r="L2507" t="str">
        <f>IFERROR(VLOOKUP(VALUE(J2507),'Site Info'!$A:$G,4,FALSE),"")</f>
        <v>HIRAM</v>
      </c>
      <c r="M2507" t="str">
        <f>IFERROR(VLOOKUP(VALUE(J2507),'Site Info'!$A:$G,5,FALSE),"")</f>
        <v>GA</v>
      </c>
      <c r="N2507" t="str">
        <f>IFERROR(VLOOKUP(VALUE(J2507),'Site Info'!$A:$G,6,FALSE),"")</f>
        <v>30141-2729</v>
      </c>
      <c r="O2507">
        <f>IFERROR(VLOOKUP(VALUE(J2507),'Site Info'!$A:$G,7,FALSE),"")</f>
        <v>6785675990</v>
      </c>
    </row>
    <row r="2508" spans="1:15" x14ac:dyDescent="0.45">
      <c r="A2508" t="s">
        <v>4716</v>
      </c>
      <c r="B2508" t="s">
        <v>4717</v>
      </c>
      <c r="C2508" t="s">
        <v>4718</v>
      </c>
      <c r="D2508" t="s">
        <v>393</v>
      </c>
      <c r="E2508" s="1">
        <v>46149.654016203705</v>
      </c>
      <c r="F2508">
        <v>1547</v>
      </c>
      <c r="G2508" t="s">
        <v>4719</v>
      </c>
      <c r="H2508" t="s">
        <v>15</v>
      </c>
      <c r="I2508" t="s">
        <v>395</v>
      </c>
      <c r="J2508" t="str">
        <f>RIGHT(D2508,4)</f>
        <v>8156</v>
      </c>
      <c r="K2508" t="str">
        <f>IFERROR(VLOOKUP(VALUE(J2508),'Site Info'!$A:$G,3,FALSE),"")</f>
        <v>4810 SAN BERNARDO AVE</v>
      </c>
      <c r="L2508" t="str">
        <f>IFERROR(VLOOKUP(VALUE(J2508),'Site Info'!$A:$G,4,FALSE),"")</f>
        <v>LAREDO</v>
      </c>
      <c r="M2508" t="str">
        <f>IFERROR(VLOOKUP(VALUE(J2508),'Site Info'!$A:$G,5,FALSE),"")</f>
        <v>TX</v>
      </c>
      <c r="N2508" t="str">
        <f>IFERROR(VLOOKUP(VALUE(J2508),'Site Info'!$A:$G,6,FALSE),"")</f>
        <v>78041-5710</v>
      </c>
      <c r="O2508">
        <f>IFERROR(VLOOKUP(VALUE(J2508),'Site Info'!$A:$G,7,FALSE),"")</f>
        <v>9567255300</v>
      </c>
    </row>
    <row r="2509" spans="1:15" x14ac:dyDescent="0.45">
      <c r="A2509" t="s">
        <v>4864</v>
      </c>
      <c r="B2509" t="s">
        <v>4865</v>
      </c>
      <c r="C2509" t="s">
        <v>4866</v>
      </c>
      <c r="D2509" t="s">
        <v>393</v>
      </c>
      <c r="E2509" s="1">
        <v>46151.491747685184</v>
      </c>
      <c r="F2509">
        <v>1547</v>
      </c>
      <c r="G2509" t="s">
        <v>4867</v>
      </c>
      <c r="H2509" t="s">
        <v>15</v>
      </c>
      <c r="I2509" t="s">
        <v>395</v>
      </c>
      <c r="J2509" t="str">
        <f>RIGHT(D2509,4)</f>
        <v>8156</v>
      </c>
      <c r="K2509" t="str">
        <f>IFERROR(VLOOKUP(VALUE(J2509),'Site Info'!$A:$G,3,FALSE),"")</f>
        <v>4810 SAN BERNARDO AVE</v>
      </c>
      <c r="L2509" t="str">
        <f>IFERROR(VLOOKUP(VALUE(J2509),'Site Info'!$A:$G,4,FALSE),"")</f>
        <v>LAREDO</v>
      </c>
      <c r="M2509" t="str">
        <f>IFERROR(VLOOKUP(VALUE(J2509),'Site Info'!$A:$G,5,FALSE),"")</f>
        <v>TX</v>
      </c>
      <c r="N2509" t="str">
        <f>IFERROR(VLOOKUP(VALUE(J2509),'Site Info'!$A:$G,6,FALSE),"")</f>
        <v>78041-5710</v>
      </c>
      <c r="O2509">
        <f>IFERROR(VLOOKUP(VALUE(J2509),'Site Info'!$A:$G,7,FALSE),"")</f>
        <v>9567255300</v>
      </c>
    </row>
    <row r="2510" spans="1:15" x14ac:dyDescent="0.45">
      <c r="A2510" t="s">
        <v>4348</v>
      </c>
      <c r="B2510" t="s">
        <v>4349</v>
      </c>
      <c r="C2510" t="s">
        <v>4350</v>
      </c>
      <c r="D2510" t="s">
        <v>393</v>
      </c>
      <c r="E2510" s="1">
        <v>46151.741377314815</v>
      </c>
      <c r="F2510">
        <v>1547</v>
      </c>
      <c r="G2510" t="s">
        <v>4351</v>
      </c>
      <c r="H2510" t="s">
        <v>15</v>
      </c>
      <c r="I2510" t="s">
        <v>395</v>
      </c>
      <c r="J2510" t="str">
        <f>RIGHT(D2510,4)</f>
        <v>8156</v>
      </c>
      <c r="K2510" t="str">
        <f>IFERROR(VLOOKUP(VALUE(J2510),'Site Info'!$A:$G,3,FALSE),"")</f>
        <v>4810 SAN BERNARDO AVE</v>
      </c>
      <c r="L2510" t="str">
        <f>IFERROR(VLOOKUP(VALUE(J2510),'Site Info'!$A:$G,4,FALSE),"")</f>
        <v>LAREDO</v>
      </c>
      <c r="M2510" t="str">
        <f>IFERROR(VLOOKUP(VALUE(J2510),'Site Info'!$A:$G,5,FALSE),"")</f>
        <v>TX</v>
      </c>
      <c r="N2510" t="str">
        <f>IFERROR(VLOOKUP(VALUE(J2510),'Site Info'!$A:$G,6,FALSE),"")</f>
        <v>78041-5710</v>
      </c>
      <c r="O2510">
        <f>IFERROR(VLOOKUP(VALUE(J2510),'Site Info'!$A:$G,7,FALSE),"")</f>
        <v>9567255300</v>
      </c>
    </row>
    <row r="2511" spans="1:15" x14ac:dyDescent="0.45">
      <c r="A2511" t="s">
        <v>11204</v>
      </c>
      <c r="B2511" t="s">
        <v>11205</v>
      </c>
      <c r="C2511" t="s">
        <v>11206</v>
      </c>
      <c r="D2511" t="s">
        <v>393</v>
      </c>
      <c r="E2511" s="1">
        <v>46153.175347222219</v>
      </c>
      <c r="F2511">
        <v>1547</v>
      </c>
      <c r="G2511" t="s">
        <v>11207</v>
      </c>
      <c r="H2511" t="s">
        <v>15</v>
      </c>
      <c r="I2511" t="s">
        <v>395</v>
      </c>
      <c r="J2511" t="str">
        <f>RIGHT(D2511,4)</f>
        <v>8156</v>
      </c>
      <c r="K2511" t="str">
        <f>IFERROR(VLOOKUP(VALUE(J2511),'Site Info'!$A:$G,3,FALSE),"")</f>
        <v>4810 SAN BERNARDO AVE</v>
      </c>
      <c r="L2511" t="str">
        <f>IFERROR(VLOOKUP(VALUE(J2511),'Site Info'!$A:$G,4,FALSE),"")</f>
        <v>LAREDO</v>
      </c>
      <c r="M2511" t="str">
        <f>IFERROR(VLOOKUP(VALUE(J2511),'Site Info'!$A:$G,5,FALSE),"")</f>
        <v>TX</v>
      </c>
      <c r="N2511" t="str">
        <f>IFERROR(VLOOKUP(VALUE(J2511),'Site Info'!$A:$G,6,FALSE),"")</f>
        <v>78041-5710</v>
      </c>
      <c r="O2511">
        <f>IFERROR(VLOOKUP(VALUE(J2511),'Site Info'!$A:$G,7,FALSE),"")</f>
        <v>9567255300</v>
      </c>
    </row>
    <row r="2512" spans="1:15" x14ac:dyDescent="0.45">
      <c r="A2512" t="s">
        <v>390</v>
      </c>
      <c r="B2512" t="s">
        <v>391</v>
      </c>
      <c r="C2512" t="s">
        <v>392</v>
      </c>
      <c r="D2512" t="s">
        <v>393</v>
      </c>
      <c r="E2512" s="1">
        <v>46153.188761574071</v>
      </c>
      <c r="F2512">
        <v>1481</v>
      </c>
      <c r="G2512" t="s">
        <v>394</v>
      </c>
      <c r="H2512" t="s">
        <v>15</v>
      </c>
      <c r="I2512" t="s">
        <v>395</v>
      </c>
      <c r="J2512" t="str">
        <f>RIGHT(D2512,4)</f>
        <v>8156</v>
      </c>
      <c r="K2512" t="str">
        <f>IFERROR(VLOOKUP(VALUE(J2512),'Site Info'!$A:$G,3,FALSE),"")</f>
        <v>4810 SAN BERNARDO AVE</v>
      </c>
      <c r="L2512" t="str">
        <f>IFERROR(VLOOKUP(VALUE(J2512),'Site Info'!$A:$G,4,FALSE),"")</f>
        <v>LAREDO</v>
      </c>
      <c r="M2512" t="str">
        <f>IFERROR(VLOOKUP(VALUE(J2512),'Site Info'!$A:$G,5,FALSE),"")</f>
        <v>TX</v>
      </c>
      <c r="N2512" t="str">
        <f>IFERROR(VLOOKUP(VALUE(J2512),'Site Info'!$A:$G,6,FALSE),"")</f>
        <v>78041-5710</v>
      </c>
      <c r="O2512">
        <f>IFERROR(VLOOKUP(VALUE(J2512),'Site Info'!$A:$G,7,FALSE),"")</f>
        <v>9567255300</v>
      </c>
    </row>
    <row r="2513" spans="1:15" x14ac:dyDescent="0.45">
      <c r="A2513" t="s">
        <v>464</v>
      </c>
      <c r="B2513" t="s">
        <v>465</v>
      </c>
      <c r="C2513" t="s">
        <v>466</v>
      </c>
      <c r="D2513" t="s">
        <v>393</v>
      </c>
      <c r="E2513" s="1">
        <v>46153.348067129627</v>
      </c>
      <c r="F2513">
        <v>1481</v>
      </c>
      <c r="G2513" t="s">
        <v>467</v>
      </c>
      <c r="H2513" t="s">
        <v>15</v>
      </c>
      <c r="I2513" t="s">
        <v>395</v>
      </c>
      <c r="J2513" t="str">
        <f>RIGHT(D2513,4)</f>
        <v>8156</v>
      </c>
      <c r="K2513" t="str">
        <f>IFERROR(VLOOKUP(VALUE(J2513),'Site Info'!$A:$G,3,FALSE),"")</f>
        <v>4810 SAN BERNARDO AVE</v>
      </c>
      <c r="L2513" t="str">
        <f>IFERROR(VLOOKUP(VALUE(J2513),'Site Info'!$A:$G,4,FALSE),"")</f>
        <v>LAREDO</v>
      </c>
      <c r="M2513" t="str">
        <f>IFERROR(VLOOKUP(VALUE(J2513),'Site Info'!$A:$G,5,FALSE),"")</f>
        <v>TX</v>
      </c>
      <c r="N2513" t="str">
        <f>IFERROR(VLOOKUP(VALUE(J2513),'Site Info'!$A:$G,6,FALSE),"")</f>
        <v>78041-5710</v>
      </c>
      <c r="O2513">
        <f>IFERROR(VLOOKUP(VALUE(J2513),'Site Info'!$A:$G,7,FALSE),"")</f>
        <v>9567255300</v>
      </c>
    </row>
    <row r="2514" spans="1:15" x14ac:dyDescent="0.45">
      <c r="A2514" t="s">
        <v>4700</v>
      </c>
      <c r="B2514" t="s">
        <v>4701</v>
      </c>
      <c r="C2514" t="s">
        <v>4702</v>
      </c>
      <c r="D2514" t="s">
        <v>4477</v>
      </c>
      <c r="E2514" s="1">
        <v>46122.335543981484</v>
      </c>
      <c r="F2514">
        <v>1547</v>
      </c>
      <c r="G2514" t="s">
        <v>4703</v>
      </c>
      <c r="H2514" t="s">
        <v>15</v>
      </c>
      <c r="I2514" t="s">
        <v>4479</v>
      </c>
      <c r="J2514" t="str">
        <f>RIGHT(D2514,4)</f>
        <v>6635</v>
      </c>
      <c r="K2514" t="str">
        <f>IFERROR(VLOOKUP(VALUE(J2514),'Site Info'!$A:$G,3,FALSE),"")</f>
        <v>4827 S WADSWORTH WAY</v>
      </c>
      <c r="L2514" t="str">
        <f>IFERROR(VLOOKUP(VALUE(J2514),'Site Info'!$A:$G,4,FALSE),"")</f>
        <v>LITTLETON</v>
      </c>
      <c r="M2514" t="str">
        <f>IFERROR(VLOOKUP(VALUE(J2514),'Site Info'!$A:$G,5,FALSE),"")</f>
        <v>CO</v>
      </c>
      <c r="N2514" t="str">
        <f>IFERROR(VLOOKUP(VALUE(J2514),'Site Info'!$A:$G,6,FALSE),"")</f>
        <v>80123-1846</v>
      </c>
      <c r="O2514">
        <f>IFERROR(VLOOKUP(VALUE(J2514),'Site Info'!$A:$G,7,FALSE),"")</f>
        <v>3039710136</v>
      </c>
    </row>
    <row r="2515" spans="1:15" x14ac:dyDescent="0.45">
      <c r="A2515" t="s">
        <v>4474</v>
      </c>
      <c r="B2515" t="s">
        <v>4475</v>
      </c>
      <c r="C2515" t="s">
        <v>4476</v>
      </c>
      <c r="D2515" t="s">
        <v>4477</v>
      </c>
      <c r="E2515" s="1">
        <v>46152.283402777779</v>
      </c>
      <c r="F2515">
        <v>1547</v>
      </c>
      <c r="G2515" t="s">
        <v>4478</v>
      </c>
      <c r="H2515" t="s">
        <v>15</v>
      </c>
      <c r="I2515" t="s">
        <v>4479</v>
      </c>
      <c r="J2515" t="str">
        <f>RIGHT(D2515,4)</f>
        <v>6635</v>
      </c>
      <c r="K2515" t="str">
        <f>IFERROR(VLOOKUP(VALUE(J2515),'Site Info'!$A:$G,3,FALSE),"")</f>
        <v>4827 S WADSWORTH WAY</v>
      </c>
      <c r="L2515" t="str">
        <f>IFERROR(VLOOKUP(VALUE(J2515),'Site Info'!$A:$G,4,FALSE),"")</f>
        <v>LITTLETON</v>
      </c>
      <c r="M2515" t="str">
        <f>IFERROR(VLOOKUP(VALUE(J2515),'Site Info'!$A:$G,5,FALSE),"")</f>
        <v>CO</v>
      </c>
      <c r="N2515" t="str">
        <f>IFERROR(VLOOKUP(VALUE(J2515),'Site Info'!$A:$G,6,FALSE),"")</f>
        <v>80123-1846</v>
      </c>
      <c r="O2515">
        <f>IFERROR(VLOOKUP(VALUE(J2515),'Site Info'!$A:$G,7,FALSE),"")</f>
        <v>3039710136</v>
      </c>
    </row>
    <row r="2516" spans="1:15" x14ac:dyDescent="0.45">
      <c r="A2516" t="s">
        <v>4822</v>
      </c>
      <c r="B2516" t="s">
        <v>4823</v>
      </c>
      <c r="C2516" t="s">
        <v>4824</v>
      </c>
      <c r="D2516" t="s">
        <v>4477</v>
      </c>
      <c r="E2516" s="1">
        <v>46152.417928240742</v>
      </c>
      <c r="F2516">
        <v>1547</v>
      </c>
      <c r="G2516" t="s">
        <v>4825</v>
      </c>
      <c r="H2516" t="s">
        <v>15</v>
      </c>
      <c r="I2516" t="s">
        <v>4479</v>
      </c>
      <c r="J2516" t="str">
        <f>RIGHT(D2516,4)</f>
        <v>6635</v>
      </c>
      <c r="K2516" t="str">
        <f>IFERROR(VLOOKUP(VALUE(J2516),'Site Info'!$A:$G,3,FALSE),"")</f>
        <v>4827 S WADSWORTH WAY</v>
      </c>
      <c r="L2516" t="str">
        <f>IFERROR(VLOOKUP(VALUE(J2516),'Site Info'!$A:$G,4,FALSE),"")</f>
        <v>LITTLETON</v>
      </c>
      <c r="M2516" t="str">
        <f>IFERROR(VLOOKUP(VALUE(J2516),'Site Info'!$A:$G,5,FALSE),"")</f>
        <v>CO</v>
      </c>
      <c r="N2516" t="str">
        <f>IFERROR(VLOOKUP(VALUE(J2516),'Site Info'!$A:$G,6,FALSE),"")</f>
        <v>80123-1846</v>
      </c>
      <c r="O2516">
        <f>IFERROR(VLOOKUP(VALUE(J2516),'Site Info'!$A:$G,7,FALSE),"")</f>
        <v>3039710136</v>
      </c>
    </row>
    <row r="2517" spans="1:15" x14ac:dyDescent="0.45">
      <c r="A2517" t="s">
        <v>14147</v>
      </c>
      <c r="B2517" t="s">
        <v>14148</v>
      </c>
      <c r="C2517" t="s">
        <v>14149</v>
      </c>
      <c r="D2517" t="s">
        <v>4477</v>
      </c>
      <c r="E2517" s="1">
        <v>46152.489363425928</v>
      </c>
      <c r="F2517">
        <v>1547</v>
      </c>
      <c r="G2517" t="s">
        <v>14150</v>
      </c>
      <c r="H2517" t="s">
        <v>15</v>
      </c>
      <c r="I2517" t="s">
        <v>4479</v>
      </c>
      <c r="J2517" t="str">
        <f>RIGHT(D2517,4)</f>
        <v>6635</v>
      </c>
      <c r="K2517" t="str">
        <f>IFERROR(VLOOKUP(VALUE(J2517),'Site Info'!$A:$G,3,FALSE),"")</f>
        <v>4827 S WADSWORTH WAY</v>
      </c>
      <c r="L2517" t="str">
        <f>IFERROR(VLOOKUP(VALUE(J2517),'Site Info'!$A:$G,4,FALSE),"")</f>
        <v>LITTLETON</v>
      </c>
      <c r="M2517" t="str">
        <f>IFERROR(VLOOKUP(VALUE(J2517),'Site Info'!$A:$G,5,FALSE),"")</f>
        <v>CO</v>
      </c>
      <c r="N2517" t="str">
        <f>IFERROR(VLOOKUP(VALUE(J2517),'Site Info'!$A:$G,6,FALSE),"")</f>
        <v>80123-1846</v>
      </c>
      <c r="O2517">
        <f>IFERROR(VLOOKUP(VALUE(J2517),'Site Info'!$A:$G,7,FALSE),"")</f>
        <v>3039710136</v>
      </c>
    </row>
    <row r="2518" spans="1:15" x14ac:dyDescent="0.45">
      <c r="A2518" t="s">
        <v>4802</v>
      </c>
      <c r="B2518" t="s">
        <v>4803</v>
      </c>
      <c r="C2518" t="s">
        <v>4804</v>
      </c>
      <c r="D2518" t="s">
        <v>4477</v>
      </c>
      <c r="E2518" s="1">
        <v>46152.748553240737</v>
      </c>
      <c r="F2518">
        <v>1547</v>
      </c>
      <c r="G2518" t="s">
        <v>4805</v>
      </c>
      <c r="H2518" t="s">
        <v>15</v>
      </c>
      <c r="I2518" t="s">
        <v>4479</v>
      </c>
      <c r="J2518" t="str">
        <f>RIGHT(D2518,4)</f>
        <v>6635</v>
      </c>
      <c r="K2518" t="str">
        <f>IFERROR(VLOOKUP(VALUE(J2518),'Site Info'!$A:$G,3,FALSE),"")</f>
        <v>4827 S WADSWORTH WAY</v>
      </c>
      <c r="L2518" t="str">
        <f>IFERROR(VLOOKUP(VALUE(J2518),'Site Info'!$A:$G,4,FALSE),"")</f>
        <v>LITTLETON</v>
      </c>
      <c r="M2518" t="str">
        <f>IFERROR(VLOOKUP(VALUE(J2518),'Site Info'!$A:$G,5,FALSE),"")</f>
        <v>CO</v>
      </c>
      <c r="N2518" t="str">
        <f>IFERROR(VLOOKUP(VALUE(J2518),'Site Info'!$A:$G,6,FALSE),"")</f>
        <v>80123-1846</v>
      </c>
      <c r="O2518">
        <f>IFERROR(VLOOKUP(VALUE(J2518),'Site Info'!$A:$G,7,FALSE),"")</f>
        <v>3039710136</v>
      </c>
    </row>
    <row r="2519" spans="1:15" x14ac:dyDescent="0.45">
      <c r="A2519" t="s">
        <v>11340</v>
      </c>
      <c r="B2519" t="s">
        <v>11341</v>
      </c>
      <c r="C2519" t="s">
        <v>11342</v>
      </c>
      <c r="D2519" t="s">
        <v>4477</v>
      </c>
      <c r="E2519" s="1">
        <v>46153.357199074075</v>
      </c>
      <c r="F2519">
        <v>1547</v>
      </c>
      <c r="G2519" t="s">
        <v>11343</v>
      </c>
      <c r="H2519" t="s">
        <v>15</v>
      </c>
      <c r="I2519" t="s">
        <v>4479</v>
      </c>
      <c r="J2519" t="str">
        <f>RIGHT(D2519,4)</f>
        <v>6635</v>
      </c>
      <c r="K2519" t="str">
        <f>IFERROR(VLOOKUP(VALUE(J2519),'Site Info'!$A:$G,3,FALSE),"")</f>
        <v>4827 S WADSWORTH WAY</v>
      </c>
      <c r="L2519" t="str">
        <f>IFERROR(VLOOKUP(VALUE(J2519),'Site Info'!$A:$G,4,FALSE),"")</f>
        <v>LITTLETON</v>
      </c>
      <c r="M2519" t="str">
        <f>IFERROR(VLOOKUP(VALUE(J2519),'Site Info'!$A:$G,5,FALSE),"")</f>
        <v>CO</v>
      </c>
      <c r="N2519" t="str">
        <f>IFERROR(VLOOKUP(VALUE(J2519),'Site Info'!$A:$G,6,FALSE),"")</f>
        <v>80123-1846</v>
      </c>
      <c r="O2519">
        <f>IFERROR(VLOOKUP(VALUE(J2519),'Site Info'!$A:$G,7,FALSE),"")</f>
        <v>3039710136</v>
      </c>
    </row>
    <row r="2520" spans="1:15" x14ac:dyDescent="0.45">
      <c r="A2520" t="s">
        <v>5352</v>
      </c>
      <c r="B2520" t="s">
        <v>5353</v>
      </c>
      <c r="C2520" t="s">
        <v>5354</v>
      </c>
      <c r="D2520" t="s">
        <v>4477</v>
      </c>
      <c r="E2520" s="1">
        <v>46153.365555555552</v>
      </c>
      <c r="F2520">
        <v>1547</v>
      </c>
      <c r="G2520" t="s">
        <v>5355</v>
      </c>
      <c r="H2520" t="s">
        <v>15</v>
      </c>
      <c r="I2520" t="s">
        <v>4479</v>
      </c>
      <c r="J2520" t="str">
        <f>RIGHT(D2520,4)</f>
        <v>6635</v>
      </c>
      <c r="K2520" t="str">
        <f>IFERROR(VLOOKUP(VALUE(J2520),'Site Info'!$A:$G,3,FALSE),"")</f>
        <v>4827 S WADSWORTH WAY</v>
      </c>
      <c r="L2520" t="str">
        <f>IFERROR(VLOOKUP(VALUE(J2520),'Site Info'!$A:$G,4,FALSE),"")</f>
        <v>LITTLETON</v>
      </c>
      <c r="M2520" t="str">
        <f>IFERROR(VLOOKUP(VALUE(J2520),'Site Info'!$A:$G,5,FALSE),"")</f>
        <v>CO</v>
      </c>
      <c r="N2520" t="str">
        <f>IFERROR(VLOOKUP(VALUE(J2520),'Site Info'!$A:$G,6,FALSE),"")</f>
        <v>80123-1846</v>
      </c>
      <c r="O2520">
        <f>IFERROR(VLOOKUP(VALUE(J2520),'Site Info'!$A:$G,7,FALSE),"")</f>
        <v>3039710136</v>
      </c>
    </row>
    <row r="2521" spans="1:15" x14ac:dyDescent="0.45">
      <c r="A2521" t="s">
        <v>13627</v>
      </c>
      <c r="B2521" t="s">
        <v>13628</v>
      </c>
      <c r="C2521" t="s">
        <v>13629</v>
      </c>
      <c r="D2521" t="s">
        <v>9368</v>
      </c>
      <c r="E2521" s="1">
        <v>46152.661782407406</v>
      </c>
      <c r="F2521">
        <v>1547</v>
      </c>
      <c r="G2521" t="s">
        <v>13630</v>
      </c>
      <c r="H2521" t="s">
        <v>15</v>
      </c>
      <c r="I2521" t="s">
        <v>9370</v>
      </c>
      <c r="J2521" t="str">
        <f>RIGHT(D2521,4)</f>
        <v>8172</v>
      </c>
      <c r="K2521" t="str">
        <f>IFERROR(VLOOKUP(VALUE(J2521),'Site Info'!$A:$G,3,FALSE),"")</f>
        <v>4831 13TH AVE S</v>
      </c>
      <c r="L2521" t="str">
        <f>IFERROR(VLOOKUP(VALUE(J2521),'Site Info'!$A:$G,4,FALSE),"")</f>
        <v>FARGO</v>
      </c>
      <c r="M2521" t="str">
        <f>IFERROR(VLOOKUP(VALUE(J2521),'Site Info'!$A:$G,5,FALSE),"")</f>
        <v>ND</v>
      </c>
      <c r="N2521" t="str">
        <f>IFERROR(VLOOKUP(VALUE(J2521),'Site Info'!$A:$G,6,FALSE),"")</f>
        <v>58103-7206</v>
      </c>
      <c r="O2521">
        <f>IFERROR(VLOOKUP(VALUE(J2521),'Site Info'!$A:$G,7,FALSE),"")</f>
        <v>7012827997</v>
      </c>
    </row>
    <row r="2522" spans="1:15" x14ac:dyDescent="0.45">
      <c r="A2522" t="s">
        <v>12930</v>
      </c>
      <c r="B2522" t="s">
        <v>12931</v>
      </c>
      <c r="C2522" t="s">
        <v>12932</v>
      </c>
      <c r="D2522" t="s">
        <v>9368</v>
      </c>
      <c r="E2522" s="1">
        <v>46152.704571759263</v>
      </c>
      <c r="F2522">
        <v>1547</v>
      </c>
      <c r="G2522" t="s">
        <v>12933</v>
      </c>
      <c r="H2522" t="s">
        <v>15</v>
      </c>
      <c r="I2522" t="s">
        <v>9370</v>
      </c>
      <c r="J2522" t="str">
        <f>RIGHT(D2522,4)</f>
        <v>8172</v>
      </c>
      <c r="K2522" t="str">
        <f>IFERROR(VLOOKUP(VALUE(J2522),'Site Info'!$A:$G,3,FALSE),"")</f>
        <v>4831 13TH AVE S</v>
      </c>
      <c r="L2522" t="str">
        <f>IFERROR(VLOOKUP(VALUE(J2522),'Site Info'!$A:$G,4,FALSE),"")</f>
        <v>FARGO</v>
      </c>
      <c r="M2522" t="str">
        <f>IFERROR(VLOOKUP(VALUE(J2522),'Site Info'!$A:$G,5,FALSE),"")</f>
        <v>ND</v>
      </c>
      <c r="N2522" t="str">
        <f>IFERROR(VLOOKUP(VALUE(J2522),'Site Info'!$A:$G,6,FALSE),"")</f>
        <v>58103-7206</v>
      </c>
      <c r="O2522">
        <f>IFERROR(VLOOKUP(VALUE(J2522),'Site Info'!$A:$G,7,FALSE),"")</f>
        <v>7012827997</v>
      </c>
    </row>
    <row r="2523" spans="1:15" x14ac:dyDescent="0.45">
      <c r="A2523" t="s">
        <v>9365</v>
      </c>
      <c r="B2523" t="s">
        <v>9366</v>
      </c>
      <c r="C2523" t="s">
        <v>9367</v>
      </c>
      <c r="D2523" t="s">
        <v>9368</v>
      </c>
      <c r="E2523" s="1">
        <v>46152.711180555554</v>
      </c>
      <c r="F2523">
        <v>1547</v>
      </c>
      <c r="G2523" t="s">
        <v>9369</v>
      </c>
      <c r="H2523" t="s">
        <v>15</v>
      </c>
      <c r="I2523" t="s">
        <v>9370</v>
      </c>
      <c r="J2523" t="str">
        <f>RIGHT(D2523,4)</f>
        <v>8172</v>
      </c>
      <c r="K2523" t="str">
        <f>IFERROR(VLOOKUP(VALUE(J2523),'Site Info'!$A:$G,3,FALSE),"")</f>
        <v>4831 13TH AVE S</v>
      </c>
      <c r="L2523" t="str">
        <f>IFERROR(VLOOKUP(VALUE(J2523),'Site Info'!$A:$G,4,FALSE),"")</f>
        <v>FARGO</v>
      </c>
      <c r="M2523" t="str">
        <f>IFERROR(VLOOKUP(VALUE(J2523),'Site Info'!$A:$G,5,FALSE),"")</f>
        <v>ND</v>
      </c>
      <c r="N2523" t="str">
        <f>IFERROR(VLOOKUP(VALUE(J2523),'Site Info'!$A:$G,6,FALSE),"")</f>
        <v>58103-7206</v>
      </c>
      <c r="O2523">
        <f>IFERROR(VLOOKUP(VALUE(J2523),'Site Info'!$A:$G,7,FALSE),"")</f>
        <v>7012827997</v>
      </c>
    </row>
    <row r="2524" spans="1:15" x14ac:dyDescent="0.45">
      <c r="A2524" t="s">
        <v>10718</v>
      </c>
      <c r="B2524" t="s">
        <v>10719</v>
      </c>
      <c r="C2524" t="s">
        <v>10720</v>
      </c>
      <c r="D2524" t="s">
        <v>9368</v>
      </c>
      <c r="E2524" s="1">
        <v>46153.016053240739</v>
      </c>
      <c r="F2524">
        <v>1547</v>
      </c>
      <c r="G2524" t="s">
        <v>10721</v>
      </c>
      <c r="H2524" t="s">
        <v>15</v>
      </c>
      <c r="I2524" t="s">
        <v>9370</v>
      </c>
      <c r="J2524" t="str">
        <f>RIGHT(D2524,4)</f>
        <v>8172</v>
      </c>
      <c r="K2524" t="str">
        <f>IFERROR(VLOOKUP(VALUE(J2524),'Site Info'!$A:$G,3,FALSE),"")</f>
        <v>4831 13TH AVE S</v>
      </c>
      <c r="L2524" t="str">
        <f>IFERROR(VLOOKUP(VALUE(J2524),'Site Info'!$A:$G,4,FALSE),"")</f>
        <v>FARGO</v>
      </c>
      <c r="M2524" t="str">
        <f>IFERROR(VLOOKUP(VALUE(J2524),'Site Info'!$A:$G,5,FALSE),"")</f>
        <v>ND</v>
      </c>
      <c r="N2524" t="str">
        <f>IFERROR(VLOOKUP(VALUE(J2524),'Site Info'!$A:$G,6,FALSE),"")</f>
        <v>58103-7206</v>
      </c>
      <c r="O2524">
        <f>IFERROR(VLOOKUP(VALUE(J2524),'Site Info'!$A:$G,7,FALSE),"")</f>
        <v>7012827997</v>
      </c>
    </row>
    <row r="2525" spans="1:15" x14ac:dyDescent="0.45">
      <c r="A2525" t="s">
        <v>4810</v>
      </c>
      <c r="B2525" t="s">
        <v>4811</v>
      </c>
      <c r="C2525" t="s">
        <v>4812</v>
      </c>
      <c r="D2525" t="s">
        <v>3416</v>
      </c>
      <c r="E2525" s="1">
        <v>46152.657164351855</v>
      </c>
      <c r="F2525">
        <v>1547</v>
      </c>
      <c r="G2525" t="s">
        <v>4813</v>
      </c>
      <c r="H2525" t="s">
        <v>15</v>
      </c>
      <c r="I2525" t="s">
        <v>3418</v>
      </c>
      <c r="J2525" t="str">
        <f>RIGHT(D2525,4)</f>
        <v>8267</v>
      </c>
      <c r="K2525" t="str">
        <f>IFERROR(VLOOKUP(VALUE(J2525),'Site Info'!$A:$G,3,FALSE),"")</f>
        <v>4833 S.P.I.D</v>
      </c>
      <c r="L2525" t="str">
        <f>IFERROR(VLOOKUP(VALUE(J2525),'Site Info'!$A:$G,4,FALSE),"")</f>
        <v>CORPUS CHRISTI</v>
      </c>
      <c r="M2525" t="str">
        <f>IFERROR(VLOOKUP(VALUE(J2525),'Site Info'!$A:$G,5,FALSE),"")</f>
        <v>TX</v>
      </c>
      <c r="N2525" t="str">
        <f>IFERROR(VLOOKUP(VALUE(J2525),'Site Info'!$A:$G,6,FALSE),"")</f>
        <v>78411-4201</v>
      </c>
      <c r="O2525">
        <f>IFERROR(VLOOKUP(VALUE(J2525),'Site Info'!$A:$G,7,FALSE),"")</f>
        <v>3618570151</v>
      </c>
    </row>
    <row r="2526" spans="1:15" x14ac:dyDescent="0.45">
      <c r="A2526" t="s">
        <v>4806</v>
      </c>
      <c r="B2526" t="s">
        <v>4807</v>
      </c>
      <c r="C2526" t="s">
        <v>4808</v>
      </c>
      <c r="D2526" t="s">
        <v>3416</v>
      </c>
      <c r="E2526" s="1">
        <v>46152.657326388886</v>
      </c>
      <c r="F2526">
        <v>1547</v>
      </c>
      <c r="G2526" t="s">
        <v>4809</v>
      </c>
      <c r="H2526" t="s">
        <v>15</v>
      </c>
      <c r="I2526" t="s">
        <v>3418</v>
      </c>
      <c r="J2526" t="str">
        <f>RIGHT(D2526,4)</f>
        <v>8267</v>
      </c>
      <c r="K2526" t="str">
        <f>IFERROR(VLOOKUP(VALUE(J2526),'Site Info'!$A:$G,3,FALSE),"")</f>
        <v>4833 S.P.I.D</v>
      </c>
      <c r="L2526" t="str">
        <f>IFERROR(VLOOKUP(VALUE(J2526),'Site Info'!$A:$G,4,FALSE),"")</f>
        <v>CORPUS CHRISTI</v>
      </c>
      <c r="M2526" t="str">
        <f>IFERROR(VLOOKUP(VALUE(J2526),'Site Info'!$A:$G,5,FALSE),"")</f>
        <v>TX</v>
      </c>
      <c r="N2526" t="str">
        <f>IFERROR(VLOOKUP(VALUE(J2526),'Site Info'!$A:$G,6,FALSE),"")</f>
        <v>78411-4201</v>
      </c>
      <c r="O2526">
        <f>IFERROR(VLOOKUP(VALUE(J2526),'Site Info'!$A:$G,7,FALSE),"")</f>
        <v>3618570151</v>
      </c>
    </row>
    <row r="2527" spans="1:15" x14ac:dyDescent="0.45">
      <c r="A2527" t="s">
        <v>11594</v>
      </c>
      <c r="B2527" t="s">
        <v>11595</v>
      </c>
      <c r="C2527" t="s">
        <v>11596</v>
      </c>
      <c r="D2527" t="s">
        <v>3416</v>
      </c>
      <c r="E2527" s="1">
        <v>46152.810532407406</v>
      </c>
      <c r="F2527">
        <v>1547</v>
      </c>
      <c r="G2527" t="s">
        <v>11597</v>
      </c>
      <c r="H2527" t="s">
        <v>15</v>
      </c>
      <c r="I2527" t="s">
        <v>3418</v>
      </c>
      <c r="J2527" t="str">
        <f>RIGHT(D2527,4)</f>
        <v>8267</v>
      </c>
      <c r="K2527" t="str">
        <f>IFERROR(VLOOKUP(VALUE(J2527),'Site Info'!$A:$G,3,FALSE),"")</f>
        <v>4833 S.P.I.D</v>
      </c>
      <c r="L2527" t="str">
        <f>IFERROR(VLOOKUP(VALUE(J2527),'Site Info'!$A:$G,4,FALSE),"")</f>
        <v>CORPUS CHRISTI</v>
      </c>
      <c r="M2527" t="str">
        <f>IFERROR(VLOOKUP(VALUE(J2527),'Site Info'!$A:$G,5,FALSE),"")</f>
        <v>TX</v>
      </c>
      <c r="N2527" t="str">
        <f>IFERROR(VLOOKUP(VALUE(J2527),'Site Info'!$A:$G,6,FALSE),"")</f>
        <v>78411-4201</v>
      </c>
      <c r="O2527">
        <f>IFERROR(VLOOKUP(VALUE(J2527),'Site Info'!$A:$G,7,FALSE),"")</f>
        <v>3618570151</v>
      </c>
    </row>
    <row r="2528" spans="1:15" x14ac:dyDescent="0.45">
      <c r="A2528" t="s">
        <v>4904</v>
      </c>
      <c r="B2528" t="s">
        <v>4905</v>
      </c>
      <c r="C2528" t="s">
        <v>4906</v>
      </c>
      <c r="D2528" t="s">
        <v>3416</v>
      </c>
      <c r="E2528" s="1">
        <v>46153.289675925924</v>
      </c>
      <c r="F2528">
        <v>1547</v>
      </c>
      <c r="G2528" t="s">
        <v>4907</v>
      </c>
      <c r="H2528" t="s">
        <v>15</v>
      </c>
      <c r="I2528" t="s">
        <v>3418</v>
      </c>
      <c r="J2528" t="str">
        <f>RIGHT(D2528,4)</f>
        <v>8267</v>
      </c>
      <c r="K2528" t="str">
        <f>IFERROR(VLOOKUP(VALUE(J2528),'Site Info'!$A:$G,3,FALSE),"")</f>
        <v>4833 S.P.I.D</v>
      </c>
      <c r="L2528" t="str">
        <f>IFERROR(VLOOKUP(VALUE(J2528),'Site Info'!$A:$G,4,FALSE),"")</f>
        <v>CORPUS CHRISTI</v>
      </c>
      <c r="M2528" t="str">
        <f>IFERROR(VLOOKUP(VALUE(J2528),'Site Info'!$A:$G,5,FALSE),"")</f>
        <v>TX</v>
      </c>
      <c r="N2528" t="str">
        <f>IFERROR(VLOOKUP(VALUE(J2528),'Site Info'!$A:$G,6,FALSE),"")</f>
        <v>78411-4201</v>
      </c>
      <c r="O2528">
        <f>IFERROR(VLOOKUP(VALUE(J2528),'Site Info'!$A:$G,7,FALSE),"")</f>
        <v>3618570151</v>
      </c>
    </row>
    <row r="2529" spans="1:15" x14ac:dyDescent="0.45">
      <c r="A2529" t="s">
        <v>4798</v>
      </c>
      <c r="B2529" t="s">
        <v>4799</v>
      </c>
      <c r="C2529" t="s">
        <v>4800</v>
      </c>
      <c r="D2529" t="s">
        <v>3416</v>
      </c>
      <c r="E2529" s="1">
        <v>46153.290567129632</v>
      </c>
      <c r="F2529">
        <v>1547</v>
      </c>
      <c r="G2529" t="s">
        <v>4801</v>
      </c>
      <c r="H2529" t="s">
        <v>15</v>
      </c>
      <c r="I2529" t="s">
        <v>3418</v>
      </c>
      <c r="J2529" t="str">
        <f>RIGHT(D2529,4)</f>
        <v>8267</v>
      </c>
      <c r="K2529" t="str">
        <f>IFERROR(VLOOKUP(VALUE(J2529),'Site Info'!$A:$G,3,FALSE),"")</f>
        <v>4833 S.P.I.D</v>
      </c>
      <c r="L2529" t="str">
        <f>IFERROR(VLOOKUP(VALUE(J2529),'Site Info'!$A:$G,4,FALSE),"")</f>
        <v>CORPUS CHRISTI</v>
      </c>
      <c r="M2529" t="str">
        <f>IFERROR(VLOOKUP(VALUE(J2529),'Site Info'!$A:$G,5,FALSE),"")</f>
        <v>TX</v>
      </c>
      <c r="N2529" t="str">
        <f>IFERROR(VLOOKUP(VALUE(J2529),'Site Info'!$A:$G,6,FALSE),"")</f>
        <v>78411-4201</v>
      </c>
      <c r="O2529">
        <f>IFERROR(VLOOKUP(VALUE(J2529),'Site Info'!$A:$G,7,FALSE),"")</f>
        <v>3618570151</v>
      </c>
    </row>
    <row r="2530" spans="1:15" x14ac:dyDescent="0.45">
      <c r="A2530" t="s">
        <v>4790</v>
      </c>
      <c r="B2530" t="s">
        <v>4791</v>
      </c>
      <c r="C2530" t="s">
        <v>4792</v>
      </c>
      <c r="D2530" t="s">
        <v>3416</v>
      </c>
      <c r="E2530" s="1">
        <v>46153.358113425929</v>
      </c>
      <c r="F2530">
        <v>1547</v>
      </c>
      <c r="G2530" t="s">
        <v>4793</v>
      </c>
      <c r="H2530" t="s">
        <v>15</v>
      </c>
      <c r="I2530" t="s">
        <v>3418</v>
      </c>
      <c r="J2530" t="str">
        <f>RIGHT(D2530,4)</f>
        <v>8267</v>
      </c>
      <c r="K2530" t="str">
        <f>IFERROR(VLOOKUP(VALUE(J2530),'Site Info'!$A:$G,3,FALSE),"")</f>
        <v>4833 S.P.I.D</v>
      </c>
      <c r="L2530" t="str">
        <f>IFERROR(VLOOKUP(VALUE(J2530),'Site Info'!$A:$G,4,FALSE),"")</f>
        <v>CORPUS CHRISTI</v>
      </c>
      <c r="M2530" t="str">
        <f>IFERROR(VLOOKUP(VALUE(J2530),'Site Info'!$A:$G,5,FALSE),"")</f>
        <v>TX</v>
      </c>
      <c r="N2530" t="str">
        <f>IFERROR(VLOOKUP(VALUE(J2530),'Site Info'!$A:$G,6,FALSE),"")</f>
        <v>78411-4201</v>
      </c>
      <c r="O2530">
        <f>IFERROR(VLOOKUP(VALUE(J2530),'Site Info'!$A:$G,7,FALSE),"")</f>
        <v>3618570151</v>
      </c>
    </row>
    <row r="2531" spans="1:15" x14ac:dyDescent="0.45">
      <c r="A2531" t="s">
        <v>3413</v>
      </c>
      <c r="B2531" t="s">
        <v>3414</v>
      </c>
      <c r="C2531" t="s">
        <v>3415</v>
      </c>
      <c r="D2531" t="s">
        <v>3416</v>
      </c>
      <c r="E2531" s="1">
        <v>46153.305717592593</v>
      </c>
      <c r="F2531">
        <v>1481</v>
      </c>
      <c r="G2531" t="s">
        <v>3417</v>
      </c>
      <c r="H2531" t="s">
        <v>15</v>
      </c>
      <c r="I2531" t="s">
        <v>3418</v>
      </c>
      <c r="J2531" t="str">
        <f>RIGHT(D2531,4)</f>
        <v>8267</v>
      </c>
      <c r="K2531" t="str">
        <f>IFERROR(VLOOKUP(VALUE(J2531),'Site Info'!$A:$G,3,FALSE),"")</f>
        <v>4833 S.P.I.D</v>
      </c>
      <c r="L2531" t="str">
        <f>IFERROR(VLOOKUP(VALUE(J2531),'Site Info'!$A:$G,4,FALSE),"")</f>
        <v>CORPUS CHRISTI</v>
      </c>
      <c r="M2531" t="str">
        <f>IFERROR(VLOOKUP(VALUE(J2531),'Site Info'!$A:$G,5,FALSE),"")</f>
        <v>TX</v>
      </c>
      <c r="N2531" t="str">
        <f>IFERROR(VLOOKUP(VALUE(J2531),'Site Info'!$A:$G,6,FALSE),"")</f>
        <v>78411-4201</v>
      </c>
      <c r="O2531">
        <f>IFERROR(VLOOKUP(VALUE(J2531),'Site Info'!$A:$G,7,FALSE),"")</f>
        <v>3618570151</v>
      </c>
    </row>
    <row r="2532" spans="1:15" x14ac:dyDescent="0.45">
      <c r="A2532" t="s">
        <v>8325</v>
      </c>
      <c r="B2532" t="s">
        <v>8326</v>
      </c>
      <c r="C2532" t="s">
        <v>8327</v>
      </c>
      <c r="D2532" t="s">
        <v>3038</v>
      </c>
      <c r="E2532" s="1">
        <v>46151.82372685185</v>
      </c>
      <c r="F2532">
        <v>1547</v>
      </c>
      <c r="G2532" t="s">
        <v>8328</v>
      </c>
      <c r="H2532" t="s">
        <v>15</v>
      </c>
      <c r="I2532" t="s">
        <v>3040</v>
      </c>
      <c r="J2532" t="str">
        <f>RIGHT(D2532,4)</f>
        <v>4768</v>
      </c>
      <c r="K2532" t="str">
        <f>IFERROR(VLOOKUP(VALUE(J2532),'Site Info'!$A:$G,3,FALSE),"")</f>
        <v>4835 KIETZKE LN</v>
      </c>
      <c r="L2532" t="str">
        <f>IFERROR(VLOOKUP(VALUE(J2532),'Site Info'!$A:$G,4,FALSE),"")</f>
        <v>RENO</v>
      </c>
      <c r="M2532" t="str">
        <f>IFERROR(VLOOKUP(VALUE(J2532),'Site Info'!$A:$G,5,FALSE),"")</f>
        <v>NV</v>
      </c>
      <c r="N2532" t="str">
        <f>IFERROR(VLOOKUP(VALUE(J2532),'Site Info'!$A:$G,6,FALSE),"")</f>
        <v>89509-6549</v>
      </c>
      <c r="O2532">
        <f>IFERROR(VLOOKUP(VALUE(J2532),'Site Info'!$A:$G,7,FALSE),"")</f>
        <v>7758297900</v>
      </c>
    </row>
    <row r="2533" spans="1:15" x14ac:dyDescent="0.45">
      <c r="A2533" t="s">
        <v>8413</v>
      </c>
      <c r="B2533" t="s">
        <v>8414</v>
      </c>
      <c r="C2533" t="s">
        <v>8415</v>
      </c>
      <c r="D2533" t="s">
        <v>3038</v>
      </c>
      <c r="E2533" s="1">
        <v>46152.706979166665</v>
      </c>
      <c r="F2533">
        <v>1547</v>
      </c>
      <c r="G2533" t="s">
        <v>8416</v>
      </c>
      <c r="H2533" t="s">
        <v>15</v>
      </c>
      <c r="I2533" t="s">
        <v>3040</v>
      </c>
      <c r="J2533" t="str">
        <f>RIGHT(D2533,4)</f>
        <v>4768</v>
      </c>
      <c r="K2533" t="str">
        <f>IFERROR(VLOOKUP(VALUE(J2533),'Site Info'!$A:$G,3,FALSE),"")</f>
        <v>4835 KIETZKE LN</v>
      </c>
      <c r="L2533" t="str">
        <f>IFERROR(VLOOKUP(VALUE(J2533),'Site Info'!$A:$G,4,FALSE),"")</f>
        <v>RENO</v>
      </c>
      <c r="M2533" t="str">
        <f>IFERROR(VLOOKUP(VALUE(J2533),'Site Info'!$A:$G,5,FALSE),"")</f>
        <v>NV</v>
      </c>
      <c r="N2533" t="str">
        <f>IFERROR(VLOOKUP(VALUE(J2533),'Site Info'!$A:$G,6,FALSE),"")</f>
        <v>89509-6549</v>
      </c>
      <c r="O2533">
        <f>IFERROR(VLOOKUP(VALUE(J2533),'Site Info'!$A:$G,7,FALSE),"")</f>
        <v>7758297900</v>
      </c>
    </row>
    <row r="2534" spans="1:15" x14ac:dyDescent="0.45">
      <c r="A2534" t="s">
        <v>8627</v>
      </c>
      <c r="B2534" t="s">
        <v>8628</v>
      </c>
      <c r="C2534" t="s">
        <v>8629</v>
      </c>
      <c r="D2534" t="s">
        <v>3038</v>
      </c>
      <c r="E2534" s="1">
        <v>46152.985162037039</v>
      </c>
      <c r="F2534">
        <v>1547</v>
      </c>
      <c r="G2534" t="s">
        <v>8630</v>
      </c>
      <c r="H2534" t="s">
        <v>15</v>
      </c>
      <c r="I2534" t="s">
        <v>3040</v>
      </c>
      <c r="J2534" t="str">
        <f>RIGHT(D2534,4)</f>
        <v>4768</v>
      </c>
      <c r="K2534" t="str">
        <f>IFERROR(VLOOKUP(VALUE(J2534),'Site Info'!$A:$G,3,FALSE),"")</f>
        <v>4835 KIETZKE LN</v>
      </c>
      <c r="L2534" t="str">
        <f>IFERROR(VLOOKUP(VALUE(J2534),'Site Info'!$A:$G,4,FALSE),"")</f>
        <v>RENO</v>
      </c>
      <c r="M2534" t="str">
        <f>IFERROR(VLOOKUP(VALUE(J2534),'Site Info'!$A:$G,5,FALSE),"")</f>
        <v>NV</v>
      </c>
      <c r="N2534" t="str">
        <f>IFERROR(VLOOKUP(VALUE(J2534),'Site Info'!$A:$G,6,FALSE),"")</f>
        <v>89509-6549</v>
      </c>
      <c r="O2534">
        <f>IFERROR(VLOOKUP(VALUE(J2534),'Site Info'!$A:$G,7,FALSE),"")</f>
        <v>7758297900</v>
      </c>
    </row>
    <row r="2535" spans="1:15" x14ac:dyDescent="0.45">
      <c r="A2535" t="s">
        <v>3035</v>
      </c>
      <c r="B2535" t="s">
        <v>3036</v>
      </c>
      <c r="C2535" t="s">
        <v>3037</v>
      </c>
      <c r="D2535" t="s">
        <v>3038</v>
      </c>
      <c r="E2535" s="1">
        <v>46153.367476851854</v>
      </c>
      <c r="F2535">
        <v>1481</v>
      </c>
      <c r="G2535" t="s">
        <v>3039</v>
      </c>
      <c r="H2535" t="s">
        <v>15</v>
      </c>
      <c r="I2535" t="s">
        <v>3040</v>
      </c>
      <c r="J2535" t="str">
        <f>RIGHT(D2535,4)</f>
        <v>4768</v>
      </c>
      <c r="K2535" t="str">
        <f>IFERROR(VLOOKUP(VALUE(J2535),'Site Info'!$A:$G,3,FALSE),"")</f>
        <v>4835 KIETZKE LN</v>
      </c>
      <c r="L2535" t="str">
        <f>IFERROR(VLOOKUP(VALUE(J2535),'Site Info'!$A:$G,4,FALSE),"")</f>
        <v>RENO</v>
      </c>
      <c r="M2535" t="str">
        <f>IFERROR(VLOOKUP(VALUE(J2535),'Site Info'!$A:$G,5,FALSE),"")</f>
        <v>NV</v>
      </c>
      <c r="N2535" t="str">
        <f>IFERROR(VLOOKUP(VALUE(J2535),'Site Info'!$A:$G,6,FALSE),"")</f>
        <v>89509-6549</v>
      </c>
      <c r="O2535">
        <f>IFERROR(VLOOKUP(VALUE(J2535),'Site Info'!$A:$G,7,FALSE),"")</f>
        <v>7758297900</v>
      </c>
    </row>
    <row r="2536" spans="1:15" x14ac:dyDescent="0.45">
      <c r="A2536" t="s">
        <v>11734</v>
      </c>
      <c r="B2536" t="s">
        <v>11735</v>
      </c>
      <c r="C2536" t="s">
        <v>11736</v>
      </c>
      <c r="D2536" t="s">
        <v>2217</v>
      </c>
      <c r="E2536" s="1">
        <v>46147.41510416667</v>
      </c>
      <c r="F2536">
        <v>1548</v>
      </c>
      <c r="G2536" t="s">
        <v>11737</v>
      </c>
      <c r="H2536" t="s">
        <v>15</v>
      </c>
      <c r="I2536" t="s">
        <v>2219</v>
      </c>
      <c r="J2536" t="str">
        <f>RIGHT(D2536,4)</f>
        <v>4982</v>
      </c>
      <c r="K2536" t="str">
        <f>IFERROR(VLOOKUP(VALUE(J2536),'Site Info'!$A:$G,3,FALSE),"")</f>
        <v>4850 ENCORE BLVD</v>
      </c>
      <c r="L2536" t="str">
        <f>IFERROR(VLOOKUP(VALUE(J2536),'Site Info'!$A:$G,4,FALSE),"")</f>
        <v>MOUNT PLEASANT</v>
      </c>
      <c r="M2536" t="str">
        <f>IFERROR(VLOOKUP(VALUE(J2536),'Site Info'!$A:$G,5,FALSE),"")</f>
        <v>MI</v>
      </c>
      <c r="N2536" t="str">
        <f>IFERROR(VLOOKUP(VALUE(J2536),'Site Info'!$A:$G,6,FALSE),"")</f>
        <v>48858-6013</v>
      </c>
      <c r="O2536">
        <f>IFERROR(VLOOKUP(VALUE(J2536),'Site Info'!$A:$G,7,FALSE),"")</f>
        <v>9897720974</v>
      </c>
    </row>
    <row r="2537" spans="1:15" x14ac:dyDescent="0.45">
      <c r="A2537" t="s">
        <v>11960</v>
      </c>
      <c r="B2537" t="s">
        <v>11961</v>
      </c>
      <c r="C2537" t="s">
        <v>11962</v>
      </c>
      <c r="D2537" t="s">
        <v>2217</v>
      </c>
      <c r="E2537" s="1">
        <v>46153.309178240743</v>
      </c>
      <c r="F2537">
        <v>1547</v>
      </c>
      <c r="G2537" t="s">
        <v>11963</v>
      </c>
      <c r="H2537" t="s">
        <v>15</v>
      </c>
      <c r="I2537" t="s">
        <v>2219</v>
      </c>
      <c r="J2537" t="str">
        <f>RIGHT(D2537,4)</f>
        <v>4982</v>
      </c>
      <c r="K2537" t="str">
        <f>IFERROR(VLOOKUP(VALUE(J2537),'Site Info'!$A:$G,3,FALSE),"")</f>
        <v>4850 ENCORE BLVD</v>
      </c>
      <c r="L2537" t="str">
        <f>IFERROR(VLOOKUP(VALUE(J2537),'Site Info'!$A:$G,4,FALSE),"")</f>
        <v>MOUNT PLEASANT</v>
      </c>
      <c r="M2537" t="str">
        <f>IFERROR(VLOOKUP(VALUE(J2537),'Site Info'!$A:$G,5,FALSE),"")</f>
        <v>MI</v>
      </c>
      <c r="N2537" t="str">
        <f>IFERROR(VLOOKUP(VALUE(J2537),'Site Info'!$A:$G,6,FALSE),"")</f>
        <v>48858-6013</v>
      </c>
      <c r="O2537">
        <f>IFERROR(VLOOKUP(VALUE(J2537),'Site Info'!$A:$G,7,FALSE),"")</f>
        <v>9897720974</v>
      </c>
    </row>
    <row r="2538" spans="1:15" x14ac:dyDescent="0.45">
      <c r="A2538" t="s">
        <v>11900</v>
      </c>
      <c r="B2538" t="s">
        <v>11901</v>
      </c>
      <c r="C2538" t="s">
        <v>11902</v>
      </c>
      <c r="D2538" t="s">
        <v>2217</v>
      </c>
      <c r="E2538" s="1">
        <v>46153.339282407411</v>
      </c>
      <c r="F2538">
        <v>1547</v>
      </c>
      <c r="G2538" t="s">
        <v>11903</v>
      </c>
      <c r="H2538" t="s">
        <v>15</v>
      </c>
      <c r="I2538" t="s">
        <v>2219</v>
      </c>
      <c r="J2538" t="str">
        <f>RIGHT(D2538,4)</f>
        <v>4982</v>
      </c>
      <c r="K2538" t="str">
        <f>IFERROR(VLOOKUP(VALUE(J2538),'Site Info'!$A:$G,3,FALSE),"")</f>
        <v>4850 ENCORE BLVD</v>
      </c>
      <c r="L2538" t="str">
        <f>IFERROR(VLOOKUP(VALUE(J2538),'Site Info'!$A:$G,4,FALSE),"")</f>
        <v>MOUNT PLEASANT</v>
      </c>
      <c r="M2538" t="str">
        <f>IFERROR(VLOOKUP(VALUE(J2538),'Site Info'!$A:$G,5,FALSE),"")</f>
        <v>MI</v>
      </c>
      <c r="N2538" t="str">
        <f>IFERROR(VLOOKUP(VALUE(J2538),'Site Info'!$A:$G,6,FALSE),"")</f>
        <v>48858-6013</v>
      </c>
      <c r="O2538">
        <f>IFERROR(VLOOKUP(VALUE(J2538),'Site Info'!$A:$G,7,FALSE),"")</f>
        <v>9897720974</v>
      </c>
    </row>
    <row r="2539" spans="1:15" x14ac:dyDescent="0.45">
      <c r="A2539" t="s">
        <v>13920</v>
      </c>
      <c r="B2539" t="s">
        <v>13921</v>
      </c>
      <c r="C2539" t="s">
        <v>13922</v>
      </c>
      <c r="D2539" t="s">
        <v>2217</v>
      </c>
      <c r="E2539" s="1">
        <v>46153.35297453704</v>
      </c>
      <c r="F2539">
        <v>1547</v>
      </c>
      <c r="G2539" t="s">
        <v>13923</v>
      </c>
      <c r="H2539" t="s">
        <v>15</v>
      </c>
      <c r="I2539" t="s">
        <v>2219</v>
      </c>
      <c r="J2539" t="str">
        <f>RIGHT(D2539,4)</f>
        <v>4982</v>
      </c>
      <c r="K2539" t="str">
        <f>IFERROR(VLOOKUP(VALUE(J2539),'Site Info'!$A:$G,3,FALSE),"")</f>
        <v>4850 ENCORE BLVD</v>
      </c>
      <c r="L2539" t="str">
        <f>IFERROR(VLOOKUP(VALUE(J2539),'Site Info'!$A:$G,4,FALSE),"")</f>
        <v>MOUNT PLEASANT</v>
      </c>
      <c r="M2539" t="str">
        <f>IFERROR(VLOOKUP(VALUE(J2539),'Site Info'!$A:$G,5,FALSE),"")</f>
        <v>MI</v>
      </c>
      <c r="N2539" t="str">
        <f>IFERROR(VLOOKUP(VALUE(J2539),'Site Info'!$A:$G,6,FALSE),"")</f>
        <v>48858-6013</v>
      </c>
      <c r="O2539">
        <f>IFERROR(VLOOKUP(VALUE(J2539),'Site Info'!$A:$G,7,FALSE),"")</f>
        <v>9897720974</v>
      </c>
    </row>
    <row r="2540" spans="1:15" x14ac:dyDescent="0.45">
      <c r="A2540" t="s">
        <v>2214</v>
      </c>
      <c r="B2540" t="s">
        <v>2215</v>
      </c>
      <c r="C2540" t="s">
        <v>2216</v>
      </c>
      <c r="D2540" t="s">
        <v>2217</v>
      </c>
      <c r="E2540" s="1">
        <v>46151.564108796294</v>
      </c>
      <c r="F2540">
        <v>1481</v>
      </c>
      <c r="G2540" t="s">
        <v>2218</v>
      </c>
      <c r="H2540" t="s">
        <v>15</v>
      </c>
      <c r="I2540" t="s">
        <v>2219</v>
      </c>
      <c r="J2540" t="str">
        <f>RIGHT(D2540,4)</f>
        <v>4982</v>
      </c>
      <c r="K2540" t="str">
        <f>IFERROR(VLOOKUP(VALUE(J2540),'Site Info'!$A:$G,3,FALSE),"")</f>
        <v>4850 ENCORE BLVD</v>
      </c>
      <c r="L2540" t="str">
        <f>IFERROR(VLOOKUP(VALUE(J2540),'Site Info'!$A:$G,4,FALSE),"")</f>
        <v>MOUNT PLEASANT</v>
      </c>
      <c r="M2540" t="str">
        <f>IFERROR(VLOOKUP(VALUE(J2540),'Site Info'!$A:$G,5,FALSE),"")</f>
        <v>MI</v>
      </c>
      <c r="N2540" t="str">
        <f>IFERROR(VLOOKUP(VALUE(J2540),'Site Info'!$A:$G,6,FALSE),"")</f>
        <v>48858-6013</v>
      </c>
      <c r="O2540">
        <f>IFERROR(VLOOKUP(VALUE(J2540),'Site Info'!$A:$G,7,FALSE),"")</f>
        <v>9897720974</v>
      </c>
    </row>
    <row r="2541" spans="1:15" x14ac:dyDescent="0.45">
      <c r="A2541" t="s">
        <v>3703</v>
      </c>
      <c r="B2541" t="s">
        <v>3704</v>
      </c>
      <c r="C2541" t="s">
        <v>3705</v>
      </c>
      <c r="D2541" t="s">
        <v>2217</v>
      </c>
      <c r="E2541" s="1">
        <v>46151.59888888889</v>
      </c>
      <c r="F2541">
        <v>1481</v>
      </c>
      <c r="G2541" t="s">
        <v>3706</v>
      </c>
      <c r="H2541" t="s">
        <v>15</v>
      </c>
      <c r="I2541" t="s">
        <v>2219</v>
      </c>
      <c r="J2541" t="str">
        <f>RIGHT(D2541,4)</f>
        <v>4982</v>
      </c>
      <c r="K2541" t="str">
        <f>IFERROR(VLOOKUP(VALUE(J2541),'Site Info'!$A:$G,3,FALSE),"")</f>
        <v>4850 ENCORE BLVD</v>
      </c>
      <c r="L2541" t="str">
        <f>IFERROR(VLOOKUP(VALUE(J2541),'Site Info'!$A:$G,4,FALSE),"")</f>
        <v>MOUNT PLEASANT</v>
      </c>
      <c r="M2541" t="str">
        <f>IFERROR(VLOOKUP(VALUE(J2541),'Site Info'!$A:$G,5,FALSE),"")</f>
        <v>MI</v>
      </c>
      <c r="N2541" t="str">
        <f>IFERROR(VLOOKUP(VALUE(J2541),'Site Info'!$A:$G,6,FALSE),"")</f>
        <v>48858-6013</v>
      </c>
      <c r="O2541">
        <f>IFERROR(VLOOKUP(VALUE(J2541),'Site Info'!$A:$G,7,FALSE),"")</f>
        <v>9897720974</v>
      </c>
    </row>
    <row r="2542" spans="1:15" x14ac:dyDescent="0.45">
      <c r="A2542" t="s">
        <v>3467</v>
      </c>
      <c r="B2542" t="s">
        <v>3468</v>
      </c>
      <c r="C2542" t="s">
        <v>3469</v>
      </c>
      <c r="D2542" t="s">
        <v>2217</v>
      </c>
      <c r="E2542" s="1">
        <v>46152.193437499998</v>
      </c>
      <c r="F2542">
        <v>1481</v>
      </c>
      <c r="G2542" t="s">
        <v>3470</v>
      </c>
      <c r="H2542" t="s">
        <v>15</v>
      </c>
      <c r="I2542" t="s">
        <v>2219</v>
      </c>
      <c r="J2542" t="str">
        <f>RIGHT(D2542,4)</f>
        <v>4982</v>
      </c>
      <c r="K2542" t="str">
        <f>IFERROR(VLOOKUP(VALUE(J2542),'Site Info'!$A:$G,3,FALSE),"")</f>
        <v>4850 ENCORE BLVD</v>
      </c>
      <c r="L2542" t="str">
        <f>IFERROR(VLOOKUP(VALUE(J2542),'Site Info'!$A:$G,4,FALSE),"")</f>
        <v>MOUNT PLEASANT</v>
      </c>
      <c r="M2542" t="str">
        <f>IFERROR(VLOOKUP(VALUE(J2542),'Site Info'!$A:$G,5,FALSE),"")</f>
        <v>MI</v>
      </c>
      <c r="N2542" t="str">
        <f>IFERROR(VLOOKUP(VALUE(J2542),'Site Info'!$A:$G,6,FALSE),"")</f>
        <v>48858-6013</v>
      </c>
      <c r="O2542">
        <f>IFERROR(VLOOKUP(VALUE(J2542),'Site Info'!$A:$G,7,FALSE),"")</f>
        <v>9897720974</v>
      </c>
    </row>
    <row r="2543" spans="1:15" x14ac:dyDescent="0.45">
      <c r="A2543" t="s">
        <v>7455</v>
      </c>
      <c r="B2543" t="s">
        <v>7456</v>
      </c>
      <c r="C2543" t="s">
        <v>7457</v>
      </c>
      <c r="D2543" t="s">
        <v>2045</v>
      </c>
      <c r="E2543" s="1">
        <v>46138.970127314817</v>
      </c>
      <c r="F2543">
        <v>1547</v>
      </c>
      <c r="G2543" t="s">
        <v>7458</v>
      </c>
      <c r="H2543" t="s">
        <v>15</v>
      </c>
      <c r="I2543" t="s">
        <v>2047</v>
      </c>
      <c r="J2543" t="str">
        <f>RIGHT(D2543,4)</f>
        <v>8252</v>
      </c>
      <c r="K2543" t="str">
        <f>IFERROR(VLOOKUP(VALUE(J2543),'Site Info'!$A:$G,3,FALSE),"")</f>
        <v>4900 CENTRE POINTE DR</v>
      </c>
      <c r="L2543" t="str">
        <f>IFERROR(VLOOKUP(VALUE(J2543),'Site Info'!$A:$G,4,FALSE),"")</f>
        <v>NORTH CHARLESTON</v>
      </c>
      <c r="M2543" t="str">
        <f>IFERROR(VLOOKUP(VALUE(J2543),'Site Info'!$A:$G,5,FALSE),"")</f>
        <v>SC</v>
      </c>
      <c r="N2543" t="str">
        <f>IFERROR(VLOOKUP(VALUE(J2543),'Site Info'!$A:$G,6,FALSE),"")</f>
        <v>29418-6927</v>
      </c>
      <c r="O2543">
        <f>IFERROR(VLOOKUP(VALUE(J2543),'Site Info'!$A:$G,7,FALSE),"")</f>
        <v>8435299893</v>
      </c>
    </row>
    <row r="2544" spans="1:15" x14ac:dyDescent="0.45">
      <c r="A2544" t="s">
        <v>13635</v>
      </c>
      <c r="B2544" t="s">
        <v>13636</v>
      </c>
      <c r="C2544" t="s">
        <v>13637</v>
      </c>
      <c r="D2544" t="s">
        <v>2045</v>
      </c>
      <c r="E2544" s="1">
        <v>46151.484039351853</v>
      </c>
      <c r="F2544">
        <v>1547</v>
      </c>
      <c r="G2544" t="s">
        <v>13638</v>
      </c>
      <c r="H2544" t="s">
        <v>15</v>
      </c>
      <c r="I2544" t="s">
        <v>2047</v>
      </c>
      <c r="J2544" t="str">
        <f>RIGHT(D2544,4)</f>
        <v>8252</v>
      </c>
      <c r="K2544" t="str">
        <f>IFERROR(VLOOKUP(VALUE(J2544),'Site Info'!$A:$G,3,FALSE),"")</f>
        <v>4900 CENTRE POINTE DR</v>
      </c>
      <c r="L2544" t="str">
        <f>IFERROR(VLOOKUP(VALUE(J2544),'Site Info'!$A:$G,4,FALSE),"")</f>
        <v>NORTH CHARLESTON</v>
      </c>
      <c r="M2544" t="str">
        <f>IFERROR(VLOOKUP(VALUE(J2544),'Site Info'!$A:$G,5,FALSE),"")</f>
        <v>SC</v>
      </c>
      <c r="N2544" t="str">
        <f>IFERROR(VLOOKUP(VALUE(J2544),'Site Info'!$A:$G,6,FALSE),"")</f>
        <v>29418-6927</v>
      </c>
      <c r="O2544">
        <f>IFERROR(VLOOKUP(VALUE(J2544),'Site Info'!$A:$G,7,FALSE),"")</f>
        <v>8435299893</v>
      </c>
    </row>
    <row r="2545" spans="1:15" x14ac:dyDescent="0.45">
      <c r="A2545" t="s">
        <v>7621</v>
      </c>
      <c r="B2545" t="s">
        <v>7622</v>
      </c>
      <c r="C2545" t="s">
        <v>7623</v>
      </c>
      <c r="D2545" t="s">
        <v>2045</v>
      </c>
      <c r="E2545" s="1">
        <v>46153.311782407407</v>
      </c>
      <c r="F2545">
        <v>1547</v>
      </c>
      <c r="G2545" t="s">
        <v>7624</v>
      </c>
      <c r="H2545" t="s">
        <v>15</v>
      </c>
      <c r="I2545" t="s">
        <v>2047</v>
      </c>
      <c r="J2545" t="str">
        <f>RIGHT(D2545,4)</f>
        <v>8252</v>
      </c>
      <c r="K2545" t="str">
        <f>IFERROR(VLOOKUP(VALUE(J2545),'Site Info'!$A:$G,3,FALSE),"")</f>
        <v>4900 CENTRE POINTE DR</v>
      </c>
      <c r="L2545" t="str">
        <f>IFERROR(VLOOKUP(VALUE(J2545),'Site Info'!$A:$G,4,FALSE),"")</f>
        <v>NORTH CHARLESTON</v>
      </c>
      <c r="M2545" t="str">
        <f>IFERROR(VLOOKUP(VALUE(J2545),'Site Info'!$A:$G,5,FALSE),"")</f>
        <v>SC</v>
      </c>
      <c r="N2545" t="str">
        <f>IFERROR(VLOOKUP(VALUE(J2545),'Site Info'!$A:$G,6,FALSE),"")</f>
        <v>29418-6927</v>
      </c>
      <c r="O2545">
        <f>IFERROR(VLOOKUP(VALUE(J2545),'Site Info'!$A:$G,7,FALSE),"")</f>
        <v>8435299893</v>
      </c>
    </row>
    <row r="2546" spans="1:15" x14ac:dyDescent="0.45">
      <c r="A2546" t="s">
        <v>7423</v>
      </c>
      <c r="B2546" t="s">
        <v>7424</v>
      </c>
      <c r="C2546" t="s">
        <v>7425</v>
      </c>
      <c r="D2546" t="s">
        <v>2045</v>
      </c>
      <c r="E2546" s="1">
        <v>46153.335520833331</v>
      </c>
      <c r="F2546">
        <v>1547</v>
      </c>
      <c r="G2546" t="s">
        <v>7426</v>
      </c>
      <c r="H2546" t="s">
        <v>15</v>
      </c>
      <c r="I2546" t="s">
        <v>2047</v>
      </c>
      <c r="J2546" t="str">
        <f>RIGHT(D2546,4)</f>
        <v>8252</v>
      </c>
      <c r="K2546" t="str">
        <f>IFERROR(VLOOKUP(VALUE(J2546),'Site Info'!$A:$G,3,FALSE),"")</f>
        <v>4900 CENTRE POINTE DR</v>
      </c>
      <c r="L2546" t="str">
        <f>IFERROR(VLOOKUP(VALUE(J2546),'Site Info'!$A:$G,4,FALSE),"")</f>
        <v>NORTH CHARLESTON</v>
      </c>
      <c r="M2546" t="str">
        <f>IFERROR(VLOOKUP(VALUE(J2546),'Site Info'!$A:$G,5,FALSE),"")</f>
        <v>SC</v>
      </c>
      <c r="N2546" t="str">
        <f>IFERROR(VLOOKUP(VALUE(J2546),'Site Info'!$A:$G,6,FALSE),"")</f>
        <v>29418-6927</v>
      </c>
      <c r="O2546">
        <f>IFERROR(VLOOKUP(VALUE(J2546),'Site Info'!$A:$G,7,FALSE),"")</f>
        <v>8435299893</v>
      </c>
    </row>
    <row r="2547" spans="1:15" x14ac:dyDescent="0.45">
      <c r="A2547" t="s">
        <v>7330</v>
      </c>
      <c r="B2547" t="s">
        <v>7331</v>
      </c>
      <c r="C2547" t="s">
        <v>7332</v>
      </c>
      <c r="D2547" t="s">
        <v>2045</v>
      </c>
      <c r="E2547" s="1">
        <v>46153.33997685185</v>
      </c>
      <c r="F2547">
        <v>1547</v>
      </c>
      <c r="G2547" t="s">
        <v>7333</v>
      </c>
      <c r="H2547" t="s">
        <v>15</v>
      </c>
      <c r="I2547" t="s">
        <v>2047</v>
      </c>
      <c r="J2547" t="str">
        <f>RIGHT(D2547,4)</f>
        <v>8252</v>
      </c>
      <c r="K2547" t="str">
        <f>IFERROR(VLOOKUP(VALUE(J2547),'Site Info'!$A:$G,3,FALSE),"")</f>
        <v>4900 CENTRE POINTE DR</v>
      </c>
      <c r="L2547" t="str">
        <f>IFERROR(VLOOKUP(VALUE(J2547),'Site Info'!$A:$G,4,FALSE),"")</f>
        <v>NORTH CHARLESTON</v>
      </c>
      <c r="M2547" t="str">
        <f>IFERROR(VLOOKUP(VALUE(J2547),'Site Info'!$A:$G,5,FALSE),"")</f>
        <v>SC</v>
      </c>
      <c r="N2547" t="str">
        <f>IFERROR(VLOOKUP(VALUE(J2547),'Site Info'!$A:$G,6,FALSE),"")</f>
        <v>29418-6927</v>
      </c>
      <c r="O2547">
        <f>IFERROR(VLOOKUP(VALUE(J2547),'Site Info'!$A:$G,7,FALSE),"")</f>
        <v>8435299893</v>
      </c>
    </row>
    <row r="2548" spans="1:15" x14ac:dyDescent="0.45">
      <c r="A2548" t="s">
        <v>7419</v>
      </c>
      <c r="B2548" t="s">
        <v>7420</v>
      </c>
      <c r="C2548" t="s">
        <v>7421</v>
      </c>
      <c r="D2548" t="s">
        <v>2045</v>
      </c>
      <c r="E2548" s="1">
        <v>46153.342303240737</v>
      </c>
      <c r="F2548">
        <v>1547</v>
      </c>
      <c r="G2548" t="s">
        <v>7422</v>
      </c>
      <c r="H2548" t="s">
        <v>15</v>
      </c>
      <c r="I2548" t="s">
        <v>2047</v>
      </c>
      <c r="J2548" t="str">
        <f>RIGHT(D2548,4)</f>
        <v>8252</v>
      </c>
      <c r="K2548" t="str">
        <f>IFERROR(VLOOKUP(VALUE(J2548),'Site Info'!$A:$G,3,FALSE),"")</f>
        <v>4900 CENTRE POINTE DR</v>
      </c>
      <c r="L2548" t="str">
        <f>IFERROR(VLOOKUP(VALUE(J2548),'Site Info'!$A:$G,4,FALSE),"")</f>
        <v>NORTH CHARLESTON</v>
      </c>
      <c r="M2548" t="str">
        <f>IFERROR(VLOOKUP(VALUE(J2548),'Site Info'!$A:$G,5,FALSE),"")</f>
        <v>SC</v>
      </c>
      <c r="N2548" t="str">
        <f>IFERROR(VLOOKUP(VALUE(J2548),'Site Info'!$A:$G,6,FALSE),"")</f>
        <v>29418-6927</v>
      </c>
      <c r="O2548">
        <f>IFERROR(VLOOKUP(VALUE(J2548),'Site Info'!$A:$G,7,FALSE),"")</f>
        <v>8435299893</v>
      </c>
    </row>
    <row r="2549" spans="1:15" x14ac:dyDescent="0.45">
      <c r="A2549" t="s">
        <v>2042</v>
      </c>
      <c r="B2549" t="s">
        <v>2043</v>
      </c>
      <c r="C2549" t="s">
        <v>2044</v>
      </c>
      <c r="D2549" t="s">
        <v>2045</v>
      </c>
      <c r="E2549" s="1">
        <v>46152.605243055557</v>
      </c>
      <c r="F2549">
        <v>1481</v>
      </c>
      <c r="G2549" t="s">
        <v>2046</v>
      </c>
      <c r="H2549" t="s">
        <v>15</v>
      </c>
      <c r="I2549" t="s">
        <v>2047</v>
      </c>
      <c r="J2549" t="str">
        <f>RIGHT(D2549,4)</f>
        <v>8252</v>
      </c>
      <c r="K2549" t="str">
        <f>IFERROR(VLOOKUP(VALUE(J2549),'Site Info'!$A:$G,3,FALSE),"")</f>
        <v>4900 CENTRE POINTE DR</v>
      </c>
      <c r="L2549" t="str">
        <f>IFERROR(VLOOKUP(VALUE(J2549),'Site Info'!$A:$G,4,FALSE),"")</f>
        <v>NORTH CHARLESTON</v>
      </c>
      <c r="M2549" t="str">
        <f>IFERROR(VLOOKUP(VALUE(J2549),'Site Info'!$A:$G,5,FALSE),"")</f>
        <v>SC</v>
      </c>
      <c r="N2549" t="str">
        <f>IFERROR(VLOOKUP(VALUE(J2549),'Site Info'!$A:$G,6,FALSE),"")</f>
        <v>29418-6927</v>
      </c>
      <c r="O2549">
        <f>IFERROR(VLOOKUP(VALUE(J2549),'Site Info'!$A:$G,7,FALSE),"")</f>
        <v>8435299893</v>
      </c>
    </row>
    <row r="2550" spans="1:15" x14ac:dyDescent="0.45">
      <c r="A2550" t="s">
        <v>3157</v>
      </c>
      <c r="B2550" t="s">
        <v>3158</v>
      </c>
      <c r="C2550" t="s">
        <v>3159</v>
      </c>
      <c r="D2550" t="s">
        <v>2045</v>
      </c>
      <c r="E2550" s="1">
        <v>46153.339178240742</v>
      </c>
      <c r="F2550">
        <v>1481</v>
      </c>
      <c r="G2550" t="s">
        <v>3160</v>
      </c>
      <c r="H2550" t="s">
        <v>15</v>
      </c>
      <c r="I2550" t="s">
        <v>2047</v>
      </c>
      <c r="J2550" t="str">
        <f>RIGHT(D2550,4)</f>
        <v>8252</v>
      </c>
      <c r="K2550" t="str">
        <f>IFERROR(VLOOKUP(VALUE(J2550),'Site Info'!$A:$G,3,FALSE),"")</f>
        <v>4900 CENTRE POINTE DR</v>
      </c>
      <c r="L2550" t="str">
        <f>IFERROR(VLOOKUP(VALUE(J2550),'Site Info'!$A:$G,4,FALSE),"")</f>
        <v>NORTH CHARLESTON</v>
      </c>
      <c r="M2550" t="str">
        <f>IFERROR(VLOOKUP(VALUE(J2550),'Site Info'!$A:$G,5,FALSE),"")</f>
        <v>SC</v>
      </c>
      <c r="N2550" t="str">
        <f>IFERROR(VLOOKUP(VALUE(J2550),'Site Info'!$A:$G,6,FALSE),"")</f>
        <v>29418-6927</v>
      </c>
      <c r="O2550">
        <f>IFERROR(VLOOKUP(VALUE(J2550),'Site Info'!$A:$G,7,FALSE),"")</f>
        <v>8435299893</v>
      </c>
    </row>
    <row r="2551" spans="1:15" x14ac:dyDescent="0.45">
      <c r="A2551" t="s">
        <v>2789</v>
      </c>
      <c r="B2551" t="s">
        <v>2790</v>
      </c>
      <c r="C2551" t="s">
        <v>2791</v>
      </c>
      <c r="D2551" t="s">
        <v>2045</v>
      </c>
      <c r="E2551" s="1">
        <v>46153.34065972222</v>
      </c>
      <c r="F2551">
        <v>1481</v>
      </c>
      <c r="G2551" t="s">
        <v>2792</v>
      </c>
      <c r="H2551" t="s">
        <v>15</v>
      </c>
      <c r="I2551" t="s">
        <v>2047</v>
      </c>
      <c r="J2551" t="str">
        <f>RIGHT(D2551,4)</f>
        <v>8252</v>
      </c>
      <c r="K2551" t="str">
        <f>IFERROR(VLOOKUP(VALUE(J2551),'Site Info'!$A:$G,3,FALSE),"")</f>
        <v>4900 CENTRE POINTE DR</v>
      </c>
      <c r="L2551" t="str">
        <f>IFERROR(VLOOKUP(VALUE(J2551),'Site Info'!$A:$G,4,FALSE),"")</f>
        <v>NORTH CHARLESTON</v>
      </c>
      <c r="M2551" t="str">
        <f>IFERROR(VLOOKUP(VALUE(J2551),'Site Info'!$A:$G,5,FALSE),"")</f>
        <v>SC</v>
      </c>
      <c r="N2551" t="str">
        <f>IFERROR(VLOOKUP(VALUE(J2551),'Site Info'!$A:$G,6,FALSE),"")</f>
        <v>29418-6927</v>
      </c>
      <c r="O2551">
        <f>IFERROR(VLOOKUP(VALUE(J2551),'Site Info'!$A:$G,7,FALSE),"")</f>
        <v>8435299893</v>
      </c>
    </row>
    <row r="2552" spans="1:15" x14ac:dyDescent="0.45">
      <c r="A2552" t="s">
        <v>10114</v>
      </c>
      <c r="B2552" t="s">
        <v>10115</v>
      </c>
      <c r="C2552" t="s">
        <v>10116</v>
      </c>
      <c r="D2552" t="s">
        <v>243</v>
      </c>
      <c r="E2552" s="1">
        <v>46086.794942129629</v>
      </c>
      <c r="F2552">
        <v>1547</v>
      </c>
      <c r="G2552" t="s">
        <v>10117</v>
      </c>
      <c r="H2552" t="s">
        <v>15</v>
      </c>
      <c r="I2552" t="s">
        <v>244</v>
      </c>
      <c r="J2552" t="str">
        <f>RIGHT(D2552,4)</f>
        <v>6413</v>
      </c>
      <c r="K2552" t="str">
        <f>IFERROR(VLOOKUP(VALUE(J2552),'Site Info'!$A:$G,3,FALSE),"")</f>
        <v>4900 N 27TH ST</v>
      </c>
      <c r="L2552" t="str">
        <f>IFERROR(VLOOKUP(VALUE(J2552),'Site Info'!$A:$G,4,FALSE),"")</f>
        <v>LINCOLN</v>
      </c>
      <c r="M2552" t="str">
        <f>IFERROR(VLOOKUP(VALUE(J2552),'Site Info'!$A:$G,5,FALSE),"")</f>
        <v>NE</v>
      </c>
      <c r="N2552" t="str">
        <f>IFERROR(VLOOKUP(VALUE(J2552),'Site Info'!$A:$G,6,FALSE),"")</f>
        <v>68521-1194</v>
      </c>
      <c r="O2552">
        <f>IFERROR(VLOOKUP(VALUE(J2552),'Site Info'!$A:$G,7,FALSE),"")</f>
        <v>4024383540</v>
      </c>
    </row>
    <row r="2553" spans="1:15" x14ac:dyDescent="0.45">
      <c r="A2553" t="s">
        <v>9850</v>
      </c>
      <c r="B2553" t="s">
        <v>9851</v>
      </c>
      <c r="C2553" t="s">
        <v>9852</v>
      </c>
      <c r="D2553" t="s">
        <v>243</v>
      </c>
      <c r="E2553" s="1">
        <v>46087.442337962966</v>
      </c>
      <c r="F2553">
        <v>1547</v>
      </c>
      <c r="G2553" t="s">
        <v>9853</v>
      </c>
      <c r="H2553" t="s">
        <v>15</v>
      </c>
      <c r="I2553" t="s">
        <v>244</v>
      </c>
      <c r="J2553" t="str">
        <f>RIGHT(D2553,4)</f>
        <v>6413</v>
      </c>
      <c r="K2553" t="str">
        <f>IFERROR(VLOOKUP(VALUE(J2553),'Site Info'!$A:$G,3,FALSE),"")</f>
        <v>4900 N 27TH ST</v>
      </c>
      <c r="L2553" t="str">
        <f>IFERROR(VLOOKUP(VALUE(J2553),'Site Info'!$A:$G,4,FALSE),"")</f>
        <v>LINCOLN</v>
      </c>
      <c r="M2553" t="str">
        <f>IFERROR(VLOOKUP(VALUE(J2553),'Site Info'!$A:$G,5,FALSE),"")</f>
        <v>NE</v>
      </c>
      <c r="N2553" t="str">
        <f>IFERROR(VLOOKUP(VALUE(J2553),'Site Info'!$A:$G,6,FALSE),"")</f>
        <v>68521-1194</v>
      </c>
      <c r="O2553">
        <f>IFERROR(VLOOKUP(VALUE(J2553),'Site Info'!$A:$G,7,FALSE),"")</f>
        <v>4024383540</v>
      </c>
    </row>
    <row r="2554" spans="1:15" x14ac:dyDescent="0.45">
      <c r="A2554" t="s">
        <v>9205</v>
      </c>
      <c r="B2554" t="s">
        <v>9206</v>
      </c>
      <c r="C2554" t="s">
        <v>9207</v>
      </c>
      <c r="D2554" t="s">
        <v>243</v>
      </c>
      <c r="E2554" s="1">
        <v>46151.925555555557</v>
      </c>
      <c r="F2554">
        <v>1547</v>
      </c>
      <c r="G2554" t="s">
        <v>9208</v>
      </c>
      <c r="H2554" t="s">
        <v>15</v>
      </c>
      <c r="I2554" t="s">
        <v>244</v>
      </c>
      <c r="J2554" t="str">
        <f>RIGHT(D2554,4)</f>
        <v>6413</v>
      </c>
      <c r="K2554" t="str">
        <f>IFERROR(VLOOKUP(VALUE(J2554),'Site Info'!$A:$G,3,FALSE),"")</f>
        <v>4900 N 27TH ST</v>
      </c>
      <c r="L2554" t="str">
        <f>IFERROR(VLOOKUP(VALUE(J2554),'Site Info'!$A:$G,4,FALSE),"")</f>
        <v>LINCOLN</v>
      </c>
      <c r="M2554" t="str">
        <f>IFERROR(VLOOKUP(VALUE(J2554),'Site Info'!$A:$G,5,FALSE),"")</f>
        <v>NE</v>
      </c>
      <c r="N2554" t="str">
        <f>IFERROR(VLOOKUP(VALUE(J2554),'Site Info'!$A:$G,6,FALSE),"")</f>
        <v>68521-1194</v>
      </c>
      <c r="O2554">
        <f>IFERROR(VLOOKUP(VALUE(J2554),'Site Info'!$A:$G,7,FALSE),"")</f>
        <v>4024383540</v>
      </c>
    </row>
    <row r="2555" spans="1:15" x14ac:dyDescent="0.45">
      <c r="A2555" t="s">
        <v>8381</v>
      </c>
      <c r="B2555" t="s">
        <v>8382</v>
      </c>
      <c r="C2555" t="s">
        <v>8383</v>
      </c>
      <c r="D2555" t="s">
        <v>243</v>
      </c>
      <c r="E2555" s="1">
        <v>46153.328472222223</v>
      </c>
      <c r="F2555">
        <v>1547</v>
      </c>
      <c r="G2555" t="s">
        <v>8384</v>
      </c>
      <c r="H2555" t="s">
        <v>15</v>
      </c>
      <c r="I2555" t="s">
        <v>244</v>
      </c>
      <c r="J2555" t="str">
        <f>RIGHT(D2555,4)</f>
        <v>6413</v>
      </c>
      <c r="K2555" t="str">
        <f>IFERROR(VLOOKUP(VALUE(J2555),'Site Info'!$A:$G,3,FALSE),"")</f>
        <v>4900 N 27TH ST</v>
      </c>
      <c r="L2555" t="str">
        <f>IFERROR(VLOOKUP(VALUE(J2555),'Site Info'!$A:$G,4,FALSE),"")</f>
        <v>LINCOLN</v>
      </c>
      <c r="M2555" t="str">
        <f>IFERROR(VLOOKUP(VALUE(J2555),'Site Info'!$A:$G,5,FALSE),"")</f>
        <v>NE</v>
      </c>
      <c r="N2555" t="str">
        <f>IFERROR(VLOOKUP(VALUE(J2555),'Site Info'!$A:$G,6,FALSE),"")</f>
        <v>68521-1194</v>
      </c>
      <c r="O2555">
        <f>IFERROR(VLOOKUP(VALUE(J2555),'Site Info'!$A:$G,7,FALSE),"")</f>
        <v>4024383540</v>
      </c>
    </row>
    <row r="2556" spans="1:15" x14ac:dyDescent="0.45">
      <c r="A2556" t="s">
        <v>1334</v>
      </c>
      <c r="B2556" t="s">
        <v>1335</v>
      </c>
      <c r="C2556" t="s">
        <v>1336</v>
      </c>
      <c r="D2556" t="s">
        <v>243</v>
      </c>
      <c r="E2556" s="1">
        <v>46153.278020833335</v>
      </c>
      <c r="F2556">
        <v>1481</v>
      </c>
      <c r="G2556" t="s">
        <v>1337</v>
      </c>
      <c r="H2556" t="s">
        <v>15</v>
      </c>
      <c r="I2556" t="s">
        <v>244</v>
      </c>
      <c r="J2556" t="str">
        <f>RIGHT(D2556,4)</f>
        <v>6413</v>
      </c>
      <c r="K2556" t="str">
        <f>IFERROR(VLOOKUP(VALUE(J2556),'Site Info'!$A:$G,3,FALSE),"")</f>
        <v>4900 N 27TH ST</v>
      </c>
      <c r="L2556" t="str">
        <f>IFERROR(VLOOKUP(VALUE(J2556),'Site Info'!$A:$G,4,FALSE),"")</f>
        <v>LINCOLN</v>
      </c>
      <c r="M2556" t="str">
        <f>IFERROR(VLOOKUP(VALUE(J2556),'Site Info'!$A:$G,5,FALSE),"")</f>
        <v>NE</v>
      </c>
      <c r="N2556" t="str">
        <f>IFERROR(VLOOKUP(VALUE(J2556),'Site Info'!$A:$G,6,FALSE),"")</f>
        <v>68521-1194</v>
      </c>
      <c r="O2556">
        <f>IFERROR(VLOOKUP(VALUE(J2556),'Site Info'!$A:$G,7,FALSE),"")</f>
        <v>4024383540</v>
      </c>
    </row>
    <row r="2557" spans="1:15" x14ac:dyDescent="0.45">
      <c r="A2557" t="s">
        <v>10957</v>
      </c>
      <c r="B2557" t="s">
        <v>10958</v>
      </c>
      <c r="C2557" t="s">
        <v>10959</v>
      </c>
      <c r="D2557" t="s">
        <v>3450</v>
      </c>
      <c r="E2557" s="1">
        <v>46152.772280092591</v>
      </c>
      <c r="F2557">
        <v>1547</v>
      </c>
      <c r="G2557" t="s">
        <v>10960</v>
      </c>
      <c r="H2557" t="s">
        <v>15</v>
      </c>
      <c r="I2557" t="s">
        <v>3452</v>
      </c>
      <c r="J2557" t="str">
        <f>RIGHT(D2557,4)</f>
        <v>6614</v>
      </c>
      <c r="K2557" t="str">
        <f>IFERROR(VLOOKUP(VALUE(J2557),'Site Info'!$A:$G,3,FALSE),"")</f>
        <v>4901 SANTA ANITA AVE</v>
      </c>
      <c r="L2557" t="str">
        <f>IFERROR(VLOOKUP(VALUE(J2557),'Site Info'!$A:$G,4,FALSE),"")</f>
        <v>EL MONTE</v>
      </c>
      <c r="M2557" t="str">
        <f>IFERROR(VLOOKUP(VALUE(J2557),'Site Info'!$A:$G,5,FALSE),"")</f>
        <v>CA</v>
      </c>
      <c r="N2557" t="str">
        <f>IFERROR(VLOOKUP(VALUE(J2557),'Site Info'!$A:$G,6,FALSE),"")</f>
        <v>91731-1415</v>
      </c>
      <c r="O2557">
        <f>IFERROR(VLOOKUP(VALUE(J2557),'Site Info'!$A:$G,7,FALSE),"")</f>
        <v>6266526901</v>
      </c>
    </row>
    <row r="2558" spans="1:15" x14ac:dyDescent="0.45">
      <c r="A2558" t="s">
        <v>10755</v>
      </c>
      <c r="B2558" t="s">
        <v>10756</v>
      </c>
      <c r="C2558" t="s">
        <v>10757</v>
      </c>
      <c r="D2558" t="s">
        <v>3450</v>
      </c>
      <c r="E2558" s="1">
        <v>46153.261979166666</v>
      </c>
      <c r="F2558">
        <v>1547</v>
      </c>
      <c r="G2558" t="s">
        <v>10758</v>
      </c>
      <c r="H2558" t="s">
        <v>15</v>
      </c>
      <c r="I2558" t="s">
        <v>3452</v>
      </c>
      <c r="J2558" t="str">
        <f>RIGHT(D2558,4)</f>
        <v>6614</v>
      </c>
      <c r="K2558" t="str">
        <f>IFERROR(VLOOKUP(VALUE(J2558),'Site Info'!$A:$G,3,FALSE),"")</f>
        <v>4901 SANTA ANITA AVE</v>
      </c>
      <c r="L2558" t="str">
        <f>IFERROR(VLOOKUP(VALUE(J2558),'Site Info'!$A:$G,4,FALSE),"")</f>
        <v>EL MONTE</v>
      </c>
      <c r="M2558" t="str">
        <f>IFERROR(VLOOKUP(VALUE(J2558),'Site Info'!$A:$G,5,FALSE),"")</f>
        <v>CA</v>
      </c>
      <c r="N2558" t="str">
        <f>IFERROR(VLOOKUP(VALUE(J2558),'Site Info'!$A:$G,6,FALSE),"")</f>
        <v>91731-1415</v>
      </c>
      <c r="O2558">
        <f>IFERROR(VLOOKUP(VALUE(J2558),'Site Info'!$A:$G,7,FALSE),"")</f>
        <v>6266526901</v>
      </c>
    </row>
    <row r="2559" spans="1:15" x14ac:dyDescent="0.45">
      <c r="A2559" t="s">
        <v>3447</v>
      </c>
      <c r="B2559" t="s">
        <v>3448</v>
      </c>
      <c r="C2559" t="s">
        <v>3449</v>
      </c>
      <c r="D2559" t="s">
        <v>3450</v>
      </c>
      <c r="E2559" s="1">
        <v>46152.601678240739</v>
      </c>
      <c r="F2559">
        <v>1481</v>
      </c>
      <c r="G2559" t="s">
        <v>3451</v>
      </c>
      <c r="H2559" t="s">
        <v>15</v>
      </c>
      <c r="I2559" t="s">
        <v>3452</v>
      </c>
      <c r="J2559" t="str">
        <f>RIGHT(D2559,4)</f>
        <v>6614</v>
      </c>
      <c r="K2559" t="str">
        <f>IFERROR(VLOOKUP(VALUE(J2559),'Site Info'!$A:$G,3,FALSE),"")</f>
        <v>4901 SANTA ANITA AVE</v>
      </c>
      <c r="L2559" t="str">
        <f>IFERROR(VLOOKUP(VALUE(J2559),'Site Info'!$A:$G,4,FALSE),"")</f>
        <v>EL MONTE</v>
      </c>
      <c r="M2559" t="str">
        <f>IFERROR(VLOOKUP(VALUE(J2559),'Site Info'!$A:$G,5,FALSE),"")</f>
        <v>CA</v>
      </c>
      <c r="N2559" t="str">
        <f>IFERROR(VLOOKUP(VALUE(J2559),'Site Info'!$A:$G,6,FALSE),"")</f>
        <v>91731-1415</v>
      </c>
      <c r="O2559">
        <f>IFERROR(VLOOKUP(VALUE(J2559),'Site Info'!$A:$G,7,FALSE),"")</f>
        <v>6266526901</v>
      </c>
    </row>
    <row r="2560" spans="1:15" x14ac:dyDescent="0.45">
      <c r="A2560" t="s">
        <v>16504</v>
      </c>
      <c r="B2560" t="s">
        <v>16977</v>
      </c>
      <c r="C2560" t="s">
        <v>16978</v>
      </c>
      <c r="D2560" t="s">
        <v>3450</v>
      </c>
      <c r="E2560" s="1">
        <v>46153.18309027778</v>
      </c>
      <c r="F2560">
        <v>1628</v>
      </c>
      <c r="G2560" t="s">
        <v>16979</v>
      </c>
      <c r="H2560" t="s">
        <v>13988</v>
      </c>
      <c r="I2560" t="s">
        <v>3452</v>
      </c>
      <c r="J2560" t="str">
        <f>RIGHT(D2560,4)</f>
        <v>6614</v>
      </c>
      <c r="K2560" t="str">
        <f>IFERROR(VLOOKUP(VALUE(J2560),'Site Info'!$A:$G,3,FALSE),"")</f>
        <v>4901 SANTA ANITA AVE</v>
      </c>
      <c r="L2560" t="str">
        <f>IFERROR(VLOOKUP(VALUE(J2560),'Site Info'!$A:$G,4,FALSE),"")</f>
        <v>EL MONTE</v>
      </c>
      <c r="M2560" t="str">
        <f>IFERROR(VLOOKUP(VALUE(J2560),'Site Info'!$A:$G,5,FALSE),"")</f>
        <v>CA</v>
      </c>
      <c r="N2560" t="str">
        <f>IFERROR(VLOOKUP(VALUE(J2560),'Site Info'!$A:$G,6,FALSE),"")</f>
        <v>91731-1415</v>
      </c>
      <c r="O2560">
        <f>IFERROR(VLOOKUP(VALUE(J2560),'Site Info'!$A:$G,7,FALSE),"")</f>
        <v>6266526901</v>
      </c>
    </row>
    <row r="2561" spans="1:15" x14ac:dyDescent="0.45">
      <c r="A2561" t="s">
        <v>11892</v>
      </c>
      <c r="B2561" t="s">
        <v>11893</v>
      </c>
      <c r="C2561" t="s">
        <v>11894</v>
      </c>
      <c r="D2561" t="s">
        <v>477</v>
      </c>
      <c r="E2561" s="1">
        <v>46153.370636574073</v>
      </c>
      <c r="F2561">
        <v>1548</v>
      </c>
      <c r="G2561" t="s">
        <v>11895</v>
      </c>
      <c r="H2561" t="s">
        <v>15</v>
      </c>
      <c r="I2561" t="s">
        <v>479</v>
      </c>
      <c r="J2561" t="str">
        <f>RIGHT(D2561,4)</f>
        <v>8133</v>
      </c>
      <c r="K2561" t="str">
        <f>IFERROR(VLOOKUP(VALUE(J2561),'Site Info'!$A:$G,3,FALSE),"")</f>
        <v>4949 HOUSTON RD</v>
      </c>
      <c r="L2561" t="str">
        <f>IFERROR(VLOOKUP(VALUE(J2561),'Site Info'!$A:$G,4,FALSE),"")</f>
        <v>FLORENCE</v>
      </c>
      <c r="M2561" t="str">
        <f>IFERROR(VLOOKUP(VALUE(J2561),'Site Info'!$A:$G,5,FALSE),"")</f>
        <v>KY</v>
      </c>
      <c r="N2561" t="str">
        <f>IFERROR(VLOOKUP(VALUE(J2561),'Site Info'!$A:$G,6,FALSE),"")</f>
        <v>41042-1365</v>
      </c>
      <c r="O2561">
        <f>IFERROR(VLOOKUP(VALUE(J2561),'Site Info'!$A:$G,7,FALSE),"")</f>
        <v>8592835515</v>
      </c>
    </row>
    <row r="2562" spans="1:15" x14ac:dyDescent="0.45">
      <c r="A2562" t="s">
        <v>13864</v>
      </c>
      <c r="B2562" t="s">
        <v>13865</v>
      </c>
      <c r="C2562" t="s">
        <v>13866</v>
      </c>
      <c r="D2562" t="s">
        <v>477</v>
      </c>
      <c r="E2562" s="1">
        <v>46148.709687499999</v>
      </c>
      <c r="F2562">
        <v>1547</v>
      </c>
      <c r="G2562" t="s">
        <v>13867</v>
      </c>
      <c r="H2562" t="s">
        <v>15</v>
      </c>
      <c r="I2562" t="s">
        <v>479</v>
      </c>
      <c r="J2562" t="str">
        <f>RIGHT(D2562,4)</f>
        <v>8133</v>
      </c>
      <c r="K2562" t="str">
        <f>IFERROR(VLOOKUP(VALUE(J2562),'Site Info'!$A:$G,3,FALSE),"")</f>
        <v>4949 HOUSTON RD</v>
      </c>
      <c r="L2562" t="str">
        <f>IFERROR(VLOOKUP(VALUE(J2562),'Site Info'!$A:$G,4,FALSE),"")</f>
        <v>FLORENCE</v>
      </c>
      <c r="M2562" t="str">
        <f>IFERROR(VLOOKUP(VALUE(J2562),'Site Info'!$A:$G,5,FALSE),"")</f>
        <v>KY</v>
      </c>
      <c r="N2562" t="str">
        <f>IFERROR(VLOOKUP(VALUE(J2562),'Site Info'!$A:$G,6,FALSE),"")</f>
        <v>41042-1365</v>
      </c>
      <c r="O2562">
        <f>IFERROR(VLOOKUP(VALUE(J2562),'Site Info'!$A:$G,7,FALSE),"")</f>
        <v>8592835515</v>
      </c>
    </row>
    <row r="2563" spans="1:15" x14ac:dyDescent="0.45">
      <c r="A2563" t="s">
        <v>13952</v>
      </c>
      <c r="B2563" t="s">
        <v>13953</v>
      </c>
      <c r="C2563" t="s">
        <v>13954</v>
      </c>
      <c r="D2563" t="s">
        <v>477</v>
      </c>
      <c r="E2563" s="1">
        <v>46151.509918981479</v>
      </c>
      <c r="F2563">
        <v>1547</v>
      </c>
      <c r="G2563" t="s">
        <v>13955</v>
      </c>
      <c r="H2563" t="s">
        <v>15</v>
      </c>
      <c r="I2563" t="s">
        <v>479</v>
      </c>
      <c r="J2563" t="str">
        <f>RIGHT(D2563,4)</f>
        <v>8133</v>
      </c>
      <c r="K2563" t="str">
        <f>IFERROR(VLOOKUP(VALUE(J2563),'Site Info'!$A:$G,3,FALSE),"")</f>
        <v>4949 HOUSTON RD</v>
      </c>
      <c r="L2563" t="str">
        <f>IFERROR(VLOOKUP(VALUE(J2563),'Site Info'!$A:$G,4,FALSE),"")</f>
        <v>FLORENCE</v>
      </c>
      <c r="M2563" t="str">
        <f>IFERROR(VLOOKUP(VALUE(J2563),'Site Info'!$A:$G,5,FALSE),"")</f>
        <v>KY</v>
      </c>
      <c r="N2563" t="str">
        <f>IFERROR(VLOOKUP(VALUE(J2563),'Site Info'!$A:$G,6,FALSE),"")</f>
        <v>41042-1365</v>
      </c>
      <c r="O2563">
        <f>IFERROR(VLOOKUP(VALUE(J2563),'Site Info'!$A:$G,7,FALSE),"")</f>
        <v>8592835515</v>
      </c>
    </row>
    <row r="2564" spans="1:15" x14ac:dyDescent="0.45">
      <c r="A2564" t="s">
        <v>10891</v>
      </c>
      <c r="B2564" t="s">
        <v>10892</v>
      </c>
      <c r="C2564" t="s">
        <v>10893</v>
      </c>
      <c r="D2564" t="s">
        <v>477</v>
      </c>
      <c r="E2564" s="1">
        <v>46152.671006944445</v>
      </c>
      <c r="F2564">
        <v>1547</v>
      </c>
      <c r="G2564" t="s">
        <v>10894</v>
      </c>
      <c r="H2564" t="s">
        <v>15</v>
      </c>
      <c r="I2564" t="s">
        <v>479</v>
      </c>
      <c r="J2564" t="str">
        <f>RIGHT(D2564,4)</f>
        <v>8133</v>
      </c>
      <c r="K2564" t="str">
        <f>IFERROR(VLOOKUP(VALUE(J2564),'Site Info'!$A:$G,3,FALSE),"")</f>
        <v>4949 HOUSTON RD</v>
      </c>
      <c r="L2564" t="str">
        <f>IFERROR(VLOOKUP(VALUE(J2564),'Site Info'!$A:$G,4,FALSE),"")</f>
        <v>FLORENCE</v>
      </c>
      <c r="M2564" t="str">
        <f>IFERROR(VLOOKUP(VALUE(J2564),'Site Info'!$A:$G,5,FALSE),"")</f>
        <v>KY</v>
      </c>
      <c r="N2564" t="str">
        <f>IFERROR(VLOOKUP(VALUE(J2564),'Site Info'!$A:$G,6,FALSE),"")</f>
        <v>41042-1365</v>
      </c>
      <c r="O2564">
        <f>IFERROR(VLOOKUP(VALUE(J2564),'Site Info'!$A:$G,7,FALSE),"")</f>
        <v>8592835515</v>
      </c>
    </row>
    <row r="2565" spans="1:15" x14ac:dyDescent="0.45">
      <c r="A2565" t="s">
        <v>9792</v>
      </c>
      <c r="B2565" t="s">
        <v>9793</v>
      </c>
      <c r="C2565" t="s">
        <v>9794</v>
      </c>
      <c r="D2565" t="s">
        <v>477</v>
      </c>
      <c r="E2565" s="1">
        <v>46153.253020833334</v>
      </c>
      <c r="F2565">
        <v>1547</v>
      </c>
      <c r="G2565" t="s">
        <v>9795</v>
      </c>
      <c r="H2565" t="s">
        <v>15</v>
      </c>
      <c r="I2565" t="s">
        <v>479</v>
      </c>
      <c r="J2565" t="str">
        <f>RIGHT(D2565,4)</f>
        <v>8133</v>
      </c>
      <c r="K2565" t="str">
        <f>IFERROR(VLOOKUP(VALUE(J2565),'Site Info'!$A:$G,3,FALSE),"")</f>
        <v>4949 HOUSTON RD</v>
      </c>
      <c r="L2565" t="str">
        <f>IFERROR(VLOOKUP(VALUE(J2565),'Site Info'!$A:$G,4,FALSE),"")</f>
        <v>FLORENCE</v>
      </c>
      <c r="M2565" t="str">
        <f>IFERROR(VLOOKUP(VALUE(J2565),'Site Info'!$A:$G,5,FALSE),"")</f>
        <v>KY</v>
      </c>
      <c r="N2565" t="str">
        <f>IFERROR(VLOOKUP(VALUE(J2565),'Site Info'!$A:$G,6,FALSE),"")</f>
        <v>41042-1365</v>
      </c>
      <c r="O2565">
        <f>IFERROR(VLOOKUP(VALUE(J2565),'Site Info'!$A:$G,7,FALSE),"")</f>
        <v>8592835515</v>
      </c>
    </row>
    <row r="2566" spans="1:15" x14ac:dyDescent="0.45">
      <c r="A2566" t="s">
        <v>11684</v>
      </c>
      <c r="B2566" t="s">
        <v>11685</v>
      </c>
      <c r="C2566" t="s">
        <v>11686</v>
      </c>
      <c r="D2566" t="s">
        <v>477</v>
      </c>
      <c r="E2566" s="1">
        <v>46153.265590277777</v>
      </c>
      <c r="F2566">
        <v>1547</v>
      </c>
      <c r="G2566" t="s">
        <v>11687</v>
      </c>
      <c r="H2566" t="s">
        <v>15</v>
      </c>
      <c r="I2566" t="s">
        <v>479</v>
      </c>
      <c r="J2566" t="str">
        <f>RIGHT(D2566,4)</f>
        <v>8133</v>
      </c>
      <c r="K2566" t="str">
        <f>IFERROR(VLOOKUP(VALUE(J2566),'Site Info'!$A:$G,3,FALSE),"")</f>
        <v>4949 HOUSTON RD</v>
      </c>
      <c r="L2566" t="str">
        <f>IFERROR(VLOOKUP(VALUE(J2566),'Site Info'!$A:$G,4,FALSE),"")</f>
        <v>FLORENCE</v>
      </c>
      <c r="M2566" t="str">
        <f>IFERROR(VLOOKUP(VALUE(J2566),'Site Info'!$A:$G,5,FALSE),"")</f>
        <v>KY</v>
      </c>
      <c r="N2566" t="str">
        <f>IFERROR(VLOOKUP(VALUE(J2566),'Site Info'!$A:$G,6,FALSE),"")</f>
        <v>41042-1365</v>
      </c>
      <c r="O2566">
        <f>IFERROR(VLOOKUP(VALUE(J2566),'Site Info'!$A:$G,7,FALSE),"")</f>
        <v>8592835515</v>
      </c>
    </row>
    <row r="2567" spans="1:15" x14ac:dyDescent="0.45">
      <c r="A2567" t="s">
        <v>12372</v>
      </c>
      <c r="B2567" t="s">
        <v>12373</v>
      </c>
      <c r="C2567" t="s">
        <v>12374</v>
      </c>
      <c r="D2567" t="s">
        <v>477</v>
      </c>
      <c r="E2567" s="1">
        <v>46153.374120370368</v>
      </c>
      <c r="F2567">
        <v>1547</v>
      </c>
      <c r="G2567" t="s">
        <v>12375</v>
      </c>
      <c r="H2567" t="s">
        <v>15</v>
      </c>
      <c r="I2567" t="s">
        <v>479</v>
      </c>
      <c r="J2567" t="str">
        <f>RIGHT(D2567,4)</f>
        <v>8133</v>
      </c>
      <c r="K2567" t="str">
        <f>IFERROR(VLOOKUP(VALUE(J2567),'Site Info'!$A:$G,3,FALSE),"")</f>
        <v>4949 HOUSTON RD</v>
      </c>
      <c r="L2567" t="str">
        <f>IFERROR(VLOOKUP(VALUE(J2567),'Site Info'!$A:$G,4,FALSE),"")</f>
        <v>FLORENCE</v>
      </c>
      <c r="M2567" t="str">
        <f>IFERROR(VLOOKUP(VALUE(J2567),'Site Info'!$A:$G,5,FALSE),"")</f>
        <v>KY</v>
      </c>
      <c r="N2567" t="str">
        <f>IFERROR(VLOOKUP(VALUE(J2567),'Site Info'!$A:$G,6,FALSE),"")</f>
        <v>41042-1365</v>
      </c>
      <c r="O2567">
        <f>IFERROR(VLOOKUP(VALUE(J2567),'Site Info'!$A:$G,7,FALSE),"")</f>
        <v>8592835515</v>
      </c>
    </row>
    <row r="2568" spans="1:15" x14ac:dyDescent="0.45">
      <c r="A2568" t="s">
        <v>474</v>
      </c>
      <c r="B2568" t="s">
        <v>475</v>
      </c>
      <c r="C2568" t="s">
        <v>476</v>
      </c>
      <c r="D2568" t="s">
        <v>477</v>
      </c>
      <c r="E2568" s="1">
        <v>46142.608136574076</v>
      </c>
      <c r="F2568">
        <v>1481</v>
      </c>
      <c r="G2568" t="s">
        <v>478</v>
      </c>
      <c r="H2568" t="s">
        <v>15</v>
      </c>
      <c r="I2568" t="s">
        <v>479</v>
      </c>
      <c r="J2568" t="str">
        <f>RIGHT(D2568,4)</f>
        <v>8133</v>
      </c>
      <c r="K2568" t="str">
        <f>IFERROR(VLOOKUP(VALUE(J2568),'Site Info'!$A:$G,3,FALSE),"")</f>
        <v>4949 HOUSTON RD</v>
      </c>
      <c r="L2568" t="str">
        <f>IFERROR(VLOOKUP(VALUE(J2568),'Site Info'!$A:$G,4,FALSE),"")</f>
        <v>FLORENCE</v>
      </c>
      <c r="M2568" t="str">
        <f>IFERROR(VLOOKUP(VALUE(J2568),'Site Info'!$A:$G,5,FALSE),"")</f>
        <v>KY</v>
      </c>
      <c r="N2568" t="str">
        <f>IFERROR(VLOOKUP(VALUE(J2568),'Site Info'!$A:$G,6,FALSE),"")</f>
        <v>41042-1365</v>
      </c>
      <c r="O2568">
        <f>IFERROR(VLOOKUP(VALUE(J2568),'Site Info'!$A:$G,7,FALSE),"")</f>
        <v>8592835515</v>
      </c>
    </row>
    <row r="2569" spans="1:15" x14ac:dyDescent="0.45">
      <c r="A2569" t="s">
        <v>14261</v>
      </c>
      <c r="B2569" t="s">
        <v>14262</v>
      </c>
      <c r="C2569" t="s">
        <v>14263</v>
      </c>
      <c r="D2569" t="s">
        <v>1703</v>
      </c>
      <c r="E2569" s="1">
        <v>46152.528969907406</v>
      </c>
      <c r="F2569">
        <v>1863</v>
      </c>
      <c r="G2569" t="s">
        <v>14264</v>
      </c>
      <c r="H2569" t="s">
        <v>136</v>
      </c>
      <c r="I2569" t="s">
        <v>1705</v>
      </c>
      <c r="J2569" t="str">
        <f>RIGHT(D2569,4)</f>
        <v>6684</v>
      </c>
      <c r="K2569" t="str">
        <f>IFERROR(VLOOKUP(VALUE(J2569),'Site Info'!$A:$G,3,FALSE),"")</f>
        <v>4949 S 900 W</v>
      </c>
      <c r="L2569" t="str">
        <f>IFERROR(VLOOKUP(VALUE(J2569),'Site Info'!$A:$G,4,FALSE),"")</f>
        <v>RIVERDALE</v>
      </c>
      <c r="M2569" t="str">
        <f>IFERROR(VLOOKUP(VALUE(J2569),'Site Info'!$A:$G,5,FALSE),"")</f>
        <v>UT</v>
      </c>
      <c r="N2569" t="str">
        <f>IFERROR(VLOOKUP(VALUE(J2569),'Site Info'!$A:$G,6,FALSE),"")</f>
        <v>84405-3777</v>
      </c>
      <c r="O2569">
        <f>IFERROR(VLOOKUP(VALUE(J2569),'Site Info'!$A:$G,7,FALSE),"")</f>
        <v>8016123465</v>
      </c>
    </row>
    <row r="2570" spans="1:15" x14ac:dyDescent="0.45">
      <c r="A2570" t="s">
        <v>5486</v>
      </c>
      <c r="B2570" t="s">
        <v>5487</v>
      </c>
      <c r="C2570" t="s">
        <v>5488</v>
      </c>
      <c r="D2570" t="s">
        <v>1703</v>
      </c>
      <c r="E2570" s="1">
        <v>46152.58902777778</v>
      </c>
      <c r="F2570">
        <v>1547</v>
      </c>
      <c r="G2570" t="s">
        <v>5489</v>
      </c>
      <c r="H2570" t="s">
        <v>15</v>
      </c>
      <c r="I2570" t="s">
        <v>1705</v>
      </c>
      <c r="J2570" t="str">
        <f>RIGHT(D2570,4)</f>
        <v>6684</v>
      </c>
      <c r="K2570" t="str">
        <f>IFERROR(VLOOKUP(VALUE(J2570),'Site Info'!$A:$G,3,FALSE),"")</f>
        <v>4949 S 900 W</v>
      </c>
      <c r="L2570" t="str">
        <f>IFERROR(VLOOKUP(VALUE(J2570),'Site Info'!$A:$G,4,FALSE),"")</f>
        <v>RIVERDALE</v>
      </c>
      <c r="M2570" t="str">
        <f>IFERROR(VLOOKUP(VALUE(J2570),'Site Info'!$A:$G,5,FALSE),"")</f>
        <v>UT</v>
      </c>
      <c r="N2570" t="str">
        <f>IFERROR(VLOOKUP(VALUE(J2570),'Site Info'!$A:$G,6,FALSE),"")</f>
        <v>84405-3777</v>
      </c>
      <c r="O2570">
        <f>IFERROR(VLOOKUP(VALUE(J2570),'Site Info'!$A:$G,7,FALSE),"")</f>
        <v>8016123465</v>
      </c>
    </row>
    <row r="2571" spans="1:15" x14ac:dyDescent="0.45">
      <c r="A2571" t="s">
        <v>5858</v>
      </c>
      <c r="B2571" t="s">
        <v>5859</v>
      </c>
      <c r="C2571" t="s">
        <v>5860</v>
      </c>
      <c r="D2571" t="s">
        <v>1703</v>
      </c>
      <c r="E2571" s="1">
        <v>46152.743472222224</v>
      </c>
      <c r="F2571">
        <v>1547</v>
      </c>
      <c r="G2571" t="s">
        <v>5861</v>
      </c>
      <c r="H2571" t="s">
        <v>15</v>
      </c>
      <c r="I2571" t="s">
        <v>1705</v>
      </c>
      <c r="J2571" t="str">
        <f>RIGHT(D2571,4)</f>
        <v>6684</v>
      </c>
      <c r="K2571" t="str">
        <f>IFERROR(VLOOKUP(VALUE(J2571),'Site Info'!$A:$G,3,FALSE),"")</f>
        <v>4949 S 900 W</v>
      </c>
      <c r="L2571" t="str">
        <f>IFERROR(VLOOKUP(VALUE(J2571),'Site Info'!$A:$G,4,FALSE),"")</f>
        <v>RIVERDALE</v>
      </c>
      <c r="M2571" t="str">
        <f>IFERROR(VLOOKUP(VALUE(J2571),'Site Info'!$A:$G,5,FALSE),"")</f>
        <v>UT</v>
      </c>
      <c r="N2571" t="str">
        <f>IFERROR(VLOOKUP(VALUE(J2571),'Site Info'!$A:$G,6,FALSE),"")</f>
        <v>84405-3777</v>
      </c>
      <c r="O2571">
        <f>IFERROR(VLOOKUP(VALUE(J2571),'Site Info'!$A:$G,7,FALSE),"")</f>
        <v>8016123465</v>
      </c>
    </row>
    <row r="2572" spans="1:15" x14ac:dyDescent="0.45">
      <c r="A2572" t="s">
        <v>5920</v>
      </c>
      <c r="B2572" t="s">
        <v>5921</v>
      </c>
      <c r="C2572" t="s">
        <v>5922</v>
      </c>
      <c r="D2572" t="s">
        <v>1703</v>
      </c>
      <c r="E2572" s="1">
        <v>46152.854189814818</v>
      </c>
      <c r="F2572">
        <v>1547</v>
      </c>
      <c r="G2572" t="s">
        <v>5923</v>
      </c>
      <c r="H2572" t="s">
        <v>15</v>
      </c>
      <c r="I2572" t="s">
        <v>1705</v>
      </c>
      <c r="J2572" t="str">
        <f>RIGHT(D2572,4)</f>
        <v>6684</v>
      </c>
      <c r="K2572" t="str">
        <f>IFERROR(VLOOKUP(VALUE(J2572),'Site Info'!$A:$G,3,FALSE),"")</f>
        <v>4949 S 900 W</v>
      </c>
      <c r="L2572" t="str">
        <f>IFERROR(VLOOKUP(VALUE(J2572),'Site Info'!$A:$G,4,FALSE),"")</f>
        <v>RIVERDALE</v>
      </c>
      <c r="M2572" t="str">
        <f>IFERROR(VLOOKUP(VALUE(J2572),'Site Info'!$A:$G,5,FALSE),"")</f>
        <v>UT</v>
      </c>
      <c r="N2572" t="str">
        <f>IFERROR(VLOOKUP(VALUE(J2572),'Site Info'!$A:$G,6,FALSE),"")</f>
        <v>84405-3777</v>
      </c>
      <c r="O2572">
        <f>IFERROR(VLOOKUP(VALUE(J2572),'Site Info'!$A:$G,7,FALSE),"")</f>
        <v>8016123465</v>
      </c>
    </row>
    <row r="2573" spans="1:15" x14ac:dyDescent="0.45">
      <c r="A2573" t="s">
        <v>13511</v>
      </c>
      <c r="B2573" t="s">
        <v>13512</v>
      </c>
      <c r="C2573" t="s">
        <v>13513</v>
      </c>
      <c r="D2573" t="s">
        <v>1703</v>
      </c>
      <c r="E2573" s="1">
        <v>46153.37122685185</v>
      </c>
      <c r="F2573">
        <v>1547</v>
      </c>
      <c r="G2573" t="s">
        <v>13514</v>
      </c>
      <c r="H2573" t="s">
        <v>15</v>
      </c>
      <c r="I2573" t="s">
        <v>1705</v>
      </c>
      <c r="J2573" t="str">
        <f>RIGHT(D2573,4)</f>
        <v>6684</v>
      </c>
      <c r="K2573" t="str">
        <f>IFERROR(VLOOKUP(VALUE(J2573),'Site Info'!$A:$G,3,FALSE),"")</f>
        <v>4949 S 900 W</v>
      </c>
      <c r="L2573" t="str">
        <f>IFERROR(VLOOKUP(VALUE(J2573),'Site Info'!$A:$G,4,FALSE),"")</f>
        <v>RIVERDALE</v>
      </c>
      <c r="M2573" t="str">
        <f>IFERROR(VLOOKUP(VALUE(J2573),'Site Info'!$A:$G,5,FALSE),"")</f>
        <v>UT</v>
      </c>
      <c r="N2573" t="str">
        <f>IFERROR(VLOOKUP(VALUE(J2573),'Site Info'!$A:$G,6,FALSE),"")</f>
        <v>84405-3777</v>
      </c>
      <c r="O2573">
        <f>IFERROR(VLOOKUP(VALUE(J2573),'Site Info'!$A:$G,7,FALSE),"")</f>
        <v>8016123465</v>
      </c>
    </row>
    <row r="2574" spans="1:15" x14ac:dyDescent="0.45">
      <c r="A2574" t="s">
        <v>3593</v>
      </c>
      <c r="B2574" t="s">
        <v>3594</v>
      </c>
      <c r="C2574" t="s">
        <v>3595</v>
      </c>
      <c r="D2574" t="s">
        <v>1703</v>
      </c>
      <c r="E2574" s="1">
        <v>46114.833090277774</v>
      </c>
      <c r="F2574">
        <v>1481</v>
      </c>
      <c r="G2574" t="s">
        <v>3596</v>
      </c>
      <c r="H2574" t="s">
        <v>15</v>
      </c>
      <c r="I2574" t="s">
        <v>1705</v>
      </c>
      <c r="J2574" t="str">
        <f>RIGHT(D2574,4)</f>
        <v>6684</v>
      </c>
      <c r="K2574" t="str">
        <f>IFERROR(VLOOKUP(VALUE(J2574),'Site Info'!$A:$G,3,FALSE),"")</f>
        <v>4949 S 900 W</v>
      </c>
      <c r="L2574" t="str">
        <f>IFERROR(VLOOKUP(VALUE(J2574),'Site Info'!$A:$G,4,FALSE),"")</f>
        <v>RIVERDALE</v>
      </c>
      <c r="M2574" t="str">
        <f>IFERROR(VLOOKUP(VALUE(J2574),'Site Info'!$A:$G,5,FALSE),"")</f>
        <v>UT</v>
      </c>
      <c r="N2574" t="str">
        <f>IFERROR(VLOOKUP(VALUE(J2574),'Site Info'!$A:$G,6,FALSE),"")</f>
        <v>84405-3777</v>
      </c>
      <c r="O2574">
        <f>IFERROR(VLOOKUP(VALUE(J2574),'Site Info'!$A:$G,7,FALSE),"")</f>
        <v>8016123465</v>
      </c>
    </row>
    <row r="2575" spans="1:15" x14ac:dyDescent="0.45">
      <c r="A2575" t="s">
        <v>2961</v>
      </c>
      <c r="B2575" t="s">
        <v>2962</v>
      </c>
      <c r="C2575" t="s">
        <v>2963</v>
      </c>
      <c r="D2575" t="s">
        <v>1703</v>
      </c>
      <c r="E2575" s="1">
        <v>46153.065046296295</v>
      </c>
      <c r="F2575">
        <v>1481</v>
      </c>
      <c r="G2575" t="s">
        <v>2964</v>
      </c>
      <c r="H2575" t="s">
        <v>15</v>
      </c>
      <c r="I2575" t="s">
        <v>1705</v>
      </c>
      <c r="J2575" t="str">
        <f>RIGHT(D2575,4)</f>
        <v>6684</v>
      </c>
      <c r="K2575" t="str">
        <f>IFERROR(VLOOKUP(VALUE(J2575),'Site Info'!$A:$G,3,FALSE),"")</f>
        <v>4949 S 900 W</v>
      </c>
      <c r="L2575" t="str">
        <f>IFERROR(VLOOKUP(VALUE(J2575),'Site Info'!$A:$G,4,FALSE),"")</f>
        <v>RIVERDALE</v>
      </c>
      <c r="M2575" t="str">
        <f>IFERROR(VLOOKUP(VALUE(J2575),'Site Info'!$A:$G,5,FALSE),"")</f>
        <v>UT</v>
      </c>
      <c r="N2575" t="str">
        <f>IFERROR(VLOOKUP(VALUE(J2575),'Site Info'!$A:$G,6,FALSE),"")</f>
        <v>84405-3777</v>
      </c>
      <c r="O2575">
        <f>IFERROR(VLOOKUP(VALUE(J2575),'Site Info'!$A:$G,7,FALSE),"")</f>
        <v>8016123465</v>
      </c>
    </row>
    <row r="2576" spans="1:15" x14ac:dyDescent="0.45">
      <c r="A2576" t="s">
        <v>1700</v>
      </c>
      <c r="B2576" t="s">
        <v>1701</v>
      </c>
      <c r="C2576" t="s">
        <v>1702</v>
      </c>
      <c r="D2576" t="s">
        <v>1703</v>
      </c>
      <c r="E2576" s="1">
        <v>46153.372152777774</v>
      </c>
      <c r="F2576">
        <v>1481</v>
      </c>
      <c r="G2576" t="s">
        <v>1704</v>
      </c>
      <c r="H2576" t="s">
        <v>15</v>
      </c>
      <c r="I2576" t="s">
        <v>1705</v>
      </c>
      <c r="J2576" t="str">
        <f>RIGHT(D2576,4)</f>
        <v>6684</v>
      </c>
      <c r="K2576" t="str">
        <f>IFERROR(VLOOKUP(VALUE(J2576),'Site Info'!$A:$G,3,FALSE),"")</f>
        <v>4949 S 900 W</v>
      </c>
      <c r="L2576" t="str">
        <f>IFERROR(VLOOKUP(VALUE(J2576),'Site Info'!$A:$G,4,FALSE),"")</f>
        <v>RIVERDALE</v>
      </c>
      <c r="M2576" t="str">
        <f>IFERROR(VLOOKUP(VALUE(J2576),'Site Info'!$A:$G,5,FALSE),"")</f>
        <v>UT</v>
      </c>
      <c r="N2576" t="str">
        <f>IFERROR(VLOOKUP(VALUE(J2576),'Site Info'!$A:$G,6,FALSE),"")</f>
        <v>84405-3777</v>
      </c>
      <c r="O2576">
        <f>IFERROR(VLOOKUP(VALUE(J2576),'Site Info'!$A:$G,7,FALSE),"")</f>
        <v>8016123465</v>
      </c>
    </row>
    <row r="2577" spans="1:15" x14ac:dyDescent="0.45">
      <c r="A2577" t="s">
        <v>9485</v>
      </c>
      <c r="B2577" t="s">
        <v>9486</v>
      </c>
      <c r="C2577" t="s">
        <v>9487</v>
      </c>
      <c r="D2577" t="s">
        <v>471</v>
      </c>
      <c r="E2577" s="1">
        <v>46153.35664351852</v>
      </c>
      <c r="F2577">
        <v>1547</v>
      </c>
      <c r="G2577" t="s">
        <v>9488</v>
      </c>
      <c r="H2577" t="s">
        <v>15</v>
      </c>
      <c r="I2577" t="s">
        <v>473</v>
      </c>
      <c r="J2577" t="str">
        <f>RIGHT(D2577,4)</f>
        <v>4720</v>
      </c>
      <c r="K2577" t="str">
        <f>IFERROR(VLOOKUP(VALUE(J2577),'Site Info'!$A:$G,3,FALSE),"")</f>
        <v>4970 W HIGHWAY 290</v>
      </c>
      <c r="L2577" t="str">
        <f>IFERROR(VLOOKUP(VALUE(J2577),'Site Info'!$A:$G,4,FALSE),"")</f>
        <v>AUSTIN</v>
      </c>
      <c r="M2577" t="str">
        <f>IFERROR(VLOOKUP(VALUE(J2577),'Site Info'!$A:$G,5,FALSE),"")</f>
        <v>TX</v>
      </c>
      <c r="N2577" t="str">
        <f>IFERROR(VLOOKUP(VALUE(J2577),'Site Info'!$A:$G,6,FALSE),"")</f>
        <v>78735-6748</v>
      </c>
      <c r="O2577">
        <f>IFERROR(VLOOKUP(VALUE(J2577),'Site Info'!$A:$G,7,FALSE),"")</f>
        <v>5123588695</v>
      </c>
    </row>
    <row r="2578" spans="1:15" x14ac:dyDescent="0.45">
      <c r="A2578" t="s">
        <v>9908</v>
      </c>
      <c r="B2578" t="s">
        <v>9909</v>
      </c>
      <c r="C2578" t="s">
        <v>9910</v>
      </c>
      <c r="D2578" t="s">
        <v>471</v>
      </c>
      <c r="E2578" s="1">
        <v>46153.371388888889</v>
      </c>
      <c r="F2578">
        <v>1547</v>
      </c>
      <c r="G2578" t="s">
        <v>9911</v>
      </c>
      <c r="H2578" t="s">
        <v>15</v>
      </c>
      <c r="I2578" t="s">
        <v>473</v>
      </c>
      <c r="J2578" t="str">
        <f>RIGHT(D2578,4)</f>
        <v>4720</v>
      </c>
      <c r="K2578" t="str">
        <f>IFERROR(VLOOKUP(VALUE(J2578),'Site Info'!$A:$G,3,FALSE),"")</f>
        <v>4970 W HIGHWAY 290</v>
      </c>
      <c r="L2578" t="str">
        <f>IFERROR(VLOOKUP(VALUE(J2578),'Site Info'!$A:$G,4,FALSE),"")</f>
        <v>AUSTIN</v>
      </c>
      <c r="M2578" t="str">
        <f>IFERROR(VLOOKUP(VALUE(J2578),'Site Info'!$A:$G,5,FALSE),"")</f>
        <v>TX</v>
      </c>
      <c r="N2578" t="str">
        <f>IFERROR(VLOOKUP(VALUE(J2578),'Site Info'!$A:$G,6,FALSE),"")</f>
        <v>78735-6748</v>
      </c>
      <c r="O2578">
        <f>IFERROR(VLOOKUP(VALUE(J2578),'Site Info'!$A:$G,7,FALSE),"")</f>
        <v>5123588695</v>
      </c>
    </row>
    <row r="2579" spans="1:15" x14ac:dyDescent="0.45">
      <c r="A2579" t="s">
        <v>4041</v>
      </c>
      <c r="B2579" t="s">
        <v>4042</v>
      </c>
      <c r="C2579" t="s">
        <v>4043</v>
      </c>
      <c r="D2579" t="s">
        <v>471</v>
      </c>
      <c r="E2579" s="1">
        <v>46152.693726851852</v>
      </c>
      <c r="F2579">
        <v>1481</v>
      </c>
      <c r="G2579" t="s">
        <v>4044</v>
      </c>
      <c r="H2579" t="s">
        <v>15</v>
      </c>
      <c r="I2579" t="s">
        <v>473</v>
      </c>
      <c r="J2579" t="str">
        <f>RIGHT(D2579,4)</f>
        <v>4720</v>
      </c>
      <c r="K2579" t="str">
        <f>IFERROR(VLOOKUP(VALUE(J2579),'Site Info'!$A:$G,3,FALSE),"")</f>
        <v>4970 W HIGHWAY 290</v>
      </c>
      <c r="L2579" t="str">
        <f>IFERROR(VLOOKUP(VALUE(J2579),'Site Info'!$A:$G,4,FALSE),"")</f>
        <v>AUSTIN</v>
      </c>
      <c r="M2579" t="str">
        <f>IFERROR(VLOOKUP(VALUE(J2579),'Site Info'!$A:$G,5,FALSE),"")</f>
        <v>TX</v>
      </c>
      <c r="N2579" t="str">
        <f>IFERROR(VLOOKUP(VALUE(J2579),'Site Info'!$A:$G,6,FALSE),"")</f>
        <v>78735-6748</v>
      </c>
      <c r="O2579">
        <f>IFERROR(VLOOKUP(VALUE(J2579),'Site Info'!$A:$G,7,FALSE),"")</f>
        <v>5123588695</v>
      </c>
    </row>
    <row r="2580" spans="1:15" x14ac:dyDescent="0.45">
      <c r="A2580" t="s">
        <v>468</v>
      </c>
      <c r="B2580" t="s">
        <v>469</v>
      </c>
      <c r="C2580" t="s">
        <v>470</v>
      </c>
      <c r="D2580" t="s">
        <v>471</v>
      </c>
      <c r="E2580" s="1">
        <v>46153.28765046296</v>
      </c>
      <c r="F2580">
        <v>1481</v>
      </c>
      <c r="G2580" t="s">
        <v>472</v>
      </c>
      <c r="H2580" t="s">
        <v>15</v>
      </c>
      <c r="I2580" t="s">
        <v>473</v>
      </c>
      <c r="J2580" t="str">
        <f>RIGHT(D2580,4)</f>
        <v>4720</v>
      </c>
      <c r="K2580" t="str">
        <f>IFERROR(VLOOKUP(VALUE(J2580),'Site Info'!$A:$G,3,FALSE),"")</f>
        <v>4970 W HIGHWAY 290</v>
      </c>
      <c r="L2580" t="str">
        <f>IFERROR(VLOOKUP(VALUE(J2580),'Site Info'!$A:$G,4,FALSE),"")</f>
        <v>AUSTIN</v>
      </c>
      <c r="M2580" t="str">
        <f>IFERROR(VLOOKUP(VALUE(J2580),'Site Info'!$A:$G,5,FALSE),"")</f>
        <v>TX</v>
      </c>
      <c r="N2580" t="str">
        <f>IFERROR(VLOOKUP(VALUE(J2580),'Site Info'!$A:$G,6,FALSE),"")</f>
        <v>78735-6748</v>
      </c>
      <c r="O2580">
        <f>IFERROR(VLOOKUP(VALUE(J2580),'Site Info'!$A:$G,7,FALSE),"")</f>
        <v>5123588695</v>
      </c>
    </row>
    <row r="2581" spans="1:15" x14ac:dyDescent="0.45">
      <c r="A2581" t="s">
        <v>13135</v>
      </c>
      <c r="B2581" t="s">
        <v>13136</v>
      </c>
      <c r="C2581" t="s">
        <v>13137</v>
      </c>
      <c r="D2581" t="s">
        <v>6950</v>
      </c>
      <c r="E2581" s="1">
        <v>46153.372534722221</v>
      </c>
      <c r="F2581">
        <v>1548</v>
      </c>
      <c r="G2581" t="s">
        <v>13138</v>
      </c>
      <c r="H2581" t="s">
        <v>15</v>
      </c>
      <c r="I2581" t="s">
        <v>6952</v>
      </c>
      <c r="J2581" t="str">
        <f>RIGHT(D2581,4)</f>
        <v>4878</v>
      </c>
      <c r="K2581" t="str">
        <f>IFERROR(VLOOKUP(VALUE(J2581),'Site Info'!$A:$G,3,FALSE),"")</f>
        <v>5 ILLINI DR</v>
      </c>
      <c r="L2581" t="str">
        <f>IFERROR(VLOOKUP(VALUE(J2581),'Site Info'!$A:$G,4,FALSE),"")</f>
        <v>GLEN CARBON</v>
      </c>
      <c r="M2581" t="str">
        <f>IFERROR(VLOOKUP(VALUE(J2581),'Site Info'!$A:$G,5,FALSE),"")</f>
        <v>IL</v>
      </c>
      <c r="N2581" t="str">
        <f>IFERROR(VLOOKUP(VALUE(J2581),'Site Info'!$A:$G,6,FALSE),"")</f>
        <v>62034-0000</v>
      </c>
      <c r="O2581">
        <f>IFERROR(VLOOKUP(VALUE(J2581),'Site Info'!$A:$G,7,FALSE),"")</f>
        <v>6186597336</v>
      </c>
    </row>
    <row r="2582" spans="1:15" x14ac:dyDescent="0.45">
      <c r="A2582" t="s">
        <v>9661</v>
      </c>
      <c r="B2582" t="s">
        <v>9662</v>
      </c>
      <c r="C2582" t="s">
        <v>9663</v>
      </c>
      <c r="D2582" t="s">
        <v>6950</v>
      </c>
      <c r="E2582" s="1">
        <v>46142.748206018521</v>
      </c>
      <c r="F2582">
        <v>1547</v>
      </c>
      <c r="G2582" t="s">
        <v>9664</v>
      </c>
      <c r="H2582" t="s">
        <v>15</v>
      </c>
      <c r="I2582" t="s">
        <v>6952</v>
      </c>
      <c r="J2582" t="str">
        <f>RIGHT(D2582,4)</f>
        <v>4878</v>
      </c>
      <c r="K2582" t="str">
        <f>IFERROR(VLOOKUP(VALUE(J2582),'Site Info'!$A:$G,3,FALSE),"")</f>
        <v>5 ILLINI DR</v>
      </c>
      <c r="L2582" t="str">
        <f>IFERROR(VLOOKUP(VALUE(J2582),'Site Info'!$A:$G,4,FALSE),"")</f>
        <v>GLEN CARBON</v>
      </c>
      <c r="M2582" t="str">
        <f>IFERROR(VLOOKUP(VALUE(J2582),'Site Info'!$A:$G,5,FALSE),"")</f>
        <v>IL</v>
      </c>
      <c r="N2582" t="str">
        <f>IFERROR(VLOOKUP(VALUE(J2582),'Site Info'!$A:$G,6,FALSE),"")</f>
        <v>62034-0000</v>
      </c>
      <c r="O2582">
        <f>IFERROR(VLOOKUP(VALUE(J2582),'Site Info'!$A:$G,7,FALSE),"")</f>
        <v>6186597336</v>
      </c>
    </row>
    <row r="2583" spans="1:15" x14ac:dyDescent="0.45">
      <c r="A2583" t="s">
        <v>6947</v>
      </c>
      <c r="B2583" t="s">
        <v>6948</v>
      </c>
      <c r="C2583" t="s">
        <v>6949</v>
      </c>
      <c r="D2583" t="s">
        <v>6950</v>
      </c>
      <c r="E2583" s="1">
        <v>46152.667083333334</v>
      </c>
      <c r="F2583">
        <v>1547</v>
      </c>
      <c r="G2583" t="s">
        <v>6951</v>
      </c>
      <c r="H2583" t="s">
        <v>15</v>
      </c>
      <c r="I2583" t="s">
        <v>6952</v>
      </c>
      <c r="J2583" t="str">
        <f>RIGHT(D2583,4)</f>
        <v>4878</v>
      </c>
      <c r="K2583" t="str">
        <f>IFERROR(VLOOKUP(VALUE(J2583),'Site Info'!$A:$G,3,FALSE),"")</f>
        <v>5 ILLINI DR</v>
      </c>
      <c r="L2583" t="str">
        <f>IFERROR(VLOOKUP(VALUE(J2583),'Site Info'!$A:$G,4,FALSE),"")</f>
        <v>GLEN CARBON</v>
      </c>
      <c r="M2583" t="str">
        <f>IFERROR(VLOOKUP(VALUE(J2583),'Site Info'!$A:$G,5,FALSE),"")</f>
        <v>IL</v>
      </c>
      <c r="N2583" t="str">
        <f>IFERROR(VLOOKUP(VALUE(J2583),'Site Info'!$A:$G,6,FALSE),"")</f>
        <v>62034-0000</v>
      </c>
      <c r="O2583">
        <f>IFERROR(VLOOKUP(VALUE(J2583),'Site Info'!$A:$G,7,FALSE),"")</f>
        <v>6186597336</v>
      </c>
    </row>
    <row r="2584" spans="1:15" x14ac:dyDescent="0.45">
      <c r="A2584" t="s">
        <v>13551</v>
      </c>
      <c r="B2584" t="s">
        <v>13552</v>
      </c>
      <c r="C2584" t="s">
        <v>13553</v>
      </c>
      <c r="D2584" t="s">
        <v>6950</v>
      </c>
      <c r="E2584" s="1">
        <v>46153.18109953704</v>
      </c>
      <c r="F2584">
        <v>1547</v>
      </c>
      <c r="G2584" t="s">
        <v>13554</v>
      </c>
      <c r="H2584" t="s">
        <v>15</v>
      </c>
      <c r="I2584" t="s">
        <v>6952</v>
      </c>
      <c r="J2584" t="str">
        <f>RIGHT(D2584,4)</f>
        <v>4878</v>
      </c>
      <c r="K2584" t="str">
        <f>IFERROR(VLOOKUP(VALUE(J2584),'Site Info'!$A:$G,3,FALSE),"")</f>
        <v>5 ILLINI DR</v>
      </c>
      <c r="L2584" t="str">
        <f>IFERROR(VLOOKUP(VALUE(J2584),'Site Info'!$A:$G,4,FALSE),"")</f>
        <v>GLEN CARBON</v>
      </c>
      <c r="M2584" t="str">
        <f>IFERROR(VLOOKUP(VALUE(J2584),'Site Info'!$A:$G,5,FALSE),"")</f>
        <v>IL</v>
      </c>
      <c r="N2584" t="str">
        <f>IFERROR(VLOOKUP(VALUE(J2584),'Site Info'!$A:$G,6,FALSE),"")</f>
        <v>62034-0000</v>
      </c>
      <c r="O2584">
        <f>IFERROR(VLOOKUP(VALUE(J2584),'Site Info'!$A:$G,7,FALSE),"")</f>
        <v>6186597336</v>
      </c>
    </row>
    <row r="2585" spans="1:15" x14ac:dyDescent="0.45">
      <c r="A2585" t="s">
        <v>8141</v>
      </c>
      <c r="B2585" t="s">
        <v>8142</v>
      </c>
      <c r="C2585" t="s">
        <v>8143</v>
      </c>
      <c r="D2585" t="s">
        <v>6950</v>
      </c>
      <c r="E2585" s="1">
        <v>46153.29791666667</v>
      </c>
      <c r="F2585">
        <v>1547</v>
      </c>
      <c r="G2585" t="s">
        <v>8144</v>
      </c>
      <c r="H2585" t="s">
        <v>15</v>
      </c>
      <c r="I2585" t="s">
        <v>6952</v>
      </c>
      <c r="J2585" t="str">
        <f>RIGHT(D2585,4)</f>
        <v>4878</v>
      </c>
      <c r="K2585" t="str">
        <f>IFERROR(VLOOKUP(VALUE(J2585),'Site Info'!$A:$G,3,FALSE),"")</f>
        <v>5 ILLINI DR</v>
      </c>
      <c r="L2585" t="str">
        <f>IFERROR(VLOOKUP(VALUE(J2585),'Site Info'!$A:$G,4,FALSE),"")</f>
        <v>GLEN CARBON</v>
      </c>
      <c r="M2585" t="str">
        <f>IFERROR(VLOOKUP(VALUE(J2585),'Site Info'!$A:$G,5,FALSE),"")</f>
        <v>IL</v>
      </c>
      <c r="N2585" t="str">
        <f>IFERROR(VLOOKUP(VALUE(J2585),'Site Info'!$A:$G,6,FALSE),"")</f>
        <v>62034-0000</v>
      </c>
      <c r="O2585">
        <f>IFERROR(VLOOKUP(VALUE(J2585),'Site Info'!$A:$G,7,FALSE),"")</f>
        <v>6186597336</v>
      </c>
    </row>
    <row r="2586" spans="1:15" x14ac:dyDescent="0.45">
      <c r="A2586" t="s">
        <v>13575</v>
      </c>
      <c r="B2586" t="s">
        <v>13576</v>
      </c>
      <c r="C2586" t="s">
        <v>13577</v>
      </c>
      <c r="D2586" t="s">
        <v>6950</v>
      </c>
      <c r="E2586" s="1">
        <v>46153.328888888886</v>
      </c>
      <c r="F2586">
        <v>1547</v>
      </c>
      <c r="G2586" t="s">
        <v>13578</v>
      </c>
      <c r="H2586" t="s">
        <v>15</v>
      </c>
      <c r="I2586" t="s">
        <v>6952</v>
      </c>
      <c r="J2586" t="str">
        <f>RIGHT(D2586,4)</f>
        <v>4878</v>
      </c>
      <c r="K2586" t="str">
        <f>IFERROR(VLOOKUP(VALUE(J2586),'Site Info'!$A:$G,3,FALSE),"")</f>
        <v>5 ILLINI DR</v>
      </c>
      <c r="L2586" t="str">
        <f>IFERROR(VLOOKUP(VALUE(J2586),'Site Info'!$A:$G,4,FALSE),"")</f>
        <v>GLEN CARBON</v>
      </c>
      <c r="M2586" t="str">
        <f>IFERROR(VLOOKUP(VALUE(J2586),'Site Info'!$A:$G,5,FALSE),"")</f>
        <v>IL</v>
      </c>
      <c r="N2586" t="str">
        <f>IFERROR(VLOOKUP(VALUE(J2586),'Site Info'!$A:$G,6,FALSE),"")</f>
        <v>62034-0000</v>
      </c>
      <c r="O2586">
        <f>IFERROR(VLOOKUP(VALUE(J2586),'Site Info'!$A:$G,7,FALSE),"")</f>
        <v>6186597336</v>
      </c>
    </row>
    <row r="2587" spans="1:15" x14ac:dyDescent="0.45">
      <c r="A2587" t="s">
        <v>7109</v>
      </c>
      <c r="B2587" t="s">
        <v>7110</v>
      </c>
      <c r="C2587" t="s">
        <v>7111</v>
      </c>
      <c r="D2587" t="s">
        <v>6950</v>
      </c>
      <c r="E2587" s="1">
        <v>46153.370474537034</v>
      </c>
      <c r="F2587">
        <v>1547</v>
      </c>
      <c r="G2587" t="s">
        <v>7112</v>
      </c>
      <c r="H2587" t="s">
        <v>15</v>
      </c>
      <c r="I2587" t="s">
        <v>6952</v>
      </c>
      <c r="J2587" t="str">
        <f>RIGHT(D2587,4)</f>
        <v>4878</v>
      </c>
      <c r="K2587" t="str">
        <f>IFERROR(VLOOKUP(VALUE(J2587),'Site Info'!$A:$G,3,FALSE),"")</f>
        <v>5 ILLINI DR</v>
      </c>
      <c r="L2587" t="str">
        <f>IFERROR(VLOOKUP(VALUE(J2587),'Site Info'!$A:$G,4,FALSE),"")</f>
        <v>GLEN CARBON</v>
      </c>
      <c r="M2587" t="str">
        <f>IFERROR(VLOOKUP(VALUE(J2587),'Site Info'!$A:$G,5,FALSE),"")</f>
        <v>IL</v>
      </c>
      <c r="N2587" t="str">
        <f>IFERROR(VLOOKUP(VALUE(J2587),'Site Info'!$A:$G,6,FALSE),"")</f>
        <v>62034-0000</v>
      </c>
      <c r="O2587">
        <f>IFERROR(VLOOKUP(VALUE(J2587),'Site Info'!$A:$G,7,FALSE),"")</f>
        <v>6186597336</v>
      </c>
    </row>
    <row r="2588" spans="1:15" x14ac:dyDescent="0.45">
      <c r="A2588" t="s">
        <v>9209</v>
      </c>
      <c r="B2588" t="s">
        <v>9210</v>
      </c>
      <c r="C2588" t="s">
        <v>9211</v>
      </c>
      <c r="D2588" t="s">
        <v>779</v>
      </c>
      <c r="E2588" s="1">
        <v>46153.174780092595</v>
      </c>
      <c r="F2588">
        <v>1547</v>
      </c>
      <c r="G2588" t="s">
        <v>9212</v>
      </c>
      <c r="H2588" t="s">
        <v>15</v>
      </c>
      <c r="I2588" t="s">
        <v>781</v>
      </c>
      <c r="J2588" t="str">
        <f>RIGHT(D2588,4)</f>
        <v>4936</v>
      </c>
      <c r="K2588" t="str">
        <f>IFERROR(VLOOKUP(VALUE(J2588),'Site Info'!$A:$G,3,FALSE),"")</f>
        <v>5045 UNIVERSITY TOWN CENTER DRIVE</v>
      </c>
      <c r="L2588" t="str">
        <f>IFERROR(VLOOKUP(VALUE(J2588),'Site Info'!$A:$G,4,FALSE),"")</f>
        <v>GRANVILLE</v>
      </c>
      <c r="M2588" t="str">
        <f>IFERROR(VLOOKUP(VALUE(J2588),'Site Info'!$A:$G,5,FALSE),"")</f>
        <v>WV</v>
      </c>
      <c r="N2588" t="str">
        <f>IFERROR(VLOOKUP(VALUE(J2588),'Site Info'!$A:$G,6,FALSE),"")</f>
        <v>26501-2292</v>
      </c>
      <c r="O2588">
        <f>IFERROR(VLOOKUP(VALUE(J2588),'Site Info'!$A:$G,7,FALSE),"")</f>
        <v>3045983042</v>
      </c>
    </row>
    <row r="2589" spans="1:15" x14ac:dyDescent="0.45">
      <c r="A2589" t="s">
        <v>4352</v>
      </c>
      <c r="B2589" t="s">
        <v>4353</v>
      </c>
      <c r="C2589" t="s">
        <v>4354</v>
      </c>
      <c r="D2589" t="s">
        <v>779</v>
      </c>
      <c r="E2589" s="1">
        <v>46153.343819444446</v>
      </c>
      <c r="F2589">
        <v>1547</v>
      </c>
      <c r="G2589" t="s">
        <v>4355</v>
      </c>
      <c r="H2589" t="s">
        <v>15</v>
      </c>
      <c r="I2589" t="s">
        <v>781</v>
      </c>
      <c r="J2589" t="str">
        <f>RIGHT(D2589,4)</f>
        <v>4936</v>
      </c>
      <c r="K2589" t="str">
        <f>IFERROR(VLOOKUP(VALUE(J2589),'Site Info'!$A:$G,3,FALSE),"")</f>
        <v>5045 UNIVERSITY TOWN CENTER DRIVE</v>
      </c>
      <c r="L2589" t="str">
        <f>IFERROR(VLOOKUP(VALUE(J2589),'Site Info'!$A:$G,4,FALSE),"")</f>
        <v>GRANVILLE</v>
      </c>
      <c r="M2589" t="str">
        <f>IFERROR(VLOOKUP(VALUE(J2589),'Site Info'!$A:$G,5,FALSE),"")</f>
        <v>WV</v>
      </c>
      <c r="N2589" t="str">
        <f>IFERROR(VLOOKUP(VALUE(J2589),'Site Info'!$A:$G,6,FALSE),"")</f>
        <v>26501-2292</v>
      </c>
      <c r="O2589">
        <f>IFERROR(VLOOKUP(VALUE(J2589),'Site Info'!$A:$G,7,FALSE),"")</f>
        <v>3045983042</v>
      </c>
    </row>
    <row r="2590" spans="1:15" x14ac:dyDescent="0.45">
      <c r="A2590" t="s">
        <v>4984</v>
      </c>
      <c r="B2590" t="s">
        <v>4985</v>
      </c>
      <c r="C2590" t="s">
        <v>4986</v>
      </c>
      <c r="D2590" t="s">
        <v>779</v>
      </c>
      <c r="E2590" s="1">
        <v>46153.366828703707</v>
      </c>
      <c r="F2590">
        <v>1547</v>
      </c>
      <c r="G2590" t="s">
        <v>4987</v>
      </c>
      <c r="H2590" t="s">
        <v>15</v>
      </c>
      <c r="I2590" t="s">
        <v>781</v>
      </c>
      <c r="J2590" t="str">
        <f>RIGHT(D2590,4)</f>
        <v>4936</v>
      </c>
      <c r="K2590" t="str">
        <f>IFERROR(VLOOKUP(VALUE(J2590),'Site Info'!$A:$G,3,FALSE),"")</f>
        <v>5045 UNIVERSITY TOWN CENTER DRIVE</v>
      </c>
      <c r="L2590" t="str">
        <f>IFERROR(VLOOKUP(VALUE(J2590),'Site Info'!$A:$G,4,FALSE),"")</f>
        <v>GRANVILLE</v>
      </c>
      <c r="M2590" t="str">
        <f>IFERROR(VLOOKUP(VALUE(J2590),'Site Info'!$A:$G,5,FALSE),"")</f>
        <v>WV</v>
      </c>
      <c r="N2590" t="str">
        <f>IFERROR(VLOOKUP(VALUE(J2590),'Site Info'!$A:$G,6,FALSE),"")</f>
        <v>26501-2292</v>
      </c>
      <c r="O2590">
        <f>IFERROR(VLOOKUP(VALUE(J2590),'Site Info'!$A:$G,7,FALSE),"")</f>
        <v>3045983042</v>
      </c>
    </row>
    <row r="2591" spans="1:15" x14ac:dyDescent="0.45">
      <c r="A2591" t="s">
        <v>9221</v>
      </c>
      <c r="B2591" t="s">
        <v>9222</v>
      </c>
      <c r="C2591" t="s">
        <v>9223</v>
      </c>
      <c r="D2591" t="s">
        <v>779</v>
      </c>
      <c r="E2591" s="1">
        <v>46153.371215277781</v>
      </c>
      <c r="F2591">
        <v>1547</v>
      </c>
      <c r="G2591" t="s">
        <v>9224</v>
      </c>
      <c r="H2591" t="s">
        <v>15</v>
      </c>
      <c r="I2591" t="s">
        <v>781</v>
      </c>
      <c r="J2591" t="str">
        <f>RIGHT(D2591,4)</f>
        <v>4936</v>
      </c>
      <c r="K2591" t="str">
        <f>IFERROR(VLOOKUP(VALUE(J2591),'Site Info'!$A:$G,3,FALSE),"")</f>
        <v>5045 UNIVERSITY TOWN CENTER DRIVE</v>
      </c>
      <c r="L2591" t="str">
        <f>IFERROR(VLOOKUP(VALUE(J2591),'Site Info'!$A:$G,4,FALSE),"")</f>
        <v>GRANVILLE</v>
      </c>
      <c r="M2591" t="str">
        <f>IFERROR(VLOOKUP(VALUE(J2591),'Site Info'!$A:$G,5,FALSE),"")</f>
        <v>WV</v>
      </c>
      <c r="N2591" t="str">
        <f>IFERROR(VLOOKUP(VALUE(J2591),'Site Info'!$A:$G,6,FALSE),"")</f>
        <v>26501-2292</v>
      </c>
      <c r="O2591">
        <f>IFERROR(VLOOKUP(VALUE(J2591),'Site Info'!$A:$G,7,FALSE),"")</f>
        <v>3045983042</v>
      </c>
    </row>
    <row r="2592" spans="1:15" x14ac:dyDescent="0.45">
      <c r="A2592" t="s">
        <v>6753</v>
      </c>
      <c r="B2592" t="s">
        <v>6754</v>
      </c>
      <c r="C2592" t="s">
        <v>6755</v>
      </c>
      <c r="D2592" t="s">
        <v>779</v>
      </c>
      <c r="E2592" s="1">
        <v>46153.373784722222</v>
      </c>
      <c r="F2592">
        <v>1547</v>
      </c>
      <c r="G2592" t="s">
        <v>6756</v>
      </c>
      <c r="H2592" t="s">
        <v>15</v>
      </c>
      <c r="I2592" t="s">
        <v>781</v>
      </c>
      <c r="J2592" t="str">
        <f>RIGHT(D2592,4)</f>
        <v>4936</v>
      </c>
      <c r="K2592" t="str">
        <f>IFERROR(VLOOKUP(VALUE(J2592),'Site Info'!$A:$G,3,FALSE),"")</f>
        <v>5045 UNIVERSITY TOWN CENTER DRIVE</v>
      </c>
      <c r="L2592" t="str">
        <f>IFERROR(VLOOKUP(VALUE(J2592),'Site Info'!$A:$G,4,FALSE),"")</f>
        <v>GRANVILLE</v>
      </c>
      <c r="M2592" t="str">
        <f>IFERROR(VLOOKUP(VALUE(J2592),'Site Info'!$A:$G,5,FALSE),"")</f>
        <v>WV</v>
      </c>
      <c r="N2592" t="str">
        <f>IFERROR(VLOOKUP(VALUE(J2592),'Site Info'!$A:$G,6,FALSE),"")</f>
        <v>26501-2292</v>
      </c>
      <c r="O2592">
        <f>IFERROR(VLOOKUP(VALUE(J2592),'Site Info'!$A:$G,7,FALSE),"")</f>
        <v>3045983042</v>
      </c>
    </row>
    <row r="2593" spans="1:15" x14ac:dyDescent="0.45">
      <c r="A2593" t="s">
        <v>776</v>
      </c>
      <c r="B2593" t="s">
        <v>777</v>
      </c>
      <c r="C2593" t="s">
        <v>778</v>
      </c>
      <c r="D2593" t="s">
        <v>779</v>
      </c>
      <c r="E2593" s="1">
        <v>46150.341736111113</v>
      </c>
      <c r="F2593">
        <v>1481</v>
      </c>
      <c r="G2593" t="s">
        <v>780</v>
      </c>
      <c r="H2593" t="s">
        <v>15</v>
      </c>
      <c r="I2593" t="s">
        <v>781</v>
      </c>
      <c r="J2593" t="str">
        <f>RIGHT(D2593,4)</f>
        <v>4936</v>
      </c>
      <c r="K2593" t="str">
        <f>IFERROR(VLOOKUP(VALUE(J2593),'Site Info'!$A:$G,3,FALSE),"")</f>
        <v>5045 UNIVERSITY TOWN CENTER DRIVE</v>
      </c>
      <c r="L2593" t="str">
        <f>IFERROR(VLOOKUP(VALUE(J2593),'Site Info'!$A:$G,4,FALSE),"")</f>
        <v>GRANVILLE</v>
      </c>
      <c r="M2593" t="str">
        <f>IFERROR(VLOOKUP(VALUE(J2593),'Site Info'!$A:$G,5,FALSE),"")</f>
        <v>WV</v>
      </c>
      <c r="N2593" t="str">
        <f>IFERROR(VLOOKUP(VALUE(J2593),'Site Info'!$A:$G,6,FALSE),"")</f>
        <v>26501-2292</v>
      </c>
      <c r="O2593">
        <f>IFERROR(VLOOKUP(VALUE(J2593),'Site Info'!$A:$G,7,FALSE),"")</f>
        <v>3045983042</v>
      </c>
    </row>
    <row r="2594" spans="1:15" x14ac:dyDescent="0.45">
      <c r="A2594" t="s">
        <v>1726</v>
      </c>
      <c r="B2594" t="s">
        <v>1727</v>
      </c>
      <c r="C2594" t="s">
        <v>1728</v>
      </c>
      <c r="D2594" t="s">
        <v>779</v>
      </c>
      <c r="E2594" s="1">
        <v>46153.229907407411</v>
      </c>
      <c r="F2594">
        <v>1481</v>
      </c>
      <c r="G2594" t="s">
        <v>1729</v>
      </c>
      <c r="H2594" t="s">
        <v>15</v>
      </c>
      <c r="I2594" t="s">
        <v>781</v>
      </c>
      <c r="J2594" t="str">
        <f>RIGHT(D2594,4)</f>
        <v>4936</v>
      </c>
      <c r="K2594" t="str">
        <f>IFERROR(VLOOKUP(VALUE(J2594),'Site Info'!$A:$G,3,FALSE),"")</f>
        <v>5045 UNIVERSITY TOWN CENTER DRIVE</v>
      </c>
      <c r="L2594" t="str">
        <f>IFERROR(VLOOKUP(VALUE(J2594),'Site Info'!$A:$G,4,FALSE),"")</f>
        <v>GRANVILLE</v>
      </c>
      <c r="M2594" t="str">
        <f>IFERROR(VLOOKUP(VALUE(J2594),'Site Info'!$A:$G,5,FALSE),"")</f>
        <v>WV</v>
      </c>
      <c r="N2594" t="str">
        <f>IFERROR(VLOOKUP(VALUE(J2594),'Site Info'!$A:$G,6,FALSE),"")</f>
        <v>26501-2292</v>
      </c>
      <c r="O2594">
        <f>IFERROR(VLOOKUP(VALUE(J2594),'Site Info'!$A:$G,7,FALSE),"")</f>
        <v>3045983042</v>
      </c>
    </row>
    <row r="2595" spans="1:15" x14ac:dyDescent="0.45">
      <c r="A2595" t="s">
        <v>16540</v>
      </c>
      <c r="B2595" t="s">
        <v>16541</v>
      </c>
      <c r="C2595" t="s">
        <v>16542</v>
      </c>
      <c r="D2595" t="s">
        <v>779</v>
      </c>
      <c r="E2595" s="1">
        <v>46151.664583333331</v>
      </c>
      <c r="F2595">
        <v>1547</v>
      </c>
      <c r="G2595" t="s">
        <v>16543</v>
      </c>
      <c r="H2595" t="s">
        <v>15</v>
      </c>
      <c r="I2595" t="s">
        <v>781</v>
      </c>
      <c r="J2595" t="str">
        <f>RIGHT(D2595,4)</f>
        <v>4936</v>
      </c>
      <c r="K2595" t="str">
        <f>IFERROR(VLOOKUP(VALUE(J2595),'Site Info'!$A:$G,3,FALSE),"")</f>
        <v>5045 UNIVERSITY TOWN CENTER DRIVE</v>
      </c>
      <c r="L2595" t="str">
        <f>IFERROR(VLOOKUP(VALUE(J2595),'Site Info'!$A:$G,4,FALSE),"")</f>
        <v>GRANVILLE</v>
      </c>
      <c r="M2595" t="str">
        <f>IFERROR(VLOOKUP(VALUE(J2595),'Site Info'!$A:$G,5,FALSE),"")</f>
        <v>WV</v>
      </c>
      <c r="N2595" t="str">
        <f>IFERROR(VLOOKUP(VALUE(J2595),'Site Info'!$A:$G,6,FALSE),"")</f>
        <v>26501-2292</v>
      </c>
      <c r="O2595">
        <f>IFERROR(VLOOKUP(VALUE(J2595),'Site Info'!$A:$G,7,FALSE),"")</f>
        <v>3045983042</v>
      </c>
    </row>
    <row r="2596" spans="1:15" x14ac:dyDescent="0.45">
      <c r="A2596" t="s">
        <v>6034</v>
      </c>
      <c r="B2596" t="s">
        <v>6035</v>
      </c>
      <c r="C2596" t="s">
        <v>6036</v>
      </c>
      <c r="D2596" t="s">
        <v>1061</v>
      </c>
      <c r="E2596" s="1">
        <v>46150.447766203702</v>
      </c>
      <c r="F2596">
        <v>1547</v>
      </c>
      <c r="G2596" t="s">
        <v>6037</v>
      </c>
      <c r="H2596" t="s">
        <v>15</v>
      </c>
      <c r="I2596" t="s">
        <v>1063</v>
      </c>
      <c r="J2596" t="str">
        <f>RIGHT(D2596,4)</f>
        <v>6632</v>
      </c>
      <c r="K2596" t="str">
        <f>IFERROR(VLOOKUP(VALUE(J2596),'Site Info'!$A:$G,3,FALSE),"")</f>
        <v>505 S BROADWAY</v>
      </c>
      <c r="L2596" t="str">
        <f>IFERROR(VLOOKUP(VALUE(J2596),'Site Info'!$A:$G,4,FALSE),"")</f>
        <v>DENVER</v>
      </c>
      <c r="M2596" t="str">
        <f>IFERROR(VLOOKUP(VALUE(J2596),'Site Info'!$A:$G,5,FALSE),"")</f>
        <v>CO</v>
      </c>
      <c r="N2596" t="str">
        <f>IFERROR(VLOOKUP(VALUE(J2596),'Site Info'!$A:$G,6,FALSE),"")</f>
        <v>80209-4093</v>
      </c>
      <c r="O2596">
        <f>IFERROR(VLOOKUP(VALUE(J2596),'Site Info'!$A:$G,7,FALSE),"")</f>
        <v>3037222152</v>
      </c>
    </row>
    <row r="2597" spans="1:15" x14ac:dyDescent="0.45">
      <c r="A2597" t="s">
        <v>10024</v>
      </c>
      <c r="B2597" t="s">
        <v>10025</v>
      </c>
      <c r="C2597" t="s">
        <v>10026</v>
      </c>
      <c r="D2597" t="s">
        <v>1061</v>
      </c>
      <c r="E2597" s="1">
        <v>46152.59611111111</v>
      </c>
      <c r="F2597">
        <v>1547</v>
      </c>
      <c r="G2597" t="s">
        <v>10027</v>
      </c>
      <c r="H2597" t="s">
        <v>15</v>
      </c>
      <c r="I2597" t="s">
        <v>1063</v>
      </c>
      <c r="J2597" t="str">
        <f>RIGHT(D2597,4)</f>
        <v>6632</v>
      </c>
      <c r="K2597" t="str">
        <f>IFERROR(VLOOKUP(VALUE(J2597),'Site Info'!$A:$G,3,FALSE),"")</f>
        <v>505 S BROADWAY</v>
      </c>
      <c r="L2597" t="str">
        <f>IFERROR(VLOOKUP(VALUE(J2597),'Site Info'!$A:$G,4,FALSE),"")</f>
        <v>DENVER</v>
      </c>
      <c r="M2597" t="str">
        <f>IFERROR(VLOOKUP(VALUE(J2597),'Site Info'!$A:$G,5,FALSE),"")</f>
        <v>CO</v>
      </c>
      <c r="N2597" t="str">
        <f>IFERROR(VLOOKUP(VALUE(J2597),'Site Info'!$A:$G,6,FALSE),"")</f>
        <v>80209-4093</v>
      </c>
      <c r="O2597">
        <f>IFERROR(VLOOKUP(VALUE(J2597),'Site Info'!$A:$G,7,FALSE),"")</f>
        <v>3037222152</v>
      </c>
    </row>
    <row r="2598" spans="1:15" x14ac:dyDescent="0.45">
      <c r="A2598" t="s">
        <v>6444</v>
      </c>
      <c r="B2598" t="s">
        <v>6445</v>
      </c>
      <c r="C2598" t="s">
        <v>6446</v>
      </c>
      <c r="D2598" t="s">
        <v>1061</v>
      </c>
      <c r="E2598" s="1">
        <v>46153.230196759258</v>
      </c>
      <c r="F2598">
        <v>1547</v>
      </c>
      <c r="G2598" t="s">
        <v>6447</v>
      </c>
      <c r="H2598" t="s">
        <v>15</v>
      </c>
      <c r="I2598" t="s">
        <v>1063</v>
      </c>
      <c r="J2598" t="str">
        <f>RIGHT(D2598,4)</f>
        <v>6632</v>
      </c>
      <c r="K2598" t="str">
        <f>IFERROR(VLOOKUP(VALUE(J2598),'Site Info'!$A:$G,3,FALSE),"")</f>
        <v>505 S BROADWAY</v>
      </c>
      <c r="L2598" t="str">
        <f>IFERROR(VLOOKUP(VALUE(J2598),'Site Info'!$A:$G,4,FALSE),"")</f>
        <v>DENVER</v>
      </c>
      <c r="M2598" t="str">
        <f>IFERROR(VLOOKUP(VALUE(J2598),'Site Info'!$A:$G,5,FALSE),"")</f>
        <v>CO</v>
      </c>
      <c r="N2598" t="str">
        <f>IFERROR(VLOOKUP(VALUE(J2598),'Site Info'!$A:$G,6,FALSE),"")</f>
        <v>80209-4093</v>
      </c>
      <c r="O2598">
        <f>IFERROR(VLOOKUP(VALUE(J2598),'Site Info'!$A:$G,7,FALSE),"")</f>
        <v>3037222152</v>
      </c>
    </row>
    <row r="2599" spans="1:15" x14ac:dyDescent="0.45">
      <c r="A2599" t="s">
        <v>1518</v>
      </c>
      <c r="B2599" t="s">
        <v>1519</v>
      </c>
      <c r="C2599" t="s">
        <v>1520</v>
      </c>
      <c r="D2599" t="s">
        <v>1061</v>
      </c>
      <c r="E2599" s="1">
        <v>46151.690868055557</v>
      </c>
      <c r="F2599">
        <v>1481</v>
      </c>
      <c r="G2599" t="s">
        <v>1521</v>
      </c>
      <c r="H2599" t="s">
        <v>15</v>
      </c>
      <c r="I2599" t="s">
        <v>1063</v>
      </c>
      <c r="J2599" t="str">
        <f>RIGHT(D2599,4)</f>
        <v>6632</v>
      </c>
      <c r="K2599" t="str">
        <f>IFERROR(VLOOKUP(VALUE(J2599),'Site Info'!$A:$G,3,FALSE),"")</f>
        <v>505 S BROADWAY</v>
      </c>
      <c r="L2599" t="str">
        <f>IFERROR(VLOOKUP(VALUE(J2599),'Site Info'!$A:$G,4,FALSE),"")</f>
        <v>DENVER</v>
      </c>
      <c r="M2599" t="str">
        <f>IFERROR(VLOOKUP(VALUE(J2599),'Site Info'!$A:$G,5,FALSE),"")</f>
        <v>CO</v>
      </c>
      <c r="N2599" t="str">
        <f>IFERROR(VLOOKUP(VALUE(J2599),'Site Info'!$A:$G,6,FALSE),"")</f>
        <v>80209-4093</v>
      </c>
      <c r="O2599">
        <f>IFERROR(VLOOKUP(VALUE(J2599),'Site Info'!$A:$G,7,FALSE),"")</f>
        <v>3037222152</v>
      </c>
    </row>
    <row r="2600" spans="1:15" x14ac:dyDescent="0.45">
      <c r="A2600" t="s">
        <v>3863</v>
      </c>
      <c r="B2600" t="s">
        <v>3864</v>
      </c>
      <c r="C2600" t="s">
        <v>3865</v>
      </c>
      <c r="D2600" t="s">
        <v>1061</v>
      </c>
      <c r="E2600" s="1">
        <v>46152.503009259257</v>
      </c>
      <c r="F2600">
        <v>1481</v>
      </c>
      <c r="G2600" t="s">
        <v>3866</v>
      </c>
      <c r="H2600" t="s">
        <v>15</v>
      </c>
      <c r="I2600" t="s">
        <v>1063</v>
      </c>
      <c r="J2600" t="str">
        <f>RIGHT(D2600,4)</f>
        <v>6632</v>
      </c>
      <c r="K2600" t="str">
        <f>IFERROR(VLOOKUP(VALUE(J2600),'Site Info'!$A:$G,3,FALSE),"")</f>
        <v>505 S BROADWAY</v>
      </c>
      <c r="L2600" t="str">
        <f>IFERROR(VLOOKUP(VALUE(J2600),'Site Info'!$A:$G,4,FALSE),"")</f>
        <v>DENVER</v>
      </c>
      <c r="M2600" t="str">
        <f>IFERROR(VLOOKUP(VALUE(J2600),'Site Info'!$A:$G,5,FALSE),"")</f>
        <v>CO</v>
      </c>
      <c r="N2600" t="str">
        <f>IFERROR(VLOOKUP(VALUE(J2600),'Site Info'!$A:$G,6,FALSE),"")</f>
        <v>80209-4093</v>
      </c>
      <c r="O2600">
        <f>IFERROR(VLOOKUP(VALUE(J2600),'Site Info'!$A:$G,7,FALSE),"")</f>
        <v>3037222152</v>
      </c>
    </row>
    <row r="2601" spans="1:15" x14ac:dyDescent="0.45">
      <c r="A2601" t="s">
        <v>1058</v>
      </c>
      <c r="B2601" t="s">
        <v>1059</v>
      </c>
      <c r="C2601" t="s">
        <v>1060</v>
      </c>
      <c r="D2601" t="s">
        <v>1061</v>
      </c>
      <c r="E2601" s="1">
        <v>46152.757187499999</v>
      </c>
      <c r="F2601">
        <v>1481</v>
      </c>
      <c r="G2601" t="s">
        <v>1062</v>
      </c>
      <c r="H2601" t="s">
        <v>15</v>
      </c>
      <c r="I2601" t="s">
        <v>1063</v>
      </c>
      <c r="J2601" t="str">
        <f>RIGHT(D2601,4)</f>
        <v>6632</v>
      </c>
      <c r="K2601" t="str">
        <f>IFERROR(VLOOKUP(VALUE(J2601),'Site Info'!$A:$G,3,FALSE),"")</f>
        <v>505 S BROADWAY</v>
      </c>
      <c r="L2601" t="str">
        <f>IFERROR(VLOOKUP(VALUE(J2601),'Site Info'!$A:$G,4,FALSE),"")</f>
        <v>DENVER</v>
      </c>
      <c r="M2601" t="str">
        <f>IFERROR(VLOOKUP(VALUE(J2601),'Site Info'!$A:$G,5,FALSE),"")</f>
        <v>CO</v>
      </c>
      <c r="N2601" t="str">
        <f>IFERROR(VLOOKUP(VALUE(J2601),'Site Info'!$A:$G,6,FALSE),"")</f>
        <v>80209-4093</v>
      </c>
      <c r="O2601">
        <f>IFERROR(VLOOKUP(VALUE(J2601),'Site Info'!$A:$G,7,FALSE),"")</f>
        <v>3037222152</v>
      </c>
    </row>
    <row r="2602" spans="1:15" x14ac:dyDescent="0.45">
      <c r="A2602" t="s">
        <v>2601</v>
      </c>
      <c r="B2602" t="s">
        <v>2602</v>
      </c>
      <c r="C2602" t="s">
        <v>2603</v>
      </c>
      <c r="D2602" t="s">
        <v>1061</v>
      </c>
      <c r="E2602" s="1">
        <v>46153.339074074072</v>
      </c>
      <c r="F2602">
        <v>1481</v>
      </c>
      <c r="G2602" t="s">
        <v>2604</v>
      </c>
      <c r="H2602" t="s">
        <v>15</v>
      </c>
      <c r="I2602" t="s">
        <v>1063</v>
      </c>
      <c r="J2602" t="str">
        <f>RIGHT(D2602,4)</f>
        <v>6632</v>
      </c>
      <c r="K2602" t="str">
        <f>IFERROR(VLOOKUP(VALUE(J2602),'Site Info'!$A:$G,3,FALSE),"")</f>
        <v>505 S BROADWAY</v>
      </c>
      <c r="L2602" t="str">
        <f>IFERROR(VLOOKUP(VALUE(J2602),'Site Info'!$A:$G,4,FALSE),"")</f>
        <v>DENVER</v>
      </c>
      <c r="M2602" t="str">
        <f>IFERROR(VLOOKUP(VALUE(J2602),'Site Info'!$A:$G,5,FALSE),"")</f>
        <v>CO</v>
      </c>
      <c r="N2602" t="str">
        <f>IFERROR(VLOOKUP(VALUE(J2602),'Site Info'!$A:$G,6,FALSE),"")</f>
        <v>80209-4093</v>
      </c>
      <c r="O2602">
        <f>IFERROR(VLOOKUP(VALUE(J2602),'Site Info'!$A:$G,7,FALSE),"")</f>
        <v>3037222152</v>
      </c>
    </row>
    <row r="2603" spans="1:15" x14ac:dyDescent="0.45">
      <c r="A2603" t="s">
        <v>16992</v>
      </c>
      <c r="B2603" t="s">
        <v>16993</v>
      </c>
      <c r="C2603" t="s">
        <v>16994</v>
      </c>
      <c r="D2603" t="s">
        <v>1061</v>
      </c>
      <c r="E2603" s="1">
        <v>46152.584340277775</v>
      </c>
      <c r="F2603">
        <v>1547</v>
      </c>
      <c r="G2603" t="s">
        <v>16995</v>
      </c>
      <c r="H2603" t="s">
        <v>15</v>
      </c>
      <c r="I2603" t="s">
        <v>1063</v>
      </c>
      <c r="J2603" t="str">
        <f>RIGHT(D2603,4)</f>
        <v>6632</v>
      </c>
      <c r="K2603" t="str">
        <f>IFERROR(VLOOKUP(VALUE(J2603),'Site Info'!$A:$G,3,FALSE),"")</f>
        <v>505 S BROADWAY</v>
      </c>
      <c r="L2603" t="str">
        <f>IFERROR(VLOOKUP(VALUE(J2603),'Site Info'!$A:$G,4,FALSE),"")</f>
        <v>DENVER</v>
      </c>
      <c r="M2603" t="str">
        <f>IFERROR(VLOOKUP(VALUE(J2603),'Site Info'!$A:$G,5,FALSE),"")</f>
        <v>CO</v>
      </c>
      <c r="N2603" t="str">
        <f>IFERROR(VLOOKUP(VALUE(J2603),'Site Info'!$A:$G,6,FALSE),"")</f>
        <v>80209-4093</v>
      </c>
      <c r="O2603">
        <f>IFERROR(VLOOKUP(VALUE(J2603),'Site Info'!$A:$G,7,FALSE),"")</f>
        <v>3037222152</v>
      </c>
    </row>
    <row r="2604" spans="1:15" x14ac:dyDescent="0.45">
      <c r="A2604" t="s">
        <v>11520</v>
      </c>
      <c r="B2604" t="s">
        <v>11521</v>
      </c>
      <c r="C2604" t="s">
        <v>11522</v>
      </c>
      <c r="D2604" t="s">
        <v>361</v>
      </c>
      <c r="E2604" s="1">
        <v>46152.663472222222</v>
      </c>
      <c r="F2604">
        <v>1547</v>
      </c>
      <c r="G2604" t="s">
        <v>11523</v>
      </c>
      <c r="H2604" t="s">
        <v>15</v>
      </c>
      <c r="I2604" t="s">
        <v>363</v>
      </c>
      <c r="J2604" t="str">
        <f>RIGHT(D2604,4)</f>
        <v>8227</v>
      </c>
      <c r="K2604" t="str">
        <f>IFERROR(VLOOKUP(VALUE(J2604),'Site Info'!$A:$G,3,FALSE),"")</f>
        <v>5055 NW LOOP 410</v>
      </c>
      <c r="L2604" t="str">
        <f>IFERROR(VLOOKUP(VALUE(J2604),'Site Info'!$A:$G,4,FALSE),"")</f>
        <v>SAN ANTONIO</v>
      </c>
      <c r="M2604" t="str">
        <f>IFERROR(VLOOKUP(VALUE(J2604),'Site Info'!$A:$G,5,FALSE),"")</f>
        <v>TX</v>
      </c>
      <c r="N2604" t="str">
        <f>IFERROR(VLOOKUP(VALUE(J2604),'Site Info'!$A:$G,6,FALSE),"")</f>
        <v>78229-5313</v>
      </c>
      <c r="O2604">
        <f>IFERROR(VLOOKUP(VALUE(J2604),'Site Info'!$A:$G,7,FALSE),"")</f>
        <v>2106809425</v>
      </c>
    </row>
    <row r="2605" spans="1:15" x14ac:dyDescent="0.45">
      <c r="A2605" t="s">
        <v>11896</v>
      </c>
      <c r="B2605" t="s">
        <v>11897</v>
      </c>
      <c r="C2605" t="s">
        <v>11898</v>
      </c>
      <c r="D2605" t="s">
        <v>361</v>
      </c>
      <c r="E2605" s="1">
        <v>46152.838935185187</v>
      </c>
      <c r="F2605">
        <v>1547</v>
      </c>
      <c r="G2605" t="s">
        <v>11899</v>
      </c>
      <c r="H2605" t="s">
        <v>15</v>
      </c>
      <c r="I2605" t="s">
        <v>363</v>
      </c>
      <c r="J2605" t="str">
        <f>RIGHT(D2605,4)</f>
        <v>8227</v>
      </c>
      <c r="K2605" t="str">
        <f>IFERROR(VLOOKUP(VALUE(J2605),'Site Info'!$A:$G,3,FALSE),"")</f>
        <v>5055 NW LOOP 410</v>
      </c>
      <c r="L2605" t="str">
        <f>IFERROR(VLOOKUP(VALUE(J2605),'Site Info'!$A:$G,4,FALSE),"")</f>
        <v>SAN ANTONIO</v>
      </c>
      <c r="M2605" t="str">
        <f>IFERROR(VLOOKUP(VALUE(J2605),'Site Info'!$A:$G,5,FALSE),"")</f>
        <v>TX</v>
      </c>
      <c r="N2605" t="str">
        <f>IFERROR(VLOOKUP(VALUE(J2605),'Site Info'!$A:$G,6,FALSE),"")</f>
        <v>78229-5313</v>
      </c>
      <c r="O2605">
        <f>IFERROR(VLOOKUP(VALUE(J2605),'Site Info'!$A:$G,7,FALSE),"")</f>
        <v>2106809425</v>
      </c>
    </row>
    <row r="2606" spans="1:15" x14ac:dyDescent="0.45">
      <c r="A2606" t="s">
        <v>11336</v>
      </c>
      <c r="B2606" t="s">
        <v>11337</v>
      </c>
      <c r="C2606" t="s">
        <v>11338</v>
      </c>
      <c r="D2606" t="s">
        <v>361</v>
      </c>
      <c r="E2606" s="1">
        <v>46152.926342592589</v>
      </c>
      <c r="F2606">
        <v>1547</v>
      </c>
      <c r="G2606" t="s">
        <v>11339</v>
      </c>
      <c r="H2606" t="s">
        <v>15</v>
      </c>
      <c r="I2606" t="s">
        <v>363</v>
      </c>
      <c r="J2606" t="str">
        <f>RIGHT(D2606,4)</f>
        <v>8227</v>
      </c>
      <c r="K2606" t="str">
        <f>IFERROR(VLOOKUP(VALUE(J2606),'Site Info'!$A:$G,3,FALSE),"")</f>
        <v>5055 NW LOOP 410</v>
      </c>
      <c r="L2606" t="str">
        <f>IFERROR(VLOOKUP(VALUE(J2606),'Site Info'!$A:$G,4,FALSE),"")</f>
        <v>SAN ANTONIO</v>
      </c>
      <c r="M2606" t="str">
        <f>IFERROR(VLOOKUP(VALUE(J2606),'Site Info'!$A:$G,5,FALSE),"")</f>
        <v>TX</v>
      </c>
      <c r="N2606" t="str">
        <f>IFERROR(VLOOKUP(VALUE(J2606),'Site Info'!$A:$G,6,FALSE),"")</f>
        <v>78229-5313</v>
      </c>
      <c r="O2606">
        <f>IFERROR(VLOOKUP(VALUE(J2606),'Site Info'!$A:$G,7,FALSE),"")</f>
        <v>2106809425</v>
      </c>
    </row>
    <row r="2607" spans="1:15" x14ac:dyDescent="0.45">
      <c r="A2607" t="s">
        <v>11864</v>
      </c>
      <c r="B2607" t="s">
        <v>11865</v>
      </c>
      <c r="C2607" t="s">
        <v>11866</v>
      </c>
      <c r="D2607" t="s">
        <v>361</v>
      </c>
      <c r="E2607" s="1">
        <v>46152.947997685187</v>
      </c>
      <c r="F2607">
        <v>1547</v>
      </c>
      <c r="G2607" t="s">
        <v>11867</v>
      </c>
      <c r="H2607" t="s">
        <v>15</v>
      </c>
      <c r="I2607" t="s">
        <v>363</v>
      </c>
      <c r="J2607" t="str">
        <f>RIGHT(D2607,4)</f>
        <v>8227</v>
      </c>
      <c r="K2607" t="str">
        <f>IFERROR(VLOOKUP(VALUE(J2607),'Site Info'!$A:$G,3,FALSE),"")</f>
        <v>5055 NW LOOP 410</v>
      </c>
      <c r="L2607" t="str">
        <f>IFERROR(VLOOKUP(VALUE(J2607),'Site Info'!$A:$G,4,FALSE),"")</f>
        <v>SAN ANTONIO</v>
      </c>
      <c r="M2607" t="str">
        <f>IFERROR(VLOOKUP(VALUE(J2607),'Site Info'!$A:$G,5,FALSE),"")</f>
        <v>TX</v>
      </c>
      <c r="N2607" t="str">
        <f>IFERROR(VLOOKUP(VALUE(J2607),'Site Info'!$A:$G,6,FALSE),"")</f>
        <v>78229-5313</v>
      </c>
      <c r="O2607">
        <f>IFERROR(VLOOKUP(VALUE(J2607),'Site Info'!$A:$G,7,FALSE),"")</f>
        <v>2106809425</v>
      </c>
    </row>
    <row r="2608" spans="1:15" x14ac:dyDescent="0.45">
      <c r="A2608" t="s">
        <v>11352</v>
      </c>
      <c r="B2608" t="s">
        <v>11353</v>
      </c>
      <c r="C2608" t="s">
        <v>11354</v>
      </c>
      <c r="D2608" t="s">
        <v>361</v>
      </c>
      <c r="E2608" s="1">
        <v>46153.363067129627</v>
      </c>
      <c r="F2608">
        <v>1547</v>
      </c>
      <c r="G2608" t="s">
        <v>11355</v>
      </c>
      <c r="H2608" t="s">
        <v>15</v>
      </c>
      <c r="I2608" t="s">
        <v>363</v>
      </c>
      <c r="J2608" t="str">
        <f>RIGHT(D2608,4)</f>
        <v>8227</v>
      </c>
      <c r="K2608" t="str">
        <f>IFERROR(VLOOKUP(VALUE(J2608),'Site Info'!$A:$G,3,FALSE),"")</f>
        <v>5055 NW LOOP 410</v>
      </c>
      <c r="L2608" t="str">
        <f>IFERROR(VLOOKUP(VALUE(J2608),'Site Info'!$A:$G,4,FALSE),"")</f>
        <v>SAN ANTONIO</v>
      </c>
      <c r="M2608" t="str">
        <f>IFERROR(VLOOKUP(VALUE(J2608),'Site Info'!$A:$G,5,FALSE),"")</f>
        <v>TX</v>
      </c>
      <c r="N2608" t="str">
        <f>IFERROR(VLOOKUP(VALUE(J2608),'Site Info'!$A:$G,6,FALSE),"")</f>
        <v>78229-5313</v>
      </c>
      <c r="O2608">
        <f>IFERROR(VLOOKUP(VALUE(J2608),'Site Info'!$A:$G,7,FALSE),"")</f>
        <v>2106809425</v>
      </c>
    </row>
    <row r="2609" spans="1:15" x14ac:dyDescent="0.45">
      <c r="A2609" t="s">
        <v>358</v>
      </c>
      <c r="B2609" t="s">
        <v>359</v>
      </c>
      <c r="C2609" t="s">
        <v>360</v>
      </c>
      <c r="D2609" t="s">
        <v>361</v>
      </c>
      <c r="E2609" s="1">
        <v>46152.927986111114</v>
      </c>
      <c r="F2609">
        <v>1481</v>
      </c>
      <c r="G2609" t="s">
        <v>362</v>
      </c>
      <c r="H2609" t="s">
        <v>15</v>
      </c>
      <c r="I2609" t="s">
        <v>363</v>
      </c>
      <c r="J2609" t="str">
        <f>RIGHT(D2609,4)</f>
        <v>8227</v>
      </c>
      <c r="K2609" t="str">
        <f>IFERROR(VLOOKUP(VALUE(J2609),'Site Info'!$A:$G,3,FALSE),"")</f>
        <v>5055 NW LOOP 410</v>
      </c>
      <c r="L2609" t="str">
        <f>IFERROR(VLOOKUP(VALUE(J2609),'Site Info'!$A:$G,4,FALSE),"")</f>
        <v>SAN ANTONIO</v>
      </c>
      <c r="M2609" t="str">
        <f>IFERROR(VLOOKUP(VALUE(J2609),'Site Info'!$A:$G,5,FALSE),"")</f>
        <v>TX</v>
      </c>
      <c r="N2609" t="str">
        <f>IFERROR(VLOOKUP(VALUE(J2609),'Site Info'!$A:$G,6,FALSE),"")</f>
        <v>78229-5313</v>
      </c>
      <c r="O2609">
        <f>IFERROR(VLOOKUP(VALUE(J2609),'Site Info'!$A:$G,7,FALSE),"")</f>
        <v>2106809425</v>
      </c>
    </row>
    <row r="2610" spans="1:15" x14ac:dyDescent="0.45">
      <c r="A2610" t="s">
        <v>9201</v>
      </c>
      <c r="B2610" t="s">
        <v>9202</v>
      </c>
      <c r="C2610" t="s">
        <v>9203</v>
      </c>
      <c r="D2610" t="s">
        <v>1897</v>
      </c>
      <c r="E2610" s="1">
        <v>46153.325810185182</v>
      </c>
      <c r="F2610">
        <v>1547</v>
      </c>
      <c r="G2610" t="s">
        <v>9204</v>
      </c>
      <c r="H2610" t="s">
        <v>15</v>
      </c>
      <c r="I2610" t="s">
        <v>1899</v>
      </c>
      <c r="J2610" t="str">
        <f>RIGHT(D2610,4)</f>
        <v>6556</v>
      </c>
      <c r="K2610" t="str">
        <f>IFERROR(VLOOKUP(VALUE(J2610),'Site Info'!$A:$G,3,FALSE),"")</f>
        <v>50555 VALLEY PLAZA DR</v>
      </c>
      <c r="L2610" t="str">
        <f>IFERROR(VLOOKUP(VALUE(J2610),'Site Info'!$A:$G,4,FALSE),"")</f>
        <v>SAINT CLAIRSVILLE</v>
      </c>
      <c r="M2610" t="str">
        <f>IFERROR(VLOOKUP(VALUE(J2610),'Site Info'!$A:$G,5,FALSE),"")</f>
        <v>OH</v>
      </c>
      <c r="N2610" t="str">
        <f>IFERROR(VLOOKUP(VALUE(J2610),'Site Info'!$A:$G,6,FALSE),"")</f>
        <v>43950-1757</v>
      </c>
      <c r="O2610">
        <f>IFERROR(VLOOKUP(VALUE(J2610),'Site Info'!$A:$G,7,FALSE),"")</f>
        <v>7406950198</v>
      </c>
    </row>
    <row r="2611" spans="1:15" x14ac:dyDescent="0.45">
      <c r="A2611" t="s">
        <v>9069</v>
      </c>
      <c r="B2611" t="s">
        <v>9070</v>
      </c>
      <c r="C2611" t="s">
        <v>9071</v>
      </c>
      <c r="D2611" t="s">
        <v>1897</v>
      </c>
      <c r="E2611" s="1">
        <v>46153.327037037037</v>
      </c>
      <c r="F2611">
        <v>1547</v>
      </c>
      <c r="G2611" t="s">
        <v>9072</v>
      </c>
      <c r="H2611" t="s">
        <v>15</v>
      </c>
      <c r="I2611" t="s">
        <v>1899</v>
      </c>
      <c r="J2611" t="str">
        <f>RIGHT(D2611,4)</f>
        <v>6556</v>
      </c>
      <c r="K2611" t="str">
        <f>IFERROR(VLOOKUP(VALUE(J2611),'Site Info'!$A:$G,3,FALSE),"")</f>
        <v>50555 VALLEY PLAZA DR</v>
      </c>
      <c r="L2611" t="str">
        <f>IFERROR(VLOOKUP(VALUE(J2611),'Site Info'!$A:$G,4,FALSE),"")</f>
        <v>SAINT CLAIRSVILLE</v>
      </c>
      <c r="M2611" t="str">
        <f>IFERROR(VLOOKUP(VALUE(J2611),'Site Info'!$A:$G,5,FALSE),"")</f>
        <v>OH</v>
      </c>
      <c r="N2611" t="str">
        <f>IFERROR(VLOOKUP(VALUE(J2611),'Site Info'!$A:$G,6,FALSE),"")</f>
        <v>43950-1757</v>
      </c>
      <c r="O2611">
        <f>IFERROR(VLOOKUP(VALUE(J2611),'Site Info'!$A:$G,7,FALSE),"")</f>
        <v>7406950198</v>
      </c>
    </row>
    <row r="2612" spans="1:15" x14ac:dyDescent="0.45">
      <c r="A2612" t="s">
        <v>1894</v>
      </c>
      <c r="B2612" t="s">
        <v>1895</v>
      </c>
      <c r="C2612" t="s">
        <v>1896</v>
      </c>
      <c r="D2612" t="s">
        <v>1897</v>
      </c>
      <c r="E2612" s="1">
        <v>46149.063958333332</v>
      </c>
      <c r="F2612">
        <v>1481</v>
      </c>
      <c r="G2612" t="s">
        <v>1898</v>
      </c>
      <c r="H2612" t="s">
        <v>15</v>
      </c>
      <c r="I2612" t="s">
        <v>1899</v>
      </c>
      <c r="J2612" t="str">
        <f>RIGHT(D2612,4)</f>
        <v>6556</v>
      </c>
      <c r="K2612" t="str">
        <f>IFERROR(VLOOKUP(VALUE(J2612),'Site Info'!$A:$G,3,FALSE),"")</f>
        <v>50555 VALLEY PLAZA DR</v>
      </c>
      <c r="L2612" t="str">
        <f>IFERROR(VLOOKUP(VALUE(J2612),'Site Info'!$A:$G,4,FALSE),"")</f>
        <v>SAINT CLAIRSVILLE</v>
      </c>
      <c r="M2612" t="str">
        <f>IFERROR(VLOOKUP(VALUE(J2612),'Site Info'!$A:$G,5,FALSE),"")</f>
        <v>OH</v>
      </c>
      <c r="N2612" t="str">
        <f>IFERROR(VLOOKUP(VALUE(J2612),'Site Info'!$A:$G,6,FALSE),"")</f>
        <v>43950-1757</v>
      </c>
      <c r="O2612">
        <f>IFERROR(VLOOKUP(VALUE(J2612),'Site Info'!$A:$G,7,FALSE),"")</f>
        <v>7406950198</v>
      </c>
    </row>
    <row r="2613" spans="1:15" x14ac:dyDescent="0.45">
      <c r="A2613" t="s">
        <v>3699</v>
      </c>
      <c r="B2613" t="s">
        <v>3700</v>
      </c>
      <c r="C2613" t="s">
        <v>3701</v>
      </c>
      <c r="D2613" t="s">
        <v>1897</v>
      </c>
      <c r="E2613" s="1">
        <v>46153.319386574076</v>
      </c>
      <c r="F2613">
        <v>1481</v>
      </c>
      <c r="G2613" t="s">
        <v>3702</v>
      </c>
      <c r="H2613" t="s">
        <v>15</v>
      </c>
      <c r="I2613" t="s">
        <v>1899</v>
      </c>
      <c r="J2613" t="str">
        <f>RIGHT(D2613,4)</f>
        <v>6556</v>
      </c>
      <c r="K2613" t="str">
        <f>IFERROR(VLOOKUP(VALUE(J2613),'Site Info'!$A:$G,3,FALSE),"")</f>
        <v>50555 VALLEY PLAZA DR</v>
      </c>
      <c r="L2613" t="str">
        <f>IFERROR(VLOOKUP(VALUE(J2613),'Site Info'!$A:$G,4,FALSE),"")</f>
        <v>SAINT CLAIRSVILLE</v>
      </c>
      <c r="M2613" t="str">
        <f>IFERROR(VLOOKUP(VALUE(J2613),'Site Info'!$A:$G,5,FALSE),"")</f>
        <v>OH</v>
      </c>
      <c r="N2613" t="str">
        <f>IFERROR(VLOOKUP(VALUE(J2613),'Site Info'!$A:$G,6,FALSE),"")</f>
        <v>43950-1757</v>
      </c>
      <c r="O2613">
        <f>IFERROR(VLOOKUP(VALUE(J2613),'Site Info'!$A:$G,7,FALSE),"")</f>
        <v>7406950198</v>
      </c>
    </row>
    <row r="2614" spans="1:15" x14ac:dyDescent="0.45">
      <c r="A2614" t="s">
        <v>16493</v>
      </c>
      <c r="B2614" t="s">
        <v>16939</v>
      </c>
      <c r="C2614" t="s">
        <v>16940</v>
      </c>
      <c r="D2614" t="s">
        <v>1897</v>
      </c>
      <c r="E2614" s="1">
        <v>46153.181493055556</v>
      </c>
      <c r="F2614">
        <v>1628</v>
      </c>
      <c r="G2614" t="s">
        <v>16941</v>
      </c>
      <c r="H2614" t="s">
        <v>13988</v>
      </c>
      <c r="I2614" t="s">
        <v>1899</v>
      </c>
      <c r="J2614" t="str">
        <f>RIGHT(D2614,4)</f>
        <v>6556</v>
      </c>
      <c r="K2614" t="str">
        <f>IFERROR(VLOOKUP(VALUE(J2614),'Site Info'!$A:$G,3,FALSE),"")</f>
        <v>50555 VALLEY PLAZA DR</v>
      </c>
      <c r="L2614" t="str">
        <f>IFERROR(VLOOKUP(VALUE(J2614),'Site Info'!$A:$G,4,FALSE),"")</f>
        <v>SAINT CLAIRSVILLE</v>
      </c>
      <c r="M2614" t="str">
        <f>IFERROR(VLOOKUP(VALUE(J2614),'Site Info'!$A:$G,5,FALSE),"")</f>
        <v>OH</v>
      </c>
      <c r="N2614" t="str">
        <f>IFERROR(VLOOKUP(VALUE(J2614),'Site Info'!$A:$G,6,FALSE),"")</f>
        <v>43950-1757</v>
      </c>
      <c r="O2614">
        <f>IFERROR(VLOOKUP(VALUE(J2614),'Site Info'!$A:$G,7,FALSE),"")</f>
        <v>7406950198</v>
      </c>
    </row>
    <row r="2615" spans="1:15" x14ac:dyDescent="0.45">
      <c r="A2615" t="s">
        <v>10644</v>
      </c>
      <c r="B2615" t="s">
        <v>10645</v>
      </c>
      <c r="C2615" t="s">
        <v>10646</v>
      </c>
      <c r="D2615" t="s">
        <v>801</v>
      </c>
      <c r="E2615" s="1">
        <v>46148.019444444442</v>
      </c>
      <c r="F2615">
        <v>1547</v>
      </c>
      <c r="G2615" t="s">
        <v>10647</v>
      </c>
      <c r="H2615" t="s">
        <v>15</v>
      </c>
      <c r="I2615" t="s">
        <v>803</v>
      </c>
      <c r="J2615" t="str">
        <f>RIGHT(D2615,4)</f>
        <v>8177</v>
      </c>
      <c r="K2615" t="str">
        <f>IFERROR(VLOOKUP(VALUE(J2615),'Site Info'!$A:$G,3,FALSE),"")</f>
        <v>5101 S PECOS RD</v>
      </c>
      <c r="L2615" t="str">
        <f>IFERROR(VLOOKUP(VALUE(J2615),'Site Info'!$A:$G,4,FALSE),"")</f>
        <v>LAS VEGAS</v>
      </c>
      <c r="M2615" t="str">
        <f>IFERROR(VLOOKUP(VALUE(J2615),'Site Info'!$A:$G,5,FALSE),"")</f>
        <v>NV</v>
      </c>
      <c r="N2615" t="str">
        <f>IFERROR(VLOOKUP(VALUE(J2615),'Site Info'!$A:$G,6,FALSE),"")</f>
        <v>89120-1269</v>
      </c>
      <c r="O2615">
        <f>IFERROR(VLOOKUP(VALUE(J2615),'Site Info'!$A:$G,7,FALSE),"")</f>
        <v>7024565596</v>
      </c>
    </row>
    <row r="2616" spans="1:15" x14ac:dyDescent="0.45">
      <c r="A2616" t="s">
        <v>10694</v>
      </c>
      <c r="B2616" t="s">
        <v>10695</v>
      </c>
      <c r="C2616" t="s">
        <v>10696</v>
      </c>
      <c r="D2616" t="s">
        <v>801</v>
      </c>
      <c r="E2616" s="1">
        <v>46151.857534722221</v>
      </c>
      <c r="F2616">
        <v>1547</v>
      </c>
      <c r="G2616" t="s">
        <v>10697</v>
      </c>
      <c r="H2616" t="s">
        <v>15</v>
      </c>
      <c r="I2616" t="s">
        <v>803</v>
      </c>
      <c r="J2616" t="str">
        <f>RIGHT(D2616,4)</f>
        <v>8177</v>
      </c>
      <c r="K2616" t="str">
        <f>IFERROR(VLOOKUP(VALUE(J2616),'Site Info'!$A:$G,3,FALSE),"")</f>
        <v>5101 S PECOS RD</v>
      </c>
      <c r="L2616" t="str">
        <f>IFERROR(VLOOKUP(VALUE(J2616),'Site Info'!$A:$G,4,FALSE),"")</f>
        <v>LAS VEGAS</v>
      </c>
      <c r="M2616" t="str">
        <f>IFERROR(VLOOKUP(VALUE(J2616),'Site Info'!$A:$G,5,FALSE),"")</f>
        <v>NV</v>
      </c>
      <c r="N2616" t="str">
        <f>IFERROR(VLOOKUP(VALUE(J2616),'Site Info'!$A:$G,6,FALSE),"")</f>
        <v>89120-1269</v>
      </c>
      <c r="O2616">
        <f>IFERROR(VLOOKUP(VALUE(J2616),'Site Info'!$A:$G,7,FALSE),"")</f>
        <v>7024565596</v>
      </c>
    </row>
    <row r="2617" spans="1:15" x14ac:dyDescent="0.45">
      <c r="A2617" t="s">
        <v>10690</v>
      </c>
      <c r="B2617" t="s">
        <v>10691</v>
      </c>
      <c r="C2617" t="s">
        <v>10692</v>
      </c>
      <c r="D2617" t="s">
        <v>801</v>
      </c>
      <c r="E2617" s="1">
        <v>46151.871168981481</v>
      </c>
      <c r="F2617">
        <v>1547</v>
      </c>
      <c r="G2617" t="s">
        <v>10693</v>
      </c>
      <c r="H2617" t="s">
        <v>15</v>
      </c>
      <c r="I2617" t="s">
        <v>803</v>
      </c>
      <c r="J2617" t="str">
        <f>RIGHT(D2617,4)</f>
        <v>8177</v>
      </c>
      <c r="K2617" t="str">
        <f>IFERROR(VLOOKUP(VALUE(J2617),'Site Info'!$A:$G,3,FALSE),"")</f>
        <v>5101 S PECOS RD</v>
      </c>
      <c r="L2617" t="str">
        <f>IFERROR(VLOOKUP(VALUE(J2617),'Site Info'!$A:$G,4,FALSE),"")</f>
        <v>LAS VEGAS</v>
      </c>
      <c r="M2617" t="str">
        <f>IFERROR(VLOOKUP(VALUE(J2617),'Site Info'!$A:$G,5,FALSE),"")</f>
        <v>NV</v>
      </c>
      <c r="N2617" t="str">
        <f>IFERROR(VLOOKUP(VALUE(J2617),'Site Info'!$A:$G,6,FALSE),"")</f>
        <v>89120-1269</v>
      </c>
      <c r="O2617">
        <f>IFERROR(VLOOKUP(VALUE(J2617),'Site Info'!$A:$G,7,FALSE),"")</f>
        <v>7024565596</v>
      </c>
    </row>
    <row r="2618" spans="1:15" x14ac:dyDescent="0.45">
      <c r="A2618" t="s">
        <v>12652</v>
      </c>
      <c r="B2618" t="s">
        <v>12653</v>
      </c>
      <c r="C2618" t="s">
        <v>12654</v>
      </c>
      <c r="D2618" t="s">
        <v>801</v>
      </c>
      <c r="E2618" s="1">
        <v>46153.366620370369</v>
      </c>
      <c r="F2618">
        <v>1547</v>
      </c>
      <c r="G2618" t="s">
        <v>12655</v>
      </c>
      <c r="H2618" t="s">
        <v>15</v>
      </c>
      <c r="I2618" t="s">
        <v>803</v>
      </c>
      <c r="J2618" t="str">
        <f>RIGHT(D2618,4)</f>
        <v>8177</v>
      </c>
      <c r="K2618" t="str">
        <f>IFERROR(VLOOKUP(VALUE(J2618),'Site Info'!$A:$G,3,FALSE),"")</f>
        <v>5101 S PECOS RD</v>
      </c>
      <c r="L2618" t="str">
        <f>IFERROR(VLOOKUP(VALUE(J2618),'Site Info'!$A:$G,4,FALSE),"")</f>
        <v>LAS VEGAS</v>
      </c>
      <c r="M2618" t="str">
        <f>IFERROR(VLOOKUP(VALUE(J2618),'Site Info'!$A:$G,5,FALSE),"")</f>
        <v>NV</v>
      </c>
      <c r="N2618" t="str">
        <f>IFERROR(VLOOKUP(VALUE(J2618),'Site Info'!$A:$G,6,FALSE),"")</f>
        <v>89120-1269</v>
      </c>
      <c r="O2618">
        <f>IFERROR(VLOOKUP(VALUE(J2618),'Site Info'!$A:$G,7,FALSE),"")</f>
        <v>7024565596</v>
      </c>
    </row>
    <row r="2619" spans="1:15" x14ac:dyDescent="0.45">
      <c r="A2619" t="s">
        <v>798</v>
      </c>
      <c r="B2619" t="s">
        <v>799</v>
      </c>
      <c r="C2619" t="s">
        <v>800</v>
      </c>
      <c r="D2619" t="s">
        <v>801</v>
      </c>
      <c r="E2619" s="1">
        <v>46153.335740740738</v>
      </c>
      <c r="F2619">
        <v>1481</v>
      </c>
      <c r="G2619" t="s">
        <v>802</v>
      </c>
      <c r="H2619" t="s">
        <v>15</v>
      </c>
      <c r="I2619" t="s">
        <v>803</v>
      </c>
      <c r="J2619" t="str">
        <f>RIGHT(D2619,4)</f>
        <v>8177</v>
      </c>
      <c r="K2619" t="str">
        <f>IFERROR(VLOOKUP(VALUE(J2619),'Site Info'!$A:$G,3,FALSE),"")</f>
        <v>5101 S PECOS RD</v>
      </c>
      <c r="L2619" t="str">
        <f>IFERROR(VLOOKUP(VALUE(J2619),'Site Info'!$A:$G,4,FALSE),"")</f>
        <v>LAS VEGAS</v>
      </c>
      <c r="M2619" t="str">
        <f>IFERROR(VLOOKUP(VALUE(J2619),'Site Info'!$A:$G,5,FALSE),"")</f>
        <v>NV</v>
      </c>
      <c r="N2619" t="str">
        <f>IFERROR(VLOOKUP(VALUE(J2619),'Site Info'!$A:$G,6,FALSE),"")</f>
        <v>89120-1269</v>
      </c>
      <c r="O2619">
        <f>IFERROR(VLOOKUP(VALUE(J2619),'Site Info'!$A:$G,7,FALSE),"")</f>
        <v>7024565596</v>
      </c>
    </row>
    <row r="2620" spans="1:15" x14ac:dyDescent="0.45">
      <c r="A2620" t="s">
        <v>11288</v>
      </c>
      <c r="B2620" t="s">
        <v>11289</v>
      </c>
      <c r="C2620" t="s">
        <v>11290</v>
      </c>
      <c r="D2620" t="s">
        <v>4323</v>
      </c>
      <c r="E2620" s="1">
        <v>46122.672060185185</v>
      </c>
      <c r="F2620">
        <v>1547</v>
      </c>
      <c r="G2620" t="s">
        <v>11291</v>
      </c>
      <c r="H2620" t="s">
        <v>15</v>
      </c>
      <c r="I2620" t="s">
        <v>4325</v>
      </c>
      <c r="J2620" t="str">
        <f>RIGHT(D2620,4)</f>
        <v>8207</v>
      </c>
      <c r="K2620" t="str">
        <f>IFERROR(VLOOKUP(VALUE(J2620),'Site Info'!$A:$G,3,FALSE),"")</f>
        <v>5110 N OAK TRFY</v>
      </c>
      <c r="L2620" t="str">
        <f>IFERROR(VLOOKUP(VALUE(J2620),'Site Info'!$A:$G,4,FALSE),"")</f>
        <v>KANSAS CITY</v>
      </c>
      <c r="M2620" t="str">
        <f>IFERROR(VLOOKUP(VALUE(J2620),'Site Info'!$A:$G,5,FALSE),"")</f>
        <v>MO</v>
      </c>
      <c r="N2620" t="str">
        <f>IFERROR(VLOOKUP(VALUE(J2620),'Site Info'!$A:$G,6,FALSE),"")</f>
        <v>64118-4621</v>
      </c>
      <c r="O2620">
        <f>IFERROR(VLOOKUP(VALUE(J2620),'Site Info'!$A:$G,7,FALSE),"")</f>
        <v>8164520005</v>
      </c>
    </row>
    <row r="2621" spans="1:15" x14ac:dyDescent="0.45">
      <c r="A2621" t="s">
        <v>13539</v>
      </c>
      <c r="B2621" t="s">
        <v>13540</v>
      </c>
      <c r="C2621" t="s">
        <v>13541</v>
      </c>
      <c r="D2621" t="s">
        <v>4323</v>
      </c>
      <c r="E2621" s="1">
        <v>46149.982164351852</v>
      </c>
      <c r="F2621">
        <v>1547</v>
      </c>
      <c r="G2621" t="s">
        <v>13542</v>
      </c>
      <c r="H2621" t="s">
        <v>15</v>
      </c>
      <c r="I2621" t="s">
        <v>4325</v>
      </c>
      <c r="J2621" t="str">
        <f>RIGHT(D2621,4)</f>
        <v>8207</v>
      </c>
      <c r="K2621" t="str">
        <f>IFERROR(VLOOKUP(VALUE(J2621),'Site Info'!$A:$G,3,FALSE),"")</f>
        <v>5110 N OAK TRFY</v>
      </c>
      <c r="L2621" t="str">
        <f>IFERROR(VLOOKUP(VALUE(J2621),'Site Info'!$A:$G,4,FALSE),"")</f>
        <v>KANSAS CITY</v>
      </c>
      <c r="M2621" t="str">
        <f>IFERROR(VLOOKUP(VALUE(J2621),'Site Info'!$A:$G,5,FALSE),"")</f>
        <v>MO</v>
      </c>
      <c r="N2621" t="str">
        <f>IFERROR(VLOOKUP(VALUE(J2621),'Site Info'!$A:$G,6,FALSE),"")</f>
        <v>64118-4621</v>
      </c>
      <c r="O2621">
        <f>IFERROR(VLOOKUP(VALUE(J2621),'Site Info'!$A:$G,7,FALSE),"")</f>
        <v>8164520005</v>
      </c>
    </row>
    <row r="2622" spans="1:15" x14ac:dyDescent="0.45">
      <c r="A2622" t="s">
        <v>12632</v>
      </c>
      <c r="B2622" t="s">
        <v>12633</v>
      </c>
      <c r="C2622" t="s">
        <v>12634</v>
      </c>
      <c r="D2622" t="s">
        <v>4323</v>
      </c>
      <c r="E2622" s="1">
        <v>46152.513020833336</v>
      </c>
      <c r="F2622">
        <v>1547</v>
      </c>
      <c r="G2622" t="s">
        <v>12635</v>
      </c>
      <c r="H2622" t="s">
        <v>15</v>
      </c>
      <c r="I2622" t="s">
        <v>4325</v>
      </c>
      <c r="J2622" t="str">
        <f>RIGHT(D2622,4)</f>
        <v>8207</v>
      </c>
      <c r="K2622" t="str">
        <f>IFERROR(VLOOKUP(VALUE(J2622),'Site Info'!$A:$G,3,FALSE),"")</f>
        <v>5110 N OAK TRFY</v>
      </c>
      <c r="L2622" t="str">
        <f>IFERROR(VLOOKUP(VALUE(J2622),'Site Info'!$A:$G,4,FALSE),"")</f>
        <v>KANSAS CITY</v>
      </c>
      <c r="M2622" t="str">
        <f>IFERROR(VLOOKUP(VALUE(J2622),'Site Info'!$A:$G,5,FALSE),"")</f>
        <v>MO</v>
      </c>
      <c r="N2622" t="str">
        <f>IFERROR(VLOOKUP(VALUE(J2622),'Site Info'!$A:$G,6,FALSE),"")</f>
        <v>64118-4621</v>
      </c>
      <c r="O2622">
        <f>IFERROR(VLOOKUP(VALUE(J2622),'Site Info'!$A:$G,7,FALSE),"")</f>
        <v>8164520005</v>
      </c>
    </row>
    <row r="2623" spans="1:15" x14ac:dyDescent="0.45">
      <c r="A2623" t="s">
        <v>12588</v>
      </c>
      <c r="B2623" t="s">
        <v>12589</v>
      </c>
      <c r="C2623" t="s">
        <v>12590</v>
      </c>
      <c r="D2623" t="s">
        <v>4323</v>
      </c>
      <c r="E2623" s="1">
        <v>46152.524768518517</v>
      </c>
      <c r="F2623">
        <v>1547</v>
      </c>
      <c r="G2623" t="s">
        <v>12591</v>
      </c>
      <c r="H2623" t="s">
        <v>15</v>
      </c>
      <c r="I2623" t="s">
        <v>4325</v>
      </c>
      <c r="J2623" t="str">
        <f>RIGHT(D2623,4)</f>
        <v>8207</v>
      </c>
      <c r="K2623" t="str">
        <f>IFERROR(VLOOKUP(VALUE(J2623),'Site Info'!$A:$G,3,FALSE),"")</f>
        <v>5110 N OAK TRFY</v>
      </c>
      <c r="L2623" t="str">
        <f>IFERROR(VLOOKUP(VALUE(J2623),'Site Info'!$A:$G,4,FALSE),"")</f>
        <v>KANSAS CITY</v>
      </c>
      <c r="M2623" t="str">
        <f>IFERROR(VLOOKUP(VALUE(J2623),'Site Info'!$A:$G,5,FALSE),"")</f>
        <v>MO</v>
      </c>
      <c r="N2623" t="str">
        <f>IFERROR(VLOOKUP(VALUE(J2623),'Site Info'!$A:$G,6,FALSE),"")</f>
        <v>64118-4621</v>
      </c>
      <c r="O2623">
        <f>IFERROR(VLOOKUP(VALUE(J2623),'Site Info'!$A:$G,7,FALSE),"")</f>
        <v>8164520005</v>
      </c>
    </row>
    <row r="2624" spans="1:15" x14ac:dyDescent="0.45">
      <c r="A2624" t="s">
        <v>4320</v>
      </c>
      <c r="B2624" t="s">
        <v>4321</v>
      </c>
      <c r="C2624" t="s">
        <v>4322</v>
      </c>
      <c r="D2624" t="s">
        <v>4323</v>
      </c>
      <c r="E2624" s="1">
        <v>46152.658368055556</v>
      </c>
      <c r="F2624">
        <v>1547</v>
      </c>
      <c r="G2624" t="s">
        <v>4324</v>
      </c>
      <c r="H2624" t="s">
        <v>15</v>
      </c>
      <c r="I2624" t="s">
        <v>4325</v>
      </c>
      <c r="J2624" t="str">
        <f>RIGHT(D2624,4)</f>
        <v>8207</v>
      </c>
      <c r="K2624" t="str">
        <f>IFERROR(VLOOKUP(VALUE(J2624),'Site Info'!$A:$G,3,FALSE),"")</f>
        <v>5110 N OAK TRFY</v>
      </c>
      <c r="L2624" t="str">
        <f>IFERROR(VLOOKUP(VALUE(J2624),'Site Info'!$A:$G,4,FALSE),"")</f>
        <v>KANSAS CITY</v>
      </c>
      <c r="M2624" t="str">
        <f>IFERROR(VLOOKUP(VALUE(J2624),'Site Info'!$A:$G,5,FALSE),"")</f>
        <v>MO</v>
      </c>
      <c r="N2624" t="str">
        <f>IFERROR(VLOOKUP(VALUE(J2624),'Site Info'!$A:$G,6,FALSE),"")</f>
        <v>64118-4621</v>
      </c>
      <c r="O2624">
        <f>IFERROR(VLOOKUP(VALUE(J2624),'Site Info'!$A:$G,7,FALSE),"")</f>
        <v>8164520005</v>
      </c>
    </row>
    <row r="2625" spans="1:15" x14ac:dyDescent="0.45">
      <c r="A2625" t="s">
        <v>13479</v>
      </c>
      <c r="B2625" t="s">
        <v>13480</v>
      </c>
      <c r="C2625" t="s">
        <v>13481</v>
      </c>
      <c r="D2625" t="s">
        <v>4323</v>
      </c>
      <c r="E2625" s="1">
        <v>46153.215277777781</v>
      </c>
      <c r="F2625">
        <v>1547</v>
      </c>
      <c r="G2625" t="s">
        <v>13482</v>
      </c>
      <c r="H2625" t="s">
        <v>15</v>
      </c>
      <c r="I2625" t="s">
        <v>4325</v>
      </c>
      <c r="J2625" t="str">
        <f>RIGHT(D2625,4)</f>
        <v>8207</v>
      </c>
      <c r="K2625" t="str">
        <f>IFERROR(VLOOKUP(VALUE(J2625),'Site Info'!$A:$G,3,FALSE),"")</f>
        <v>5110 N OAK TRFY</v>
      </c>
      <c r="L2625" t="str">
        <f>IFERROR(VLOOKUP(VALUE(J2625),'Site Info'!$A:$G,4,FALSE),"")</f>
        <v>KANSAS CITY</v>
      </c>
      <c r="M2625" t="str">
        <f>IFERROR(VLOOKUP(VALUE(J2625),'Site Info'!$A:$G,5,FALSE),"")</f>
        <v>MO</v>
      </c>
      <c r="N2625" t="str">
        <f>IFERROR(VLOOKUP(VALUE(J2625),'Site Info'!$A:$G,6,FALSE),"")</f>
        <v>64118-4621</v>
      </c>
      <c r="O2625">
        <f>IFERROR(VLOOKUP(VALUE(J2625),'Site Info'!$A:$G,7,FALSE),"")</f>
        <v>8164520005</v>
      </c>
    </row>
    <row r="2626" spans="1:15" x14ac:dyDescent="0.45">
      <c r="A2626" t="s">
        <v>13731</v>
      </c>
      <c r="B2626" t="s">
        <v>13732</v>
      </c>
      <c r="C2626" t="s">
        <v>13733</v>
      </c>
      <c r="D2626" t="s">
        <v>4323</v>
      </c>
      <c r="E2626" s="1">
        <v>46153.300416666665</v>
      </c>
      <c r="F2626">
        <v>1547</v>
      </c>
      <c r="G2626" t="s">
        <v>13734</v>
      </c>
      <c r="H2626" t="s">
        <v>15</v>
      </c>
      <c r="I2626" t="s">
        <v>4325</v>
      </c>
      <c r="J2626" t="str">
        <f>RIGHT(D2626,4)</f>
        <v>8207</v>
      </c>
      <c r="K2626" t="str">
        <f>IFERROR(VLOOKUP(VALUE(J2626),'Site Info'!$A:$G,3,FALSE),"")</f>
        <v>5110 N OAK TRFY</v>
      </c>
      <c r="L2626" t="str">
        <f>IFERROR(VLOOKUP(VALUE(J2626),'Site Info'!$A:$G,4,FALSE),"")</f>
        <v>KANSAS CITY</v>
      </c>
      <c r="M2626" t="str">
        <f>IFERROR(VLOOKUP(VALUE(J2626),'Site Info'!$A:$G,5,FALSE),"")</f>
        <v>MO</v>
      </c>
      <c r="N2626" t="str">
        <f>IFERROR(VLOOKUP(VALUE(J2626),'Site Info'!$A:$G,6,FALSE),"")</f>
        <v>64118-4621</v>
      </c>
      <c r="O2626">
        <f>IFERROR(VLOOKUP(VALUE(J2626),'Site Info'!$A:$G,7,FALSE),"")</f>
        <v>8164520005</v>
      </c>
    </row>
    <row r="2627" spans="1:15" x14ac:dyDescent="0.45">
      <c r="A2627" t="s">
        <v>13767</v>
      </c>
      <c r="B2627" t="s">
        <v>13768</v>
      </c>
      <c r="C2627" t="s">
        <v>13769</v>
      </c>
      <c r="D2627" t="s">
        <v>4323</v>
      </c>
      <c r="E2627" s="1">
        <v>46153.340624999997</v>
      </c>
      <c r="F2627">
        <v>1547</v>
      </c>
      <c r="G2627" t="s">
        <v>13770</v>
      </c>
      <c r="H2627" t="s">
        <v>15</v>
      </c>
      <c r="I2627" t="s">
        <v>13771</v>
      </c>
      <c r="J2627" t="str">
        <f>RIGHT(D2627,4)</f>
        <v>8207</v>
      </c>
      <c r="K2627" t="str">
        <f>IFERROR(VLOOKUP(VALUE(J2627),'Site Info'!$A:$G,3,FALSE),"")</f>
        <v>5110 N OAK TRFY</v>
      </c>
      <c r="L2627" t="str">
        <f>IFERROR(VLOOKUP(VALUE(J2627),'Site Info'!$A:$G,4,FALSE),"")</f>
        <v>KANSAS CITY</v>
      </c>
      <c r="M2627" t="str">
        <f>IFERROR(VLOOKUP(VALUE(J2627),'Site Info'!$A:$G,5,FALSE),"")</f>
        <v>MO</v>
      </c>
      <c r="N2627" t="str">
        <f>IFERROR(VLOOKUP(VALUE(J2627),'Site Info'!$A:$G,6,FALSE),"")</f>
        <v>64118-4621</v>
      </c>
      <c r="O2627">
        <f>IFERROR(VLOOKUP(VALUE(J2627),'Site Info'!$A:$G,7,FALSE),"")</f>
        <v>8164520005</v>
      </c>
    </row>
    <row r="2628" spans="1:15" x14ac:dyDescent="0.45">
      <c r="A2628" t="s">
        <v>12380</v>
      </c>
      <c r="B2628" t="s">
        <v>12381</v>
      </c>
      <c r="C2628" t="s">
        <v>12382</v>
      </c>
      <c r="D2628" t="s">
        <v>9769</v>
      </c>
      <c r="E2628" s="1">
        <v>46152.020486111112</v>
      </c>
      <c r="F2628">
        <v>1547</v>
      </c>
      <c r="G2628" t="s">
        <v>12383</v>
      </c>
      <c r="H2628" t="s">
        <v>15</v>
      </c>
      <c r="I2628" t="s">
        <v>9771</v>
      </c>
      <c r="J2628" t="str">
        <f>RIGHT(D2628,4)</f>
        <v>4783</v>
      </c>
      <c r="K2628" t="str">
        <f>IFERROR(VLOOKUP(VALUE(J2628),'Site Info'!$A:$G,3,FALSE),"")</f>
        <v>5150 N GARLAND AVE</v>
      </c>
      <c r="L2628" t="str">
        <f>IFERROR(VLOOKUP(VALUE(J2628),'Site Info'!$A:$G,4,FALSE),"")</f>
        <v>GARLAND</v>
      </c>
      <c r="M2628" t="str">
        <f>IFERROR(VLOOKUP(VALUE(J2628),'Site Info'!$A:$G,5,FALSE),"")</f>
        <v>TX</v>
      </c>
      <c r="N2628" t="str">
        <f>IFERROR(VLOOKUP(VALUE(J2628),'Site Info'!$A:$G,6,FALSE),"")</f>
        <v>75040-2711</v>
      </c>
      <c r="O2628">
        <f>IFERROR(VLOOKUP(VALUE(J2628),'Site Info'!$A:$G,7,FALSE),"")</f>
        <v>9724963956</v>
      </c>
    </row>
    <row r="2629" spans="1:15" x14ac:dyDescent="0.45">
      <c r="A2629" t="s">
        <v>10568</v>
      </c>
      <c r="B2629" t="s">
        <v>10569</v>
      </c>
      <c r="C2629" t="s">
        <v>10570</v>
      </c>
      <c r="D2629" t="s">
        <v>9769</v>
      </c>
      <c r="E2629" s="1">
        <v>46152.465219907404</v>
      </c>
      <c r="F2629">
        <v>1547</v>
      </c>
      <c r="G2629" t="s">
        <v>10571</v>
      </c>
      <c r="H2629" t="s">
        <v>15</v>
      </c>
      <c r="I2629" t="s">
        <v>9771</v>
      </c>
      <c r="J2629" t="str">
        <f>RIGHT(D2629,4)</f>
        <v>4783</v>
      </c>
      <c r="K2629" t="str">
        <f>IFERROR(VLOOKUP(VALUE(J2629),'Site Info'!$A:$G,3,FALSE),"")</f>
        <v>5150 N GARLAND AVE</v>
      </c>
      <c r="L2629" t="str">
        <f>IFERROR(VLOOKUP(VALUE(J2629),'Site Info'!$A:$G,4,FALSE),"")</f>
        <v>GARLAND</v>
      </c>
      <c r="M2629" t="str">
        <f>IFERROR(VLOOKUP(VALUE(J2629),'Site Info'!$A:$G,5,FALSE),"")</f>
        <v>TX</v>
      </c>
      <c r="N2629" t="str">
        <f>IFERROR(VLOOKUP(VALUE(J2629),'Site Info'!$A:$G,6,FALSE),"")</f>
        <v>75040-2711</v>
      </c>
      <c r="O2629">
        <f>IFERROR(VLOOKUP(VALUE(J2629),'Site Info'!$A:$G,7,FALSE),"")</f>
        <v>9724963956</v>
      </c>
    </row>
    <row r="2630" spans="1:15" x14ac:dyDescent="0.45">
      <c r="A2630" t="s">
        <v>12508</v>
      </c>
      <c r="B2630" t="s">
        <v>12509</v>
      </c>
      <c r="C2630" t="s">
        <v>12510</v>
      </c>
      <c r="D2630" t="s">
        <v>9769</v>
      </c>
      <c r="E2630" s="1">
        <v>46152.490983796299</v>
      </c>
      <c r="F2630">
        <v>1547</v>
      </c>
      <c r="G2630" t="s">
        <v>12511</v>
      </c>
      <c r="H2630" t="s">
        <v>15</v>
      </c>
      <c r="I2630" t="s">
        <v>9771</v>
      </c>
      <c r="J2630" t="str">
        <f>RIGHT(D2630,4)</f>
        <v>4783</v>
      </c>
      <c r="K2630" t="str">
        <f>IFERROR(VLOOKUP(VALUE(J2630),'Site Info'!$A:$G,3,FALSE),"")</f>
        <v>5150 N GARLAND AVE</v>
      </c>
      <c r="L2630" t="str">
        <f>IFERROR(VLOOKUP(VALUE(J2630),'Site Info'!$A:$G,4,FALSE),"")</f>
        <v>GARLAND</v>
      </c>
      <c r="M2630" t="str">
        <f>IFERROR(VLOOKUP(VALUE(J2630),'Site Info'!$A:$G,5,FALSE),"")</f>
        <v>TX</v>
      </c>
      <c r="N2630" t="str">
        <f>IFERROR(VLOOKUP(VALUE(J2630),'Site Info'!$A:$G,6,FALSE),"")</f>
        <v>75040-2711</v>
      </c>
      <c r="O2630">
        <f>IFERROR(VLOOKUP(VALUE(J2630),'Site Info'!$A:$G,7,FALSE),"")</f>
        <v>9724963956</v>
      </c>
    </row>
    <row r="2631" spans="1:15" x14ac:dyDescent="0.45">
      <c r="A2631" t="s">
        <v>9766</v>
      </c>
      <c r="B2631" t="s">
        <v>9767</v>
      </c>
      <c r="C2631" t="s">
        <v>9768</v>
      </c>
      <c r="D2631" t="s">
        <v>9769</v>
      </c>
      <c r="E2631" s="1">
        <v>46152.659490740742</v>
      </c>
      <c r="F2631">
        <v>1547</v>
      </c>
      <c r="G2631" t="s">
        <v>9770</v>
      </c>
      <c r="H2631" t="s">
        <v>15</v>
      </c>
      <c r="I2631" t="s">
        <v>9771</v>
      </c>
      <c r="J2631" t="str">
        <f>RIGHT(D2631,4)</f>
        <v>4783</v>
      </c>
      <c r="K2631" t="str">
        <f>IFERROR(VLOOKUP(VALUE(J2631),'Site Info'!$A:$G,3,FALSE),"")</f>
        <v>5150 N GARLAND AVE</v>
      </c>
      <c r="L2631" t="str">
        <f>IFERROR(VLOOKUP(VALUE(J2631),'Site Info'!$A:$G,4,FALSE),"")</f>
        <v>GARLAND</v>
      </c>
      <c r="M2631" t="str">
        <f>IFERROR(VLOOKUP(VALUE(J2631),'Site Info'!$A:$G,5,FALSE),"")</f>
        <v>TX</v>
      </c>
      <c r="N2631" t="str">
        <f>IFERROR(VLOOKUP(VALUE(J2631),'Site Info'!$A:$G,6,FALSE),"")</f>
        <v>75040-2711</v>
      </c>
      <c r="O2631">
        <f>IFERROR(VLOOKUP(VALUE(J2631),'Site Info'!$A:$G,7,FALSE),"")</f>
        <v>9724963956</v>
      </c>
    </row>
    <row r="2632" spans="1:15" x14ac:dyDescent="0.45">
      <c r="A2632" t="s">
        <v>10680</v>
      </c>
      <c r="B2632" t="s">
        <v>10681</v>
      </c>
      <c r="C2632" t="s">
        <v>10682</v>
      </c>
      <c r="D2632" t="s">
        <v>9769</v>
      </c>
      <c r="E2632" s="1">
        <v>46153.266724537039</v>
      </c>
      <c r="F2632">
        <v>1547</v>
      </c>
      <c r="G2632" t="s">
        <v>10683</v>
      </c>
      <c r="H2632" t="s">
        <v>15</v>
      </c>
      <c r="I2632" t="s">
        <v>9771</v>
      </c>
      <c r="J2632" t="str">
        <f>RIGHT(D2632,4)</f>
        <v>4783</v>
      </c>
      <c r="K2632" t="str">
        <f>IFERROR(VLOOKUP(VALUE(J2632),'Site Info'!$A:$G,3,FALSE),"")</f>
        <v>5150 N GARLAND AVE</v>
      </c>
      <c r="L2632" t="str">
        <f>IFERROR(VLOOKUP(VALUE(J2632),'Site Info'!$A:$G,4,FALSE),"")</f>
        <v>GARLAND</v>
      </c>
      <c r="M2632" t="str">
        <f>IFERROR(VLOOKUP(VALUE(J2632),'Site Info'!$A:$G,5,FALSE),"")</f>
        <v>TX</v>
      </c>
      <c r="N2632" t="str">
        <f>IFERROR(VLOOKUP(VALUE(J2632),'Site Info'!$A:$G,6,FALSE),"")</f>
        <v>75040-2711</v>
      </c>
      <c r="O2632">
        <f>IFERROR(VLOOKUP(VALUE(J2632),'Site Info'!$A:$G,7,FALSE),"")</f>
        <v>9724963956</v>
      </c>
    </row>
    <row r="2633" spans="1:15" x14ac:dyDescent="0.45">
      <c r="A2633" t="s">
        <v>12152</v>
      </c>
      <c r="B2633" t="s">
        <v>12153</v>
      </c>
      <c r="C2633" t="s">
        <v>12154</v>
      </c>
      <c r="D2633" t="s">
        <v>9769</v>
      </c>
      <c r="E2633" s="1">
        <v>46153.36891203704</v>
      </c>
      <c r="F2633">
        <v>1547</v>
      </c>
      <c r="G2633" t="s">
        <v>12155</v>
      </c>
      <c r="H2633" t="s">
        <v>15</v>
      </c>
      <c r="I2633" t="s">
        <v>9771</v>
      </c>
      <c r="J2633" t="str">
        <f>RIGHT(D2633,4)</f>
        <v>4783</v>
      </c>
      <c r="K2633" t="str">
        <f>IFERROR(VLOOKUP(VALUE(J2633),'Site Info'!$A:$G,3,FALSE),"")</f>
        <v>5150 N GARLAND AVE</v>
      </c>
      <c r="L2633" t="str">
        <f>IFERROR(VLOOKUP(VALUE(J2633),'Site Info'!$A:$G,4,FALSE),"")</f>
        <v>GARLAND</v>
      </c>
      <c r="M2633" t="str">
        <f>IFERROR(VLOOKUP(VALUE(J2633),'Site Info'!$A:$G,5,FALSE),"")</f>
        <v>TX</v>
      </c>
      <c r="N2633" t="str">
        <f>IFERROR(VLOOKUP(VALUE(J2633),'Site Info'!$A:$G,6,FALSE),"")</f>
        <v>75040-2711</v>
      </c>
      <c r="O2633">
        <f>IFERROR(VLOOKUP(VALUE(J2633),'Site Info'!$A:$G,7,FALSE),"")</f>
        <v>9724963956</v>
      </c>
    </row>
    <row r="2634" spans="1:15" x14ac:dyDescent="0.45">
      <c r="A2634" t="s">
        <v>4276</v>
      </c>
      <c r="B2634" t="s">
        <v>4277</v>
      </c>
      <c r="C2634" t="s">
        <v>4278</v>
      </c>
      <c r="D2634" t="s">
        <v>4273</v>
      </c>
      <c r="E2634" s="1">
        <v>46151.750497685185</v>
      </c>
      <c r="F2634">
        <v>1547</v>
      </c>
      <c r="G2634" t="s">
        <v>4279</v>
      </c>
      <c r="H2634" t="s">
        <v>15</v>
      </c>
      <c r="I2634" t="s">
        <v>4275</v>
      </c>
      <c r="J2634" t="str">
        <f>RIGHT(D2634,4)</f>
        <v>8130</v>
      </c>
      <c r="K2634" t="str">
        <f>IFERROR(VLOOKUP(VALUE(J2634),'Site Info'!$A:$G,3,FALSE),"")</f>
        <v>5170 S CLEVELAND AVE</v>
      </c>
      <c r="L2634" t="str">
        <f>IFERROR(VLOOKUP(VALUE(J2634),'Site Info'!$A:$G,4,FALSE),"")</f>
        <v>FORT MYERS</v>
      </c>
      <c r="M2634" t="str">
        <f>IFERROR(VLOOKUP(VALUE(J2634),'Site Info'!$A:$G,5,FALSE),"")</f>
        <v>FL</v>
      </c>
      <c r="N2634" t="str">
        <f>IFERROR(VLOOKUP(VALUE(J2634),'Site Info'!$A:$G,6,FALSE),"")</f>
        <v>33907-2142</v>
      </c>
      <c r="O2634">
        <f>IFERROR(VLOOKUP(VALUE(J2634),'Site Info'!$A:$G,7,FALSE),"")</f>
        <v>2399392442</v>
      </c>
    </row>
    <row r="2635" spans="1:15" x14ac:dyDescent="0.45">
      <c r="A2635" t="s">
        <v>4270</v>
      </c>
      <c r="B2635" t="s">
        <v>4271</v>
      </c>
      <c r="C2635" t="s">
        <v>4272</v>
      </c>
      <c r="D2635" t="s">
        <v>4273</v>
      </c>
      <c r="E2635" s="1">
        <v>46152.612430555557</v>
      </c>
      <c r="F2635">
        <v>1547</v>
      </c>
      <c r="G2635" t="s">
        <v>4274</v>
      </c>
      <c r="H2635" t="s">
        <v>15</v>
      </c>
      <c r="I2635" t="s">
        <v>4275</v>
      </c>
      <c r="J2635" t="str">
        <f>RIGHT(D2635,4)</f>
        <v>8130</v>
      </c>
      <c r="K2635" t="str">
        <f>IFERROR(VLOOKUP(VALUE(J2635),'Site Info'!$A:$G,3,FALSE),"")</f>
        <v>5170 S CLEVELAND AVE</v>
      </c>
      <c r="L2635" t="str">
        <f>IFERROR(VLOOKUP(VALUE(J2635),'Site Info'!$A:$G,4,FALSE),"")</f>
        <v>FORT MYERS</v>
      </c>
      <c r="M2635" t="str">
        <f>IFERROR(VLOOKUP(VALUE(J2635),'Site Info'!$A:$G,5,FALSE),"")</f>
        <v>FL</v>
      </c>
      <c r="N2635" t="str">
        <f>IFERROR(VLOOKUP(VALUE(J2635),'Site Info'!$A:$G,6,FALSE),"")</f>
        <v>33907-2142</v>
      </c>
      <c r="O2635">
        <f>IFERROR(VLOOKUP(VALUE(J2635),'Site Info'!$A:$G,7,FALSE),"")</f>
        <v>2399392442</v>
      </c>
    </row>
    <row r="2636" spans="1:15" x14ac:dyDescent="0.45">
      <c r="A2636" t="s">
        <v>6348</v>
      </c>
      <c r="B2636" t="s">
        <v>6349</v>
      </c>
      <c r="C2636" t="s">
        <v>6350</v>
      </c>
      <c r="D2636" t="s">
        <v>4273</v>
      </c>
      <c r="E2636" s="1">
        <v>46153.133692129632</v>
      </c>
      <c r="F2636">
        <v>1547</v>
      </c>
      <c r="G2636" t="s">
        <v>6351</v>
      </c>
      <c r="H2636" t="s">
        <v>15</v>
      </c>
      <c r="I2636" t="s">
        <v>4275</v>
      </c>
      <c r="J2636" t="str">
        <f>RIGHT(D2636,4)</f>
        <v>8130</v>
      </c>
      <c r="K2636" t="str">
        <f>IFERROR(VLOOKUP(VALUE(J2636),'Site Info'!$A:$G,3,FALSE),"")</f>
        <v>5170 S CLEVELAND AVE</v>
      </c>
      <c r="L2636" t="str">
        <f>IFERROR(VLOOKUP(VALUE(J2636),'Site Info'!$A:$G,4,FALSE),"")</f>
        <v>FORT MYERS</v>
      </c>
      <c r="M2636" t="str">
        <f>IFERROR(VLOOKUP(VALUE(J2636),'Site Info'!$A:$G,5,FALSE),"")</f>
        <v>FL</v>
      </c>
      <c r="N2636" t="str">
        <f>IFERROR(VLOOKUP(VALUE(J2636),'Site Info'!$A:$G,6,FALSE),"")</f>
        <v>33907-2142</v>
      </c>
      <c r="O2636">
        <f>IFERROR(VLOOKUP(VALUE(J2636),'Site Info'!$A:$G,7,FALSE),"")</f>
        <v>2399392442</v>
      </c>
    </row>
    <row r="2637" spans="1:15" x14ac:dyDescent="0.45">
      <c r="A2637" t="s">
        <v>6208</v>
      </c>
      <c r="B2637" t="s">
        <v>6209</v>
      </c>
      <c r="C2637" t="s">
        <v>6210</v>
      </c>
      <c r="D2637" t="s">
        <v>4273</v>
      </c>
      <c r="E2637" s="1">
        <v>46153.372071759259</v>
      </c>
      <c r="F2637">
        <v>1547</v>
      </c>
      <c r="G2637" t="s">
        <v>6211</v>
      </c>
      <c r="H2637" t="s">
        <v>15</v>
      </c>
      <c r="I2637" t="s">
        <v>4275</v>
      </c>
      <c r="J2637" t="str">
        <f>RIGHT(D2637,4)</f>
        <v>8130</v>
      </c>
      <c r="K2637" t="str">
        <f>IFERROR(VLOOKUP(VALUE(J2637),'Site Info'!$A:$G,3,FALSE),"")</f>
        <v>5170 S CLEVELAND AVE</v>
      </c>
      <c r="L2637" t="str">
        <f>IFERROR(VLOOKUP(VALUE(J2637),'Site Info'!$A:$G,4,FALSE),"")</f>
        <v>FORT MYERS</v>
      </c>
      <c r="M2637" t="str">
        <f>IFERROR(VLOOKUP(VALUE(J2637),'Site Info'!$A:$G,5,FALSE),"")</f>
        <v>FL</v>
      </c>
      <c r="N2637" t="str">
        <f>IFERROR(VLOOKUP(VALUE(J2637),'Site Info'!$A:$G,6,FALSE),"")</f>
        <v>33907-2142</v>
      </c>
      <c r="O2637">
        <f>IFERROR(VLOOKUP(VALUE(J2637),'Site Info'!$A:$G,7,FALSE),"")</f>
        <v>2399392442</v>
      </c>
    </row>
    <row r="2638" spans="1:15" x14ac:dyDescent="0.45">
      <c r="A2638" t="s">
        <v>8173</v>
      </c>
      <c r="B2638" t="s">
        <v>8174</v>
      </c>
      <c r="C2638" t="s">
        <v>8175</v>
      </c>
      <c r="D2638" t="s">
        <v>3338</v>
      </c>
      <c r="E2638" s="1">
        <v>46152.452037037037</v>
      </c>
      <c r="F2638">
        <v>1547</v>
      </c>
      <c r="G2638" t="s">
        <v>8176</v>
      </c>
      <c r="H2638" t="s">
        <v>15</v>
      </c>
      <c r="I2638" t="s">
        <v>3340</v>
      </c>
      <c r="J2638" t="str">
        <f>RIGHT(D2638,4)</f>
        <v>4920</v>
      </c>
      <c r="K2638" t="str">
        <f>IFERROR(VLOOKUP(VALUE(J2638),'Site Info'!$A:$G,3,FALSE),"")</f>
        <v>5201 N BELT HWY STE A</v>
      </c>
      <c r="L2638" t="str">
        <f>IFERROR(VLOOKUP(VALUE(J2638),'Site Info'!$A:$G,4,FALSE),"")</f>
        <v>SAINT JOSEPH</v>
      </c>
      <c r="M2638" t="str">
        <f>IFERROR(VLOOKUP(VALUE(J2638),'Site Info'!$A:$G,5,FALSE),"")</f>
        <v>MO</v>
      </c>
      <c r="N2638" t="str">
        <f>IFERROR(VLOOKUP(VALUE(J2638),'Site Info'!$A:$G,6,FALSE),"")</f>
        <v>64506-1297</v>
      </c>
      <c r="O2638">
        <f>IFERROR(VLOOKUP(VALUE(J2638),'Site Info'!$A:$G,7,FALSE),"")</f>
        <v>8162792192</v>
      </c>
    </row>
    <row r="2639" spans="1:15" x14ac:dyDescent="0.45">
      <c r="A2639" t="s">
        <v>9045</v>
      </c>
      <c r="B2639" t="s">
        <v>9046</v>
      </c>
      <c r="C2639" t="s">
        <v>9047</v>
      </c>
      <c r="D2639" t="s">
        <v>3338</v>
      </c>
      <c r="E2639" s="1">
        <v>46152.568518518521</v>
      </c>
      <c r="F2639">
        <v>1547</v>
      </c>
      <c r="G2639" t="s">
        <v>9048</v>
      </c>
      <c r="H2639" t="s">
        <v>15</v>
      </c>
      <c r="I2639" t="s">
        <v>3340</v>
      </c>
      <c r="J2639" t="str">
        <f>RIGHT(D2639,4)</f>
        <v>4920</v>
      </c>
      <c r="K2639" t="str">
        <f>IFERROR(VLOOKUP(VALUE(J2639),'Site Info'!$A:$G,3,FALSE),"")</f>
        <v>5201 N BELT HWY STE A</v>
      </c>
      <c r="L2639" t="str">
        <f>IFERROR(VLOOKUP(VALUE(J2639),'Site Info'!$A:$G,4,FALSE),"")</f>
        <v>SAINT JOSEPH</v>
      </c>
      <c r="M2639" t="str">
        <f>IFERROR(VLOOKUP(VALUE(J2639),'Site Info'!$A:$G,5,FALSE),"")</f>
        <v>MO</v>
      </c>
      <c r="N2639" t="str">
        <f>IFERROR(VLOOKUP(VALUE(J2639),'Site Info'!$A:$G,6,FALSE),"")</f>
        <v>64506-1297</v>
      </c>
      <c r="O2639">
        <f>IFERROR(VLOOKUP(VALUE(J2639),'Site Info'!$A:$G,7,FALSE),"")</f>
        <v>8162792192</v>
      </c>
    </row>
    <row r="2640" spans="1:15" x14ac:dyDescent="0.45">
      <c r="A2640" t="s">
        <v>14127</v>
      </c>
      <c r="B2640" t="s">
        <v>14128</v>
      </c>
      <c r="C2640" t="s">
        <v>14129</v>
      </c>
      <c r="D2640" t="s">
        <v>3338</v>
      </c>
      <c r="E2640" s="1">
        <v>46152.670937499999</v>
      </c>
      <c r="F2640">
        <v>1547</v>
      </c>
      <c r="G2640" t="s">
        <v>14130</v>
      </c>
      <c r="H2640" t="s">
        <v>15</v>
      </c>
      <c r="I2640" t="s">
        <v>3340</v>
      </c>
      <c r="J2640" t="str">
        <f>RIGHT(D2640,4)</f>
        <v>4920</v>
      </c>
      <c r="K2640" t="str">
        <f>IFERROR(VLOOKUP(VALUE(J2640),'Site Info'!$A:$G,3,FALSE),"")</f>
        <v>5201 N BELT HWY STE A</v>
      </c>
      <c r="L2640" t="str">
        <f>IFERROR(VLOOKUP(VALUE(J2640),'Site Info'!$A:$G,4,FALSE),"")</f>
        <v>SAINT JOSEPH</v>
      </c>
      <c r="M2640" t="str">
        <f>IFERROR(VLOOKUP(VALUE(J2640),'Site Info'!$A:$G,5,FALSE),"")</f>
        <v>MO</v>
      </c>
      <c r="N2640" t="str">
        <f>IFERROR(VLOOKUP(VALUE(J2640),'Site Info'!$A:$G,6,FALSE),"")</f>
        <v>64506-1297</v>
      </c>
      <c r="O2640">
        <f>IFERROR(VLOOKUP(VALUE(J2640),'Site Info'!$A:$G,7,FALSE),"")</f>
        <v>8162792192</v>
      </c>
    </row>
    <row r="2641" spans="1:15" x14ac:dyDescent="0.45">
      <c r="A2641" t="s">
        <v>8065</v>
      </c>
      <c r="B2641" t="s">
        <v>8066</v>
      </c>
      <c r="C2641" t="s">
        <v>8067</v>
      </c>
      <c r="D2641" t="s">
        <v>3338</v>
      </c>
      <c r="E2641" s="1">
        <v>46152.897812499999</v>
      </c>
      <c r="F2641">
        <v>1547</v>
      </c>
      <c r="G2641" t="s">
        <v>8068</v>
      </c>
      <c r="H2641" t="s">
        <v>15</v>
      </c>
      <c r="I2641" t="s">
        <v>3340</v>
      </c>
      <c r="J2641" t="str">
        <f>RIGHT(D2641,4)</f>
        <v>4920</v>
      </c>
      <c r="K2641" t="str">
        <f>IFERROR(VLOOKUP(VALUE(J2641),'Site Info'!$A:$G,3,FALSE),"")</f>
        <v>5201 N BELT HWY STE A</v>
      </c>
      <c r="L2641" t="str">
        <f>IFERROR(VLOOKUP(VALUE(J2641),'Site Info'!$A:$G,4,FALSE),"")</f>
        <v>SAINT JOSEPH</v>
      </c>
      <c r="M2641" t="str">
        <f>IFERROR(VLOOKUP(VALUE(J2641),'Site Info'!$A:$G,5,FALSE),"")</f>
        <v>MO</v>
      </c>
      <c r="N2641" t="str">
        <f>IFERROR(VLOOKUP(VALUE(J2641),'Site Info'!$A:$G,6,FALSE),"")</f>
        <v>64506-1297</v>
      </c>
      <c r="O2641">
        <f>IFERROR(VLOOKUP(VALUE(J2641),'Site Info'!$A:$G,7,FALSE),"")</f>
        <v>8162792192</v>
      </c>
    </row>
    <row r="2642" spans="1:15" x14ac:dyDescent="0.45">
      <c r="A2642" t="s">
        <v>8393</v>
      </c>
      <c r="B2642" t="s">
        <v>8394</v>
      </c>
      <c r="C2642" t="s">
        <v>8395</v>
      </c>
      <c r="D2642" t="s">
        <v>3338</v>
      </c>
      <c r="E2642" s="1">
        <v>46153.329328703701</v>
      </c>
      <c r="F2642">
        <v>1547</v>
      </c>
      <c r="G2642" t="s">
        <v>8396</v>
      </c>
      <c r="H2642" t="s">
        <v>15</v>
      </c>
      <c r="I2642" t="s">
        <v>3340</v>
      </c>
      <c r="J2642" t="str">
        <f>RIGHT(D2642,4)</f>
        <v>4920</v>
      </c>
      <c r="K2642" t="str">
        <f>IFERROR(VLOOKUP(VALUE(J2642),'Site Info'!$A:$G,3,FALSE),"")</f>
        <v>5201 N BELT HWY STE A</v>
      </c>
      <c r="L2642" t="str">
        <f>IFERROR(VLOOKUP(VALUE(J2642),'Site Info'!$A:$G,4,FALSE),"")</f>
        <v>SAINT JOSEPH</v>
      </c>
      <c r="M2642" t="str">
        <f>IFERROR(VLOOKUP(VALUE(J2642),'Site Info'!$A:$G,5,FALSE),"")</f>
        <v>MO</v>
      </c>
      <c r="N2642" t="str">
        <f>IFERROR(VLOOKUP(VALUE(J2642),'Site Info'!$A:$G,6,FALSE),"")</f>
        <v>64506-1297</v>
      </c>
      <c r="O2642">
        <f>IFERROR(VLOOKUP(VALUE(J2642),'Site Info'!$A:$G,7,FALSE),"")</f>
        <v>8162792192</v>
      </c>
    </row>
    <row r="2643" spans="1:15" x14ac:dyDescent="0.45">
      <c r="A2643" t="s">
        <v>3335</v>
      </c>
      <c r="B2643" t="s">
        <v>3336</v>
      </c>
      <c r="C2643" t="s">
        <v>3337</v>
      </c>
      <c r="D2643" t="s">
        <v>3338</v>
      </c>
      <c r="E2643" s="1">
        <v>46153.177430555559</v>
      </c>
      <c r="F2643">
        <v>1481</v>
      </c>
      <c r="G2643" t="s">
        <v>3339</v>
      </c>
      <c r="H2643" t="s">
        <v>15</v>
      </c>
      <c r="I2643" t="s">
        <v>3340</v>
      </c>
      <c r="J2643" t="str">
        <f>RIGHT(D2643,4)</f>
        <v>4920</v>
      </c>
      <c r="K2643" t="str">
        <f>IFERROR(VLOOKUP(VALUE(J2643),'Site Info'!$A:$G,3,FALSE),"")</f>
        <v>5201 N BELT HWY STE A</v>
      </c>
      <c r="L2643" t="str">
        <f>IFERROR(VLOOKUP(VALUE(J2643),'Site Info'!$A:$G,4,FALSE),"")</f>
        <v>SAINT JOSEPH</v>
      </c>
      <c r="M2643" t="str">
        <f>IFERROR(VLOOKUP(VALUE(J2643),'Site Info'!$A:$G,5,FALSE),"")</f>
        <v>MO</v>
      </c>
      <c r="N2643" t="str">
        <f>IFERROR(VLOOKUP(VALUE(J2643),'Site Info'!$A:$G,6,FALSE),"")</f>
        <v>64506-1297</v>
      </c>
      <c r="O2643">
        <f>IFERROR(VLOOKUP(VALUE(J2643),'Site Info'!$A:$G,7,FALSE),"")</f>
        <v>8162792192</v>
      </c>
    </row>
    <row r="2644" spans="1:15" x14ac:dyDescent="0.45">
      <c r="A2644" t="s">
        <v>8857</v>
      </c>
      <c r="B2644" t="s">
        <v>8858</v>
      </c>
      <c r="C2644" t="s">
        <v>8859</v>
      </c>
      <c r="D2644" t="s">
        <v>1233</v>
      </c>
      <c r="E2644" s="1">
        <v>46150.526493055557</v>
      </c>
      <c r="F2644">
        <v>1547</v>
      </c>
      <c r="G2644" t="s">
        <v>8860</v>
      </c>
      <c r="H2644" t="s">
        <v>15</v>
      </c>
      <c r="I2644" t="s">
        <v>1235</v>
      </c>
      <c r="J2644" t="str">
        <f>RIGHT(D2644,4)</f>
        <v>6314</v>
      </c>
      <c r="K2644" t="str">
        <f>IFERROR(VLOOKUP(VALUE(J2644),'Site Info'!$A:$G,3,FALSE),"")</f>
        <v>5225 COBBLESTONE RD</v>
      </c>
      <c r="L2644" t="str">
        <f>IFERROR(VLOOKUP(VALUE(J2644),'Site Info'!$A:$G,4,FALSE),"")</f>
        <v>SHEFFIELD VILLAGE</v>
      </c>
      <c r="M2644" t="str">
        <f>IFERROR(VLOOKUP(VALUE(J2644),'Site Info'!$A:$G,5,FALSE),"")</f>
        <v>OH</v>
      </c>
      <c r="N2644" t="str">
        <f>IFERROR(VLOOKUP(VALUE(J2644),'Site Info'!$A:$G,6,FALSE),"")</f>
        <v>44035-1489</v>
      </c>
      <c r="O2644">
        <f>IFERROR(VLOOKUP(VALUE(J2644),'Site Info'!$A:$G,7,FALSE),"")</f>
        <v>4409347567</v>
      </c>
    </row>
    <row r="2645" spans="1:15" x14ac:dyDescent="0.45">
      <c r="A2645" t="s">
        <v>8733</v>
      </c>
      <c r="B2645" t="s">
        <v>8734</v>
      </c>
      <c r="C2645" t="s">
        <v>8735</v>
      </c>
      <c r="D2645" t="s">
        <v>1233</v>
      </c>
      <c r="E2645" s="1">
        <v>46151.654606481483</v>
      </c>
      <c r="F2645">
        <v>1547</v>
      </c>
      <c r="G2645" t="s">
        <v>8736</v>
      </c>
      <c r="H2645" t="s">
        <v>15</v>
      </c>
      <c r="I2645" t="s">
        <v>1235</v>
      </c>
      <c r="J2645" t="str">
        <f>RIGHT(D2645,4)</f>
        <v>6314</v>
      </c>
      <c r="K2645" t="str">
        <f>IFERROR(VLOOKUP(VALUE(J2645),'Site Info'!$A:$G,3,FALSE),"")</f>
        <v>5225 COBBLESTONE RD</v>
      </c>
      <c r="L2645" t="str">
        <f>IFERROR(VLOOKUP(VALUE(J2645),'Site Info'!$A:$G,4,FALSE),"")</f>
        <v>SHEFFIELD VILLAGE</v>
      </c>
      <c r="M2645" t="str">
        <f>IFERROR(VLOOKUP(VALUE(J2645),'Site Info'!$A:$G,5,FALSE),"")</f>
        <v>OH</v>
      </c>
      <c r="N2645" t="str">
        <f>IFERROR(VLOOKUP(VALUE(J2645),'Site Info'!$A:$G,6,FALSE),"")</f>
        <v>44035-1489</v>
      </c>
      <c r="O2645">
        <f>IFERROR(VLOOKUP(VALUE(J2645),'Site Info'!$A:$G,7,FALSE),"")</f>
        <v>4409347567</v>
      </c>
    </row>
    <row r="2646" spans="1:15" x14ac:dyDescent="0.45">
      <c r="A2646" t="s">
        <v>7451</v>
      </c>
      <c r="B2646" t="s">
        <v>7452</v>
      </c>
      <c r="C2646" t="s">
        <v>7453</v>
      </c>
      <c r="D2646" t="s">
        <v>1233</v>
      </c>
      <c r="E2646" s="1">
        <v>46153.281747685185</v>
      </c>
      <c r="F2646">
        <v>1547</v>
      </c>
      <c r="G2646" t="s">
        <v>7454</v>
      </c>
      <c r="H2646" t="s">
        <v>15</v>
      </c>
      <c r="I2646" t="s">
        <v>1235</v>
      </c>
      <c r="J2646" t="str">
        <f>RIGHT(D2646,4)</f>
        <v>6314</v>
      </c>
      <c r="K2646" t="str">
        <f>IFERROR(VLOOKUP(VALUE(J2646),'Site Info'!$A:$G,3,FALSE),"")</f>
        <v>5225 COBBLESTONE RD</v>
      </c>
      <c r="L2646" t="str">
        <f>IFERROR(VLOOKUP(VALUE(J2646),'Site Info'!$A:$G,4,FALSE),"")</f>
        <v>SHEFFIELD VILLAGE</v>
      </c>
      <c r="M2646" t="str">
        <f>IFERROR(VLOOKUP(VALUE(J2646),'Site Info'!$A:$G,5,FALSE),"")</f>
        <v>OH</v>
      </c>
      <c r="N2646" t="str">
        <f>IFERROR(VLOOKUP(VALUE(J2646),'Site Info'!$A:$G,6,FALSE),"")</f>
        <v>44035-1489</v>
      </c>
      <c r="O2646">
        <f>IFERROR(VLOOKUP(VALUE(J2646),'Site Info'!$A:$G,7,FALSE),"")</f>
        <v>4409347567</v>
      </c>
    </row>
    <row r="2647" spans="1:15" x14ac:dyDescent="0.45">
      <c r="A2647" t="s">
        <v>14395</v>
      </c>
      <c r="B2647" t="s">
        <v>14396</v>
      </c>
      <c r="C2647" t="s">
        <v>14397</v>
      </c>
      <c r="D2647" t="s">
        <v>1233</v>
      </c>
      <c r="E2647" s="1">
        <v>46153.354363425926</v>
      </c>
      <c r="F2647">
        <v>1547</v>
      </c>
      <c r="G2647" t="s">
        <v>14398</v>
      </c>
      <c r="H2647" t="s">
        <v>15</v>
      </c>
      <c r="I2647" t="s">
        <v>1235</v>
      </c>
      <c r="J2647" t="str">
        <f>RIGHT(D2647,4)</f>
        <v>6314</v>
      </c>
      <c r="K2647" t="str">
        <f>IFERROR(VLOOKUP(VALUE(J2647),'Site Info'!$A:$G,3,FALSE),"")</f>
        <v>5225 COBBLESTONE RD</v>
      </c>
      <c r="L2647" t="str">
        <f>IFERROR(VLOOKUP(VALUE(J2647),'Site Info'!$A:$G,4,FALSE),"")</f>
        <v>SHEFFIELD VILLAGE</v>
      </c>
      <c r="M2647" t="str">
        <f>IFERROR(VLOOKUP(VALUE(J2647),'Site Info'!$A:$G,5,FALSE),"")</f>
        <v>OH</v>
      </c>
      <c r="N2647" t="str">
        <f>IFERROR(VLOOKUP(VALUE(J2647),'Site Info'!$A:$G,6,FALSE),"")</f>
        <v>44035-1489</v>
      </c>
      <c r="O2647">
        <f>IFERROR(VLOOKUP(VALUE(J2647),'Site Info'!$A:$G,7,FALSE),"")</f>
        <v>4409347567</v>
      </c>
    </row>
    <row r="2648" spans="1:15" x14ac:dyDescent="0.45">
      <c r="A2648" t="s">
        <v>3803</v>
      </c>
      <c r="B2648" t="s">
        <v>3804</v>
      </c>
      <c r="C2648" t="s">
        <v>3805</v>
      </c>
      <c r="D2648" t="s">
        <v>1233</v>
      </c>
      <c r="E2648" s="1">
        <v>46110.319780092592</v>
      </c>
      <c r="F2648">
        <v>1481</v>
      </c>
      <c r="G2648" t="s">
        <v>3806</v>
      </c>
      <c r="H2648" t="s">
        <v>15</v>
      </c>
      <c r="I2648" t="s">
        <v>1235</v>
      </c>
      <c r="J2648" t="str">
        <f>RIGHT(D2648,4)</f>
        <v>6314</v>
      </c>
      <c r="K2648" t="str">
        <f>IFERROR(VLOOKUP(VALUE(J2648),'Site Info'!$A:$G,3,FALSE),"")</f>
        <v>5225 COBBLESTONE RD</v>
      </c>
      <c r="L2648" t="str">
        <f>IFERROR(VLOOKUP(VALUE(J2648),'Site Info'!$A:$G,4,FALSE),"")</f>
        <v>SHEFFIELD VILLAGE</v>
      </c>
      <c r="M2648" t="str">
        <f>IFERROR(VLOOKUP(VALUE(J2648),'Site Info'!$A:$G,5,FALSE),"")</f>
        <v>OH</v>
      </c>
      <c r="N2648" t="str">
        <f>IFERROR(VLOOKUP(VALUE(J2648),'Site Info'!$A:$G,6,FALSE),"")</f>
        <v>44035-1489</v>
      </c>
      <c r="O2648">
        <f>IFERROR(VLOOKUP(VALUE(J2648),'Site Info'!$A:$G,7,FALSE),"")</f>
        <v>4409347567</v>
      </c>
    </row>
    <row r="2649" spans="1:15" x14ac:dyDescent="0.45">
      <c r="A2649" t="s">
        <v>1230</v>
      </c>
      <c r="B2649" t="s">
        <v>1231</v>
      </c>
      <c r="C2649" t="s">
        <v>1232</v>
      </c>
      <c r="D2649" t="s">
        <v>1233</v>
      </c>
      <c r="E2649" s="1">
        <v>46151.9455787037</v>
      </c>
      <c r="F2649">
        <v>1481</v>
      </c>
      <c r="G2649" t="s">
        <v>1234</v>
      </c>
      <c r="H2649" t="s">
        <v>15</v>
      </c>
      <c r="I2649" t="s">
        <v>1235</v>
      </c>
      <c r="J2649" t="str">
        <f>RIGHT(D2649,4)</f>
        <v>6314</v>
      </c>
      <c r="K2649" t="str">
        <f>IFERROR(VLOOKUP(VALUE(J2649),'Site Info'!$A:$G,3,FALSE),"")</f>
        <v>5225 COBBLESTONE RD</v>
      </c>
      <c r="L2649" t="str">
        <f>IFERROR(VLOOKUP(VALUE(J2649),'Site Info'!$A:$G,4,FALSE),"")</f>
        <v>SHEFFIELD VILLAGE</v>
      </c>
      <c r="M2649" t="str">
        <f>IFERROR(VLOOKUP(VALUE(J2649),'Site Info'!$A:$G,5,FALSE),"")</f>
        <v>OH</v>
      </c>
      <c r="N2649" t="str">
        <f>IFERROR(VLOOKUP(VALUE(J2649),'Site Info'!$A:$G,6,FALSE),"")</f>
        <v>44035-1489</v>
      </c>
      <c r="O2649">
        <f>IFERROR(VLOOKUP(VALUE(J2649),'Site Info'!$A:$G,7,FALSE),"")</f>
        <v>4409347567</v>
      </c>
    </row>
    <row r="2650" spans="1:15" x14ac:dyDescent="0.45">
      <c r="A2650" t="s">
        <v>2845</v>
      </c>
      <c r="B2650" t="s">
        <v>2846</v>
      </c>
      <c r="C2650" t="s">
        <v>2847</v>
      </c>
      <c r="D2650" t="s">
        <v>1233</v>
      </c>
      <c r="E2650" s="1">
        <v>46153.242719907408</v>
      </c>
      <c r="F2650">
        <v>1481</v>
      </c>
      <c r="G2650" t="s">
        <v>2848</v>
      </c>
      <c r="H2650" t="s">
        <v>15</v>
      </c>
      <c r="I2650" t="s">
        <v>1235</v>
      </c>
      <c r="J2650" t="str">
        <f>RIGHT(D2650,4)</f>
        <v>6314</v>
      </c>
      <c r="K2650" t="str">
        <f>IFERROR(VLOOKUP(VALUE(J2650),'Site Info'!$A:$G,3,FALSE),"")</f>
        <v>5225 COBBLESTONE RD</v>
      </c>
      <c r="L2650" t="str">
        <f>IFERROR(VLOOKUP(VALUE(J2650),'Site Info'!$A:$G,4,FALSE),"")</f>
        <v>SHEFFIELD VILLAGE</v>
      </c>
      <c r="M2650" t="str">
        <f>IFERROR(VLOOKUP(VALUE(J2650),'Site Info'!$A:$G,5,FALSE),"")</f>
        <v>OH</v>
      </c>
      <c r="N2650" t="str">
        <f>IFERROR(VLOOKUP(VALUE(J2650),'Site Info'!$A:$G,6,FALSE),"")</f>
        <v>44035-1489</v>
      </c>
      <c r="O2650">
        <f>IFERROR(VLOOKUP(VALUE(J2650),'Site Info'!$A:$G,7,FALSE),"")</f>
        <v>4409347567</v>
      </c>
    </row>
    <row r="2651" spans="1:15" x14ac:dyDescent="0.45">
      <c r="A2651" t="s">
        <v>14067</v>
      </c>
      <c r="B2651" t="s">
        <v>14068</v>
      </c>
      <c r="C2651" t="s">
        <v>14069</v>
      </c>
      <c r="D2651" t="s">
        <v>9700</v>
      </c>
      <c r="E2651" s="1">
        <v>46153.364432870374</v>
      </c>
      <c r="F2651">
        <v>1628</v>
      </c>
      <c r="G2651" t="s">
        <v>14070</v>
      </c>
      <c r="H2651" t="s">
        <v>13988</v>
      </c>
      <c r="I2651" t="s">
        <v>9702</v>
      </c>
      <c r="J2651" t="str">
        <f>RIGHT(D2651,4)</f>
        <v>4908</v>
      </c>
      <c r="K2651" t="str">
        <f>IFERROR(VLOOKUP(VALUE(J2651),'Site Info'!$A:$G,3,FALSE),"")</f>
        <v>5240 FREDERICA ST</v>
      </c>
      <c r="L2651" t="str">
        <f>IFERROR(VLOOKUP(VALUE(J2651),'Site Info'!$A:$G,4,FALSE),"")</f>
        <v>OWENSBORO</v>
      </c>
      <c r="M2651" t="str">
        <f>IFERROR(VLOOKUP(VALUE(J2651),'Site Info'!$A:$G,5,FALSE),"")</f>
        <v>KY</v>
      </c>
      <c r="N2651" t="str">
        <f>IFERROR(VLOOKUP(VALUE(J2651),'Site Info'!$A:$G,6,FALSE),"")</f>
        <v>42301-7420</v>
      </c>
      <c r="O2651">
        <f>IFERROR(VLOOKUP(VALUE(J2651),'Site Info'!$A:$G,7,FALSE),"")</f>
        <v>2706831930</v>
      </c>
    </row>
    <row r="2652" spans="1:15" x14ac:dyDescent="0.45">
      <c r="A2652" t="s">
        <v>9697</v>
      </c>
      <c r="B2652" t="s">
        <v>9698</v>
      </c>
      <c r="C2652" t="s">
        <v>9699</v>
      </c>
      <c r="D2652" t="s">
        <v>9700</v>
      </c>
      <c r="E2652" s="1">
        <v>46152.552118055559</v>
      </c>
      <c r="F2652">
        <v>1547</v>
      </c>
      <c r="G2652" t="s">
        <v>9701</v>
      </c>
      <c r="H2652" t="s">
        <v>15</v>
      </c>
      <c r="I2652" t="s">
        <v>9702</v>
      </c>
      <c r="J2652" t="str">
        <f>RIGHT(D2652,4)</f>
        <v>4908</v>
      </c>
      <c r="K2652" t="str">
        <f>IFERROR(VLOOKUP(VALUE(J2652),'Site Info'!$A:$G,3,FALSE),"")</f>
        <v>5240 FREDERICA ST</v>
      </c>
      <c r="L2652" t="str">
        <f>IFERROR(VLOOKUP(VALUE(J2652),'Site Info'!$A:$G,4,FALSE),"")</f>
        <v>OWENSBORO</v>
      </c>
      <c r="M2652" t="str">
        <f>IFERROR(VLOOKUP(VALUE(J2652),'Site Info'!$A:$G,5,FALSE),"")</f>
        <v>KY</v>
      </c>
      <c r="N2652" t="str">
        <f>IFERROR(VLOOKUP(VALUE(J2652),'Site Info'!$A:$G,6,FALSE),"")</f>
        <v>42301-7420</v>
      </c>
      <c r="O2652">
        <f>IFERROR(VLOOKUP(VALUE(J2652),'Site Info'!$A:$G,7,FALSE),"")</f>
        <v>2706831930</v>
      </c>
    </row>
    <row r="2653" spans="1:15" x14ac:dyDescent="0.45">
      <c r="A2653" t="s">
        <v>9758</v>
      </c>
      <c r="B2653" t="s">
        <v>9759</v>
      </c>
      <c r="C2653" t="s">
        <v>9760</v>
      </c>
      <c r="D2653" t="s">
        <v>9700</v>
      </c>
      <c r="E2653" s="1">
        <v>46153.363506944443</v>
      </c>
      <c r="F2653">
        <v>1547</v>
      </c>
      <c r="G2653" t="s">
        <v>9761</v>
      </c>
      <c r="H2653" t="s">
        <v>15</v>
      </c>
      <c r="I2653" t="s">
        <v>9702</v>
      </c>
      <c r="J2653" t="str">
        <f>RIGHT(D2653,4)</f>
        <v>4908</v>
      </c>
      <c r="K2653" t="str">
        <f>IFERROR(VLOOKUP(VALUE(J2653),'Site Info'!$A:$G,3,FALSE),"")</f>
        <v>5240 FREDERICA ST</v>
      </c>
      <c r="L2653" t="str">
        <f>IFERROR(VLOOKUP(VALUE(J2653),'Site Info'!$A:$G,4,FALSE),"")</f>
        <v>OWENSBORO</v>
      </c>
      <c r="M2653" t="str">
        <f>IFERROR(VLOOKUP(VALUE(J2653),'Site Info'!$A:$G,5,FALSE),"")</f>
        <v>KY</v>
      </c>
      <c r="N2653" t="str">
        <f>IFERROR(VLOOKUP(VALUE(J2653),'Site Info'!$A:$G,6,FALSE),"")</f>
        <v>42301-7420</v>
      </c>
      <c r="O2653">
        <f>IFERROR(VLOOKUP(VALUE(J2653),'Site Info'!$A:$G,7,FALSE),"")</f>
        <v>2706831930</v>
      </c>
    </row>
    <row r="2654" spans="1:15" x14ac:dyDescent="0.45">
      <c r="A2654" t="s">
        <v>12140</v>
      </c>
      <c r="B2654" t="s">
        <v>12141</v>
      </c>
      <c r="C2654" t="s">
        <v>12142</v>
      </c>
      <c r="D2654" t="s">
        <v>9700</v>
      </c>
      <c r="E2654" s="1">
        <v>46153.371701388889</v>
      </c>
      <c r="F2654">
        <v>1547</v>
      </c>
      <c r="G2654" t="s">
        <v>12143</v>
      </c>
      <c r="H2654" t="s">
        <v>15</v>
      </c>
      <c r="I2654" t="s">
        <v>9702</v>
      </c>
      <c r="J2654" t="str">
        <f>RIGHT(D2654,4)</f>
        <v>4908</v>
      </c>
      <c r="K2654" t="str">
        <f>IFERROR(VLOOKUP(VALUE(J2654),'Site Info'!$A:$G,3,FALSE),"")</f>
        <v>5240 FREDERICA ST</v>
      </c>
      <c r="L2654" t="str">
        <f>IFERROR(VLOOKUP(VALUE(J2654),'Site Info'!$A:$G,4,FALSE),"")</f>
        <v>OWENSBORO</v>
      </c>
      <c r="M2654" t="str">
        <f>IFERROR(VLOOKUP(VALUE(J2654),'Site Info'!$A:$G,5,FALSE),"")</f>
        <v>KY</v>
      </c>
      <c r="N2654" t="str">
        <f>IFERROR(VLOOKUP(VALUE(J2654),'Site Info'!$A:$G,6,FALSE),"")</f>
        <v>42301-7420</v>
      </c>
      <c r="O2654">
        <f>IFERROR(VLOOKUP(VALUE(J2654),'Site Info'!$A:$G,7,FALSE),"")</f>
        <v>2706831930</v>
      </c>
    </row>
    <row r="2655" spans="1:15" x14ac:dyDescent="0.45">
      <c r="A2655" t="s">
        <v>11428</v>
      </c>
      <c r="B2655" t="s">
        <v>11429</v>
      </c>
      <c r="C2655" t="s">
        <v>11430</v>
      </c>
      <c r="D2655" t="s">
        <v>6441</v>
      </c>
      <c r="E2655" s="1">
        <v>46151.512662037036</v>
      </c>
      <c r="F2655">
        <v>1547</v>
      </c>
      <c r="G2655" t="s">
        <v>11431</v>
      </c>
      <c r="H2655" t="s">
        <v>15</v>
      </c>
      <c r="I2655" t="s">
        <v>6443</v>
      </c>
      <c r="J2655" t="str">
        <f>RIGHT(D2655,4)</f>
        <v>8201</v>
      </c>
      <c r="K2655" t="str">
        <f>IFERROR(VLOOKUP(VALUE(J2655),'Site Info'!$A:$G,3,FALSE),"")</f>
        <v>5300 30TH ST E</v>
      </c>
      <c r="L2655" t="str">
        <f>IFERROR(VLOOKUP(VALUE(J2655),'Site Info'!$A:$G,4,FALSE),"")</f>
        <v>BRADENTON</v>
      </c>
      <c r="M2655" t="str">
        <f>IFERROR(VLOOKUP(VALUE(J2655),'Site Info'!$A:$G,5,FALSE),"")</f>
        <v>FL</v>
      </c>
      <c r="N2655" t="str">
        <f>IFERROR(VLOOKUP(VALUE(J2655),'Site Info'!$A:$G,6,FALSE),"")</f>
        <v>34203-8400</v>
      </c>
      <c r="O2655">
        <f>IFERROR(VLOOKUP(VALUE(J2655),'Site Info'!$A:$G,7,FALSE),"")</f>
        <v>9417392130</v>
      </c>
    </row>
    <row r="2656" spans="1:15" x14ac:dyDescent="0.45">
      <c r="A2656" t="s">
        <v>10066</v>
      </c>
      <c r="B2656" t="s">
        <v>10067</v>
      </c>
      <c r="C2656" t="s">
        <v>10068</v>
      </c>
      <c r="D2656" t="s">
        <v>6441</v>
      </c>
      <c r="E2656" s="1">
        <v>46151.737291666665</v>
      </c>
      <c r="F2656">
        <v>1547</v>
      </c>
      <c r="G2656" t="s">
        <v>10069</v>
      </c>
      <c r="H2656" t="s">
        <v>15</v>
      </c>
      <c r="I2656" t="s">
        <v>6443</v>
      </c>
      <c r="J2656" t="str">
        <f>RIGHT(D2656,4)</f>
        <v>8201</v>
      </c>
      <c r="K2656" t="str">
        <f>IFERROR(VLOOKUP(VALUE(J2656),'Site Info'!$A:$G,3,FALSE),"")</f>
        <v>5300 30TH ST E</v>
      </c>
      <c r="L2656" t="str">
        <f>IFERROR(VLOOKUP(VALUE(J2656),'Site Info'!$A:$G,4,FALSE),"")</f>
        <v>BRADENTON</v>
      </c>
      <c r="M2656" t="str">
        <f>IFERROR(VLOOKUP(VALUE(J2656),'Site Info'!$A:$G,5,FALSE),"")</f>
        <v>FL</v>
      </c>
      <c r="N2656" t="str">
        <f>IFERROR(VLOOKUP(VALUE(J2656),'Site Info'!$A:$G,6,FALSE),"")</f>
        <v>34203-8400</v>
      </c>
      <c r="O2656">
        <f>IFERROR(VLOOKUP(VALUE(J2656),'Site Info'!$A:$G,7,FALSE),"")</f>
        <v>9417392130</v>
      </c>
    </row>
    <row r="2657" spans="1:15" x14ac:dyDescent="0.45">
      <c r="A2657" t="s">
        <v>6438</v>
      </c>
      <c r="B2657" t="s">
        <v>6439</v>
      </c>
      <c r="C2657" t="s">
        <v>6440</v>
      </c>
      <c r="D2657" t="s">
        <v>6441</v>
      </c>
      <c r="E2657" s="1">
        <v>46153.324247685188</v>
      </c>
      <c r="F2657">
        <v>1547</v>
      </c>
      <c r="G2657" t="s">
        <v>6442</v>
      </c>
      <c r="H2657" t="s">
        <v>15</v>
      </c>
      <c r="I2657" t="s">
        <v>6443</v>
      </c>
      <c r="J2657" t="str">
        <f>RIGHT(D2657,4)</f>
        <v>8201</v>
      </c>
      <c r="K2657" t="str">
        <f>IFERROR(VLOOKUP(VALUE(J2657),'Site Info'!$A:$G,3,FALSE),"")</f>
        <v>5300 30TH ST E</v>
      </c>
      <c r="L2657" t="str">
        <f>IFERROR(VLOOKUP(VALUE(J2657),'Site Info'!$A:$G,4,FALSE),"")</f>
        <v>BRADENTON</v>
      </c>
      <c r="M2657" t="str">
        <f>IFERROR(VLOOKUP(VALUE(J2657),'Site Info'!$A:$G,5,FALSE),"")</f>
        <v>FL</v>
      </c>
      <c r="N2657" t="str">
        <f>IFERROR(VLOOKUP(VALUE(J2657),'Site Info'!$A:$G,6,FALSE),"")</f>
        <v>34203-8400</v>
      </c>
      <c r="O2657">
        <f>IFERROR(VLOOKUP(VALUE(J2657),'Site Info'!$A:$G,7,FALSE),"")</f>
        <v>9417392130</v>
      </c>
    </row>
    <row r="2658" spans="1:15" x14ac:dyDescent="0.45">
      <c r="A2658" t="s">
        <v>17160</v>
      </c>
      <c r="B2658" t="s">
        <v>17161</v>
      </c>
      <c r="C2658" t="s">
        <v>17162</v>
      </c>
      <c r="D2658" t="s">
        <v>6441</v>
      </c>
      <c r="E2658" s="1">
        <v>46153.378888888888</v>
      </c>
      <c r="F2658">
        <v>1547</v>
      </c>
      <c r="G2658" t="s">
        <v>17163</v>
      </c>
      <c r="H2658" t="s">
        <v>15</v>
      </c>
      <c r="I2658" t="s">
        <v>6443</v>
      </c>
      <c r="J2658" t="str">
        <f>RIGHT(D2658,4)</f>
        <v>8201</v>
      </c>
      <c r="K2658" t="str">
        <f>IFERROR(VLOOKUP(VALUE(J2658),'Site Info'!$A:$G,3,FALSE),"")</f>
        <v>5300 30TH ST E</v>
      </c>
      <c r="L2658" t="str">
        <f>IFERROR(VLOOKUP(VALUE(J2658),'Site Info'!$A:$G,4,FALSE),"")</f>
        <v>BRADENTON</v>
      </c>
      <c r="M2658" t="str">
        <f>IFERROR(VLOOKUP(VALUE(J2658),'Site Info'!$A:$G,5,FALSE),"")</f>
        <v>FL</v>
      </c>
      <c r="N2658" t="str">
        <f>IFERROR(VLOOKUP(VALUE(J2658),'Site Info'!$A:$G,6,FALSE),"")</f>
        <v>34203-8400</v>
      </c>
      <c r="O2658">
        <f>IFERROR(VLOOKUP(VALUE(J2658),'Site Info'!$A:$G,7,FALSE),"")</f>
        <v>9417392130</v>
      </c>
    </row>
    <row r="2659" spans="1:15" x14ac:dyDescent="0.45">
      <c r="A2659" t="s">
        <v>12782</v>
      </c>
      <c r="B2659" t="s">
        <v>12783</v>
      </c>
      <c r="C2659" t="s">
        <v>12784</v>
      </c>
      <c r="D2659" t="s">
        <v>495</v>
      </c>
      <c r="E2659" s="1">
        <v>46151.293819444443</v>
      </c>
      <c r="F2659">
        <v>1547</v>
      </c>
      <c r="G2659" t="s">
        <v>12785</v>
      </c>
      <c r="H2659" t="s">
        <v>15</v>
      </c>
      <c r="I2659" t="s">
        <v>497</v>
      </c>
      <c r="J2659" t="str">
        <f>RIGHT(D2659,4)</f>
        <v>4769</v>
      </c>
      <c r="K2659" t="str">
        <f>IFERROR(VLOOKUP(VALUE(J2659),'Site Info'!$A:$G,3,FALSE),"")</f>
        <v>5310 S RICE AVE</v>
      </c>
      <c r="L2659" t="str">
        <f>IFERROR(VLOOKUP(VALUE(J2659),'Site Info'!$A:$G,4,FALSE),"")</f>
        <v>HOUSTON</v>
      </c>
      <c r="M2659" t="str">
        <f>IFERROR(VLOOKUP(VALUE(J2659),'Site Info'!$A:$G,5,FALSE),"")</f>
        <v>TX</v>
      </c>
      <c r="N2659" t="str">
        <f>IFERROR(VLOOKUP(VALUE(J2659),'Site Info'!$A:$G,6,FALSE),"")</f>
        <v>77081-2112</v>
      </c>
      <c r="O2659">
        <f>IFERROR(VLOOKUP(VALUE(J2659),'Site Info'!$A:$G,7,FALSE),"")</f>
        <v>8327789736</v>
      </c>
    </row>
    <row r="2660" spans="1:15" x14ac:dyDescent="0.45">
      <c r="A2660" t="s">
        <v>14411</v>
      </c>
      <c r="B2660" t="s">
        <v>14412</v>
      </c>
      <c r="C2660" t="s">
        <v>14413</v>
      </c>
      <c r="D2660" t="s">
        <v>495</v>
      </c>
      <c r="E2660" s="1">
        <v>46151.818749999999</v>
      </c>
      <c r="F2660">
        <v>1547</v>
      </c>
      <c r="G2660" t="s">
        <v>14414</v>
      </c>
      <c r="H2660" t="s">
        <v>15</v>
      </c>
      <c r="I2660" t="s">
        <v>497</v>
      </c>
      <c r="J2660" t="str">
        <f>RIGHT(D2660,4)</f>
        <v>4769</v>
      </c>
      <c r="K2660" t="str">
        <f>IFERROR(VLOOKUP(VALUE(J2660),'Site Info'!$A:$G,3,FALSE),"")</f>
        <v>5310 S RICE AVE</v>
      </c>
      <c r="L2660" t="str">
        <f>IFERROR(VLOOKUP(VALUE(J2660),'Site Info'!$A:$G,4,FALSE),"")</f>
        <v>HOUSTON</v>
      </c>
      <c r="M2660" t="str">
        <f>IFERROR(VLOOKUP(VALUE(J2660),'Site Info'!$A:$G,5,FALSE),"")</f>
        <v>TX</v>
      </c>
      <c r="N2660" t="str">
        <f>IFERROR(VLOOKUP(VALUE(J2660),'Site Info'!$A:$G,6,FALSE),"")</f>
        <v>77081-2112</v>
      </c>
      <c r="O2660">
        <f>IFERROR(VLOOKUP(VALUE(J2660),'Site Info'!$A:$G,7,FALSE),"")</f>
        <v>8327789736</v>
      </c>
    </row>
    <row r="2661" spans="1:15" x14ac:dyDescent="0.45">
      <c r="A2661" t="s">
        <v>5150</v>
      </c>
      <c r="B2661" t="s">
        <v>5151</v>
      </c>
      <c r="C2661" t="s">
        <v>5152</v>
      </c>
      <c r="D2661" t="s">
        <v>495</v>
      </c>
      <c r="E2661" s="1">
        <v>46152.474189814813</v>
      </c>
      <c r="F2661">
        <v>1547</v>
      </c>
      <c r="G2661" t="s">
        <v>5153</v>
      </c>
      <c r="H2661" t="s">
        <v>15</v>
      </c>
      <c r="I2661" t="s">
        <v>497</v>
      </c>
      <c r="J2661" t="str">
        <f>RIGHT(D2661,4)</f>
        <v>4769</v>
      </c>
      <c r="K2661" t="str">
        <f>IFERROR(VLOOKUP(VALUE(J2661),'Site Info'!$A:$G,3,FALSE),"")</f>
        <v>5310 S RICE AVE</v>
      </c>
      <c r="L2661" t="str">
        <f>IFERROR(VLOOKUP(VALUE(J2661),'Site Info'!$A:$G,4,FALSE),"")</f>
        <v>HOUSTON</v>
      </c>
      <c r="M2661" t="str">
        <f>IFERROR(VLOOKUP(VALUE(J2661),'Site Info'!$A:$G,5,FALSE),"")</f>
        <v>TX</v>
      </c>
      <c r="N2661" t="str">
        <f>IFERROR(VLOOKUP(VALUE(J2661),'Site Info'!$A:$G,6,FALSE),"")</f>
        <v>77081-2112</v>
      </c>
      <c r="O2661">
        <f>IFERROR(VLOOKUP(VALUE(J2661),'Site Info'!$A:$G,7,FALSE),"")</f>
        <v>8327789736</v>
      </c>
    </row>
    <row r="2662" spans="1:15" x14ac:dyDescent="0.45">
      <c r="A2662" t="s">
        <v>13223</v>
      </c>
      <c r="B2662" t="s">
        <v>13224</v>
      </c>
      <c r="C2662" t="s">
        <v>13225</v>
      </c>
      <c r="D2662" t="s">
        <v>495</v>
      </c>
      <c r="E2662" s="1">
        <v>46152.543136574073</v>
      </c>
      <c r="F2662">
        <v>1547</v>
      </c>
      <c r="G2662" t="s">
        <v>13226</v>
      </c>
      <c r="H2662" t="s">
        <v>15</v>
      </c>
      <c r="I2662" t="s">
        <v>497</v>
      </c>
      <c r="J2662" t="str">
        <f>RIGHT(D2662,4)</f>
        <v>4769</v>
      </c>
      <c r="K2662" t="str">
        <f>IFERROR(VLOOKUP(VALUE(J2662),'Site Info'!$A:$G,3,FALSE),"")</f>
        <v>5310 S RICE AVE</v>
      </c>
      <c r="L2662" t="str">
        <f>IFERROR(VLOOKUP(VALUE(J2662),'Site Info'!$A:$G,4,FALSE),"")</f>
        <v>HOUSTON</v>
      </c>
      <c r="M2662" t="str">
        <f>IFERROR(VLOOKUP(VALUE(J2662),'Site Info'!$A:$G,5,FALSE),"")</f>
        <v>TX</v>
      </c>
      <c r="N2662" t="str">
        <f>IFERROR(VLOOKUP(VALUE(J2662),'Site Info'!$A:$G,6,FALSE),"")</f>
        <v>77081-2112</v>
      </c>
      <c r="O2662">
        <f>IFERROR(VLOOKUP(VALUE(J2662),'Site Info'!$A:$G,7,FALSE),"")</f>
        <v>8327789736</v>
      </c>
    </row>
    <row r="2663" spans="1:15" x14ac:dyDescent="0.45">
      <c r="A2663" t="s">
        <v>13159</v>
      </c>
      <c r="B2663" t="s">
        <v>13160</v>
      </c>
      <c r="C2663" t="s">
        <v>13161</v>
      </c>
      <c r="D2663" t="s">
        <v>495</v>
      </c>
      <c r="E2663" s="1">
        <v>46153.388935185183</v>
      </c>
      <c r="F2663">
        <v>1547</v>
      </c>
      <c r="G2663" t="s">
        <v>13162</v>
      </c>
      <c r="H2663" t="s">
        <v>15</v>
      </c>
      <c r="I2663" t="s">
        <v>497</v>
      </c>
      <c r="J2663" t="str">
        <f>RIGHT(D2663,4)</f>
        <v>4769</v>
      </c>
      <c r="K2663" t="str">
        <f>IFERROR(VLOOKUP(VALUE(J2663),'Site Info'!$A:$G,3,FALSE),"")</f>
        <v>5310 S RICE AVE</v>
      </c>
      <c r="L2663" t="str">
        <f>IFERROR(VLOOKUP(VALUE(J2663),'Site Info'!$A:$G,4,FALSE),"")</f>
        <v>HOUSTON</v>
      </c>
      <c r="M2663" t="str">
        <f>IFERROR(VLOOKUP(VALUE(J2663),'Site Info'!$A:$G,5,FALSE),"")</f>
        <v>TX</v>
      </c>
      <c r="N2663" t="str">
        <f>IFERROR(VLOOKUP(VALUE(J2663),'Site Info'!$A:$G,6,FALSE),"")</f>
        <v>77081-2112</v>
      </c>
      <c r="O2663">
        <f>IFERROR(VLOOKUP(VALUE(J2663),'Site Info'!$A:$G,7,FALSE),"")</f>
        <v>8327789736</v>
      </c>
    </row>
    <row r="2664" spans="1:15" x14ac:dyDescent="0.45">
      <c r="A2664" t="s">
        <v>492</v>
      </c>
      <c r="B2664" t="s">
        <v>493</v>
      </c>
      <c r="C2664" t="s">
        <v>494</v>
      </c>
      <c r="D2664" t="s">
        <v>495</v>
      </c>
      <c r="E2664" s="1">
        <v>46153.303067129629</v>
      </c>
      <c r="F2664">
        <v>1481</v>
      </c>
      <c r="G2664" t="s">
        <v>496</v>
      </c>
      <c r="H2664" t="s">
        <v>15</v>
      </c>
      <c r="I2664" t="s">
        <v>497</v>
      </c>
      <c r="J2664" t="str">
        <f>RIGHT(D2664,4)</f>
        <v>4769</v>
      </c>
      <c r="K2664" t="str">
        <f>IFERROR(VLOOKUP(VALUE(J2664),'Site Info'!$A:$G,3,FALSE),"")</f>
        <v>5310 S RICE AVE</v>
      </c>
      <c r="L2664" t="str">
        <f>IFERROR(VLOOKUP(VALUE(J2664),'Site Info'!$A:$G,4,FALSE),"")</f>
        <v>HOUSTON</v>
      </c>
      <c r="M2664" t="str">
        <f>IFERROR(VLOOKUP(VALUE(J2664),'Site Info'!$A:$G,5,FALSE),"")</f>
        <v>TX</v>
      </c>
      <c r="N2664" t="str">
        <f>IFERROR(VLOOKUP(VALUE(J2664),'Site Info'!$A:$G,6,FALSE),"")</f>
        <v>77081-2112</v>
      </c>
      <c r="O2664">
        <f>IFERROR(VLOOKUP(VALUE(J2664),'Site Info'!$A:$G,7,FALSE),"")</f>
        <v>8327789736</v>
      </c>
    </row>
    <row r="2665" spans="1:15" x14ac:dyDescent="0.45">
      <c r="A2665" t="s">
        <v>7320</v>
      </c>
      <c r="B2665" t="s">
        <v>7321</v>
      </c>
      <c r="C2665" t="s">
        <v>7322</v>
      </c>
      <c r="D2665" t="s">
        <v>1957</v>
      </c>
      <c r="E2665" s="1">
        <v>46151.745405092595</v>
      </c>
      <c r="F2665">
        <v>1547</v>
      </c>
      <c r="G2665" t="s">
        <v>7323</v>
      </c>
      <c r="H2665" t="s">
        <v>15</v>
      </c>
      <c r="I2665" t="s">
        <v>1959</v>
      </c>
      <c r="J2665" t="str">
        <f>RIGHT(D2665,4)</f>
        <v>8160</v>
      </c>
      <c r="K2665" t="str">
        <f>IFERROR(VLOOKUP(VALUE(J2665),'Site Info'!$A:$G,3,FALSE),"")</f>
        <v>5314 ALLENTOWN PIKE</v>
      </c>
      <c r="L2665" t="str">
        <f>IFERROR(VLOOKUP(VALUE(J2665),'Site Info'!$A:$G,4,FALSE),"")</f>
        <v>TEMPLE</v>
      </c>
      <c r="M2665" t="str">
        <f>IFERROR(VLOOKUP(VALUE(J2665),'Site Info'!$A:$G,5,FALSE),"")</f>
        <v>PA</v>
      </c>
      <c r="N2665" t="str">
        <f>IFERROR(VLOOKUP(VALUE(J2665),'Site Info'!$A:$G,6,FALSE),"")</f>
        <v>19560-1249</v>
      </c>
      <c r="O2665">
        <f>IFERROR(VLOOKUP(VALUE(J2665),'Site Info'!$A:$G,7,FALSE),"")</f>
        <v>6109294321</v>
      </c>
    </row>
    <row r="2666" spans="1:15" x14ac:dyDescent="0.45">
      <c r="A2666" t="s">
        <v>7375</v>
      </c>
      <c r="B2666" t="s">
        <v>7376</v>
      </c>
      <c r="C2666" t="s">
        <v>7377</v>
      </c>
      <c r="D2666" t="s">
        <v>1957</v>
      </c>
      <c r="E2666" s="1">
        <v>46152.508576388886</v>
      </c>
      <c r="F2666">
        <v>1547</v>
      </c>
      <c r="G2666" t="s">
        <v>7378</v>
      </c>
      <c r="H2666" t="s">
        <v>15</v>
      </c>
      <c r="I2666" t="s">
        <v>1959</v>
      </c>
      <c r="J2666" t="str">
        <f>RIGHT(D2666,4)</f>
        <v>8160</v>
      </c>
      <c r="K2666" t="str">
        <f>IFERROR(VLOOKUP(VALUE(J2666),'Site Info'!$A:$G,3,FALSE),"")</f>
        <v>5314 ALLENTOWN PIKE</v>
      </c>
      <c r="L2666" t="str">
        <f>IFERROR(VLOOKUP(VALUE(J2666),'Site Info'!$A:$G,4,FALSE),"")</f>
        <v>TEMPLE</v>
      </c>
      <c r="M2666" t="str">
        <f>IFERROR(VLOOKUP(VALUE(J2666),'Site Info'!$A:$G,5,FALSE),"")</f>
        <v>PA</v>
      </c>
      <c r="N2666" t="str">
        <f>IFERROR(VLOOKUP(VALUE(J2666),'Site Info'!$A:$G,6,FALSE),"")</f>
        <v>19560-1249</v>
      </c>
      <c r="O2666">
        <f>IFERROR(VLOOKUP(VALUE(J2666),'Site Info'!$A:$G,7,FALSE),"")</f>
        <v>6109294321</v>
      </c>
    </row>
    <row r="2667" spans="1:15" x14ac:dyDescent="0.45">
      <c r="A2667" t="s">
        <v>7641</v>
      </c>
      <c r="B2667" t="s">
        <v>7642</v>
      </c>
      <c r="C2667" t="s">
        <v>7643</v>
      </c>
      <c r="D2667" t="s">
        <v>1957</v>
      </c>
      <c r="E2667" s="1">
        <v>46153.355995370373</v>
      </c>
      <c r="F2667">
        <v>1547</v>
      </c>
      <c r="G2667" t="s">
        <v>7644</v>
      </c>
      <c r="H2667" t="s">
        <v>15</v>
      </c>
      <c r="I2667" t="s">
        <v>1959</v>
      </c>
      <c r="J2667" t="str">
        <f>RIGHT(D2667,4)</f>
        <v>8160</v>
      </c>
      <c r="K2667" t="str">
        <f>IFERROR(VLOOKUP(VALUE(J2667),'Site Info'!$A:$G,3,FALSE),"")</f>
        <v>5314 ALLENTOWN PIKE</v>
      </c>
      <c r="L2667" t="str">
        <f>IFERROR(VLOOKUP(VALUE(J2667),'Site Info'!$A:$G,4,FALSE),"")</f>
        <v>TEMPLE</v>
      </c>
      <c r="M2667" t="str">
        <f>IFERROR(VLOOKUP(VALUE(J2667),'Site Info'!$A:$G,5,FALSE),"")</f>
        <v>PA</v>
      </c>
      <c r="N2667" t="str">
        <f>IFERROR(VLOOKUP(VALUE(J2667),'Site Info'!$A:$G,6,FALSE),"")</f>
        <v>19560-1249</v>
      </c>
      <c r="O2667">
        <f>IFERROR(VLOOKUP(VALUE(J2667),'Site Info'!$A:$G,7,FALSE),"")</f>
        <v>6109294321</v>
      </c>
    </row>
    <row r="2668" spans="1:15" x14ac:dyDescent="0.45">
      <c r="A2668" t="s">
        <v>7773</v>
      </c>
      <c r="B2668" t="s">
        <v>7774</v>
      </c>
      <c r="C2668" t="s">
        <v>7775</v>
      </c>
      <c r="D2668" t="s">
        <v>1957</v>
      </c>
      <c r="E2668" s="1">
        <v>46153.369305555556</v>
      </c>
      <c r="F2668">
        <v>1547</v>
      </c>
      <c r="G2668" t="s">
        <v>7776</v>
      </c>
      <c r="H2668" t="s">
        <v>15</v>
      </c>
      <c r="I2668" t="s">
        <v>1959</v>
      </c>
      <c r="J2668" t="str">
        <f>RIGHT(D2668,4)</f>
        <v>8160</v>
      </c>
      <c r="K2668" t="str">
        <f>IFERROR(VLOOKUP(VALUE(J2668),'Site Info'!$A:$G,3,FALSE),"")</f>
        <v>5314 ALLENTOWN PIKE</v>
      </c>
      <c r="L2668" t="str">
        <f>IFERROR(VLOOKUP(VALUE(J2668),'Site Info'!$A:$G,4,FALSE),"")</f>
        <v>TEMPLE</v>
      </c>
      <c r="M2668" t="str">
        <f>IFERROR(VLOOKUP(VALUE(J2668),'Site Info'!$A:$G,5,FALSE),"")</f>
        <v>PA</v>
      </c>
      <c r="N2668" t="str">
        <f>IFERROR(VLOOKUP(VALUE(J2668),'Site Info'!$A:$G,6,FALSE),"")</f>
        <v>19560-1249</v>
      </c>
      <c r="O2668">
        <f>IFERROR(VLOOKUP(VALUE(J2668),'Site Info'!$A:$G,7,FALSE),"")</f>
        <v>6109294321</v>
      </c>
    </row>
    <row r="2669" spans="1:15" x14ac:dyDescent="0.45">
      <c r="A2669" t="s">
        <v>7367</v>
      </c>
      <c r="B2669" t="s">
        <v>7368</v>
      </c>
      <c r="C2669" t="s">
        <v>7369</v>
      </c>
      <c r="D2669" t="s">
        <v>1957</v>
      </c>
      <c r="E2669" s="1">
        <v>46153.372928240744</v>
      </c>
      <c r="F2669">
        <v>1547</v>
      </c>
      <c r="G2669" t="s">
        <v>7370</v>
      </c>
      <c r="H2669" t="s">
        <v>15</v>
      </c>
      <c r="I2669" t="s">
        <v>1959</v>
      </c>
      <c r="J2669" t="str">
        <f>RIGHT(D2669,4)</f>
        <v>8160</v>
      </c>
      <c r="K2669" t="str">
        <f>IFERROR(VLOOKUP(VALUE(J2669),'Site Info'!$A:$G,3,FALSE),"")</f>
        <v>5314 ALLENTOWN PIKE</v>
      </c>
      <c r="L2669" t="str">
        <f>IFERROR(VLOOKUP(VALUE(J2669),'Site Info'!$A:$G,4,FALSE),"")</f>
        <v>TEMPLE</v>
      </c>
      <c r="M2669" t="str">
        <f>IFERROR(VLOOKUP(VALUE(J2669),'Site Info'!$A:$G,5,FALSE),"")</f>
        <v>PA</v>
      </c>
      <c r="N2669" t="str">
        <f>IFERROR(VLOOKUP(VALUE(J2669),'Site Info'!$A:$G,6,FALSE),"")</f>
        <v>19560-1249</v>
      </c>
      <c r="O2669">
        <f>IFERROR(VLOOKUP(VALUE(J2669),'Site Info'!$A:$G,7,FALSE),"")</f>
        <v>6109294321</v>
      </c>
    </row>
    <row r="2670" spans="1:15" x14ac:dyDescent="0.45">
      <c r="A2670" t="s">
        <v>1954</v>
      </c>
      <c r="B2670" t="s">
        <v>1955</v>
      </c>
      <c r="C2670" t="s">
        <v>1956</v>
      </c>
      <c r="D2670" t="s">
        <v>1957</v>
      </c>
      <c r="E2670" s="1">
        <v>46153.363229166665</v>
      </c>
      <c r="F2670">
        <v>1481</v>
      </c>
      <c r="G2670" t="s">
        <v>1958</v>
      </c>
      <c r="H2670" t="s">
        <v>15</v>
      </c>
      <c r="I2670" t="s">
        <v>1959</v>
      </c>
      <c r="J2670" t="str">
        <f>RIGHT(D2670,4)</f>
        <v>8160</v>
      </c>
      <c r="K2670" t="str">
        <f>IFERROR(VLOOKUP(VALUE(J2670),'Site Info'!$A:$G,3,FALSE),"")</f>
        <v>5314 ALLENTOWN PIKE</v>
      </c>
      <c r="L2670" t="str">
        <f>IFERROR(VLOOKUP(VALUE(J2670),'Site Info'!$A:$G,4,FALSE),"")</f>
        <v>TEMPLE</v>
      </c>
      <c r="M2670" t="str">
        <f>IFERROR(VLOOKUP(VALUE(J2670),'Site Info'!$A:$G,5,FALSE),"")</f>
        <v>PA</v>
      </c>
      <c r="N2670" t="str">
        <f>IFERROR(VLOOKUP(VALUE(J2670),'Site Info'!$A:$G,6,FALSE),"")</f>
        <v>19560-1249</v>
      </c>
      <c r="O2670">
        <f>IFERROR(VLOOKUP(VALUE(J2670),'Site Info'!$A:$G,7,FALSE),"")</f>
        <v>6109294321</v>
      </c>
    </row>
    <row r="2671" spans="1:15" x14ac:dyDescent="0.45">
      <c r="A2671" t="s">
        <v>17124</v>
      </c>
      <c r="B2671" t="s">
        <v>17125</v>
      </c>
      <c r="C2671" t="s">
        <v>17126</v>
      </c>
      <c r="D2671" t="s">
        <v>1957</v>
      </c>
      <c r="E2671" s="1">
        <v>46153.381493055553</v>
      </c>
      <c r="F2671">
        <v>1547</v>
      </c>
      <c r="G2671" t="s">
        <v>17127</v>
      </c>
      <c r="H2671" t="s">
        <v>15</v>
      </c>
      <c r="I2671" t="s">
        <v>1959</v>
      </c>
      <c r="J2671" t="str">
        <f>RIGHT(D2671,4)</f>
        <v>8160</v>
      </c>
      <c r="K2671" t="str">
        <f>IFERROR(VLOOKUP(VALUE(J2671),'Site Info'!$A:$G,3,FALSE),"")</f>
        <v>5314 ALLENTOWN PIKE</v>
      </c>
      <c r="L2671" t="str">
        <f>IFERROR(VLOOKUP(VALUE(J2671),'Site Info'!$A:$G,4,FALSE),"")</f>
        <v>TEMPLE</v>
      </c>
      <c r="M2671" t="str">
        <f>IFERROR(VLOOKUP(VALUE(J2671),'Site Info'!$A:$G,5,FALSE),"")</f>
        <v>PA</v>
      </c>
      <c r="N2671" t="str">
        <f>IFERROR(VLOOKUP(VALUE(J2671),'Site Info'!$A:$G,6,FALSE),"")</f>
        <v>19560-1249</v>
      </c>
      <c r="O2671">
        <f>IFERROR(VLOOKUP(VALUE(J2671),'Site Info'!$A:$G,7,FALSE),"")</f>
        <v>6109294321</v>
      </c>
    </row>
    <row r="2672" spans="1:15" x14ac:dyDescent="0.45">
      <c r="A2672" t="s">
        <v>14221</v>
      </c>
      <c r="B2672" t="s">
        <v>14222</v>
      </c>
      <c r="C2672" t="s">
        <v>14223</v>
      </c>
      <c r="D2672" t="s">
        <v>8234</v>
      </c>
      <c r="E2672" s="1">
        <v>46153.146099537036</v>
      </c>
      <c r="F2672">
        <v>1863</v>
      </c>
      <c r="G2672" t="s">
        <v>14224</v>
      </c>
      <c r="H2672" t="s">
        <v>136</v>
      </c>
      <c r="I2672" t="s">
        <v>8236</v>
      </c>
      <c r="J2672" t="str">
        <f>RIGHT(D2672,4)</f>
        <v>6450</v>
      </c>
      <c r="K2672" t="str">
        <f>IFERROR(VLOOKUP(VALUE(J2672),'Site Info'!$A:$G,3,FALSE),"")</f>
        <v>5375 N BEND RD</v>
      </c>
      <c r="L2672" t="str">
        <f>IFERROR(VLOOKUP(VALUE(J2672),'Site Info'!$A:$G,4,FALSE),"")</f>
        <v>CINCINNATI</v>
      </c>
      <c r="M2672" t="str">
        <f>IFERROR(VLOOKUP(VALUE(J2672),'Site Info'!$A:$G,5,FALSE),"")</f>
        <v>OH</v>
      </c>
      <c r="N2672" t="str">
        <f>IFERROR(VLOOKUP(VALUE(J2672),'Site Info'!$A:$G,6,FALSE),"")</f>
        <v>45247-7601</v>
      </c>
      <c r="O2672">
        <f>IFERROR(VLOOKUP(VALUE(J2672),'Site Info'!$A:$G,7,FALSE),"")</f>
        <v>5136610800</v>
      </c>
    </row>
    <row r="2673" spans="1:15" x14ac:dyDescent="0.45">
      <c r="A2673" t="s">
        <v>8377</v>
      </c>
      <c r="B2673" t="s">
        <v>8378</v>
      </c>
      <c r="C2673" t="s">
        <v>8379</v>
      </c>
      <c r="D2673" t="s">
        <v>8234</v>
      </c>
      <c r="E2673" s="1">
        <v>46103.949201388888</v>
      </c>
      <c r="F2673">
        <v>1548</v>
      </c>
      <c r="G2673" t="s">
        <v>8380</v>
      </c>
      <c r="H2673" t="s">
        <v>15</v>
      </c>
      <c r="I2673" t="s">
        <v>8236</v>
      </c>
      <c r="J2673" t="str">
        <f>RIGHT(D2673,4)</f>
        <v>6450</v>
      </c>
      <c r="K2673" t="str">
        <f>IFERROR(VLOOKUP(VALUE(J2673),'Site Info'!$A:$G,3,FALSE),"")</f>
        <v>5375 N BEND RD</v>
      </c>
      <c r="L2673" t="str">
        <f>IFERROR(VLOOKUP(VALUE(J2673),'Site Info'!$A:$G,4,FALSE),"")</f>
        <v>CINCINNATI</v>
      </c>
      <c r="M2673" t="str">
        <f>IFERROR(VLOOKUP(VALUE(J2673),'Site Info'!$A:$G,5,FALSE),"")</f>
        <v>OH</v>
      </c>
      <c r="N2673" t="str">
        <f>IFERROR(VLOOKUP(VALUE(J2673),'Site Info'!$A:$G,6,FALSE),"")</f>
        <v>45247-7601</v>
      </c>
      <c r="O2673">
        <f>IFERROR(VLOOKUP(VALUE(J2673),'Site Info'!$A:$G,7,FALSE),"")</f>
        <v>5136610800</v>
      </c>
    </row>
    <row r="2674" spans="1:15" x14ac:dyDescent="0.45">
      <c r="A2674" t="s">
        <v>8941</v>
      </c>
      <c r="B2674" t="s">
        <v>8942</v>
      </c>
      <c r="C2674" t="s">
        <v>8943</v>
      </c>
      <c r="D2674" t="s">
        <v>8234</v>
      </c>
      <c r="E2674" s="1">
        <v>46152.141574074078</v>
      </c>
      <c r="F2674">
        <v>1548</v>
      </c>
      <c r="G2674" t="s">
        <v>8944</v>
      </c>
      <c r="H2674" t="s">
        <v>15</v>
      </c>
      <c r="I2674" t="s">
        <v>8236</v>
      </c>
      <c r="J2674" t="str">
        <f>RIGHT(D2674,4)</f>
        <v>6450</v>
      </c>
      <c r="K2674" t="str">
        <f>IFERROR(VLOOKUP(VALUE(J2674),'Site Info'!$A:$G,3,FALSE),"")</f>
        <v>5375 N BEND RD</v>
      </c>
      <c r="L2674" t="str">
        <f>IFERROR(VLOOKUP(VALUE(J2674),'Site Info'!$A:$G,4,FALSE),"")</f>
        <v>CINCINNATI</v>
      </c>
      <c r="M2674" t="str">
        <f>IFERROR(VLOOKUP(VALUE(J2674),'Site Info'!$A:$G,5,FALSE),"")</f>
        <v>OH</v>
      </c>
      <c r="N2674" t="str">
        <f>IFERROR(VLOOKUP(VALUE(J2674),'Site Info'!$A:$G,6,FALSE),"")</f>
        <v>45247-7601</v>
      </c>
      <c r="O2674">
        <f>IFERROR(VLOOKUP(VALUE(J2674),'Site Info'!$A:$G,7,FALSE),"")</f>
        <v>5136610800</v>
      </c>
    </row>
    <row r="2675" spans="1:15" x14ac:dyDescent="0.45">
      <c r="A2675" t="s">
        <v>8765</v>
      </c>
      <c r="B2675" t="s">
        <v>8766</v>
      </c>
      <c r="C2675" t="s">
        <v>8767</v>
      </c>
      <c r="D2675" t="s">
        <v>8234</v>
      </c>
      <c r="E2675" s="1">
        <v>46146.719641203701</v>
      </c>
      <c r="F2675">
        <v>1547</v>
      </c>
      <c r="G2675" t="s">
        <v>8768</v>
      </c>
      <c r="H2675" t="s">
        <v>15</v>
      </c>
      <c r="I2675" t="s">
        <v>8236</v>
      </c>
      <c r="J2675" t="str">
        <f>RIGHT(D2675,4)</f>
        <v>6450</v>
      </c>
      <c r="K2675" t="str">
        <f>IFERROR(VLOOKUP(VALUE(J2675),'Site Info'!$A:$G,3,FALSE),"")</f>
        <v>5375 N BEND RD</v>
      </c>
      <c r="L2675" t="str">
        <f>IFERROR(VLOOKUP(VALUE(J2675),'Site Info'!$A:$G,4,FALSE),"")</f>
        <v>CINCINNATI</v>
      </c>
      <c r="M2675" t="str">
        <f>IFERROR(VLOOKUP(VALUE(J2675),'Site Info'!$A:$G,5,FALSE),"")</f>
        <v>OH</v>
      </c>
      <c r="N2675" t="str">
        <f>IFERROR(VLOOKUP(VALUE(J2675),'Site Info'!$A:$G,6,FALSE),"")</f>
        <v>45247-7601</v>
      </c>
      <c r="O2675">
        <f>IFERROR(VLOOKUP(VALUE(J2675),'Site Info'!$A:$G,7,FALSE),"")</f>
        <v>5136610800</v>
      </c>
    </row>
    <row r="2676" spans="1:15" x14ac:dyDescent="0.45">
      <c r="A2676" t="s">
        <v>8231</v>
      </c>
      <c r="B2676" t="s">
        <v>8232</v>
      </c>
      <c r="C2676" t="s">
        <v>8233</v>
      </c>
      <c r="D2676" t="s">
        <v>8234</v>
      </c>
      <c r="E2676" s="1">
        <v>46151.56355324074</v>
      </c>
      <c r="F2676">
        <v>1547</v>
      </c>
      <c r="G2676" t="s">
        <v>8235</v>
      </c>
      <c r="H2676" t="s">
        <v>15</v>
      </c>
      <c r="I2676" t="s">
        <v>8236</v>
      </c>
      <c r="J2676" t="str">
        <f>RIGHT(D2676,4)</f>
        <v>6450</v>
      </c>
      <c r="K2676" t="str">
        <f>IFERROR(VLOOKUP(VALUE(J2676),'Site Info'!$A:$G,3,FALSE),"")</f>
        <v>5375 N BEND RD</v>
      </c>
      <c r="L2676" t="str">
        <f>IFERROR(VLOOKUP(VALUE(J2676),'Site Info'!$A:$G,4,FALSE),"")</f>
        <v>CINCINNATI</v>
      </c>
      <c r="M2676" t="str">
        <f>IFERROR(VLOOKUP(VALUE(J2676),'Site Info'!$A:$G,5,FALSE),"")</f>
        <v>OH</v>
      </c>
      <c r="N2676" t="str">
        <f>IFERROR(VLOOKUP(VALUE(J2676),'Site Info'!$A:$G,6,FALSE),"")</f>
        <v>45247-7601</v>
      </c>
      <c r="O2676">
        <f>IFERROR(VLOOKUP(VALUE(J2676),'Site Info'!$A:$G,7,FALSE),"")</f>
        <v>5136610800</v>
      </c>
    </row>
    <row r="2677" spans="1:15" x14ac:dyDescent="0.45">
      <c r="A2677" t="s">
        <v>9049</v>
      </c>
      <c r="B2677" t="s">
        <v>9050</v>
      </c>
      <c r="C2677" t="s">
        <v>9051</v>
      </c>
      <c r="D2677" t="s">
        <v>8234</v>
      </c>
      <c r="E2677" s="1">
        <v>46151.749583333331</v>
      </c>
      <c r="F2677">
        <v>1547</v>
      </c>
      <c r="G2677" t="s">
        <v>9052</v>
      </c>
      <c r="H2677" t="s">
        <v>15</v>
      </c>
      <c r="I2677" t="s">
        <v>8236</v>
      </c>
      <c r="J2677" t="str">
        <f>RIGHT(D2677,4)</f>
        <v>6450</v>
      </c>
      <c r="K2677" t="str">
        <f>IFERROR(VLOOKUP(VALUE(J2677),'Site Info'!$A:$G,3,FALSE),"")</f>
        <v>5375 N BEND RD</v>
      </c>
      <c r="L2677" t="str">
        <f>IFERROR(VLOOKUP(VALUE(J2677),'Site Info'!$A:$G,4,FALSE),"")</f>
        <v>CINCINNATI</v>
      </c>
      <c r="M2677" t="str">
        <f>IFERROR(VLOOKUP(VALUE(J2677),'Site Info'!$A:$G,5,FALSE),"")</f>
        <v>OH</v>
      </c>
      <c r="N2677" t="str">
        <f>IFERROR(VLOOKUP(VALUE(J2677),'Site Info'!$A:$G,6,FALSE),"")</f>
        <v>45247-7601</v>
      </c>
      <c r="O2677">
        <f>IFERROR(VLOOKUP(VALUE(J2677),'Site Info'!$A:$G,7,FALSE),"")</f>
        <v>5136610800</v>
      </c>
    </row>
    <row r="2678" spans="1:15" x14ac:dyDescent="0.45">
      <c r="A2678" t="s">
        <v>8293</v>
      </c>
      <c r="B2678" t="s">
        <v>8294</v>
      </c>
      <c r="C2678" t="s">
        <v>8295</v>
      </c>
      <c r="D2678" t="s">
        <v>8234</v>
      </c>
      <c r="E2678" s="1">
        <v>46153.282847222225</v>
      </c>
      <c r="F2678">
        <v>1547</v>
      </c>
      <c r="G2678" t="s">
        <v>8296</v>
      </c>
      <c r="H2678" t="s">
        <v>15</v>
      </c>
      <c r="I2678" t="s">
        <v>8236</v>
      </c>
      <c r="J2678" t="str">
        <f>RIGHT(D2678,4)</f>
        <v>6450</v>
      </c>
      <c r="K2678" t="str">
        <f>IFERROR(VLOOKUP(VALUE(J2678),'Site Info'!$A:$G,3,FALSE),"")</f>
        <v>5375 N BEND RD</v>
      </c>
      <c r="L2678" t="str">
        <f>IFERROR(VLOOKUP(VALUE(J2678),'Site Info'!$A:$G,4,FALSE),"")</f>
        <v>CINCINNATI</v>
      </c>
      <c r="M2678" t="str">
        <f>IFERROR(VLOOKUP(VALUE(J2678),'Site Info'!$A:$G,5,FALSE),"")</f>
        <v>OH</v>
      </c>
      <c r="N2678" t="str">
        <f>IFERROR(VLOOKUP(VALUE(J2678),'Site Info'!$A:$G,6,FALSE),"")</f>
        <v>45247-7601</v>
      </c>
      <c r="O2678">
        <f>IFERROR(VLOOKUP(VALUE(J2678),'Site Info'!$A:$G,7,FALSE),"")</f>
        <v>5136610800</v>
      </c>
    </row>
    <row r="2679" spans="1:15" x14ac:dyDescent="0.45">
      <c r="A2679" t="s">
        <v>9137</v>
      </c>
      <c r="B2679" t="s">
        <v>9138</v>
      </c>
      <c r="C2679" t="s">
        <v>9139</v>
      </c>
      <c r="D2679" t="s">
        <v>8234</v>
      </c>
      <c r="E2679" s="1">
        <v>46153.373032407406</v>
      </c>
      <c r="F2679">
        <v>1547</v>
      </c>
      <c r="G2679" t="s">
        <v>9140</v>
      </c>
      <c r="H2679" t="s">
        <v>15</v>
      </c>
      <c r="I2679" t="s">
        <v>8236</v>
      </c>
      <c r="J2679" t="str">
        <f>RIGHT(D2679,4)</f>
        <v>6450</v>
      </c>
      <c r="K2679" t="str">
        <f>IFERROR(VLOOKUP(VALUE(J2679),'Site Info'!$A:$G,3,FALSE),"")</f>
        <v>5375 N BEND RD</v>
      </c>
      <c r="L2679" t="str">
        <f>IFERROR(VLOOKUP(VALUE(J2679),'Site Info'!$A:$G,4,FALSE),"")</f>
        <v>CINCINNATI</v>
      </c>
      <c r="M2679" t="str">
        <f>IFERROR(VLOOKUP(VALUE(J2679),'Site Info'!$A:$G,5,FALSE),"")</f>
        <v>OH</v>
      </c>
      <c r="N2679" t="str">
        <f>IFERROR(VLOOKUP(VALUE(J2679),'Site Info'!$A:$G,6,FALSE),"")</f>
        <v>45247-7601</v>
      </c>
      <c r="O2679">
        <f>IFERROR(VLOOKUP(VALUE(J2679),'Site Info'!$A:$G,7,FALSE),"")</f>
        <v>5136610800</v>
      </c>
    </row>
    <row r="2680" spans="1:15" x14ac:dyDescent="0.45">
      <c r="A2680" t="s">
        <v>8635</v>
      </c>
      <c r="B2680" t="s">
        <v>8636</v>
      </c>
      <c r="C2680" t="s">
        <v>8637</v>
      </c>
      <c r="D2680" t="s">
        <v>8520</v>
      </c>
      <c r="E2680" s="1">
        <v>46153.210787037038</v>
      </c>
      <c r="F2680">
        <v>1548</v>
      </c>
      <c r="G2680" t="s">
        <v>8638</v>
      </c>
      <c r="H2680" t="s">
        <v>15</v>
      </c>
      <c r="I2680" t="s">
        <v>8522</v>
      </c>
      <c r="J2680" t="str">
        <f>RIGHT(D2680,4)</f>
        <v>8237</v>
      </c>
      <c r="K2680" t="str">
        <f>IFERROR(VLOOKUP(VALUE(J2680),'Site Info'!$A:$G,3,FALSE),"")</f>
        <v>5400 I20 FRONTAGE RD</v>
      </c>
      <c r="L2680" t="str">
        <f>IFERROR(VLOOKUP(VALUE(J2680),'Site Info'!$A:$G,4,FALSE),"")</f>
        <v>MONROE</v>
      </c>
      <c r="M2680" t="str">
        <f>IFERROR(VLOOKUP(VALUE(J2680),'Site Info'!$A:$G,5,FALSE),"")</f>
        <v>LA</v>
      </c>
      <c r="N2680" t="str">
        <f>IFERROR(VLOOKUP(VALUE(J2680),'Site Info'!$A:$G,6,FALSE),"")</f>
        <v>71202-4040</v>
      </c>
      <c r="O2680">
        <f>IFERROR(VLOOKUP(VALUE(J2680),'Site Info'!$A:$G,7,FALSE),"")</f>
        <v>3183455615</v>
      </c>
    </row>
    <row r="2681" spans="1:15" x14ac:dyDescent="0.45">
      <c r="A2681" t="s">
        <v>8517</v>
      </c>
      <c r="B2681" t="s">
        <v>8518</v>
      </c>
      <c r="C2681" t="s">
        <v>8519</v>
      </c>
      <c r="D2681" t="s">
        <v>8520</v>
      </c>
      <c r="E2681" s="1">
        <v>46151.630868055552</v>
      </c>
      <c r="F2681">
        <v>1547</v>
      </c>
      <c r="G2681" t="s">
        <v>8521</v>
      </c>
      <c r="H2681" t="s">
        <v>15</v>
      </c>
      <c r="I2681" t="s">
        <v>8522</v>
      </c>
      <c r="J2681" t="str">
        <f>RIGHT(D2681,4)</f>
        <v>8237</v>
      </c>
      <c r="K2681" t="str">
        <f>IFERROR(VLOOKUP(VALUE(J2681),'Site Info'!$A:$G,3,FALSE),"")</f>
        <v>5400 I20 FRONTAGE RD</v>
      </c>
      <c r="L2681" t="str">
        <f>IFERROR(VLOOKUP(VALUE(J2681),'Site Info'!$A:$G,4,FALSE),"")</f>
        <v>MONROE</v>
      </c>
      <c r="M2681" t="str">
        <f>IFERROR(VLOOKUP(VALUE(J2681),'Site Info'!$A:$G,5,FALSE),"")</f>
        <v>LA</v>
      </c>
      <c r="N2681" t="str">
        <f>IFERROR(VLOOKUP(VALUE(J2681),'Site Info'!$A:$G,6,FALSE),"")</f>
        <v>71202-4040</v>
      </c>
      <c r="O2681">
        <f>IFERROR(VLOOKUP(VALUE(J2681),'Site Info'!$A:$G,7,FALSE),"")</f>
        <v>3183455615</v>
      </c>
    </row>
    <row r="2682" spans="1:15" x14ac:dyDescent="0.45">
      <c r="A2682" t="s">
        <v>8623</v>
      </c>
      <c r="B2682" t="s">
        <v>8624</v>
      </c>
      <c r="C2682" t="s">
        <v>8625</v>
      </c>
      <c r="D2682" t="s">
        <v>8520</v>
      </c>
      <c r="E2682" s="1">
        <v>46151.840543981481</v>
      </c>
      <c r="F2682">
        <v>1547</v>
      </c>
      <c r="G2682" t="s">
        <v>8626</v>
      </c>
      <c r="H2682" t="s">
        <v>15</v>
      </c>
      <c r="I2682" t="s">
        <v>8522</v>
      </c>
      <c r="J2682" t="str">
        <f>RIGHT(D2682,4)</f>
        <v>8237</v>
      </c>
      <c r="K2682" t="str">
        <f>IFERROR(VLOOKUP(VALUE(J2682),'Site Info'!$A:$G,3,FALSE),"")</f>
        <v>5400 I20 FRONTAGE RD</v>
      </c>
      <c r="L2682" t="str">
        <f>IFERROR(VLOOKUP(VALUE(J2682),'Site Info'!$A:$G,4,FALSE),"")</f>
        <v>MONROE</v>
      </c>
      <c r="M2682" t="str">
        <f>IFERROR(VLOOKUP(VALUE(J2682),'Site Info'!$A:$G,5,FALSE),"")</f>
        <v>LA</v>
      </c>
      <c r="N2682" t="str">
        <f>IFERROR(VLOOKUP(VALUE(J2682),'Site Info'!$A:$G,6,FALSE),"")</f>
        <v>71202-4040</v>
      </c>
      <c r="O2682">
        <f>IFERROR(VLOOKUP(VALUE(J2682),'Site Info'!$A:$G,7,FALSE),"")</f>
        <v>3183455615</v>
      </c>
    </row>
    <row r="2683" spans="1:15" x14ac:dyDescent="0.45">
      <c r="A2683" t="s">
        <v>13619</v>
      </c>
      <c r="B2683" t="s">
        <v>13620</v>
      </c>
      <c r="C2683" t="s">
        <v>13621</v>
      </c>
      <c r="D2683" t="s">
        <v>8520</v>
      </c>
      <c r="E2683" s="1">
        <v>46153.184745370374</v>
      </c>
      <c r="F2683">
        <v>1547</v>
      </c>
      <c r="G2683" t="s">
        <v>13622</v>
      </c>
      <c r="H2683" t="s">
        <v>15</v>
      </c>
      <c r="I2683" t="s">
        <v>8522</v>
      </c>
      <c r="J2683" t="str">
        <f>RIGHT(D2683,4)</f>
        <v>8237</v>
      </c>
      <c r="K2683" t="str">
        <f>IFERROR(VLOOKUP(VALUE(J2683),'Site Info'!$A:$G,3,FALSE),"")</f>
        <v>5400 I20 FRONTAGE RD</v>
      </c>
      <c r="L2683" t="str">
        <f>IFERROR(VLOOKUP(VALUE(J2683),'Site Info'!$A:$G,4,FALSE),"")</f>
        <v>MONROE</v>
      </c>
      <c r="M2683" t="str">
        <f>IFERROR(VLOOKUP(VALUE(J2683),'Site Info'!$A:$G,5,FALSE),"")</f>
        <v>LA</v>
      </c>
      <c r="N2683" t="str">
        <f>IFERROR(VLOOKUP(VALUE(J2683),'Site Info'!$A:$G,6,FALSE),"")</f>
        <v>71202-4040</v>
      </c>
      <c r="O2683">
        <f>IFERROR(VLOOKUP(VALUE(J2683),'Site Info'!$A:$G,7,FALSE),"")</f>
        <v>3183455615</v>
      </c>
    </row>
    <row r="2684" spans="1:15" x14ac:dyDescent="0.45">
      <c r="A2684" t="s">
        <v>8541</v>
      </c>
      <c r="B2684" t="s">
        <v>8542</v>
      </c>
      <c r="C2684" t="s">
        <v>8543</v>
      </c>
      <c r="D2684" t="s">
        <v>8520</v>
      </c>
      <c r="E2684" s="1">
        <v>46153.309583333335</v>
      </c>
      <c r="F2684">
        <v>1547</v>
      </c>
      <c r="G2684" t="s">
        <v>8544</v>
      </c>
      <c r="H2684" t="s">
        <v>15</v>
      </c>
      <c r="I2684" t="s">
        <v>8522</v>
      </c>
      <c r="J2684" t="str">
        <f>RIGHT(D2684,4)</f>
        <v>8237</v>
      </c>
      <c r="K2684" t="str">
        <f>IFERROR(VLOOKUP(VALUE(J2684),'Site Info'!$A:$G,3,FALSE),"")</f>
        <v>5400 I20 FRONTAGE RD</v>
      </c>
      <c r="L2684" t="str">
        <f>IFERROR(VLOOKUP(VALUE(J2684),'Site Info'!$A:$G,4,FALSE),"")</f>
        <v>MONROE</v>
      </c>
      <c r="M2684" t="str">
        <f>IFERROR(VLOOKUP(VALUE(J2684),'Site Info'!$A:$G,5,FALSE),"")</f>
        <v>LA</v>
      </c>
      <c r="N2684" t="str">
        <f>IFERROR(VLOOKUP(VALUE(J2684),'Site Info'!$A:$G,6,FALSE),"")</f>
        <v>71202-4040</v>
      </c>
      <c r="O2684">
        <f>IFERROR(VLOOKUP(VALUE(J2684),'Site Info'!$A:$G,7,FALSE),"")</f>
        <v>3183455615</v>
      </c>
    </row>
    <row r="2685" spans="1:15" x14ac:dyDescent="0.45">
      <c r="A2685" t="s">
        <v>16504</v>
      </c>
      <c r="B2685" t="s">
        <v>17196</v>
      </c>
      <c r="C2685" t="s">
        <v>17197</v>
      </c>
      <c r="D2685" t="s">
        <v>8520</v>
      </c>
      <c r="E2685" s="1">
        <v>46150.508194444446</v>
      </c>
      <c r="F2685">
        <v>1628</v>
      </c>
      <c r="G2685" t="s">
        <v>17198</v>
      </c>
      <c r="H2685" t="s">
        <v>13988</v>
      </c>
      <c r="I2685" t="s">
        <v>8522</v>
      </c>
      <c r="J2685" t="str">
        <f>RIGHT(D2685,4)</f>
        <v>8237</v>
      </c>
      <c r="K2685" t="str">
        <f>IFERROR(VLOOKUP(VALUE(J2685),'Site Info'!$A:$G,3,FALSE),"")</f>
        <v>5400 I20 FRONTAGE RD</v>
      </c>
      <c r="L2685" t="str">
        <f>IFERROR(VLOOKUP(VALUE(J2685),'Site Info'!$A:$G,4,FALSE),"")</f>
        <v>MONROE</v>
      </c>
      <c r="M2685" t="str">
        <f>IFERROR(VLOOKUP(VALUE(J2685),'Site Info'!$A:$G,5,FALSE),"")</f>
        <v>LA</v>
      </c>
      <c r="N2685" t="str">
        <f>IFERROR(VLOOKUP(VALUE(J2685),'Site Info'!$A:$G,6,FALSE),"")</f>
        <v>71202-4040</v>
      </c>
      <c r="O2685">
        <f>IFERROR(VLOOKUP(VALUE(J2685),'Site Info'!$A:$G,7,FALSE),"")</f>
        <v>3183455615</v>
      </c>
    </row>
    <row r="2686" spans="1:15" x14ac:dyDescent="0.45">
      <c r="A2686" t="s">
        <v>12600</v>
      </c>
      <c r="B2686" t="s">
        <v>12601</v>
      </c>
      <c r="C2686" t="s">
        <v>12602</v>
      </c>
      <c r="D2686" t="s">
        <v>693</v>
      </c>
      <c r="E2686" s="1">
        <v>46153.127268518518</v>
      </c>
      <c r="F2686">
        <v>1547</v>
      </c>
      <c r="G2686" t="s">
        <v>12603</v>
      </c>
      <c r="H2686" t="s">
        <v>15</v>
      </c>
      <c r="I2686" t="s">
        <v>695</v>
      </c>
      <c r="J2686" t="str">
        <f>RIGHT(D2686,4)</f>
        <v>8283</v>
      </c>
      <c r="K2686" t="str">
        <f>IFERROR(VLOOKUP(VALUE(J2686),'Site Info'!$A:$G,3,FALSE),"")</f>
        <v>5426 FOREST DR</v>
      </c>
      <c r="L2686" t="str">
        <f>IFERROR(VLOOKUP(VALUE(J2686),'Site Info'!$A:$G,4,FALSE),"")</f>
        <v>COLUMBIA</v>
      </c>
      <c r="M2686" t="str">
        <f>IFERROR(VLOOKUP(VALUE(J2686),'Site Info'!$A:$G,5,FALSE),"")</f>
        <v>SC</v>
      </c>
      <c r="N2686" t="str">
        <f>IFERROR(VLOOKUP(VALUE(J2686),'Site Info'!$A:$G,6,FALSE),"")</f>
        <v>29206-5401</v>
      </c>
      <c r="O2686">
        <f>IFERROR(VLOOKUP(VALUE(J2686),'Site Info'!$A:$G,7,FALSE),"")</f>
        <v>8037901581</v>
      </c>
    </row>
    <row r="2687" spans="1:15" x14ac:dyDescent="0.45">
      <c r="A2687" t="s">
        <v>11252</v>
      </c>
      <c r="B2687" t="s">
        <v>11253</v>
      </c>
      <c r="C2687" t="s">
        <v>11254</v>
      </c>
      <c r="D2687" t="s">
        <v>693</v>
      </c>
      <c r="E2687" s="1">
        <v>46153.313784722224</v>
      </c>
      <c r="F2687">
        <v>1547</v>
      </c>
      <c r="G2687" t="s">
        <v>11255</v>
      </c>
      <c r="H2687" t="s">
        <v>15</v>
      </c>
      <c r="I2687" t="s">
        <v>695</v>
      </c>
      <c r="J2687" t="str">
        <f>RIGHT(D2687,4)</f>
        <v>8283</v>
      </c>
      <c r="K2687" t="str">
        <f>IFERROR(VLOOKUP(VALUE(J2687),'Site Info'!$A:$G,3,FALSE),"")</f>
        <v>5426 FOREST DR</v>
      </c>
      <c r="L2687" t="str">
        <f>IFERROR(VLOOKUP(VALUE(J2687),'Site Info'!$A:$G,4,FALSE),"")</f>
        <v>COLUMBIA</v>
      </c>
      <c r="M2687" t="str">
        <f>IFERROR(VLOOKUP(VALUE(J2687),'Site Info'!$A:$G,5,FALSE),"")</f>
        <v>SC</v>
      </c>
      <c r="N2687" t="str">
        <f>IFERROR(VLOOKUP(VALUE(J2687),'Site Info'!$A:$G,6,FALSE),"")</f>
        <v>29206-5401</v>
      </c>
      <c r="O2687">
        <f>IFERROR(VLOOKUP(VALUE(J2687),'Site Info'!$A:$G,7,FALSE),"")</f>
        <v>8037901581</v>
      </c>
    </row>
    <row r="2688" spans="1:15" x14ac:dyDescent="0.45">
      <c r="A2688" t="s">
        <v>690</v>
      </c>
      <c r="B2688" t="s">
        <v>691</v>
      </c>
      <c r="C2688" t="s">
        <v>692</v>
      </c>
      <c r="D2688" t="s">
        <v>693</v>
      </c>
      <c r="E2688" s="1">
        <v>46151.660729166666</v>
      </c>
      <c r="F2688">
        <v>1481</v>
      </c>
      <c r="G2688" t="s">
        <v>694</v>
      </c>
      <c r="H2688" t="s">
        <v>15</v>
      </c>
      <c r="I2688" t="s">
        <v>695</v>
      </c>
      <c r="J2688" t="str">
        <f>RIGHT(D2688,4)</f>
        <v>8283</v>
      </c>
      <c r="K2688" t="str">
        <f>IFERROR(VLOOKUP(VALUE(J2688),'Site Info'!$A:$G,3,FALSE),"")</f>
        <v>5426 FOREST DR</v>
      </c>
      <c r="L2688" t="str">
        <f>IFERROR(VLOOKUP(VALUE(J2688),'Site Info'!$A:$G,4,FALSE),"")</f>
        <v>COLUMBIA</v>
      </c>
      <c r="M2688" t="str">
        <f>IFERROR(VLOOKUP(VALUE(J2688),'Site Info'!$A:$G,5,FALSE),"")</f>
        <v>SC</v>
      </c>
      <c r="N2688" t="str">
        <f>IFERROR(VLOOKUP(VALUE(J2688),'Site Info'!$A:$G,6,FALSE),"")</f>
        <v>29206-5401</v>
      </c>
      <c r="O2688">
        <f>IFERROR(VLOOKUP(VALUE(J2688),'Site Info'!$A:$G,7,FALSE),"")</f>
        <v>8037901581</v>
      </c>
    </row>
    <row r="2689" spans="1:15" x14ac:dyDescent="0.45">
      <c r="A2689" t="s">
        <v>1970</v>
      </c>
      <c r="B2689" t="s">
        <v>1971</v>
      </c>
      <c r="C2689" t="s">
        <v>1972</v>
      </c>
      <c r="D2689" t="s">
        <v>693</v>
      </c>
      <c r="E2689" s="1">
        <v>46153.361458333333</v>
      </c>
      <c r="F2689">
        <v>1481</v>
      </c>
      <c r="G2689" t="s">
        <v>1973</v>
      </c>
      <c r="H2689" t="s">
        <v>15</v>
      </c>
      <c r="I2689" t="s">
        <v>695</v>
      </c>
      <c r="J2689" t="str">
        <f>RIGHT(D2689,4)</f>
        <v>8283</v>
      </c>
      <c r="K2689" t="str">
        <f>IFERROR(VLOOKUP(VALUE(J2689),'Site Info'!$A:$G,3,FALSE),"")</f>
        <v>5426 FOREST DR</v>
      </c>
      <c r="L2689" t="str">
        <f>IFERROR(VLOOKUP(VALUE(J2689),'Site Info'!$A:$G,4,FALSE),"")</f>
        <v>COLUMBIA</v>
      </c>
      <c r="M2689" t="str">
        <f>IFERROR(VLOOKUP(VALUE(J2689),'Site Info'!$A:$G,5,FALSE),"")</f>
        <v>SC</v>
      </c>
      <c r="N2689" t="str">
        <f>IFERROR(VLOOKUP(VALUE(J2689),'Site Info'!$A:$G,6,FALSE),"")</f>
        <v>29206-5401</v>
      </c>
      <c r="O2689">
        <f>IFERROR(VLOOKUP(VALUE(J2689),'Site Info'!$A:$G,7,FALSE),"")</f>
        <v>8037901581</v>
      </c>
    </row>
    <row r="2690" spans="1:15" x14ac:dyDescent="0.45">
      <c r="A2690" t="s">
        <v>8021</v>
      </c>
      <c r="B2690" t="s">
        <v>8022</v>
      </c>
      <c r="C2690" t="s">
        <v>8023</v>
      </c>
      <c r="D2690" t="s">
        <v>795</v>
      </c>
      <c r="E2690" s="1">
        <v>46151.711898148147</v>
      </c>
      <c r="F2690">
        <v>1547</v>
      </c>
      <c r="G2690" t="s">
        <v>8024</v>
      </c>
      <c r="H2690" t="s">
        <v>15</v>
      </c>
      <c r="I2690" t="s">
        <v>797</v>
      </c>
      <c r="J2690" t="str">
        <f>RIGHT(D2690,4)</f>
        <v>8213</v>
      </c>
      <c r="K2690" t="str">
        <f>IFERROR(VLOOKUP(VALUE(J2690),'Site Info'!$A:$G,3,FALSE),"")</f>
        <v>5448 A WHITTLESEY BLVD.</v>
      </c>
      <c r="L2690" t="str">
        <f>IFERROR(VLOOKUP(VALUE(J2690),'Site Info'!$A:$G,4,FALSE),"")</f>
        <v>COLUMBUS</v>
      </c>
      <c r="M2690" t="str">
        <f>IFERROR(VLOOKUP(VALUE(J2690),'Site Info'!$A:$G,5,FALSE),"")</f>
        <v>GA</v>
      </c>
      <c r="N2690" t="str">
        <f>IFERROR(VLOOKUP(VALUE(J2690),'Site Info'!$A:$G,6,FALSE),"")</f>
        <v>31909-7298</v>
      </c>
      <c r="O2690">
        <f>IFERROR(VLOOKUP(VALUE(J2690),'Site Info'!$A:$G,7,FALSE),"")</f>
        <v>7066496799</v>
      </c>
    </row>
    <row r="2691" spans="1:15" x14ac:dyDescent="0.45">
      <c r="A2691" t="s">
        <v>8297</v>
      </c>
      <c r="B2691" t="s">
        <v>8298</v>
      </c>
      <c r="C2691" t="s">
        <v>8299</v>
      </c>
      <c r="D2691" t="s">
        <v>795</v>
      </c>
      <c r="E2691" s="1">
        <v>46151.719247685185</v>
      </c>
      <c r="F2691">
        <v>1547</v>
      </c>
      <c r="G2691" t="s">
        <v>8300</v>
      </c>
      <c r="H2691" t="s">
        <v>15</v>
      </c>
      <c r="I2691" t="s">
        <v>797</v>
      </c>
      <c r="J2691" t="str">
        <f>RIGHT(D2691,4)</f>
        <v>8213</v>
      </c>
      <c r="K2691" t="str">
        <f>IFERROR(VLOOKUP(VALUE(J2691),'Site Info'!$A:$G,3,FALSE),"")</f>
        <v>5448 A WHITTLESEY BLVD.</v>
      </c>
      <c r="L2691" t="str">
        <f>IFERROR(VLOOKUP(VALUE(J2691),'Site Info'!$A:$G,4,FALSE),"")</f>
        <v>COLUMBUS</v>
      </c>
      <c r="M2691" t="str">
        <f>IFERROR(VLOOKUP(VALUE(J2691),'Site Info'!$A:$G,5,FALSE),"")</f>
        <v>GA</v>
      </c>
      <c r="N2691" t="str">
        <f>IFERROR(VLOOKUP(VALUE(J2691),'Site Info'!$A:$G,6,FALSE),"")</f>
        <v>31909-7298</v>
      </c>
      <c r="O2691">
        <f>IFERROR(VLOOKUP(VALUE(J2691),'Site Info'!$A:$G,7,FALSE),"")</f>
        <v>7066496799</v>
      </c>
    </row>
    <row r="2692" spans="1:15" x14ac:dyDescent="0.45">
      <c r="A2692" t="s">
        <v>7142</v>
      </c>
      <c r="B2692" t="s">
        <v>7143</v>
      </c>
      <c r="C2692" t="s">
        <v>7144</v>
      </c>
      <c r="D2692" t="s">
        <v>795</v>
      </c>
      <c r="E2692" s="1">
        <v>46152.657708333332</v>
      </c>
      <c r="F2692">
        <v>1547</v>
      </c>
      <c r="G2692" t="s">
        <v>7145</v>
      </c>
      <c r="H2692" t="s">
        <v>15</v>
      </c>
      <c r="I2692" t="s">
        <v>797</v>
      </c>
      <c r="J2692" t="str">
        <f>RIGHT(D2692,4)</f>
        <v>8213</v>
      </c>
      <c r="K2692" t="str">
        <f>IFERROR(VLOOKUP(VALUE(J2692),'Site Info'!$A:$G,3,FALSE),"")</f>
        <v>5448 A WHITTLESEY BLVD.</v>
      </c>
      <c r="L2692" t="str">
        <f>IFERROR(VLOOKUP(VALUE(J2692),'Site Info'!$A:$G,4,FALSE),"")</f>
        <v>COLUMBUS</v>
      </c>
      <c r="M2692" t="str">
        <f>IFERROR(VLOOKUP(VALUE(J2692),'Site Info'!$A:$G,5,FALSE),"")</f>
        <v>GA</v>
      </c>
      <c r="N2692" t="str">
        <f>IFERROR(VLOOKUP(VALUE(J2692),'Site Info'!$A:$G,6,FALSE),"")</f>
        <v>31909-7298</v>
      </c>
      <c r="O2692">
        <f>IFERROR(VLOOKUP(VALUE(J2692),'Site Info'!$A:$G,7,FALSE),"")</f>
        <v>7066496799</v>
      </c>
    </row>
    <row r="2693" spans="1:15" x14ac:dyDescent="0.45">
      <c r="A2693" t="s">
        <v>9057</v>
      </c>
      <c r="B2693" t="s">
        <v>9058</v>
      </c>
      <c r="C2693" t="s">
        <v>9059</v>
      </c>
      <c r="D2693" t="s">
        <v>795</v>
      </c>
      <c r="E2693" s="1">
        <v>46153.338819444441</v>
      </c>
      <c r="F2693">
        <v>1547</v>
      </c>
      <c r="G2693" t="s">
        <v>9060</v>
      </c>
      <c r="H2693" t="s">
        <v>15</v>
      </c>
      <c r="I2693" t="s">
        <v>797</v>
      </c>
      <c r="J2693" t="str">
        <f>RIGHT(D2693,4)</f>
        <v>8213</v>
      </c>
      <c r="K2693" t="str">
        <f>IFERROR(VLOOKUP(VALUE(J2693),'Site Info'!$A:$G,3,FALSE),"")</f>
        <v>5448 A WHITTLESEY BLVD.</v>
      </c>
      <c r="L2693" t="str">
        <f>IFERROR(VLOOKUP(VALUE(J2693),'Site Info'!$A:$G,4,FALSE),"")</f>
        <v>COLUMBUS</v>
      </c>
      <c r="M2693" t="str">
        <f>IFERROR(VLOOKUP(VALUE(J2693),'Site Info'!$A:$G,5,FALSE),"")</f>
        <v>GA</v>
      </c>
      <c r="N2693" t="str">
        <f>IFERROR(VLOOKUP(VALUE(J2693),'Site Info'!$A:$G,6,FALSE),"")</f>
        <v>31909-7298</v>
      </c>
      <c r="O2693">
        <f>IFERROR(VLOOKUP(VALUE(J2693),'Site Info'!$A:$G,7,FALSE),"")</f>
        <v>7066496799</v>
      </c>
    </row>
    <row r="2694" spans="1:15" x14ac:dyDescent="0.45">
      <c r="A2694" t="s">
        <v>792</v>
      </c>
      <c r="B2694" t="s">
        <v>793</v>
      </c>
      <c r="C2694" t="s">
        <v>794</v>
      </c>
      <c r="D2694" t="s">
        <v>795</v>
      </c>
      <c r="E2694" s="1">
        <v>46151.477719907409</v>
      </c>
      <c r="F2694">
        <v>1481</v>
      </c>
      <c r="G2694" t="s">
        <v>796</v>
      </c>
      <c r="H2694" t="s">
        <v>15</v>
      </c>
      <c r="I2694" t="s">
        <v>797</v>
      </c>
      <c r="J2694" t="str">
        <f>RIGHT(D2694,4)</f>
        <v>8213</v>
      </c>
      <c r="K2694" t="str">
        <f>IFERROR(VLOOKUP(VALUE(J2694),'Site Info'!$A:$G,3,FALSE),"")</f>
        <v>5448 A WHITTLESEY BLVD.</v>
      </c>
      <c r="L2694" t="str">
        <f>IFERROR(VLOOKUP(VALUE(J2694),'Site Info'!$A:$G,4,FALSE),"")</f>
        <v>COLUMBUS</v>
      </c>
      <c r="M2694" t="str">
        <f>IFERROR(VLOOKUP(VALUE(J2694),'Site Info'!$A:$G,5,FALSE),"")</f>
        <v>GA</v>
      </c>
      <c r="N2694" t="str">
        <f>IFERROR(VLOOKUP(VALUE(J2694),'Site Info'!$A:$G,6,FALSE),"")</f>
        <v>31909-7298</v>
      </c>
      <c r="O2694">
        <f>IFERROR(VLOOKUP(VALUE(J2694),'Site Info'!$A:$G,7,FALSE),"")</f>
        <v>7066496799</v>
      </c>
    </row>
    <row r="2695" spans="1:15" x14ac:dyDescent="0.45">
      <c r="A2695" t="s">
        <v>11800</v>
      </c>
      <c r="B2695" t="s">
        <v>11801</v>
      </c>
      <c r="C2695" t="s">
        <v>11802</v>
      </c>
      <c r="D2695" t="s">
        <v>3532</v>
      </c>
      <c r="E2695" s="1">
        <v>46152.622685185182</v>
      </c>
      <c r="F2695">
        <v>1547</v>
      </c>
      <c r="G2695" t="s">
        <v>11803</v>
      </c>
      <c r="H2695" t="s">
        <v>15</v>
      </c>
      <c r="I2695" t="s">
        <v>3534</v>
      </c>
      <c r="J2695" t="str">
        <f>RIGHT(D2695,4)</f>
        <v>6667</v>
      </c>
      <c r="K2695" t="str">
        <f>IFERROR(VLOOKUP(VALUE(J2695),'Site Info'!$A:$G,3,FALSE),"")</f>
        <v>5450 CARPENTER RD</v>
      </c>
      <c r="L2695" t="str">
        <f>IFERROR(VLOOKUP(VALUE(J2695),'Site Info'!$A:$G,4,FALSE),"")</f>
        <v>YPSILANTI</v>
      </c>
      <c r="M2695" t="str">
        <f>IFERROR(VLOOKUP(VALUE(J2695),'Site Info'!$A:$G,5,FALSE),"")</f>
        <v>MI</v>
      </c>
      <c r="N2695" t="str">
        <f>IFERROR(VLOOKUP(VALUE(J2695),'Site Info'!$A:$G,6,FALSE),"")</f>
        <v>48197-9019</v>
      </c>
      <c r="O2695">
        <f>IFERROR(VLOOKUP(VALUE(J2695),'Site Info'!$A:$G,7,FALSE),"")</f>
        <v>7344341326</v>
      </c>
    </row>
    <row r="2696" spans="1:15" x14ac:dyDescent="0.45">
      <c r="A2696" t="s">
        <v>9938</v>
      </c>
      <c r="B2696" t="s">
        <v>9939</v>
      </c>
      <c r="C2696" t="s">
        <v>9940</v>
      </c>
      <c r="D2696" t="s">
        <v>3532</v>
      </c>
      <c r="E2696" s="1">
        <v>46153.136493055557</v>
      </c>
      <c r="F2696">
        <v>1547</v>
      </c>
      <c r="G2696" t="s">
        <v>9941</v>
      </c>
      <c r="H2696" t="s">
        <v>15</v>
      </c>
      <c r="I2696" t="s">
        <v>3534</v>
      </c>
      <c r="J2696" t="str">
        <f>RIGHT(D2696,4)</f>
        <v>6667</v>
      </c>
      <c r="K2696" t="str">
        <f>IFERROR(VLOOKUP(VALUE(J2696),'Site Info'!$A:$G,3,FALSE),"")</f>
        <v>5450 CARPENTER RD</v>
      </c>
      <c r="L2696" t="str">
        <f>IFERROR(VLOOKUP(VALUE(J2696),'Site Info'!$A:$G,4,FALSE),"")</f>
        <v>YPSILANTI</v>
      </c>
      <c r="M2696" t="str">
        <f>IFERROR(VLOOKUP(VALUE(J2696),'Site Info'!$A:$G,5,FALSE),"")</f>
        <v>MI</v>
      </c>
      <c r="N2696" t="str">
        <f>IFERROR(VLOOKUP(VALUE(J2696),'Site Info'!$A:$G,6,FALSE),"")</f>
        <v>48197-9019</v>
      </c>
      <c r="O2696">
        <f>IFERROR(VLOOKUP(VALUE(J2696),'Site Info'!$A:$G,7,FALSE),"")</f>
        <v>7344341326</v>
      </c>
    </row>
    <row r="2697" spans="1:15" x14ac:dyDescent="0.45">
      <c r="A2697" t="s">
        <v>11626</v>
      </c>
      <c r="B2697" t="s">
        <v>11627</v>
      </c>
      <c r="C2697" t="s">
        <v>11628</v>
      </c>
      <c r="D2697" t="s">
        <v>3532</v>
      </c>
      <c r="E2697" s="1">
        <v>46153.34652777778</v>
      </c>
      <c r="F2697">
        <v>1547</v>
      </c>
      <c r="G2697" t="s">
        <v>11629</v>
      </c>
      <c r="H2697" t="s">
        <v>15</v>
      </c>
      <c r="I2697" t="s">
        <v>3534</v>
      </c>
      <c r="J2697" t="str">
        <f>RIGHT(D2697,4)</f>
        <v>6667</v>
      </c>
      <c r="K2697" t="str">
        <f>IFERROR(VLOOKUP(VALUE(J2697),'Site Info'!$A:$G,3,FALSE),"")</f>
        <v>5450 CARPENTER RD</v>
      </c>
      <c r="L2697" t="str">
        <f>IFERROR(VLOOKUP(VALUE(J2697),'Site Info'!$A:$G,4,FALSE),"")</f>
        <v>YPSILANTI</v>
      </c>
      <c r="M2697" t="str">
        <f>IFERROR(VLOOKUP(VALUE(J2697),'Site Info'!$A:$G,5,FALSE),"")</f>
        <v>MI</v>
      </c>
      <c r="N2697" t="str">
        <f>IFERROR(VLOOKUP(VALUE(J2697),'Site Info'!$A:$G,6,FALSE),"")</f>
        <v>48197-9019</v>
      </c>
      <c r="O2697">
        <f>IFERROR(VLOOKUP(VALUE(J2697),'Site Info'!$A:$G,7,FALSE),"")</f>
        <v>7344341326</v>
      </c>
    </row>
    <row r="2698" spans="1:15" x14ac:dyDescent="0.45">
      <c r="A2698" t="s">
        <v>3529</v>
      </c>
      <c r="B2698" t="s">
        <v>3530</v>
      </c>
      <c r="C2698" t="s">
        <v>3531</v>
      </c>
      <c r="D2698" t="s">
        <v>3532</v>
      </c>
      <c r="E2698" s="1">
        <v>46086.551249999997</v>
      </c>
      <c r="F2698">
        <v>1481</v>
      </c>
      <c r="G2698" t="s">
        <v>3533</v>
      </c>
      <c r="H2698" t="s">
        <v>15</v>
      </c>
      <c r="I2698" t="s">
        <v>3534</v>
      </c>
      <c r="J2698" t="str">
        <f>RIGHT(D2698,4)</f>
        <v>6667</v>
      </c>
      <c r="K2698" t="str">
        <f>IFERROR(VLOOKUP(VALUE(J2698),'Site Info'!$A:$G,3,FALSE),"")</f>
        <v>5450 CARPENTER RD</v>
      </c>
      <c r="L2698" t="str">
        <f>IFERROR(VLOOKUP(VALUE(J2698),'Site Info'!$A:$G,4,FALSE),"")</f>
        <v>YPSILANTI</v>
      </c>
      <c r="M2698" t="str">
        <f>IFERROR(VLOOKUP(VALUE(J2698),'Site Info'!$A:$G,5,FALSE),"")</f>
        <v>MI</v>
      </c>
      <c r="N2698" t="str">
        <f>IFERROR(VLOOKUP(VALUE(J2698),'Site Info'!$A:$G,6,FALSE),"")</f>
        <v>48197-9019</v>
      </c>
      <c r="O2698">
        <f>IFERROR(VLOOKUP(VALUE(J2698),'Site Info'!$A:$G,7,FALSE),"")</f>
        <v>7344341326</v>
      </c>
    </row>
    <row r="2699" spans="1:15" x14ac:dyDescent="0.45">
      <c r="A2699" t="s">
        <v>17043</v>
      </c>
      <c r="B2699" t="s">
        <v>17044</v>
      </c>
      <c r="C2699" t="s">
        <v>17045</v>
      </c>
      <c r="D2699" t="s">
        <v>3532</v>
      </c>
      <c r="E2699" s="1">
        <v>46153.122557870367</v>
      </c>
      <c r="F2699">
        <v>1547</v>
      </c>
      <c r="G2699" t="s">
        <v>17046</v>
      </c>
      <c r="H2699" t="s">
        <v>15</v>
      </c>
      <c r="I2699" t="s">
        <v>3534</v>
      </c>
      <c r="J2699" t="str">
        <f>RIGHT(D2699,4)</f>
        <v>6667</v>
      </c>
      <c r="K2699" t="str">
        <f>IFERROR(VLOOKUP(VALUE(J2699),'Site Info'!$A:$G,3,FALSE),"")</f>
        <v>5450 CARPENTER RD</v>
      </c>
      <c r="L2699" t="str">
        <f>IFERROR(VLOOKUP(VALUE(J2699),'Site Info'!$A:$G,4,FALSE),"")</f>
        <v>YPSILANTI</v>
      </c>
      <c r="M2699" t="str">
        <f>IFERROR(VLOOKUP(VALUE(J2699),'Site Info'!$A:$G,5,FALSE),"")</f>
        <v>MI</v>
      </c>
      <c r="N2699" t="str">
        <f>IFERROR(VLOOKUP(VALUE(J2699),'Site Info'!$A:$G,6,FALSE),"")</f>
        <v>48197-9019</v>
      </c>
      <c r="O2699">
        <f>IFERROR(VLOOKUP(VALUE(J2699),'Site Info'!$A:$G,7,FALSE),"")</f>
        <v>7344341326</v>
      </c>
    </row>
    <row r="2700" spans="1:15" x14ac:dyDescent="0.45">
      <c r="A2700" t="s">
        <v>6270</v>
      </c>
      <c r="B2700" t="s">
        <v>6271</v>
      </c>
      <c r="C2700" t="s">
        <v>6272</v>
      </c>
      <c r="D2700" t="s">
        <v>1613</v>
      </c>
      <c r="E2700" s="1">
        <v>46152.553333333337</v>
      </c>
      <c r="F2700">
        <v>1547</v>
      </c>
      <c r="G2700" t="s">
        <v>6273</v>
      </c>
      <c r="H2700" t="s">
        <v>15</v>
      </c>
      <c r="I2700" t="s">
        <v>1615</v>
      </c>
      <c r="J2700" t="str">
        <f>RIGHT(D2700,4)</f>
        <v>8289</v>
      </c>
      <c r="K2700" t="str">
        <f>IFERROR(VLOOKUP(VALUE(J2700),'Site Info'!$A:$G,3,FALSE),"")</f>
        <v>5510 SW 5TH ST</v>
      </c>
      <c r="L2700" t="str">
        <f>IFERROR(VLOOKUP(VALUE(J2700),'Site Info'!$A:$G,4,FALSE),"")</f>
        <v>OKLAHOMA CITY</v>
      </c>
      <c r="M2700" t="str">
        <f>IFERROR(VLOOKUP(VALUE(J2700),'Site Info'!$A:$G,5,FALSE),"")</f>
        <v>OK</v>
      </c>
      <c r="N2700" t="str">
        <f>IFERROR(VLOOKUP(VALUE(J2700),'Site Info'!$A:$G,6,FALSE),"")</f>
        <v>73128-1216</v>
      </c>
      <c r="O2700">
        <f>IFERROR(VLOOKUP(VALUE(J2700),'Site Info'!$A:$G,7,FALSE),"")</f>
        <v>4059439810</v>
      </c>
    </row>
    <row r="2701" spans="1:15" x14ac:dyDescent="0.45">
      <c r="A2701" t="s">
        <v>1610</v>
      </c>
      <c r="B2701" t="s">
        <v>1611</v>
      </c>
      <c r="C2701" t="s">
        <v>1612</v>
      </c>
      <c r="D2701" t="s">
        <v>1613</v>
      </c>
      <c r="E2701" s="1">
        <v>46153.168935185182</v>
      </c>
      <c r="F2701">
        <v>1481</v>
      </c>
      <c r="G2701" t="s">
        <v>1614</v>
      </c>
      <c r="H2701" t="s">
        <v>15</v>
      </c>
      <c r="I2701" t="s">
        <v>1615</v>
      </c>
      <c r="J2701" t="str">
        <f>RIGHT(D2701,4)</f>
        <v>8289</v>
      </c>
      <c r="K2701" t="str">
        <f>IFERROR(VLOOKUP(VALUE(J2701),'Site Info'!$A:$G,3,FALSE),"")</f>
        <v>5510 SW 5TH ST</v>
      </c>
      <c r="L2701" t="str">
        <f>IFERROR(VLOOKUP(VALUE(J2701),'Site Info'!$A:$G,4,FALSE),"")</f>
        <v>OKLAHOMA CITY</v>
      </c>
      <c r="M2701" t="str">
        <f>IFERROR(VLOOKUP(VALUE(J2701),'Site Info'!$A:$G,5,FALSE),"")</f>
        <v>OK</v>
      </c>
      <c r="N2701" t="str">
        <f>IFERROR(VLOOKUP(VALUE(J2701),'Site Info'!$A:$G,6,FALSE),"")</f>
        <v>73128-1216</v>
      </c>
      <c r="O2701">
        <f>IFERROR(VLOOKUP(VALUE(J2701),'Site Info'!$A:$G,7,FALSE),"")</f>
        <v>4059439810</v>
      </c>
    </row>
    <row r="2702" spans="1:15" x14ac:dyDescent="0.45">
      <c r="A2702" t="s">
        <v>16431</v>
      </c>
      <c r="B2702" t="s">
        <v>17314</v>
      </c>
      <c r="C2702" t="s">
        <v>17315</v>
      </c>
      <c r="D2702" t="s">
        <v>1613</v>
      </c>
      <c r="E2702" s="1">
        <v>46152.66505787037</v>
      </c>
      <c r="F2702">
        <v>1863</v>
      </c>
      <c r="G2702" t="s">
        <v>17316</v>
      </c>
      <c r="H2702" t="s">
        <v>136</v>
      </c>
      <c r="I2702" t="s">
        <v>1615</v>
      </c>
      <c r="J2702" t="str">
        <f>RIGHT(D2702,4)</f>
        <v>8289</v>
      </c>
      <c r="K2702" t="str">
        <f>IFERROR(VLOOKUP(VALUE(J2702),'Site Info'!$A:$G,3,FALSE),"")</f>
        <v>5510 SW 5TH ST</v>
      </c>
      <c r="L2702" t="str">
        <f>IFERROR(VLOOKUP(VALUE(J2702),'Site Info'!$A:$G,4,FALSE),"")</f>
        <v>OKLAHOMA CITY</v>
      </c>
      <c r="M2702" t="str">
        <f>IFERROR(VLOOKUP(VALUE(J2702),'Site Info'!$A:$G,5,FALSE),"")</f>
        <v>OK</v>
      </c>
      <c r="N2702" t="str">
        <f>IFERROR(VLOOKUP(VALUE(J2702),'Site Info'!$A:$G,6,FALSE),"")</f>
        <v>73128-1216</v>
      </c>
      <c r="O2702">
        <f>IFERROR(VLOOKUP(VALUE(J2702),'Site Info'!$A:$G,7,FALSE),"")</f>
        <v>4059439810</v>
      </c>
    </row>
    <row r="2703" spans="1:15" x14ac:dyDescent="0.45">
      <c r="A2703" t="s">
        <v>96</v>
      </c>
      <c r="B2703" t="s">
        <v>227</v>
      </c>
      <c r="C2703" t="s">
        <v>228</v>
      </c>
      <c r="D2703" t="s">
        <v>229</v>
      </c>
      <c r="E2703" s="1">
        <v>46150.37091435185</v>
      </c>
      <c r="F2703">
        <v>1547</v>
      </c>
      <c r="G2703" t="s">
        <v>230</v>
      </c>
      <c r="H2703" t="s">
        <v>15</v>
      </c>
      <c r="I2703" t="s">
        <v>231</v>
      </c>
      <c r="J2703" t="str">
        <f>RIGHT(D2703,4)</f>
        <v>8226</v>
      </c>
      <c r="K2703" t="str">
        <f>IFERROR(VLOOKUP(VALUE(J2703),'Site Info'!$A:$G,3,FALSE),"")</f>
        <v>5550 S. CLACK ST</v>
      </c>
      <c r="L2703" t="str">
        <f>IFERROR(VLOOKUP(VALUE(J2703),'Site Info'!$A:$G,4,FALSE),"")</f>
        <v>ABILENE</v>
      </c>
      <c r="M2703" t="str">
        <f>IFERROR(VLOOKUP(VALUE(J2703),'Site Info'!$A:$G,5,FALSE),"")</f>
        <v>TX</v>
      </c>
      <c r="N2703" t="str">
        <f>IFERROR(VLOOKUP(VALUE(J2703),'Site Info'!$A:$G,6,FALSE),"")</f>
        <v>79606-3708</v>
      </c>
      <c r="O2703">
        <f>IFERROR(VLOOKUP(VALUE(J2703),'Site Info'!$A:$G,7,FALSE),"")</f>
        <v>3253076125</v>
      </c>
    </row>
    <row r="2704" spans="1:15" x14ac:dyDescent="0.45">
      <c r="A2704" t="s">
        <v>10899</v>
      </c>
      <c r="B2704" t="s">
        <v>10900</v>
      </c>
      <c r="C2704" t="s">
        <v>10901</v>
      </c>
      <c r="D2704" t="s">
        <v>229</v>
      </c>
      <c r="E2704" s="1">
        <v>46152.67759259259</v>
      </c>
      <c r="F2704">
        <v>1547</v>
      </c>
      <c r="G2704" t="s">
        <v>10902</v>
      </c>
      <c r="H2704" t="s">
        <v>15</v>
      </c>
      <c r="I2704" t="s">
        <v>231</v>
      </c>
      <c r="J2704" t="str">
        <f>RIGHT(D2704,4)</f>
        <v>8226</v>
      </c>
      <c r="K2704" t="str">
        <f>IFERROR(VLOOKUP(VALUE(J2704),'Site Info'!$A:$G,3,FALSE),"")</f>
        <v>5550 S. CLACK ST</v>
      </c>
      <c r="L2704" t="str">
        <f>IFERROR(VLOOKUP(VALUE(J2704),'Site Info'!$A:$G,4,FALSE),"")</f>
        <v>ABILENE</v>
      </c>
      <c r="M2704" t="str">
        <f>IFERROR(VLOOKUP(VALUE(J2704),'Site Info'!$A:$G,5,FALSE),"")</f>
        <v>TX</v>
      </c>
      <c r="N2704" t="str">
        <f>IFERROR(VLOOKUP(VALUE(J2704),'Site Info'!$A:$G,6,FALSE),"")</f>
        <v>79606-3708</v>
      </c>
      <c r="O2704">
        <f>IFERROR(VLOOKUP(VALUE(J2704),'Site Info'!$A:$G,7,FALSE),"")</f>
        <v>3253076125</v>
      </c>
    </row>
    <row r="2705" spans="1:15" x14ac:dyDescent="0.45">
      <c r="A2705" t="s">
        <v>10140</v>
      </c>
      <c r="B2705" t="s">
        <v>10141</v>
      </c>
      <c r="C2705" t="s">
        <v>10142</v>
      </c>
      <c r="D2705" t="s">
        <v>229</v>
      </c>
      <c r="E2705" s="1">
        <v>46153.008564814816</v>
      </c>
      <c r="F2705">
        <v>1547</v>
      </c>
      <c r="G2705" t="s">
        <v>10143</v>
      </c>
      <c r="H2705" t="s">
        <v>15</v>
      </c>
      <c r="I2705" t="s">
        <v>231</v>
      </c>
      <c r="J2705" t="str">
        <f>RIGHT(D2705,4)</f>
        <v>8226</v>
      </c>
      <c r="K2705" t="str">
        <f>IFERROR(VLOOKUP(VALUE(J2705),'Site Info'!$A:$G,3,FALSE),"")</f>
        <v>5550 S. CLACK ST</v>
      </c>
      <c r="L2705" t="str">
        <f>IFERROR(VLOOKUP(VALUE(J2705),'Site Info'!$A:$G,4,FALSE),"")</f>
        <v>ABILENE</v>
      </c>
      <c r="M2705" t="str">
        <f>IFERROR(VLOOKUP(VALUE(J2705),'Site Info'!$A:$G,5,FALSE),"")</f>
        <v>TX</v>
      </c>
      <c r="N2705" t="str">
        <f>IFERROR(VLOOKUP(VALUE(J2705),'Site Info'!$A:$G,6,FALSE),"")</f>
        <v>79606-3708</v>
      </c>
      <c r="O2705">
        <f>IFERROR(VLOOKUP(VALUE(J2705),'Site Info'!$A:$G,7,FALSE),"")</f>
        <v>3253076125</v>
      </c>
    </row>
    <row r="2706" spans="1:15" x14ac:dyDescent="0.45">
      <c r="A2706" t="s">
        <v>2094</v>
      </c>
      <c r="B2706" t="s">
        <v>2095</v>
      </c>
      <c r="C2706" t="s">
        <v>2096</v>
      </c>
      <c r="D2706" t="s">
        <v>229</v>
      </c>
      <c r="E2706" s="1">
        <v>46152.593240740738</v>
      </c>
      <c r="F2706">
        <v>1481</v>
      </c>
      <c r="G2706" t="s">
        <v>2097</v>
      </c>
      <c r="H2706" t="s">
        <v>15</v>
      </c>
      <c r="I2706" t="s">
        <v>231</v>
      </c>
      <c r="J2706" t="str">
        <f>RIGHT(D2706,4)</f>
        <v>8226</v>
      </c>
      <c r="K2706" t="str">
        <f>IFERROR(VLOOKUP(VALUE(J2706),'Site Info'!$A:$G,3,FALSE),"")</f>
        <v>5550 S. CLACK ST</v>
      </c>
      <c r="L2706" t="str">
        <f>IFERROR(VLOOKUP(VALUE(J2706),'Site Info'!$A:$G,4,FALSE),"")</f>
        <v>ABILENE</v>
      </c>
      <c r="M2706" t="str">
        <f>IFERROR(VLOOKUP(VALUE(J2706),'Site Info'!$A:$G,5,FALSE),"")</f>
        <v>TX</v>
      </c>
      <c r="N2706" t="str">
        <f>IFERROR(VLOOKUP(VALUE(J2706),'Site Info'!$A:$G,6,FALSE),"")</f>
        <v>79606-3708</v>
      </c>
      <c r="O2706">
        <f>IFERROR(VLOOKUP(VALUE(J2706),'Site Info'!$A:$G,7,FALSE),"")</f>
        <v>3253076125</v>
      </c>
    </row>
    <row r="2707" spans="1:15" x14ac:dyDescent="0.45">
      <c r="A2707" t="s">
        <v>5784</v>
      </c>
      <c r="B2707" t="s">
        <v>5785</v>
      </c>
      <c r="C2707" t="s">
        <v>5786</v>
      </c>
      <c r="D2707" t="s">
        <v>2167</v>
      </c>
      <c r="E2707" s="1">
        <v>46149.586469907408</v>
      </c>
      <c r="F2707">
        <v>1547</v>
      </c>
      <c r="G2707" t="s">
        <v>5787</v>
      </c>
      <c r="H2707" t="s">
        <v>15</v>
      </c>
      <c r="I2707" t="s">
        <v>2169</v>
      </c>
      <c r="J2707" t="str">
        <f>RIGHT(D2707,4)</f>
        <v>6482</v>
      </c>
      <c r="K2707" t="str">
        <f>IFERROR(VLOOKUP(VALUE(J2707),'Site Info'!$A:$G,3,FALSE),"")</f>
        <v>5555 S BUCKNER BLVD</v>
      </c>
      <c r="L2707" t="str">
        <f>IFERROR(VLOOKUP(VALUE(J2707),'Site Info'!$A:$G,4,FALSE),"")</f>
        <v>DALLAS</v>
      </c>
      <c r="M2707" t="str">
        <f>IFERROR(VLOOKUP(VALUE(J2707),'Site Info'!$A:$G,5,FALSE),"")</f>
        <v>TX</v>
      </c>
      <c r="N2707" t="str">
        <f>IFERROR(VLOOKUP(VALUE(J2707),'Site Info'!$A:$G,6,FALSE),"")</f>
        <v>75228-6101</v>
      </c>
      <c r="O2707">
        <f>IFERROR(VLOOKUP(VALUE(J2707),'Site Info'!$A:$G,7,FALSE),"")</f>
        <v>2143202824</v>
      </c>
    </row>
    <row r="2708" spans="1:15" x14ac:dyDescent="0.45">
      <c r="A2708" t="s">
        <v>5470</v>
      </c>
      <c r="B2708" t="s">
        <v>5471</v>
      </c>
      <c r="C2708" t="s">
        <v>5472</v>
      </c>
      <c r="D2708" t="s">
        <v>2167</v>
      </c>
      <c r="E2708" s="1">
        <v>46152.661550925928</v>
      </c>
      <c r="F2708">
        <v>1547</v>
      </c>
      <c r="G2708" t="s">
        <v>5473</v>
      </c>
      <c r="H2708" t="s">
        <v>15</v>
      </c>
      <c r="I2708" t="s">
        <v>2169</v>
      </c>
      <c r="J2708" t="str">
        <f>RIGHT(D2708,4)</f>
        <v>6482</v>
      </c>
      <c r="K2708" t="str">
        <f>IFERROR(VLOOKUP(VALUE(J2708),'Site Info'!$A:$G,3,FALSE),"")</f>
        <v>5555 S BUCKNER BLVD</v>
      </c>
      <c r="L2708" t="str">
        <f>IFERROR(VLOOKUP(VALUE(J2708),'Site Info'!$A:$G,4,FALSE),"")</f>
        <v>DALLAS</v>
      </c>
      <c r="M2708" t="str">
        <f>IFERROR(VLOOKUP(VALUE(J2708),'Site Info'!$A:$G,5,FALSE),"")</f>
        <v>TX</v>
      </c>
      <c r="N2708" t="str">
        <f>IFERROR(VLOOKUP(VALUE(J2708),'Site Info'!$A:$G,6,FALSE),"")</f>
        <v>75228-6101</v>
      </c>
      <c r="O2708">
        <f>IFERROR(VLOOKUP(VALUE(J2708),'Site Info'!$A:$G,7,FALSE),"")</f>
        <v>2143202824</v>
      </c>
    </row>
    <row r="2709" spans="1:15" x14ac:dyDescent="0.45">
      <c r="A2709" t="s">
        <v>5736</v>
      </c>
      <c r="B2709" t="s">
        <v>5737</v>
      </c>
      <c r="C2709" t="s">
        <v>5738</v>
      </c>
      <c r="D2709" t="s">
        <v>2167</v>
      </c>
      <c r="E2709" s="1">
        <v>46152.703414351854</v>
      </c>
      <c r="F2709">
        <v>1547</v>
      </c>
      <c r="G2709" t="s">
        <v>5739</v>
      </c>
      <c r="H2709" t="s">
        <v>15</v>
      </c>
      <c r="I2709" t="s">
        <v>2169</v>
      </c>
      <c r="J2709" t="str">
        <f>RIGHT(D2709,4)</f>
        <v>6482</v>
      </c>
      <c r="K2709" t="str">
        <f>IFERROR(VLOOKUP(VALUE(J2709),'Site Info'!$A:$G,3,FALSE),"")</f>
        <v>5555 S BUCKNER BLVD</v>
      </c>
      <c r="L2709" t="str">
        <f>IFERROR(VLOOKUP(VALUE(J2709),'Site Info'!$A:$G,4,FALSE),"")</f>
        <v>DALLAS</v>
      </c>
      <c r="M2709" t="str">
        <f>IFERROR(VLOOKUP(VALUE(J2709),'Site Info'!$A:$G,5,FALSE),"")</f>
        <v>TX</v>
      </c>
      <c r="N2709" t="str">
        <f>IFERROR(VLOOKUP(VALUE(J2709),'Site Info'!$A:$G,6,FALSE),"")</f>
        <v>75228-6101</v>
      </c>
      <c r="O2709">
        <f>IFERROR(VLOOKUP(VALUE(J2709),'Site Info'!$A:$G,7,FALSE),"")</f>
        <v>2143202824</v>
      </c>
    </row>
    <row r="2710" spans="1:15" x14ac:dyDescent="0.45">
      <c r="A2710" t="s">
        <v>5788</v>
      </c>
      <c r="B2710" t="s">
        <v>5789</v>
      </c>
      <c r="C2710" t="s">
        <v>5790</v>
      </c>
      <c r="D2710" t="s">
        <v>2167</v>
      </c>
      <c r="E2710" s="1">
        <v>46152.757523148146</v>
      </c>
      <c r="F2710">
        <v>1547</v>
      </c>
      <c r="G2710" t="s">
        <v>5791</v>
      </c>
      <c r="H2710" t="s">
        <v>15</v>
      </c>
      <c r="I2710" t="s">
        <v>2169</v>
      </c>
      <c r="J2710" t="str">
        <f>RIGHT(D2710,4)</f>
        <v>6482</v>
      </c>
      <c r="K2710" t="str">
        <f>IFERROR(VLOOKUP(VALUE(J2710),'Site Info'!$A:$G,3,FALSE),"")</f>
        <v>5555 S BUCKNER BLVD</v>
      </c>
      <c r="L2710" t="str">
        <f>IFERROR(VLOOKUP(VALUE(J2710),'Site Info'!$A:$G,4,FALSE),"")</f>
        <v>DALLAS</v>
      </c>
      <c r="M2710" t="str">
        <f>IFERROR(VLOOKUP(VALUE(J2710),'Site Info'!$A:$G,5,FALSE),"")</f>
        <v>TX</v>
      </c>
      <c r="N2710" t="str">
        <f>IFERROR(VLOOKUP(VALUE(J2710),'Site Info'!$A:$G,6,FALSE),"")</f>
        <v>75228-6101</v>
      </c>
      <c r="O2710">
        <f>IFERROR(VLOOKUP(VALUE(J2710),'Site Info'!$A:$G,7,FALSE),"")</f>
        <v>2143202824</v>
      </c>
    </row>
    <row r="2711" spans="1:15" x14ac:dyDescent="0.45">
      <c r="A2711" t="s">
        <v>5604</v>
      </c>
      <c r="B2711" t="s">
        <v>5605</v>
      </c>
      <c r="C2711" t="s">
        <v>5606</v>
      </c>
      <c r="D2711" t="s">
        <v>2167</v>
      </c>
      <c r="E2711" s="1">
        <v>46153.351863425924</v>
      </c>
      <c r="F2711">
        <v>1547</v>
      </c>
      <c r="G2711" t="s">
        <v>5607</v>
      </c>
      <c r="H2711" t="s">
        <v>15</v>
      </c>
      <c r="I2711" t="s">
        <v>2169</v>
      </c>
      <c r="J2711" t="str">
        <f>RIGHT(D2711,4)</f>
        <v>6482</v>
      </c>
      <c r="K2711" t="str">
        <f>IFERROR(VLOOKUP(VALUE(J2711),'Site Info'!$A:$G,3,FALSE),"")</f>
        <v>5555 S BUCKNER BLVD</v>
      </c>
      <c r="L2711" t="str">
        <f>IFERROR(VLOOKUP(VALUE(J2711),'Site Info'!$A:$G,4,FALSE),"")</f>
        <v>DALLAS</v>
      </c>
      <c r="M2711" t="str">
        <f>IFERROR(VLOOKUP(VALUE(J2711),'Site Info'!$A:$G,5,FALSE),"")</f>
        <v>TX</v>
      </c>
      <c r="N2711" t="str">
        <f>IFERROR(VLOOKUP(VALUE(J2711),'Site Info'!$A:$G,6,FALSE),"")</f>
        <v>75228-6101</v>
      </c>
      <c r="O2711">
        <f>IFERROR(VLOOKUP(VALUE(J2711),'Site Info'!$A:$G,7,FALSE),"")</f>
        <v>2143202824</v>
      </c>
    </row>
    <row r="2712" spans="1:15" x14ac:dyDescent="0.45">
      <c r="A2712" t="s">
        <v>5512</v>
      </c>
      <c r="B2712" t="s">
        <v>5513</v>
      </c>
      <c r="C2712" t="s">
        <v>5514</v>
      </c>
      <c r="D2712" t="s">
        <v>2167</v>
      </c>
      <c r="E2712" s="1">
        <v>46153.364178240743</v>
      </c>
      <c r="F2712">
        <v>1547</v>
      </c>
      <c r="G2712" t="s">
        <v>5515</v>
      </c>
      <c r="H2712" t="s">
        <v>15</v>
      </c>
      <c r="I2712" t="s">
        <v>2169</v>
      </c>
      <c r="J2712" t="str">
        <f>RIGHT(D2712,4)</f>
        <v>6482</v>
      </c>
      <c r="K2712" t="str">
        <f>IFERROR(VLOOKUP(VALUE(J2712),'Site Info'!$A:$G,3,FALSE),"")</f>
        <v>5555 S BUCKNER BLVD</v>
      </c>
      <c r="L2712" t="str">
        <f>IFERROR(VLOOKUP(VALUE(J2712),'Site Info'!$A:$G,4,FALSE),"")</f>
        <v>DALLAS</v>
      </c>
      <c r="M2712" t="str">
        <f>IFERROR(VLOOKUP(VALUE(J2712),'Site Info'!$A:$G,5,FALSE),"")</f>
        <v>TX</v>
      </c>
      <c r="N2712" t="str">
        <f>IFERROR(VLOOKUP(VALUE(J2712),'Site Info'!$A:$G,6,FALSE),"")</f>
        <v>75228-6101</v>
      </c>
      <c r="O2712">
        <f>IFERROR(VLOOKUP(VALUE(J2712),'Site Info'!$A:$G,7,FALSE),"")</f>
        <v>2143202824</v>
      </c>
    </row>
    <row r="2713" spans="1:15" x14ac:dyDescent="0.45">
      <c r="A2713" t="s">
        <v>2164</v>
      </c>
      <c r="B2713" t="s">
        <v>2165</v>
      </c>
      <c r="C2713" t="s">
        <v>2166</v>
      </c>
      <c r="D2713" t="s">
        <v>2167</v>
      </c>
      <c r="E2713" s="1">
        <v>46153.271261574075</v>
      </c>
      <c r="F2713">
        <v>1481</v>
      </c>
      <c r="G2713" t="s">
        <v>2168</v>
      </c>
      <c r="H2713" t="s">
        <v>15</v>
      </c>
      <c r="I2713" t="s">
        <v>2169</v>
      </c>
      <c r="J2713" t="str">
        <f>RIGHT(D2713,4)</f>
        <v>6482</v>
      </c>
      <c r="K2713" t="str">
        <f>IFERROR(VLOOKUP(VALUE(J2713),'Site Info'!$A:$G,3,FALSE),"")</f>
        <v>5555 S BUCKNER BLVD</v>
      </c>
      <c r="L2713" t="str">
        <f>IFERROR(VLOOKUP(VALUE(J2713),'Site Info'!$A:$G,4,FALSE),"")</f>
        <v>DALLAS</v>
      </c>
      <c r="M2713" t="str">
        <f>IFERROR(VLOOKUP(VALUE(J2713),'Site Info'!$A:$G,5,FALSE),"")</f>
        <v>TX</v>
      </c>
      <c r="N2713" t="str">
        <f>IFERROR(VLOOKUP(VALUE(J2713),'Site Info'!$A:$G,6,FALSE),"")</f>
        <v>75228-6101</v>
      </c>
      <c r="O2713">
        <f>IFERROR(VLOOKUP(VALUE(J2713),'Site Info'!$A:$G,7,FALSE),"")</f>
        <v>2143202824</v>
      </c>
    </row>
    <row r="2714" spans="1:15" x14ac:dyDescent="0.45">
      <c r="A2714" t="s">
        <v>5772</v>
      </c>
      <c r="B2714" t="s">
        <v>5773</v>
      </c>
      <c r="C2714" t="s">
        <v>5774</v>
      </c>
      <c r="D2714" t="s">
        <v>2167</v>
      </c>
      <c r="E2714" s="1">
        <v>46123.567754629628</v>
      </c>
      <c r="F2714">
        <v>1556</v>
      </c>
      <c r="G2714" t="s">
        <v>5775</v>
      </c>
      <c r="H2714" t="s">
        <v>15</v>
      </c>
      <c r="I2714" t="s">
        <v>2169</v>
      </c>
      <c r="J2714" t="str">
        <f>RIGHT(D2714,4)</f>
        <v>6482</v>
      </c>
      <c r="K2714" t="str">
        <f>IFERROR(VLOOKUP(VALUE(J2714),'Site Info'!$A:$G,3,FALSE),"")</f>
        <v>5555 S BUCKNER BLVD</v>
      </c>
      <c r="L2714" t="str">
        <f>IFERROR(VLOOKUP(VALUE(J2714),'Site Info'!$A:$G,4,FALSE),"")</f>
        <v>DALLAS</v>
      </c>
      <c r="M2714" t="str">
        <f>IFERROR(VLOOKUP(VALUE(J2714),'Site Info'!$A:$G,5,FALSE),"")</f>
        <v>TX</v>
      </c>
      <c r="N2714" t="str">
        <f>IFERROR(VLOOKUP(VALUE(J2714),'Site Info'!$A:$G,6,FALSE),"")</f>
        <v>75228-6101</v>
      </c>
      <c r="O2714">
        <f>IFERROR(VLOOKUP(VALUE(J2714),'Site Info'!$A:$G,7,FALSE),"")</f>
        <v>2143202824</v>
      </c>
    </row>
    <row r="2715" spans="1:15" x14ac:dyDescent="0.45">
      <c r="A2715" t="s">
        <v>6274</v>
      </c>
      <c r="B2715" t="s">
        <v>6275</v>
      </c>
      <c r="C2715" t="s">
        <v>6276</v>
      </c>
      <c r="D2715" t="s">
        <v>16</v>
      </c>
      <c r="E2715" s="1">
        <v>46151.895462962966</v>
      </c>
      <c r="F2715">
        <v>1547</v>
      </c>
      <c r="G2715" t="s">
        <v>6277</v>
      </c>
      <c r="H2715" t="s">
        <v>15</v>
      </c>
      <c r="I2715" t="s">
        <v>17</v>
      </c>
      <c r="J2715" t="str">
        <f>RIGHT(D2715,4)</f>
        <v>6520</v>
      </c>
      <c r="K2715" t="str">
        <f>IFERROR(VLOOKUP(VALUE(J2715),'Site Info'!$A:$G,3,FALSE),"")</f>
        <v>5565 20TH ST</v>
      </c>
      <c r="L2715" t="str">
        <f>IFERROR(VLOOKUP(VALUE(J2715),'Site Info'!$A:$G,4,FALSE),"")</f>
        <v>VERO BEACH</v>
      </c>
      <c r="M2715" t="str">
        <f>IFERROR(VLOOKUP(VALUE(J2715),'Site Info'!$A:$G,5,FALSE),"")</f>
        <v>FL</v>
      </c>
      <c r="N2715" t="str">
        <f>IFERROR(VLOOKUP(VALUE(J2715),'Site Info'!$A:$G,6,FALSE),"")</f>
        <v>32966-4632</v>
      </c>
      <c r="O2715">
        <f>IFERROR(VLOOKUP(VALUE(J2715),'Site Info'!$A:$G,7,FALSE),"")</f>
        <v>7729789385</v>
      </c>
    </row>
    <row r="2716" spans="1:15" x14ac:dyDescent="0.45">
      <c r="A2716" t="s">
        <v>5878</v>
      </c>
      <c r="B2716" t="s">
        <v>5879</v>
      </c>
      <c r="C2716" t="s">
        <v>5880</v>
      </c>
      <c r="D2716" t="s">
        <v>16</v>
      </c>
      <c r="E2716" s="1">
        <v>46153.335613425923</v>
      </c>
      <c r="F2716">
        <v>1547</v>
      </c>
      <c r="G2716" t="s">
        <v>5881</v>
      </c>
      <c r="H2716" t="s">
        <v>15</v>
      </c>
      <c r="I2716" t="s">
        <v>17</v>
      </c>
      <c r="J2716" t="str">
        <f>RIGHT(D2716,4)</f>
        <v>6520</v>
      </c>
      <c r="K2716" t="str">
        <f>IFERROR(VLOOKUP(VALUE(J2716),'Site Info'!$A:$G,3,FALSE),"")</f>
        <v>5565 20TH ST</v>
      </c>
      <c r="L2716" t="str">
        <f>IFERROR(VLOOKUP(VALUE(J2716),'Site Info'!$A:$G,4,FALSE),"")</f>
        <v>VERO BEACH</v>
      </c>
      <c r="M2716" t="str">
        <f>IFERROR(VLOOKUP(VALUE(J2716),'Site Info'!$A:$G,5,FALSE),"")</f>
        <v>FL</v>
      </c>
      <c r="N2716" t="str">
        <f>IFERROR(VLOOKUP(VALUE(J2716),'Site Info'!$A:$G,6,FALSE),"")</f>
        <v>32966-4632</v>
      </c>
      <c r="O2716">
        <f>IFERROR(VLOOKUP(VALUE(J2716),'Site Info'!$A:$G,7,FALSE),"")</f>
        <v>7729789385</v>
      </c>
    </row>
    <row r="2717" spans="1:15" x14ac:dyDescent="0.45">
      <c r="A2717" t="s">
        <v>5564</v>
      </c>
      <c r="B2717" t="s">
        <v>5565</v>
      </c>
      <c r="C2717" t="s">
        <v>5566</v>
      </c>
      <c r="D2717" t="s">
        <v>16</v>
      </c>
      <c r="E2717" s="1">
        <v>46153.354722222219</v>
      </c>
      <c r="F2717">
        <v>1547</v>
      </c>
      <c r="G2717" t="s">
        <v>5567</v>
      </c>
      <c r="H2717" t="s">
        <v>15</v>
      </c>
      <c r="I2717" t="s">
        <v>17</v>
      </c>
      <c r="J2717" t="str">
        <f>RIGHT(D2717,4)</f>
        <v>6520</v>
      </c>
      <c r="K2717" t="str">
        <f>IFERROR(VLOOKUP(VALUE(J2717),'Site Info'!$A:$G,3,FALSE),"")</f>
        <v>5565 20TH ST</v>
      </c>
      <c r="L2717" t="str">
        <f>IFERROR(VLOOKUP(VALUE(J2717),'Site Info'!$A:$G,4,FALSE),"")</f>
        <v>VERO BEACH</v>
      </c>
      <c r="M2717" t="str">
        <f>IFERROR(VLOOKUP(VALUE(J2717),'Site Info'!$A:$G,5,FALSE),"")</f>
        <v>FL</v>
      </c>
      <c r="N2717" t="str">
        <f>IFERROR(VLOOKUP(VALUE(J2717),'Site Info'!$A:$G,6,FALSE),"")</f>
        <v>32966-4632</v>
      </c>
      <c r="O2717">
        <f>IFERROR(VLOOKUP(VALUE(J2717),'Site Info'!$A:$G,7,FALSE),"")</f>
        <v>7729789385</v>
      </c>
    </row>
    <row r="2718" spans="1:15" x14ac:dyDescent="0.45">
      <c r="A2718" t="s">
        <v>5956</v>
      </c>
      <c r="B2718" t="s">
        <v>5957</v>
      </c>
      <c r="C2718" t="s">
        <v>5958</v>
      </c>
      <c r="D2718" t="s">
        <v>16</v>
      </c>
      <c r="E2718" s="1">
        <v>46153.371319444443</v>
      </c>
      <c r="F2718">
        <v>1547</v>
      </c>
      <c r="G2718" t="s">
        <v>5959</v>
      </c>
      <c r="H2718" t="s">
        <v>15</v>
      </c>
      <c r="I2718" t="s">
        <v>17</v>
      </c>
      <c r="J2718" t="str">
        <f>RIGHT(D2718,4)</f>
        <v>6520</v>
      </c>
      <c r="K2718" t="str">
        <f>IFERROR(VLOOKUP(VALUE(J2718),'Site Info'!$A:$G,3,FALSE),"")</f>
        <v>5565 20TH ST</v>
      </c>
      <c r="L2718" t="str">
        <f>IFERROR(VLOOKUP(VALUE(J2718),'Site Info'!$A:$G,4,FALSE),"")</f>
        <v>VERO BEACH</v>
      </c>
      <c r="M2718" t="str">
        <f>IFERROR(VLOOKUP(VALUE(J2718),'Site Info'!$A:$G,5,FALSE),"")</f>
        <v>FL</v>
      </c>
      <c r="N2718" t="str">
        <f>IFERROR(VLOOKUP(VALUE(J2718),'Site Info'!$A:$G,6,FALSE),"")</f>
        <v>32966-4632</v>
      </c>
      <c r="O2718">
        <f>IFERROR(VLOOKUP(VALUE(J2718),'Site Info'!$A:$G,7,FALSE),"")</f>
        <v>7729789385</v>
      </c>
    </row>
    <row r="2719" spans="1:15" x14ac:dyDescent="0.45">
      <c r="A2719" t="s">
        <v>5552</v>
      </c>
      <c r="B2719" t="s">
        <v>5553</v>
      </c>
      <c r="C2719" t="s">
        <v>5554</v>
      </c>
      <c r="D2719" t="s">
        <v>16</v>
      </c>
      <c r="E2719" s="1">
        <v>46153.371782407405</v>
      </c>
      <c r="F2719">
        <v>1547</v>
      </c>
      <c r="G2719" t="s">
        <v>5555</v>
      </c>
      <c r="H2719" t="s">
        <v>15</v>
      </c>
      <c r="I2719" t="s">
        <v>17</v>
      </c>
      <c r="J2719" t="str">
        <f>RIGHT(D2719,4)</f>
        <v>6520</v>
      </c>
      <c r="K2719" t="str">
        <f>IFERROR(VLOOKUP(VALUE(J2719),'Site Info'!$A:$G,3,FALSE),"")</f>
        <v>5565 20TH ST</v>
      </c>
      <c r="L2719" t="str">
        <f>IFERROR(VLOOKUP(VALUE(J2719),'Site Info'!$A:$G,4,FALSE),"")</f>
        <v>VERO BEACH</v>
      </c>
      <c r="M2719" t="str">
        <f>IFERROR(VLOOKUP(VALUE(J2719),'Site Info'!$A:$G,5,FALSE),"")</f>
        <v>FL</v>
      </c>
      <c r="N2719" t="str">
        <f>IFERROR(VLOOKUP(VALUE(J2719),'Site Info'!$A:$G,6,FALSE),"")</f>
        <v>32966-4632</v>
      </c>
      <c r="O2719">
        <f>IFERROR(VLOOKUP(VALUE(J2719),'Site Info'!$A:$G,7,FALSE),"")</f>
        <v>7729789385</v>
      </c>
    </row>
    <row r="2720" spans="1:15" x14ac:dyDescent="0.45">
      <c r="A2720" t="s">
        <v>16920</v>
      </c>
      <c r="B2720" t="s">
        <v>16921</v>
      </c>
      <c r="C2720" t="s">
        <v>16922</v>
      </c>
      <c r="D2720" t="s">
        <v>16</v>
      </c>
      <c r="E2720" s="1">
        <v>46151.503831018519</v>
      </c>
      <c r="F2720">
        <v>1484</v>
      </c>
      <c r="G2720" t="s">
        <v>16923</v>
      </c>
      <c r="H2720" t="s">
        <v>15</v>
      </c>
      <c r="I2720" t="s">
        <v>17</v>
      </c>
      <c r="J2720" t="str">
        <f>RIGHT(D2720,4)</f>
        <v>6520</v>
      </c>
      <c r="K2720" t="str">
        <f>IFERROR(VLOOKUP(VALUE(J2720),'Site Info'!$A:$G,3,FALSE),"")</f>
        <v>5565 20TH ST</v>
      </c>
      <c r="L2720" t="str">
        <f>IFERROR(VLOOKUP(VALUE(J2720),'Site Info'!$A:$G,4,FALSE),"")</f>
        <v>VERO BEACH</v>
      </c>
      <c r="M2720" t="str">
        <f>IFERROR(VLOOKUP(VALUE(J2720),'Site Info'!$A:$G,5,FALSE),"")</f>
        <v>FL</v>
      </c>
      <c r="N2720" t="str">
        <f>IFERROR(VLOOKUP(VALUE(J2720),'Site Info'!$A:$G,6,FALSE),"")</f>
        <v>32966-4632</v>
      </c>
      <c r="O2720">
        <f>IFERROR(VLOOKUP(VALUE(J2720),'Site Info'!$A:$G,7,FALSE),"")</f>
        <v>7729789385</v>
      </c>
    </row>
    <row r="2721" spans="1:15" x14ac:dyDescent="0.45">
      <c r="A2721" t="s">
        <v>8741</v>
      </c>
      <c r="B2721" t="s">
        <v>8742</v>
      </c>
      <c r="C2721" t="s">
        <v>8743</v>
      </c>
      <c r="D2721" t="s">
        <v>4941</v>
      </c>
      <c r="E2721" s="1">
        <v>46150.742731481485</v>
      </c>
      <c r="F2721">
        <v>1547</v>
      </c>
      <c r="G2721" t="s">
        <v>8744</v>
      </c>
      <c r="H2721" t="s">
        <v>15</v>
      </c>
      <c r="I2721" t="s">
        <v>4943</v>
      </c>
      <c r="J2721" t="str">
        <f>RIGHT(D2721,4)</f>
        <v>6262</v>
      </c>
      <c r="K2721" t="str">
        <f>IFERROR(VLOOKUP(VALUE(J2721),'Site Info'!$A:$G,3,FALSE),"")</f>
        <v>5565 DE ZAVALA RD</v>
      </c>
      <c r="L2721" t="str">
        <f>IFERROR(VLOOKUP(VALUE(J2721),'Site Info'!$A:$G,4,FALSE),"")</f>
        <v>SAN ANTONIO</v>
      </c>
      <c r="M2721" t="str">
        <f>IFERROR(VLOOKUP(VALUE(J2721),'Site Info'!$A:$G,5,FALSE),"")</f>
        <v>TX</v>
      </c>
      <c r="N2721" t="str">
        <f>IFERROR(VLOOKUP(VALUE(J2721),'Site Info'!$A:$G,6,FALSE),"")</f>
        <v>78249-1735</v>
      </c>
      <c r="O2721">
        <f>IFERROR(VLOOKUP(VALUE(J2721),'Site Info'!$A:$G,7,FALSE),"")</f>
        <v>2106414810</v>
      </c>
    </row>
    <row r="2722" spans="1:15" x14ac:dyDescent="0.45">
      <c r="A2722" t="s">
        <v>10230</v>
      </c>
      <c r="B2722" t="s">
        <v>10231</v>
      </c>
      <c r="C2722" t="s">
        <v>10232</v>
      </c>
      <c r="D2722" t="s">
        <v>4941</v>
      </c>
      <c r="E2722" s="1">
        <v>46151.369259259256</v>
      </c>
      <c r="F2722">
        <v>1547</v>
      </c>
      <c r="G2722" t="s">
        <v>10233</v>
      </c>
      <c r="H2722" t="s">
        <v>15</v>
      </c>
      <c r="I2722" t="s">
        <v>4943</v>
      </c>
      <c r="J2722" t="str">
        <f>RIGHT(D2722,4)</f>
        <v>6262</v>
      </c>
      <c r="K2722" t="str">
        <f>IFERROR(VLOOKUP(VALUE(J2722),'Site Info'!$A:$G,3,FALSE),"")</f>
        <v>5565 DE ZAVALA RD</v>
      </c>
      <c r="L2722" t="str">
        <f>IFERROR(VLOOKUP(VALUE(J2722),'Site Info'!$A:$G,4,FALSE),"")</f>
        <v>SAN ANTONIO</v>
      </c>
      <c r="M2722" t="str">
        <f>IFERROR(VLOOKUP(VALUE(J2722),'Site Info'!$A:$G,5,FALSE),"")</f>
        <v>TX</v>
      </c>
      <c r="N2722" t="str">
        <f>IFERROR(VLOOKUP(VALUE(J2722),'Site Info'!$A:$G,6,FALSE),"")</f>
        <v>78249-1735</v>
      </c>
      <c r="O2722">
        <f>IFERROR(VLOOKUP(VALUE(J2722),'Site Info'!$A:$G,7,FALSE),"")</f>
        <v>2106414810</v>
      </c>
    </row>
    <row r="2723" spans="1:15" x14ac:dyDescent="0.45">
      <c r="A2723" t="s">
        <v>4938</v>
      </c>
      <c r="B2723" t="s">
        <v>4939</v>
      </c>
      <c r="C2723" t="s">
        <v>4940</v>
      </c>
      <c r="D2723" t="s">
        <v>4941</v>
      </c>
      <c r="E2723" s="1">
        <v>46152.457951388889</v>
      </c>
      <c r="F2723">
        <v>1547</v>
      </c>
      <c r="G2723" t="s">
        <v>4942</v>
      </c>
      <c r="H2723" t="s">
        <v>15</v>
      </c>
      <c r="I2723" t="s">
        <v>4943</v>
      </c>
      <c r="J2723" t="str">
        <f>RIGHT(D2723,4)</f>
        <v>6262</v>
      </c>
      <c r="K2723" t="str">
        <f>IFERROR(VLOOKUP(VALUE(J2723),'Site Info'!$A:$G,3,FALSE),"")</f>
        <v>5565 DE ZAVALA RD</v>
      </c>
      <c r="L2723" t="str">
        <f>IFERROR(VLOOKUP(VALUE(J2723),'Site Info'!$A:$G,4,FALSE),"")</f>
        <v>SAN ANTONIO</v>
      </c>
      <c r="M2723" t="str">
        <f>IFERROR(VLOOKUP(VALUE(J2723),'Site Info'!$A:$G,5,FALSE),"")</f>
        <v>TX</v>
      </c>
      <c r="N2723" t="str">
        <f>IFERROR(VLOOKUP(VALUE(J2723),'Site Info'!$A:$G,6,FALSE),"")</f>
        <v>78249-1735</v>
      </c>
      <c r="O2723">
        <f>IFERROR(VLOOKUP(VALUE(J2723),'Site Info'!$A:$G,7,FALSE),"")</f>
        <v>2106414810</v>
      </c>
    </row>
    <row r="2724" spans="1:15" x14ac:dyDescent="0.45">
      <c r="A2724" t="s">
        <v>10206</v>
      </c>
      <c r="B2724" t="s">
        <v>10207</v>
      </c>
      <c r="C2724" t="s">
        <v>10208</v>
      </c>
      <c r="D2724" t="s">
        <v>4941</v>
      </c>
      <c r="E2724" s="1">
        <v>46153.348009259258</v>
      </c>
      <c r="F2724">
        <v>1547</v>
      </c>
      <c r="G2724" t="s">
        <v>10209</v>
      </c>
      <c r="H2724" t="s">
        <v>15</v>
      </c>
      <c r="I2724" t="s">
        <v>4943</v>
      </c>
      <c r="J2724" t="str">
        <f>RIGHT(D2724,4)</f>
        <v>6262</v>
      </c>
      <c r="K2724" t="str">
        <f>IFERROR(VLOOKUP(VALUE(J2724),'Site Info'!$A:$G,3,FALSE),"")</f>
        <v>5565 DE ZAVALA RD</v>
      </c>
      <c r="L2724" t="str">
        <f>IFERROR(VLOOKUP(VALUE(J2724),'Site Info'!$A:$G,4,FALSE),"")</f>
        <v>SAN ANTONIO</v>
      </c>
      <c r="M2724" t="str">
        <f>IFERROR(VLOOKUP(VALUE(J2724),'Site Info'!$A:$G,5,FALSE),"")</f>
        <v>TX</v>
      </c>
      <c r="N2724" t="str">
        <f>IFERROR(VLOOKUP(VALUE(J2724),'Site Info'!$A:$G,6,FALSE),"")</f>
        <v>78249-1735</v>
      </c>
      <c r="O2724">
        <f>IFERROR(VLOOKUP(VALUE(J2724),'Site Info'!$A:$G,7,FALSE),"")</f>
        <v>2106414810</v>
      </c>
    </row>
    <row r="2725" spans="1:15" x14ac:dyDescent="0.45">
      <c r="A2725" t="s">
        <v>6126</v>
      </c>
      <c r="B2725" t="s">
        <v>6127</v>
      </c>
      <c r="C2725" t="s">
        <v>6128</v>
      </c>
      <c r="D2725" t="s">
        <v>2173</v>
      </c>
      <c r="E2725" s="1">
        <v>46150.159722222219</v>
      </c>
      <c r="F2725">
        <v>1547</v>
      </c>
      <c r="G2725" t="s">
        <v>6129</v>
      </c>
      <c r="H2725" t="s">
        <v>15</v>
      </c>
      <c r="I2725" t="s">
        <v>2175</v>
      </c>
      <c r="J2725" t="str">
        <f>RIGHT(D2725,4)</f>
        <v>6356</v>
      </c>
      <c r="K2725" t="str">
        <f>IFERROR(VLOOKUP(VALUE(J2725),'Site Info'!$A:$G,3,FALSE),"")</f>
        <v>56 W MERRITT BLVD</v>
      </c>
      <c r="L2725" t="str">
        <f>IFERROR(VLOOKUP(VALUE(J2725),'Site Info'!$A:$G,4,FALSE),"")</f>
        <v>FISHKILL</v>
      </c>
      <c r="M2725" t="str">
        <f>IFERROR(VLOOKUP(VALUE(J2725),'Site Info'!$A:$G,5,FALSE),"")</f>
        <v>NY</v>
      </c>
      <c r="N2725" t="str">
        <f>IFERROR(VLOOKUP(VALUE(J2725),'Site Info'!$A:$G,6,FALSE),"")</f>
        <v>12524-2243</v>
      </c>
      <c r="O2725">
        <f>IFERROR(VLOOKUP(VALUE(J2725),'Site Info'!$A:$G,7,FALSE),"")</f>
        <v>8458964980</v>
      </c>
    </row>
    <row r="2726" spans="1:15" x14ac:dyDescent="0.45">
      <c r="A2726" t="s">
        <v>10070</v>
      </c>
      <c r="B2726" t="s">
        <v>10071</v>
      </c>
      <c r="C2726" t="s">
        <v>10072</v>
      </c>
      <c r="D2726" t="s">
        <v>2173</v>
      </c>
      <c r="E2726" s="1">
        <v>46153.350208333337</v>
      </c>
      <c r="F2726">
        <v>1547</v>
      </c>
      <c r="G2726" t="s">
        <v>10073</v>
      </c>
      <c r="H2726" t="s">
        <v>15</v>
      </c>
      <c r="I2726" t="s">
        <v>2175</v>
      </c>
      <c r="J2726" t="str">
        <f>RIGHT(D2726,4)</f>
        <v>6356</v>
      </c>
      <c r="K2726" t="str">
        <f>IFERROR(VLOOKUP(VALUE(J2726),'Site Info'!$A:$G,3,FALSE),"")</f>
        <v>56 W MERRITT BLVD</v>
      </c>
      <c r="L2726" t="str">
        <f>IFERROR(VLOOKUP(VALUE(J2726),'Site Info'!$A:$G,4,FALSE),"")</f>
        <v>FISHKILL</v>
      </c>
      <c r="M2726" t="str">
        <f>IFERROR(VLOOKUP(VALUE(J2726),'Site Info'!$A:$G,5,FALSE),"")</f>
        <v>NY</v>
      </c>
      <c r="N2726" t="str">
        <f>IFERROR(VLOOKUP(VALUE(J2726),'Site Info'!$A:$G,6,FALSE),"")</f>
        <v>12524-2243</v>
      </c>
      <c r="O2726">
        <f>IFERROR(VLOOKUP(VALUE(J2726),'Site Info'!$A:$G,7,FALSE),"")</f>
        <v>8458964980</v>
      </c>
    </row>
    <row r="2727" spans="1:15" x14ac:dyDescent="0.45">
      <c r="A2727" t="s">
        <v>2435</v>
      </c>
      <c r="B2727" t="s">
        <v>2436</v>
      </c>
      <c r="C2727" t="s">
        <v>2437</v>
      </c>
      <c r="D2727" t="s">
        <v>2173</v>
      </c>
      <c r="E2727" s="1">
        <v>46153.218333333331</v>
      </c>
      <c r="F2727">
        <v>1481</v>
      </c>
      <c r="G2727" t="s">
        <v>2438</v>
      </c>
      <c r="H2727" t="s">
        <v>15</v>
      </c>
      <c r="I2727" t="s">
        <v>2175</v>
      </c>
      <c r="J2727" t="str">
        <f>RIGHT(D2727,4)</f>
        <v>6356</v>
      </c>
      <c r="K2727" t="str">
        <f>IFERROR(VLOOKUP(VALUE(J2727),'Site Info'!$A:$G,3,FALSE),"")</f>
        <v>56 W MERRITT BLVD</v>
      </c>
      <c r="L2727" t="str">
        <f>IFERROR(VLOOKUP(VALUE(J2727),'Site Info'!$A:$G,4,FALSE),"")</f>
        <v>FISHKILL</v>
      </c>
      <c r="M2727" t="str">
        <f>IFERROR(VLOOKUP(VALUE(J2727),'Site Info'!$A:$G,5,FALSE),"")</f>
        <v>NY</v>
      </c>
      <c r="N2727" t="str">
        <f>IFERROR(VLOOKUP(VALUE(J2727),'Site Info'!$A:$G,6,FALSE),"")</f>
        <v>12524-2243</v>
      </c>
      <c r="O2727">
        <f>IFERROR(VLOOKUP(VALUE(J2727),'Site Info'!$A:$G,7,FALSE),"")</f>
        <v>8458964980</v>
      </c>
    </row>
    <row r="2728" spans="1:15" x14ac:dyDescent="0.45">
      <c r="A2728" t="s">
        <v>3031</v>
      </c>
      <c r="B2728" t="s">
        <v>3032</v>
      </c>
      <c r="C2728" t="s">
        <v>3033</v>
      </c>
      <c r="D2728" t="s">
        <v>2173</v>
      </c>
      <c r="E2728" s="1">
        <v>46153.369421296295</v>
      </c>
      <c r="F2728">
        <v>1481</v>
      </c>
      <c r="G2728" t="s">
        <v>3034</v>
      </c>
      <c r="H2728" t="s">
        <v>15</v>
      </c>
      <c r="I2728" t="s">
        <v>2175</v>
      </c>
      <c r="J2728" t="str">
        <f>RIGHT(D2728,4)</f>
        <v>6356</v>
      </c>
      <c r="K2728" t="str">
        <f>IFERROR(VLOOKUP(VALUE(J2728),'Site Info'!$A:$G,3,FALSE),"")</f>
        <v>56 W MERRITT BLVD</v>
      </c>
      <c r="L2728" t="str">
        <f>IFERROR(VLOOKUP(VALUE(J2728),'Site Info'!$A:$G,4,FALSE),"")</f>
        <v>FISHKILL</v>
      </c>
      <c r="M2728" t="str">
        <f>IFERROR(VLOOKUP(VALUE(J2728),'Site Info'!$A:$G,5,FALSE),"")</f>
        <v>NY</v>
      </c>
      <c r="N2728" t="str">
        <f>IFERROR(VLOOKUP(VALUE(J2728),'Site Info'!$A:$G,6,FALSE),"")</f>
        <v>12524-2243</v>
      </c>
      <c r="O2728">
        <f>IFERROR(VLOOKUP(VALUE(J2728),'Site Info'!$A:$G,7,FALSE),"")</f>
        <v>8458964980</v>
      </c>
    </row>
    <row r="2729" spans="1:15" x14ac:dyDescent="0.45">
      <c r="A2729" t="s">
        <v>2170</v>
      </c>
      <c r="B2729" t="s">
        <v>2171</v>
      </c>
      <c r="C2729" t="s">
        <v>2172</v>
      </c>
      <c r="D2729" t="s">
        <v>2173</v>
      </c>
      <c r="E2729" s="1">
        <v>46153.370358796295</v>
      </c>
      <c r="F2729">
        <v>1481</v>
      </c>
      <c r="G2729" t="s">
        <v>2174</v>
      </c>
      <c r="H2729" t="s">
        <v>15</v>
      </c>
      <c r="I2729" t="s">
        <v>2175</v>
      </c>
      <c r="J2729" t="str">
        <f>RIGHT(D2729,4)</f>
        <v>6356</v>
      </c>
      <c r="K2729" t="str">
        <f>IFERROR(VLOOKUP(VALUE(J2729),'Site Info'!$A:$G,3,FALSE),"")</f>
        <v>56 W MERRITT BLVD</v>
      </c>
      <c r="L2729" t="str">
        <f>IFERROR(VLOOKUP(VALUE(J2729),'Site Info'!$A:$G,4,FALSE),"")</f>
        <v>FISHKILL</v>
      </c>
      <c r="M2729" t="str">
        <f>IFERROR(VLOOKUP(VALUE(J2729),'Site Info'!$A:$G,5,FALSE),"")</f>
        <v>NY</v>
      </c>
      <c r="N2729" t="str">
        <f>IFERROR(VLOOKUP(VALUE(J2729),'Site Info'!$A:$G,6,FALSE),"")</f>
        <v>12524-2243</v>
      </c>
      <c r="O2729">
        <f>IFERROR(VLOOKUP(VALUE(J2729),'Site Info'!$A:$G,7,FALSE),"")</f>
        <v>8458964980</v>
      </c>
    </row>
    <row r="2730" spans="1:15" x14ac:dyDescent="0.45">
      <c r="A2730" t="s">
        <v>2533</v>
      </c>
      <c r="B2730" t="s">
        <v>2534</v>
      </c>
      <c r="C2730" t="s">
        <v>2535</v>
      </c>
      <c r="D2730" t="s">
        <v>2173</v>
      </c>
      <c r="E2730" s="1">
        <v>46153.373194444444</v>
      </c>
      <c r="F2730">
        <v>1481</v>
      </c>
      <c r="G2730" t="s">
        <v>2536</v>
      </c>
      <c r="H2730" t="s">
        <v>15</v>
      </c>
      <c r="I2730" t="s">
        <v>2175</v>
      </c>
      <c r="J2730" t="str">
        <f>RIGHT(D2730,4)</f>
        <v>6356</v>
      </c>
      <c r="K2730" t="str">
        <f>IFERROR(VLOOKUP(VALUE(J2730),'Site Info'!$A:$G,3,FALSE),"")</f>
        <v>56 W MERRITT BLVD</v>
      </c>
      <c r="L2730" t="str">
        <f>IFERROR(VLOOKUP(VALUE(J2730),'Site Info'!$A:$G,4,FALSE),"")</f>
        <v>FISHKILL</v>
      </c>
      <c r="M2730" t="str">
        <f>IFERROR(VLOOKUP(VALUE(J2730),'Site Info'!$A:$G,5,FALSE),"")</f>
        <v>NY</v>
      </c>
      <c r="N2730" t="str">
        <f>IFERROR(VLOOKUP(VALUE(J2730),'Site Info'!$A:$G,6,FALSE),"")</f>
        <v>12524-2243</v>
      </c>
      <c r="O2730">
        <f>IFERROR(VLOOKUP(VALUE(J2730),'Site Info'!$A:$G,7,FALSE),"")</f>
        <v>8458964980</v>
      </c>
    </row>
    <row r="2731" spans="1:15" x14ac:dyDescent="0.45">
      <c r="A2731" t="s">
        <v>7077</v>
      </c>
      <c r="B2731" t="s">
        <v>7078</v>
      </c>
      <c r="C2731" t="s">
        <v>7079</v>
      </c>
      <c r="D2731" t="s">
        <v>2420</v>
      </c>
      <c r="E2731" s="1">
        <v>46152.286076388889</v>
      </c>
      <c r="F2731">
        <v>1547</v>
      </c>
      <c r="G2731" t="s">
        <v>7080</v>
      </c>
      <c r="H2731" t="s">
        <v>15</v>
      </c>
      <c r="I2731" t="s">
        <v>2422</v>
      </c>
      <c r="J2731" t="str">
        <f>RIGHT(D2731,4)</f>
        <v>4846</v>
      </c>
      <c r="K2731" t="str">
        <f>IFERROR(VLOOKUP(VALUE(J2731),'Site Info'!$A:$G,3,FALSE),"")</f>
        <v>5600 EMERALD CT</v>
      </c>
      <c r="L2731" t="str">
        <f>IFERROR(VLOOKUP(VALUE(J2731),'Site Info'!$A:$G,4,FALSE),"")</f>
        <v>MENTOR</v>
      </c>
      <c r="M2731" t="str">
        <f>IFERROR(VLOOKUP(VALUE(J2731),'Site Info'!$A:$G,5,FALSE),"")</f>
        <v>OH</v>
      </c>
      <c r="N2731" t="str">
        <f>IFERROR(VLOOKUP(VALUE(J2731),'Site Info'!$A:$G,6,FALSE),"")</f>
        <v>44060-1869</v>
      </c>
      <c r="O2731">
        <f>IFERROR(VLOOKUP(VALUE(J2731),'Site Info'!$A:$G,7,FALSE),"")</f>
        <v>4403527430</v>
      </c>
    </row>
    <row r="2732" spans="1:15" x14ac:dyDescent="0.45">
      <c r="A2732" t="s">
        <v>8761</v>
      </c>
      <c r="B2732" t="s">
        <v>8762</v>
      </c>
      <c r="C2732" t="s">
        <v>8763</v>
      </c>
      <c r="D2732" t="s">
        <v>2420</v>
      </c>
      <c r="E2732" s="1">
        <v>46152.85628472222</v>
      </c>
      <c r="F2732">
        <v>1547</v>
      </c>
      <c r="G2732" t="s">
        <v>8764</v>
      </c>
      <c r="H2732" t="s">
        <v>15</v>
      </c>
      <c r="I2732" t="s">
        <v>2422</v>
      </c>
      <c r="J2732" t="str">
        <f>RIGHT(D2732,4)</f>
        <v>4846</v>
      </c>
      <c r="K2732" t="str">
        <f>IFERROR(VLOOKUP(VALUE(J2732),'Site Info'!$A:$G,3,FALSE),"")</f>
        <v>5600 EMERALD CT</v>
      </c>
      <c r="L2732" t="str">
        <f>IFERROR(VLOOKUP(VALUE(J2732),'Site Info'!$A:$G,4,FALSE),"")</f>
        <v>MENTOR</v>
      </c>
      <c r="M2732" t="str">
        <f>IFERROR(VLOOKUP(VALUE(J2732),'Site Info'!$A:$G,5,FALSE),"")</f>
        <v>OH</v>
      </c>
      <c r="N2732" t="str">
        <f>IFERROR(VLOOKUP(VALUE(J2732),'Site Info'!$A:$G,6,FALSE),"")</f>
        <v>44060-1869</v>
      </c>
      <c r="O2732">
        <f>IFERROR(VLOOKUP(VALUE(J2732),'Site Info'!$A:$G,7,FALSE),"")</f>
        <v>4403527430</v>
      </c>
    </row>
    <row r="2733" spans="1:15" x14ac:dyDescent="0.45">
      <c r="A2733" t="s">
        <v>8881</v>
      </c>
      <c r="B2733" t="s">
        <v>8882</v>
      </c>
      <c r="C2733" t="s">
        <v>8883</v>
      </c>
      <c r="D2733" t="s">
        <v>2420</v>
      </c>
      <c r="E2733" s="1">
        <v>46153.216793981483</v>
      </c>
      <c r="F2733">
        <v>1547</v>
      </c>
      <c r="G2733" t="s">
        <v>8884</v>
      </c>
      <c r="H2733" t="s">
        <v>15</v>
      </c>
      <c r="I2733" t="s">
        <v>2422</v>
      </c>
      <c r="J2733" t="str">
        <f>RIGHT(D2733,4)</f>
        <v>4846</v>
      </c>
      <c r="K2733" t="str">
        <f>IFERROR(VLOOKUP(VALUE(J2733),'Site Info'!$A:$G,3,FALSE),"")</f>
        <v>5600 EMERALD CT</v>
      </c>
      <c r="L2733" t="str">
        <f>IFERROR(VLOOKUP(VALUE(J2733),'Site Info'!$A:$G,4,FALSE),"")</f>
        <v>MENTOR</v>
      </c>
      <c r="M2733" t="str">
        <f>IFERROR(VLOOKUP(VALUE(J2733),'Site Info'!$A:$G,5,FALSE),"")</f>
        <v>OH</v>
      </c>
      <c r="N2733" t="str">
        <f>IFERROR(VLOOKUP(VALUE(J2733),'Site Info'!$A:$G,6,FALSE),"")</f>
        <v>44060-1869</v>
      </c>
      <c r="O2733">
        <f>IFERROR(VLOOKUP(VALUE(J2733),'Site Info'!$A:$G,7,FALSE),"")</f>
        <v>4403527430</v>
      </c>
    </row>
    <row r="2734" spans="1:15" x14ac:dyDescent="0.45">
      <c r="A2734" t="s">
        <v>9001</v>
      </c>
      <c r="B2734" t="s">
        <v>9002</v>
      </c>
      <c r="C2734" t="s">
        <v>9003</v>
      </c>
      <c r="D2734" t="s">
        <v>2420</v>
      </c>
      <c r="E2734" s="1">
        <v>46153.318912037037</v>
      </c>
      <c r="F2734">
        <v>1547</v>
      </c>
      <c r="G2734" t="s">
        <v>9004</v>
      </c>
      <c r="H2734" t="s">
        <v>15</v>
      </c>
      <c r="I2734" t="s">
        <v>2422</v>
      </c>
      <c r="J2734" t="str">
        <f>RIGHT(D2734,4)</f>
        <v>4846</v>
      </c>
      <c r="K2734" t="str">
        <f>IFERROR(VLOOKUP(VALUE(J2734),'Site Info'!$A:$G,3,FALSE),"")</f>
        <v>5600 EMERALD CT</v>
      </c>
      <c r="L2734" t="str">
        <f>IFERROR(VLOOKUP(VALUE(J2734),'Site Info'!$A:$G,4,FALSE),"")</f>
        <v>MENTOR</v>
      </c>
      <c r="M2734" t="str">
        <f>IFERROR(VLOOKUP(VALUE(J2734),'Site Info'!$A:$G,5,FALSE),"")</f>
        <v>OH</v>
      </c>
      <c r="N2734" t="str">
        <f>IFERROR(VLOOKUP(VALUE(J2734),'Site Info'!$A:$G,6,FALSE),"")</f>
        <v>44060-1869</v>
      </c>
      <c r="O2734">
        <f>IFERROR(VLOOKUP(VALUE(J2734),'Site Info'!$A:$G,7,FALSE),"")</f>
        <v>4403527430</v>
      </c>
    </row>
    <row r="2735" spans="1:15" x14ac:dyDescent="0.45">
      <c r="A2735" t="s">
        <v>9025</v>
      </c>
      <c r="B2735" t="s">
        <v>9026</v>
      </c>
      <c r="C2735" t="s">
        <v>9027</v>
      </c>
      <c r="D2735" t="s">
        <v>2420</v>
      </c>
      <c r="E2735" s="1">
        <v>46153.323784722219</v>
      </c>
      <c r="F2735">
        <v>1547</v>
      </c>
      <c r="G2735" t="s">
        <v>9028</v>
      </c>
      <c r="H2735" t="s">
        <v>15</v>
      </c>
      <c r="I2735" t="s">
        <v>2422</v>
      </c>
      <c r="J2735" t="str">
        <f>RIGHT(D2735,4)</f>
        <v>4846</v>
      </c>
      <c r="K2735" t="str">
        <f>IFERROR(VLOOKUP(VALUE(J2735),'Site Info'!$A:$G,3,FALSE),"")</f>
        <v>5600 EMERALD CT</v>
      </c>
      <c r="L2735" t="str">
        <f>IFERROR(VLOOKUP(VALUE(J2735),'Site Info'!$A:$G,4,FALSE),"")</f>
        <v>MENTOR</v>
      </c>
      <c r="M2735" t="str">
        <f>IFERROR(VLOOKUP(VALUE(J2735),'Site Info'!$A:$G,5,FALSE),"")</f>
        <v>OH</v>
      </c>
      <c r="N2735" t="str">
        <f>IFERROR(VLOOKUP(VALUE(J2735),'Site Info'!$A:$G,6,FALSE),"")</f>
        <v>44060-1869</v>
      </c>
      <c r="O2735">
        <f>IFERROR(VLOOKUP(VALUE(J2735),'Site Info'!$A:$G,7,FALSE),"")</f>
        <v>4403527430</v>
      </c>
    </row>
    <row r="2736" spans="1:15" x14ac:dyDescent="0.45">
      <c r="A2736" t="s">
        <v>2417</v>
      </c>
      <c r="B2736" t="s">
        <v>2418</v>
      </c>
      <c r="C2736" t="s">
        <v>2419</v>
      </c>
      <c r="D2736" t="s">
        <v>2420</v>
      </c>
      <c r="E2736" s="1">
        <v>46152.390474537038</v>
      </c>
      <c r="F2736">
        <v>1481</v>
      </c>
      <c r="G2736" t="s">
        <v>2421</v>
      </c>
      <c r="H2736" t="s">
        <v>15</v>
      </c>
      <c r="I2736" t="s">
        <v>2422</v>
      </c>
      <c r="J2736" t="str">
        <f>RIGHT(D2736,4)</f>
        <v>4846</v>
      </c>
      <c r="K2736" t="str">
        <f>IFERROR(VLOOKUP(VALUE(J2736),'Site Info'!$A:$G,3,FALSE),"")</f>
        <v>5600 EMERALD CT</v>
      </c>
      <c r="L2736" t="str">
        <f>IFERROR(VLOOKUP(VALUE(J2736),'Site Info'!$A:$G,4,FALSE),"")</f>
        <v>MENTOR</v>
      </c>
      <c r="M2736" t="str">
        <f>IFERROR(VLOOKUP(VALUE(J2736),'Site Info'!$A:$G,5,FALSE),"")</f>
        <v>OH</v>
      </c>
      <c r="N2736" t="str">
        <f>IFERROR(VLOOKUP(VALUE(J2736),'Site Info'!$A:$G,6,FALSE),"")</f>
        <v>44060-1869</v>
      </c>
      <c r="O2736">
        <f>IFERROR(VLOOKUP(VALUE(J2736),'Site Info'!$A:$G,7,FALSE),"")</f>
        <v>4403527430</v>
      </c>
    </row>
    <row r="2737" spans="1:15" x14ac:dyDescent="0.45">
      <c r="A2737" t="s">
        <v>3511</v>
      </c>
      <c r="B2737" t="s">
        <v>3512</v>
      </c>
      <c r="C2737" t="s">
        <v>3513</v>
      </c>
      <c r="D2737" t="s">
        <v>2420</v>
      </c>
      <c r="E2737" s="1">
        <v>46153.374155092592</v>
      </c>
      <c r="F2737">
        <v>1481</v>
      </c>
      <c r="G2737" t="s">
        <v>3514</v>
      </c>
      <c r="H2737" t="s">
        <v>15</v>
      </c>
      <c r="I2737" t="s">
        <v>2422</v>
      </c>
      <c r="J2737" t="str">
        <f>RIGHT(D2737,4)</f>
        <v>4846</v>
      </c>
      <c r="K2737" t="str">
        <f>IFERROR(VLOOKUP(VALUE(J2737),'Site Info'!$A:$G,3,FALSE),"")</f>
        <v>5600 EMERALD CT</v>
      </c>
      <c r="L2737" t="str">
        <f>IFERROR(VLOOKUP(VALUE(J2737),'Site Info'!$A:$G,4,FALSE),"")</f>
        <v>MENTOR</v>
      </c>
      <c r="M2737" t="str">
        <f>IFERROR(VLOOKUP(VALUE(J2737),'Site Info'!$A:$G,5,FALSE),"")</f>
        <v>OH</v>
      </c>
      <c r="N2737" t="str">
        <f>IFERROR(VLOOKUP(VALUE(J2737),'Site Info'!$A:$G,6,FALSE),"")</f>
        <v>44060-1869</v>
      </c>
      <c r="O2737">
        <f>IFERROR(VLOOKUP(VALUE(J2737),'Site Info'!$A:$G,7,FALSE),"")</f>
        <v>4403527430</v>
      </c>
    </row>
    <row r="2738" spans="1:15" x14ac:dyDescent="0.45">
      <c r="A2738" t="s">
        <v>14535</v>
      </c>
      <c r="B2738" t="s">
        <v>14536</v>
      </c>
      <c r="C2738" t="s">
        <v>14537</v>
      </c>
      <c r="D2738" t="s">
        <v>9622</v>
      </c>
      <c r="E2738" s="1">
        <v>46153.130879629629</v>
      </c>
      <c r="F2738">
        <v>1628</v>
      </c>
      <c r="G2738" t="s">
        <v>14538</v>
      </c>
      <c r="H2738" t="s">
        <v>13988</v>
      </c>
      <c r="J2738" t="str">
        <f>RIGHT(D2738,4)</f>
        <v>8266</v>
      </c>
      <c r="K2738" t="str">
        <f>IFERROR(VLOOKUP(VALUE(J2738),'Site Info'!$A:$G,3,FALSE),"")</f>
        <v>5600 LANDERS RD</v>
      </c>
      <c r="L2738" t="str">
        <f>IFERROR(VLOOKUP(VALUE(J2738),'Site Info'!$A:$G,4,FALSE),"")</f>
        <v>NORTH LITTLE ROCK</v>
      </c>
      <c r="M2738" t="str">
        <f>IFERROR(VLOOKUP(VALUE(J2738),'Site Info'!$A:$G,5,FALSE),"")</f>
        <v>AR</v>
      </c>
      <c r="N2738" t="str">
        <f>IFERROR(VLOOKUP(VALUE(J2738),'Site Info'!$A:$G,6,FALSE),"")</f>
        <v>72117-1903</v>
      </c>
      <c r="O2738">
        <f>IFERROR(VLOOKUP(VALUE(J2738),'Site Info'!$A:$G,7,FALSE),"")</f>
        <v>5019452167</v>
      </c>
    </row>
    <row r="2739" spans="1:15" x14ac:dyDescent="0.45">
      <c r="A2739" t="s">
        <v>13219</v>
      </c>
      <c r="B2739" t="s">
        <v>13220</v>
      </c>
      <c r="C2739" t="s">
        <v>13221</v>
      </c>
      <c r="D2739" t="s">
        <v>9622</v>
      </c>
      <c r="E2739" s="1">
        <v>46152.327962962961</v>
      </c>
      <c r="F2739">
        <v>1547</v>
      </c>
      <c r="G2739" t="s">
        <v>13222</v>
      </c>
      <c r="H2739" t="s">
        <v>15</v>
      </c>
      <c r="I2739" t="s">
        <v>9624</v>
      </c>
      <c r="J2739" t="str">
        <f>RIGHT(D2739,4)</f>
        <v>8266</v>
      </c>
      <c r="K2739" t="str">
        <f>IFERROR(VLOOKUP(VALUE(J2739),'Site Info'!$A:$G,3,FALSE),"")</f>
        <v>5600 LANDERS RD</v>
      </c>
      <c r="L2739" t="str">
        <f>IFERROR(VLOOKUP(VALUE(J2739),'Site Info'!$A:$G,4,FALSE),"")</f>
        <v>NORTH LITTLE ROCK</v>
      </c>
      <c r="M2739" t="str">
        <f>IFERROR(VLOOKUP(VALUE(J2739),'Site Info'!$A:$G,5,FALSE),"")</f>
        <v>AR</v>
      </c>
      <c r="N2739" t="str">
        <f>IFERROR(VLOOKUP(VALUE(J2739),'Site Info'!$A:$G,6,FALSE),"")</f>
        <v>72117-1903</v>
      </c>
      <c r="O2739">
        <f>IFERROR(VLOOKUP(VALUE(J2739),'Site Info'!$A:$G,7,FALSE),"")</f>
        <v>5019452167</v>
      </c>
    </row>
    <row r="2740" spans="1:15" x14ac:dyDescent="0.45">
      <c r="A2740" t="s">
        <v>12906</v>
      </c>
      <c r="B2740" t="s">
        <v>12907</v>
      </c>
      <c r="C2740" t="s">
        <v>12908</v>
      </c>
      <c r="D2740" t="s">
        <v>9622</v>
      </c>
      <c r="E2740" s="1">
        <v>46153.339131944442</v>
      </c>
      <c r="F2740">
        <v>1547</v>
      </c>
      <c r="G2740" t="s">
        <v>12909</v>
      </c>
      <c r="H2740" t="s">
        <v>15</v>
      </c>
      <c r="I2740" t="s">
        <v>9624</v>
      </c>
      <c r="J2740" t="str">
        <f>RIGHT(D2740,4)</f>
        <v>8266</v>
      </c>
      <c r="K2740" t="str">
        <f>IFERROR(VLOOKUP(VALUE(J2740),'Site Info'!$A:$G,3,FALSE),"")</f>
        <v>5600 LANDERS RD</v>
      </c>
      <c r="L2740" t="str">
        <f>IFERROR(VLOOKUP(VALUE(J2740),'Site Info'!$A:$G,4,FALSE),"")</f>
        <v>NORTH LITTLE ROCK</v>
      </c>
      <c r="M2740" t="str">
        <f>IFERROR(VLOOKUP(VALUE(J2740),'Site Info'!$A:$G,5,FALSE),"")</f>
        <v>AR</v>
      </c>
      <c r="N2740" t="str">
        <f>IFERROR(VLOOKUP(VALUE(J2740),'Site Info'!$A:$G,6,FALSE),"")</f>
        <v>72117-1903</v>
      </c>
      <c r="O2740">
        <f>IFERROR(VLOOKUP(VALUE(J2740),'Site Info'!$A:$G,7,FALSE),"")</f>
        <v>5019452167</v>
      </c>
    </row>
    <row r="2741" spans="1:15" x14ac:dyDescent="0.45">
      <c r="A2741" t="s">
        <v>9619</v>
      </c>
      <c r="B2741" t="s">
        <v>9620</v>
      </c>
      <c r="C2741" t="s">
        <v>9621</v>
      </c>
      <c r="D2741" t="s">
        <v>9622</v>
      </c>
      <c r="E2741" s="1">
        <v>46153.361932870372</v>
      </c>
      <c r="F2741">
        <v>1547</v>
      </c>
      <c r="G2741" t="s">
        <v>9623</v>
      </c>
      <c r="H2741" t="s">
        <v>15</v>
      </c>
      <c r="I2741" t="s">
        <v>9624</v>
      </c>
      <c r="J2741" t="str">
        <f>RIGHT(D2741,4)</f>
        <v>8266</v>
      </c>
      <c r="K2741" t="str">
        <f>IFERROR(VLOOKUP(VALUE(J2741),'Site Info'!$A:$G,3,FALSE),"")</f>
        <v>5600 LANDERS RD</v>
      </c>
      <c r="L2741" t="str">
        <f>IFERROR(VLOOKUP(VALUE(J2741),'Site Info'!$A:$G,4,FALSE),"")</f>
        <v>NORTH LITTLE ROCK</v>
      </c>
      <c r="M2741" t="str">
        <f>IFERROR(VLOOKUP(VALUE(J2741),'Site Info'!$A:$G,5,FALSE),"")</f>
        <v>AR</v>
      </c>
      <c r="N2741" t="str">
        <f>IFERROR(VLOOKUP(VALUE(J2741),'Site Info'!$A:$G,6,FALSE),"")</f>
        <v>72117-1903</v>
      </c>
      <c r="O2741">
        <f>IFERROR(VLOOKUP(VALUE(J2741),'Site Info'!$A:$G,7,FALSE),"")</f>
        <v>5019452167</v>
      </c>
    </row>
    <row r="2742" spans="1:15" x14ac:dyDescent="0.45">
      <c r="A2742" t="s">
        <v>12826</v>
      </c>
      <c r="B2742" t="s">
        <v>12827</v>
      </c>
      <c r="C2742" t="s">
        <v>12828</v>
      </c>
      <c r="D2742" t="s">
        <v>3870</v>
      </c>
      <c r="E2742" s="1">
        <v>46152.549074074072</v>
      </c>
      <c r="F2742">
        <v>1547</v>
      </c>
      <c r="G2742" t="s">
        <v>12829</v>
      </c>
      <c r="H2742" t="s">
        <v>15</v>
      </c>
      <c r="I2742" t="s">
        <v>3872</v>
      </c>
      <c r="J2742" t="str">
        <f>RIGHT(D2742,4)</f>
        <v>6652</v>
      </c>
      <c r="K2742" t="str">
        <f>IFERROR(VLOOKUP(VALUE(J2742),'Site Info'!$A:$G,3,FALSE),"")</f>
        <v>5604 BUCKEYSTOWN PIKE</v>
      </c>
      <c r="L2742" t="str">
        <f>IFERROR(VLOOKUP(VALUE(J2742),'Site Info'!$A:$G,4,FALSE),"")</f>
        <v>FREDERICK</v>
      </c>
      <c r="M2742" t="str">
        <f>IFERROR(VLOOKUP(VALUE(J2742),'Site Info'!$A:$G,5,FALSE),"")</f>
        <v>MD</v>
      </c>
      <c r="N2742" t="str">
        <f>IFERROR(VLOOKUP(VALUE(J2742),'Site Info'!$A:$G,6,FALSE),"")</f>
        <v>21704-8312</v>
      </c>
      <c r="O2742">
        <f>IFERROR(VLOOKUP(VALUE(J2742),'Site Info'!$A:$G,7,FALSE),"")</f>
        <v>3016981692</v>
      </c>
    </row>
    <row r="2743" spans="1:15" x14ac:dyDescent="0.45">
      <c r="A2743" t="s">
        <v>12958</v>
      </c>
      <c r="B2743" t="s">
        <v>12959</v>
      </c>
      <c r="C2743" t="s">
        <v>12960</v>
      </c>
      <c r="D2743" t="s">
        <v>3870</v>
      </c>
      <c r="E2743" s="1">
        <v>46153.231458333335</v>
      </c>
      <c r="F2743">
        <v>1547</v>
      </c>
      <c r="G2743" t="s">
        <v>12961</v>
      </c>
      <c r="H2743" t="s">
        <v>15</v>
      </c>
      <c r="I2743" t="s">
        <v>3872</v>
      </c>
      <c r="J2743" t="str">
        <f>RIGHT(D2743,4)</f>
        <v>6652</v>
      </c>
      <c r="K2743" t="str">
        <f>IFERROR(VLOOKUP(VALUE(J2743),'Site Info'!$A:$G,3,FALSE),"")</f>
        <v>5604 BUCKEYSTOWN PIKE</v>
      </c>
      <c r="L2743" t="str">
        <f>IFERROR(VLOOKUP(VALUE(J2743),'Site Info'!$A:$G,4,FALSE),"")</f>
        <v>FREDERICK</v>
      </c>
      <c r="M2743" t="str">
        <f>IFERROR(VLOOKUP(VALUE(J2743),'Site Info'!$A:$G,5,FALSE),"")</f>
        <v>MD</v>
      </c>
      <c r="N2743" t="str">
        <f>IFERROR(VLOOKUP(VALUE(J2743),'Site Info'!$A:$G,6,FALSE),"")</f>
        <v>21704-8312</v>
      </c>
      <c r="O2743">
        <f>IFERROR(VLOOKUP(VALUE(J2743),'Site Info'!$A:$G,7,FALSE),"")</f>
        <v>3016981692</v>
      </c>
    </row>
    <row r="2744" spans="1:15" x14ac:dyDescent="0.45">
      <c r="A2744" t="s">
        <v>13251</v>
      </c>
      <c r="B2744" t="s">
        <v>13252</v>
      </c>
      <c r="C2744" t="s">
        <v>13253</v>
      </c>
      <c r="D2744" t="s">
        <v>3870</v>
      </c>
      <c r="E2744" s="1">
        <v>46153.350023148145</v>
      </c>
      <c r="F2744">
        <v>1547</v>
      </c>
      <c r="G2744" t="s">
        <v>13254</v>
      </c>
      <c r="H2744" t="s">
        <v>15</v>
      </c>
      <c r="I2744" t="s">
        <v>3872</v>
      </c>
      <c r="J2744" t="str">
        <f>RIGHT(D2744,4)</f>
        <v>6652</v>
      </c>
      <c r="K2744" t="str">
        <f>IFERROR(VLOOKUP(VALUE(J2744),'Site Info'!$A:$G,3,FALSE),"")</f>
        <v>5604 BUCKEYSTOWN PIKE</v>
      </c>
      <c r="L2744" t="str">
        <f>IFERROR(VLOOKUP(VALUE(J2744),'Site Info'!$A:$G,4,FALSE),"")</f>
        <v>FREDERICK</v>
      </c>
      <c r="M2744" t="str">
        <f>IFERROR(VLOOKUP(VALUE(J2744),'Site Info'!$A:$G,5,FALSE),"")</f>
        <v>MD</v>
      </c>
      <c r="N2744" t="str">
        <f>IFERROR(VLOOKUP(VALUE(J2744),'Site Info'!$A:$G,6,FALSE),"")</f>
        <v>21704-8312</v>
      </c>
      <c r="O2744">
        <f>IFERROR(VLOOKUP(VALUE(J2744),'Site Info'!$A:$G,7,FALSE),"")</f>
        <v>3016981692</v>
      </c>
    </row>
    <row r="2745" spans="1:15" x14ac:dyDescent="0.45">
      <c r="A2745" t="s">
        <v>14301</v>
      </c>
      <c r="B2745" t="s">
        <v>14302</v>
      </c>
      <c r="C2745" t="s">
        <v>14303</v>
      </c>
      <c r="D2745" t="s">
        <v>3870</v>
      </c>
      <c r="E2745" s="1">
        <v>46151.701458333337</v>
      </c>
      <c r="F2745">
        <v>1481</v>
      </c>
      <c r="G2745" t="s">
        <v>14304</v>
      </c>
      <c r="H2745" t="s">
        <v>15</v>
      </c>
      <c r="I2745" t="s">
        <v>3872</v>
      </c>
      <c r="J2745" t="str">
        <f>RIGHT(D2745,4)</f>
        <v>6652</v>
      </c>
      <c r="K2745" t="str">
        <f>IFERROR(VLOOKUP(VALUE(J2745),'Site Info'!$A:$G,3,FALSE),"")</f>
        <v>5604 BUCKEYSTOWN PIKE</v>
      </c>
      <c r="L2745" t="str">
        <f>IFERROR(VLOOKUP(VALUE(J2745),'Site Info'!$A:$G,4,FALSE),"")</f>
        <v>FREDERICK</v>
      </c>
      <c r="M2745" t="str">
        <f>IFERROR(VLOOKUP(VALUE(J2745),'Site Info'!$A:$G,5,FALSE),"")</f>
        <v>MD</v>
      </c>
      <c r="N2745" t="str">
        <f>IFERROR(VLOOKUP(VALUE(J2745),'Site Info'!$A:$G,6,FALSE),"")</f>
        <v>21704-8312</v>
      </c>
      <c r="O2745">
        <f>IFERROR(VLOOKUP(VALUE(J2745),'Site Info'!$A:$G,7,FALSE),"")</f>
        <v>3016981692</v>
      </c>
    </row>
    <row r="2746" spans="1:15" x14ac:dyDescent="0.45">
      <c r="A2746" t="s">
        <v>3973</v>
      </c>
      <c r="B2746" t="s">
        <v>3974</v>
      </c>
      <c r="C2746" t="s">
        <v>3975</v>
      </c>
      <c r="D2746" t="s">
        <v>3870</v>
      </c>
      <c r="E2746" s="1">
        <v>46152.495324074072</v>
      </c>
      <c r="F2746">
        <v>1481</v>
      </c>
      <c r="G2746" t="s">
        <v>3976</v>
      </c>
      <c r="H2746" t="s">
        <v>15</v>
      </c>
      <c r="I2746" t="s">
        <v>3872</v>
      </c>
      <c r="J2746" t="str">
        <f>RIGHT(D2746,4)</f>
        <v>6652</v>
      </c>
      <c r="K2746" t="str">
        <f>IFERROR(VLOOKUP(VALUE(J2746),'Site Info'!$A:$G,3,FALSE),"")</f>
        <v>5604 BUCKEYSTOWN PIKE</v>
      </c>
      <c r="L2746" t="str">
        <f>IFERROR(VLOOKUP(VALUE(J2746),'Site Info'!$A:$G,4,FALSE),"")</f>
        <v>FREDERICK</v>
      </c>
      <c r="M2746" t="str">
        <f>IFERROR(VLOOKUP(VALUE(J2746),'Site Info'!$A:$G,5,FALSE),"")</f>
        <v>MD</v>
      </c>
      <c r="N2746" t="str">
        <f>IFERROR(VLOOKUP(VALUE(J2746),'Site Info'!$A:$G,6,FALSE),"")</f>
        <v>21704-8312</v>
      </c>
      <c r="O2746">
        <f>IFERROR(VLOOKUP(VALUE(J2746),'Site Info'!$A:$G,7,FALSE),"")</f>
        <v>3016981692</v>
      </c>
    </row>
    <row r="2747" spans="1:15" x14ac:dyDescent="0.45">
      <c r="A2747" t="s">
        <v>3867</v>
      </c>
      <c r="B2747" t="s">
        <v>3868</v>
      </c>
      <c r="C2747" t="s">
        <v>3869</v>
      </c>
      <c r="D2747" t="s">
        <v>3870</v>
      </c>
      <c r="E2747" s="1">
        <v>46153.289120370369</v>
      </c>
      <c r="F2747">
        <v>1481</v>
      </c>
      <c r="G2747" t="s">
        <v>3871</v>
      </c>
      <c r="H2747" t="s">
        <v>15</v>
      </c>
      <c r="I2747" t="s">
        <v>3872</v>
      </c>
      <c r="J2747" t="str">
        <f>RIGHT(D2747,4)</f>
        <v>6652</v>
      </c>
      <c r="K2747" t="str">
        <f>IFERROR(VLOOKUP(VALUE(J2747),'Site Info'!$A:$G,3,FALSE),"")</f>
        <v>5604 BUCKEYSTOWN PIKE</v>
      </c>
      <c r="L2747" t="str">
        <f>IFERROR(VLOOKUP(VALUE(J2747),'Site Info'!$A:$G,4,FALSE),"")</f>
        <v>FREDERICK</v>
      </c>
      <c r="M2747" t="str">
        <f>IFERROR(VLOOKUP(VALUE(J2747),'Site Info'!$A:$G,5,FALSE),"")</f>
        <v>MD</v>
      </c>
      <c r="N2747" t="str">
        <f>IFERROR(VLOOKUP(VALUE(J2747),'Site Info'!$A:$G,6,FALSE),"")</f>
        <v>21704-8312</v>
      </c>
      <c r="O2747">
        <f>IFERROR(VLOOKUP(VALUE(J2747),'Site Info'!$A:$G,7,FALSE),"")</f>
        <v>3016981692</v>
      </c>
    </row>
    <row r="2748" spans="1:15" x14ac:dyDescent="0.45">
      <c r="A2748" t="s">
        <v>4830</v>
      </c>
      <c r="B2748" t="s">
        <v>4831</v>
      </c>
      <c r="C2748" t="s">
        <v>4832</v>
      </c>
      <c r="D2748" t="s">
        <v>202</v>
      </c>
      <c r="E2748" s="1">
        <v>46150.783275462964</v>
      </c>
      <c r="F2748">
        <v>1547</v>
      </c>
      <c r="G2748" t="s">
        <v>4833</v>
      </c>
      <c r="H2748" t="s">
        <v>15</v>
      </c>
      <c r="I2748" t="s">
        <v>204</v>
      </c>
      <c r="J2748" t="str">
        <f>RIGHT(D2748,4)</f>
        <v>4819</v>
      </c>
      <c r="K2748" t="str">
        <f>IFERROR(VLOOKUP(VALUE(J2748),'Site Info'!$A:$G,3,FALSE),"")</f>
        <v>5625 GOSFORD RD</v>
      </c>
      <c r="L2748" t="str">
        <f>IFERROR(VLOOKUP(VALUE(J2748),'Site Info'!$A:$G,4,FALSE),"")</f>
        <v>BAKERSFIELD</v>
      </c>
      <c r="M2748" t="str">
        <f>IFERROR(VLOOKUP(VALUE(J2748),'Site Info'!$A:$G,5,FALSE),"")</f>
        <v>CA</v>
      </c>
      <c r="N2748" t="str">
        <f>IFERROR(VLOOKUP(VALUE(J2748),'Site Info'!$A:$G,6,FALSE),"")</f>
        <v>93313-4999</v>
      </c>
      <c r="O2748">
        <f>IFERROR(VLOOKUP(VALUE(J2748),'Site Info'!$A:$G,7,FALSE),"")</f>
        <v>6616548565</v>
      </c>
    </row>
    <row r="2749" spans="1:15" x14ac:dyDescent="0.45">
      <c r="A2749" t="s">
        <v>4786</v>
      </c>
      <c r="B2749" t="s">
        <v>4787</v>
      </c>
      <c r="C2749" t="s">
        <v>4788</v>
      </c>
      <c r="D2749" t="s">
        <v>202</v>
      </c>
      <c r="E2749" s="1">
        <v>46153.063854166663</v>
      </c>
      <c r="F2749">
        <v>1547</v>
      </c>
      <c r="G2749" t="s">
        <v>4789</v>
      </c>
      <c r="H2749" t="s">
        <v>15</v>
      </c>
      <c r="I2749" t="s">
        <v>204</v>
      </c>
      <c r="J2749" t="str">
        <f>RIGHT(D2749,4)</f>
        <v>4819</v>
      </c>
      <c r="K2749" t="str">
        <f>IFERROR(VLOOKUP(VALUE(J2749),'Site Info'!$A:$G,3,FALSE),"")</f>
        <v>5625 GOSFORD RD</v>
      </c>
      <c r="L2749" t="str">
        <f>IFERROR(VLOOKUP(VALUE(J2749),'Site Info'!$A:$G,4,FALSE),"")</f>
        <v>BAKERSFIELD</v>
      </c>
      <c r="M2749" t="str">
        <f>IFERROR(VLOOKUP(VALUE(J2749),'Site Info'!$A:$G,5,FALSE),"")</f>
        <v>CA</v>
      </c>
      <c r="N2749" t="str">
        <f>IFERROR(VLOOKUP(VALUE(J2749),'Site Info'!$A:$G,6,FALSE),"")</f>
        <v>93313-4999</v>
      </c>
      <c r="O2749">
        <f>IFERROR(VLOOKUP(VALUE(J2749),'Site Info'!$A:$G,7,FALSE),"")</f>
        <v>6616548565</v>
      </c>
    </row>
    <row r="2750" spans="1:15" x14ac:dyDescent="0.45">
      <c r="A2750" t="s">
        <v>4364</v>
      </c>
      <c r="B2750" t="s">
        <v>4365</v>
      </c>
      <c r="C2750" t="s">
        <v>4366</v>
      </c>
      <c r="D2750" t="s">
        <v>202</v>
      </c>
      <c r="E2750" s="1">
        <v>46153.266331018516</v>
      </c>
      <c r="F2750">
        <v>1547</v>
      </c>
      <c r="G2750" t="s">
        <v>4367</v>
      </c>
      <c r="H2750" t="s">
        <v>15</v>
      </c>
      <c r="I2750" t="s">
        <v>204</v>
      </c>
      <c r="J2750" t="str">
        <f>RIGHT(D2750,4)</f>
        <v>4819</v>
      </c>
      <c r="K2750" t="str">
        <f>IFERROR(VLOOKUP(VALUE(J2750),'Site Info'!$A:$G,3,FALSE),"")</f>
        <v>5625 GOSFORD RD</v>
      </c>
      <c r="L2750" t="str">
        <f>IFERROR(VLOOKUP(VALUE(J2750),'Site Info'!$A:$G,4,FALSE),"")</f>
        <v>BAKERSFIELD</v>
      </c>
      <c r="M2750" t="str">
        <f>IFERROR(VLOOKUP(VALUE(J2750),'Site Info'!$A:$G,5,FALSE),"")</f>
        <v>CA</v>
      </c>
      <c r="N2750" t="str">
        <f>IFERROR(VLOOKUP(VALUE(J2750),'Site Info'!$A:$G,6,FALSE),"")</f>
        <v>93313-4999</v>
      </c>
      <c r="O2750">
        <f>IFERROR(VLOOKUP(VALUE(J2750),'Site Info'!$A:$G,7,FALSE),"")</f>
        <v>6616548565</v>
      </c>
    </row>
    <row r="2751" spans="1:15" x14ac:dyDescent="0.45">
      <c r="A2751" t="s">
        <v>2907</v>
      </c>
      <c r="B2751" t="s">
        <v>2908</v>
      </c>
      <c r="C2751" t="s">
        <v>2909</v>
      </c>
      <c r="D2751" t="s">
        <v>202</v>
      </c>
      <c r="E2751" s="1">
        <v>46152.256331018521</v>
      </c>
      <c r="F2751">
        <v>1481</v>
      </c>
      <c r="G2751" t="s">
        <v>2910</v>
      </c>
      <c r="H2751" t="s">
        <v>15</v>
      </c>
      <c r="I2751" t="s">
        <v>204</v>
      </c>
      <c r="J2751" t="str">
        <f>RIGHT(D2751,4)</f>
        <v>4819</v>
      </c>
      <c r="K2751" t="str">
        <f>IFERROR(VLOOKUP(VALUE(J2751),'Site Info'!$A:$G,3,FALSE),"")</f>
        <v>5625 GOSFORD RD</v>
      </c>
      <c r="L2751" t="str">
        <f>IFERROR(VLOOKUP(VALUE(J2751),'Site Info'!$A:$G,4,FALSE),"")</f>
        <v>BAKERSFIELD</v>
      </c>
      <c r="M2751" t="str">
        <f>IFERROR(VLOOKUP(VALUE(J2751),'Site Info'!$A:$G,5,FALSE),"")</f>
        <v>CA</v>
      </c>
      <c r="N2751" t="str">
        <f>IFERROR(VLOOKUP(VALUE(J2751),'Site Info'!$A:$G,6,FALSE),"")</f>
        <v>93313-4999</v>
      </c>
      <c r="O2751">
        <f>IFERROR(VLOOKUP(VALUE(J2751),'Site Info'!$A:$G,7,FALSE),"")</f>
        <v>6616548565</v>
      </c>
    </row>
    <row r="2752" spans="1:15" x14ac:dyDescent="0.45">
      <c r="A2752" t="s">
        <v>96</v>
      </c>
      <c r="B2752" t="s">
        <v>200</v>
      </c>
      <c r="C2752" t="s">
        <v>201</v>
      </c>
      <c r="D2752" t="s">
        <v>202</v>
      </c>
      <c r="E2752" s="1">
        <v>46152.448599537034</v>
      </c>
      <c r="F2752">
        <v>1481</v>
      </c>
      <c r="G2752" t="s">
        <v>203</v>
      </c>
      <c r="H2752" t="s">
        <v>15</v>
      </c>
      <c r="I2752" t="s">
        <v>204</v>
      </c>
      <c r="J2752" t="str">
        <f>RIGHT(D2752,4)</f>
        <v>4819</v>
      </c>
      <c r="K2752" t="str">
        <f>IFERROR(VLOOKUP(VALUE(J2752),'Site Info'!$A:$G,3,FALSE),"")</f>
        <v>5625 GOSFORD RD</v>
      </c>
      <c r="L2752" t="str">
        <f>IFERROR(VLOOKUP(VALUE(J2752),'Site Info'!$A:$G,4,FALSE),"")</f>
        <v>BAKERSFIELD</v>
      </c>
      <c r="M2752" t="str">
        <f>IFERROR(VLOOKUP(VALUE(J2752),'Site Info'!$A:$G,5,FALSE),"")</f>
        <v>CA</v>
      </c>
      <c r="N2752" t="str">
        <f>IFERROR(VLOOKUP(VALUE(J2752),'Site Info'!$A:$G,6,FALSE),"")</f>
        <v>93313-4999</v>
      </c>
      <c r="O2752">
        <f>IFERROR(VLOOKUP(VALUE(J2752),'Site Info'!$A:$G,7,FALSE),"")</f>
        <v>6616548565</v>
      </c>
    </row>
    <row r="2753" spans="1:15" x14ac:dyDescent="0.45">
      <c r="A2753" t="s">
        <v>13387</v>
      </c>
      <c r="B2753" t="s">
        <v>13388</v>
      </c>
      <c r="C2753" t="s">
        <v>13389</v>
      </c>
      <c r="D2753" t="s">
        <v>1111</v>
      </c>
      <c r="E2753" s="1">
        <v>46152.662222222221</v>
      </c>
      <c r="F2753">
        <v>1547</v>
      </c>
      <c r="G2753" t="s">
        <v>13390</v>
      </c>
      <c r="H2753" t="s">
        <v>15</v>
      </c>
      <c r="I2753" t="s">
        <v>1113</v>
      </c>
      <c r="J2753" t="str">
        <f>RIGHT(D2753,4)</f>
        <v>4776</v>
      </c>
      <c r="K2753" t="str">
        <f>IFERROR(VLOOKUP(VALUE(J2753),'Site Info'!$A:$G,3,FALSE),"")</f>
        <v>5651 HOLMES AVE NW</v>
      </c>
      <c r="L2753" t="str">
        <f>IFERROR(VLOOKUP(VALUE(J2753),'Site Info'!$A:$G,4,FALSE),"")</f>
        <v>HUNTSVILLE</v>
      </c>
      <c r="M2753" t="str">
        <f>IFERROR(VLOOKUP(VALUE(J2753),'Site Info'!$A:$G,5,FALSE),"")</f>
        <v>AL</v>
      </c>
      <c r="N2753" t="str">
        <f>IFERROR(VLOOKUP(VALUE(J2753),'Site Info'!$A:$G,6,FALSE),"")</f>
        <v>35816-1817</v>
      </c>
      <c r="O2753">
        <f>IFERROR(VLOOKUP(VALUE(J2753),'Site Info'!$A:$G,7,FALSE),"")</f>
        <v>2568377323</v>
      </c>
    </row>
    <row r="2754" spans="1:15" x14ac:dyDescent="0.45">
      <c r="A2754" t="s">
        <v>2597</v>
      </c>
      <c r="B2754" t="s">
        <v>2598</v>
      </c>
      <c r="C2754" t="s">
        <v>2599</v>
      </c>
      <c r="D2754" t="s">
        <v>1111</v>
      </c>
      <c r="E2754" s="1">
        <v>46151.748657407406</v>
      </c>
      <c r="F2754">
        <v>1481</v>
      </c>
      <c r="G2754" t="s">
        <v>2600</v>
      </c>
      <c r="H2754" t="s">
        <v>15</v>
      </c>
      <c r="I2754" t="s">
        <v>1113</v>
      </c>
      <c r="J2754" t="str">
        <f>RIGHT(D2754,4)</f>
        <v>4776</v>
      </c>
      <c r="K2754" t="str">
        <f>IFERROR(VLOOKUP(VALUE(J2754),'Site Info'!$A:$G,3,FALSE),"")</f>
        <v>5651 HOLMES AVE NW</v>
      </c>
      <c r="L2754" t="str">
        <f>IFERROR(VLOOKUP(VALUE(J2754),'Site Info'!$A:$G,4,FALSE),"")</f>
        <v>HUNTSVILLE</v>
      </c>
      <c r="M2754" t="str">
        <f>IFERROR(VLOOKUP(VALUE(J2754),'Site Info'!$A:$G,5,FALSE),"")</f>
        <v>AL</v>
      </c>
      <c r="N2754" t="str">
        <f>IFERROR(VLOOKUP(VALUE(J2754),'Site Info'!$A:$G,6,FALSE),"")</f>
        <v>35816-1817</v>
      </c>
      <c r="O2754">
        <f>IFERROR(VLOOKUP(VALUE(J2754),'Site Info'!$A:$G,7,FALSE),"")</f>
        <v>2568377323</v>
      </c>
    </row>
    <row r="2755" spans="1:15" x14ac:dyDescent="0.45">
      <c r="A2755" t="s">
        <v>1654</v>
      </c>
      <c r="B2755" t="s">
        <v>1655</v>
      </c>
      <c r="C2755" t="s">
        <v>1656</v>
      </c>
      <c r="D2755" t="s">
        <v>1111</v>
      </c>
      <c r="E2755" s="1">
        <v>46153.323692129627</v>
      </c>
      <c r="F2755">
        <v>1481</v>
      </c>
      <c r="G2755" t="s">
        <v>1657</v>
      </c>
      <c r="H2755" t="s">
        <v>15</v>
      </c>
      <c r="I2755" t="s">
        <v>1113</v>
      </c>
      <c r="J2755" t="str">
        <f>RIGHT(D2755,4)</f>
        <v>4776</v>
      </c>
      <c r="K2755" t="str">
        <f>IFERROR(VLOOKUP(VALUE(J2755),'Site Info'!$A:$G,3,FALSE),"")</f>
        <v>5651 HOLMES AVE NW</v>
      </c>
      <c r="L2755" t="str">
        <f>IFERROR(VLOOKUP(VALUE(J2755),'Site Info'!$A:$G,4,FALSE),"")</f>
        <v>HUNTSVILLE</v>
      </c>
      <c r="M2755" t="str">
        <f>IFERROR(VLOOKUP(VALUE(J2755),'Site Info'!$A:$G,5,FALSE),"")</f>
        <v>AL</v>
      </c>
      <c r="N2755" t="str">
        <f>IFERROR(VLOOKUP(VALUE(J2755),'Site Info'!$A:$G,6,FALSE),"")</f>
        <v>35816-1817</v>
      </c>
      <c r="O2755">
        <f>IFERROR(VLOOKUP(VALUE(J2755),'Site Info'!$A:$G,7,FALSE),"")</f>
        <v>2568377323</v>
      </c>
    </row>
    <row r="2756" spans="1:15" x14ac:dyDescent="0.45">
      <c r="A2756" t="s">
        <v>1108</v>
      </c>
      <c r="B2756" t="s">
        <v>1109</v>
      </c>
      <c r="C2756" t="s">
        <v>1110</v>
      </c>
      <c r="D2756" t="s">
        <v>1111</v>
      </c>
      <c r="E2756" s="1">
        <v>46153.358472222222</v>
      </c>
      <c r="F2756">
        <v>1481</v>
      </c>
      <c r="G2756" t="s">
        <v>1112</v>
      </c>
      <c r="H2756" t="s">
        <v>15</v>
      </c>
      <c r="I2756" t="s">
        <v>1113</v>
      </c>
      <c r="J2756" t="str">
        <f>RIGHT(D2756,4)</f>
        <v>4776</v>
      </c>
      <c r="K2756" t="str">
        <f>IFERROR(VLOOKUP(VALUE(J2756),'Site Info'!$A:$G,3,FALSE),"")</f>
        <v>5651 HOLMES AVE NW</v>
      </c>
      <c r="L2756" t="str">
        <f>IFERROR(VLOOKUP(VALUE(J2756),'Site Info'!$A:$G,4,FALSE),"")</f>
        <v>HUNTSVILLE</v>
      </c>
      <c r="M2756" t="str">
        <f>IFERROR(VLOOKUP(VALUE(J2756),'Site Info'!$A:$G,5,FALSE),"")</f>
        <v>AL</v>
      </c>
      <c r="N2756" t="str">
        <f>IFERROR(VLOOKUP(VALUE(J2756),'Site Info'!$A:$G,6,FALSE),"")</f>
        <v>35816-1817</v>
      </c>
      <c r="O2756">
        <f>IFERROR(VLOOKUP(VALUE(J2756),'Site Info'!$A:$G,7,FALSE),"")</f>
        <v>2568377323</v>
      </c>
    </row>
    <row r="2757" spans="1:15" x14ac:dyDescent="0.45">
      <c r="A2757" t="s">
        <v>10184</v>
      </c>
      <c r="B2757" t="s">
        <v>10185</v>
      </c>
      <c r="C2757" t="s">
        <v>10186</v>
      </c>
      <c r="D2757" t="s">
        <v>1111</v>
      </c>
      <c r="E2757" s="1">
        <v>46107.636145833334</v>
      </c>
      <c r="F2757">
        <v>1582</v>
      </c>
      <c r="G2757" t="s">
        <v>10187</v>
      </c>
      <c r="H2757" t="s">
        <v>15</v>
      </c>
      <c r="I2757" t="s">
        <v>1113</v>
      </c>
      <c r="J2757" t="str">
        <f>RIGHT(D2757,4)</f>
        <v>4776</v>
      </c>
      <c r="K2757" t="str">
        <f>IFERROR(VLOOKUP(VALUE(J2757),'Site Info'!$A:$G,3,FALSE),"")</f>
        <v>5651 HOLMES AVE NW</v>
      </c>
      <c r="L2757" t="str">
        <f>IFERROR(VLOOKUP(VALUE(J2757),'Site Info'!$A:$G,4,FALSE),"")</f>
        <v>HUNTSVILLE</v>
      </c>
      <c r="M2757" t="str">
        <f>IFERROR(VLOOKUP(VALUE(J2757),'Site Info'!$A:$G,5,FALSE),"")</f>
        <v>AL</v>
      </c>
      <c r="N2757" t="str">
        <f>IFERROR(VLOOKUP(VALUE(J2757),'Site Info'!$A:$G,6,FALSE),"")</f>
        <v>35816-1817</v>
      </c>
      <c r="O2757">
        <f>IFERROR(VLOOKUP(VALUE(J2757),'Site Info'!$A:$G,7,FALSE),"")</f>
        <v>2568377323</v>
      </c>
    </row>
    <row r="2758" spans="1:15" x14ac:dyDescent="0.45">
      <c r="A2758" t="s">
        <v>5458</v>
      </c>
      <c r="B2758" t="s">
        <v>5459</v>
      </c>
      <c r="C2758" t="s">
        <v>5460</v>
      </c>
      <c r="D2758" t="s">
        <v>627</v>
      </c>
      <c r="E2758" s="1">
        <v>46152.70108796296</v>
      </c>
      <c r="F2758">
        <v>1547</v>
      </c>
      <c r="G2758" t="s">
        <v>5461</v>
      </c>
      <c r="H2758" t="s">
        <v>15</v>
      </c>
      <c r="I2758" t="s">
        <v>629</v>
      </c>
      <c r="J2758" t="str">
        <f>RIGHT(D2758,4)</f>
        <v>6663</v>
      </c>
      <c r="K2758" t="str">
        <f>IFERROR(VLOOKUP(VALUE(J2758),'Site Info'!$A:$G,3,FALSE),"")</f>
        <v>5656 BAY RD</v>
      </c>
      <c r="L2758" t="str">
        <f>IFERROR(VLOOKUP(VALUE(J2758),'Site Info'!$A:$G,4,FALSE),"")</f>
        <v>SAGINAW</v>
      </c>
      <c r="M2758" t="str">
        <f>IFERROR(VLOOKUP(VALUE(J2758),'Site Info'!$A:$G,5,FALSE),"")</f>
        <v>MI</v>
      </c>
      <c r="N2758" t="str">
        <f>IFERROR(VLOOKUP(VALUE(J2758),'Site Info'!$A:$G,6,FALSE),"")</f>
        <v>48604-2510</v>
      </c>
      <c r="O2758">
        <f>IFERROR(VLOOKUP(VALUE(J2758),'Site Info'!$A:$G,7,FALSE),"")</f>
        <v>9897900954</v>
      </c>
    </row>
    <row r="2759" spans="1:15" x14ac:dyDescent="0.45">
      <c r="A2759" t="s">
        <v>5662</v>
      </c>
      <c r="B2759" t="s">
        <v>5663</v>
      </c>
      <c r="C2759" t="s">
        <v>5664</v>
      </c>
      <c r="D2759" t="s">
        <v>627</v>
      </c>
      <c r="E2759" s="1">
        <v>46153.290439814817</v>
      </c>
      <c r="F2759">
        <v>1547</v>
      </c>
      <c r="G2759" t="s">
        <v>5665</v>
      </c>
      <c r="H2759" t="s">
        <v>15</v>
      </c>
      <c r="I2759" t="s">
        <v>629</v>
      </c>
      <c r="J2759" t="str">
        <f>RIGHT(D2759,4)</f>
        <v>6663</v>
      </c>
      <c r="K2759" t="str">
        <f>IFERROR(VLOOKUP(VALUE(J2759),'Site Info'!$A:$G,3,FALSE),"")</f>
        <v>5656 BAY RD</v>
      </c>
      <c r="L2759" t="str">
        <f>IFERROR(VLOOKUP(VALUE(J2759),'Site Info'!$A:$G,4,FALSE),"")</f>
        <v>SAGINAW</v>
      </c>
      <c r="M2759" t="str">
        <f>IFERROR(VLOOKUP(VALUE(J2759),'Site Info'!$A:$G,5,FALSE),"")</f>
        <v>MI</v>
      </c>
      <c r="N2759" t="str">
        <f>IFERROR(VLOOKUP(VALUE(J2759),'Site Info'!$A:$G,6,FALSE),"")</f>
        <v>48604-2510</v>
      </c>
      <c r="O2759">
        <f>IFERROR(VLOOKUP(VALUE(J2759),'Site Info'!$A:$G,7,FALSE),"")</f>
        <v>9897900954</v>
      </c>
    </row>
    <row r="2760" spans="1:15" x14ac:dyDescent="0.45">
      <c r="A2760" t="s">
        <v>5102</v>
      </c>
      <c r="B2760" t="s">
        <v>5103</v>
      </c>
      <c r="C2760" t="s">
        <v>5104</v>
      </c>
      <c r="D2760" t="s">
        <v>627</v>
      </c>
      <c r="E2760" s="1">
        <v>46153.364791666667</v>
      </c>
      <c r="F2760">
        <v>1547</v>
      </c>
      <c r="G2760" t="s">
        <v>5105</v>
      </c>
      <c r="H2760" t="s">
        <v>15</v>
      </c>
      <c r="I2760" t="s">
        <v>629</v>
      </c>
      <c r="J2760" t="str">
        <f>RIGHT(D2760,4)</f>
        <v>6663</v>
      </c>
      <c r="K2760" t="str">
        <f>IFERROR(VLOOKUP(VALUE(J2760),'Site Info'!$A:$G,3,FALSE),"")</f>
        <v>5656 BAY RD</v>
      </c>
      <c r="L2760" t="str">
        <f>IFERROR(VLOOKUP(VALUE(J2760),'Site Info'!$A:$G,4,FALSE),"")</f>
        <v>SAGINAW</v>
      </c>
      <c r="M2760" t="str">
        <f>IFERROR(VLOOKUP(VALUE(J2760),'Site Info'!$A:$G,5,FALSE),"")</f>
        <v>MI</v>
      </c>
      <c r="N2760" t="str">
        <f>IFERROR(VLOOKUP(VALUE(J2760),'Site Info'!$A:$G,6,FALSE),"")</f>
        <v>48604-2510</v>
      </c>
      <c r="O2760">
        <f>IFERROR(VLOOKUP(VALUE(J2760),'Site Info'!$A:$G,7,FALSE),"")</f>
        <v>9897900954</v>
      </c>
    </row>
    <row r="2761" spans="1:15" x14ac:dyDescent="0.45">
      <c r="A2761" t="s">
        <v>5654</v>
      </c>
      <c r="B2761" t="s">
        <v>5655</v>
      </c>
      <c r="C2761" t="s">
        <v>5656</v>
      </c>
      <c r="D2761" t="s">
        <v>627</v>
      </c>
      <c r="E2761" s="1">
        <v>46153.369085648148</v>
      </c>
      <c r="F2761">
        <v>1547</v>
      </c>
      <c r="G2761" t="s">
        <v>5657</v>
      </c>
      <c r="H2761" t="s">
        <v>15</v>
      </c>
      <c r="I2761" t="s">
        <v>629</v>
      </c>
      <c r="J2761" t="str">
        <f>RIGHT(D2761,4)</f>
        <v>6663</v>
      </c>
      <c r="K2761" t="str">
        <f>IFERROR(VLOOKUP(VALUE(J2761),'Site Info'!$A:$G,3,FALSE),"")</f>
        <v>5656 BAY RD</v>
      </c>
      <c r="L2761" t="str">
        <f>IFERROR(VLOOKUP(VALUE(J2761),'Site Info'!$A:$G,4,FALSE),"")</f>
        <v>SAGINAW</v>
      </c>
      <c r="M2761" t="str">
        <f>IFERROR(VLOOKUP(VALUE(J2761),'Site Info'!$A:$G,5,FALSE),"")</f>
        <v>MI</v>
      </c>
      <c r="N2761" t="str">
        <f>IFERROR(VLOOKUP(VALUE(J2761),'Site Info'!$A:$G,6,FALSE),"")</f>
        <v>48604-2510</v>
      </c>
      <c r="O2761">
        <f>IFERROR(VLOOKUP(VALUE(J2761),'Site Info'!$A:$G,7,FALSE),"")</f>
        <v>9897900954</v>
      </c>
    </row>
    <row r="2762" spans="1:15" x14ac:dyDescent="0.45">
      <c r="A2762" t="s">
        <v>1298</v>
      </c>
      <c r="B2762" t="s">
        <v>1299</v>
      </c>
      <c r="C2762" t="s">
        <v>1300</v>
      </c>
      <c r="D2762" t="s">
        <v>627</v>
      </c>
      <c r="E2762" s="1">
        <v>46151.629386574074</v>
      </c>
      <c r="F2762">
        <v>1481</v>
      </c>
      <c r="G2762" t="s">
        <v>1301</v>
      </c>
      <c r="H2762" t="s">
        <v>15</v>
      </c>
      <c r="I2762" t="s">
        <v>629</v>
      </c>
      <c r="J2762" t="str">
        <f>RIGHT(D2762,4)</f>
        <v>6663</v>
      </c>
      <c r="K2762" t="str">
        <f>IFERROR(VLOOKUP(VALUE(J2762),'Site Info'!$A:$G,3,FALSE),"")</f>
        <v>5656 BAY RD</v>
      </c>
      <c r="L2762" t="str">
        <f>IFERROR(VLOOKUP(VALUE(J2762),'Site Info'!$A:$G,4,FALSE),"")</f>
        <v>SAGINAW</v>
      </c>
      <c r="M2762" t="str">
        <f>IFERROR(VLOOKUP(VALUE(J2762),'Site Info'!$A:$G,5,FALSE),"")</f>
        <v>MI</v>
      </c>
      <c r="N2762" t="str">
        <f>IFERROR(VLOOKUP(VALUE(J2762),'Site Info'!$A:$G,6,FALSE),"")</f>
        <v>48604-2510</v>
      </c>
      <c r="O2762">
        <f>IFERROR(VLOOKUP(VALUE(J2762),'Site Info'!$A:$G,7,FALSE),"")</f>
        <v>9897900954</v>
      </c>
    </row>
    <row r="2763" spans="1:15" x14ac:dyDescent="0.45">
      <c r="A2763" t="s">
        <v>624</v>
      </c>
      <c r="B2763" t="s">
        <v>625</v>
      </c>
      <c r="C2763" t="s">
        <v>626</v>
      </c>
      <c r="D2763" t="s">
        <v>627</v>
      </c>
      <c r="E2763" s="1">
        <v>46153.367974537039</v>
      </c>
      <c r="F2763">
        <v>1481</v>
      </c>
      <c r="G2763" t="s">
        <v>628</v>
      </c>
      <c r="H2763" t="s">
        <v>15</v>
      </c>
      <c r="I2763" t="s">
        <v>629</v>
      </c>
      <c r="J2763" t="str">
        <f>RIGHT(D2763,4)</f>
        <v>6663</v>
      </c>
      <c r="K2763" t="str">
        <f>IFERROR(VLOOKUP(VALUE(J2763),'Site Info'!$A:$G,3,FALSE),"")</f>
        <v>5656 BAY RD</v>
      </c>
      <c r="L2763" t="str">
        <f>IFERROR(VLOOKUP(VALUE(J2763),'Site Info'!$A:$G,4,FALSE),"")</f>
        <v>SAGINAW</v>
      </c>
      <c r="M2763" t="str">
        <f>IFERROR(VLOOKUP(VALUE(J2763),'Site Info'!$A:$G,5,FALSE),"")</f>
        <v>MI</v>
      </c>
      <c r="N2763" t="str">
        <f>IFERROR(VLOOKUP(VALUE(J2763),'Site Info'!$A:$G,6,FALSE),"")</f>
        <v>48604-2510</v>
      </c>
      <c r="O2763">
        <f>IFERROR(VLOOKUP(VALUE(J2763),'Site Info'!$A:$G,7,FALSE),"")</f>
        <v>9897900954</v>
      </c>
    </row>
    <row r="2764" spans="1:15" x14ac:dyDescent="0.45">
      <c r="A2764" t="s">
        <v>710</v>
      </c>
      <c r="B2764" t="s">
        <v>711</v>
      </c>
      <c r="C2764" t="s">
        <v>712</v>
      </c>
      <c r="D2764" t="s">
        <v>627</v>
      </c>
      <c r="E2764" s="1">
        <v>46153.371145833335</v>
      </c>
      <c r="F2764">
        <v>1481</v>
      </c>
      <c r="G2764" t="s">
        <v>713</v>
      </c>
      <c r="H2764" t="s">
        <v>15</v>
      </c>
      <c r="I2764" t="s">
        <v>629</v>
      </c>
      <c r="J2764" t="str">
        <f>RIGHT(D2764,4)</f>
        <v>6663</v>
      </c>
      <c r="K2764" t="str">
        <f>IFERROR(VLOOKUP(VALUE(J2764),'Site Info'!$A:$G,3,FALSE),"")</f>
        <v>5656 BAY RD</v>
      </c>
      <c r="L2764" t="str">
        <f>IFERROR(VLOOKUP(VALUE(J2764),'Site Info'!$A:$G,4,FALSE),"")</f>
        <v>SAGINAW</v>
      </c>
      <c r="M2764" t="str">
        <f>IFERROR(VLOOKUP(VALUE(J2764),'Site Info'!$A:$G,5,FALSE),"")</f>
        <v>MI</v>
      </c>
      <c r="N2764" t="str">
        <f>IFERROR(VLOOKUP(VALUE(J2764),'Site Info'!$A:$G,6,FALSE),"")</f>
        <v>48604-2510</v>
      </c>
      <c r="O2764">
        <f>IFERROR(VLOOKUP(VALUE(J2764),'Site Info'!$A:$G,7,FALSE),"")</f>
        <v>9897900954</v>
      </c>
    </row>
    <row r="2765" spans="1:15" x14ac:dyDescent="0.45">
      <c r="A2765" t="s">
        <v>17036</v>
      </c>
      <c r="B2765" t="s">
        <v>17037</v>
      </c>
      <c r="C2765" t="s">
        <v>17038</v>
      </c>
      <c r="D2765" t="s">
        <v>627</v>
      </c>
      <c r="E2765" s="1">
        <v>46153.122858796298</v>
      </c>
      <c r="F2765">
        <v>1481</v>
      </c>
      <c r="G2765" t="s">
        <v>17039</v>
      </c>
      <c r="H2765" t="s">
        <v>15</v>
      </c>
      <c r="I2765" t="s">
        <v>629</v>
      </c>
      <c r="J2765" t="str">
        <f>RIGHT(D2765,4)</f>
        <v>6663</v>
      </c>
      <c r="K2765" t="str">
        <f>IFERROR(VLOOKUP(VALUE(J2765),'Site Info'!$A:$G,3,FALSE),"")</f>
        <v>5656 BAY RD</v>
      </c>
      <c r="L2765" t="str">
        <f>IFERROR(VLOOKUP(VALUE(J2765),'Site Info'!$A:$G,4,FALSE),"")</f>
        <v>SAGINAW</v>
      </c>
      <c r="M2765" t="str">
        <f>IFERROR(VLOOKUP(VALUE(J2765),'Site Info'!$A:$G,5,FALSE),"")</f>
        <v>MI</v>
      </c>
      <c r="N2765" t="str">
        <f>IFERROR(VLOOKUP(VALUE(J2765),'Site Info'!$A:$G,6,FALSE),"")</f>
        <v>48604-2510</v>
      </c>
      <c r="O2765">
        <f>IFERROR(VLOOKUP(VALUE(J2765),'Site Info'!$A:$G,7,FALSE),"")</f>
        <v>9897900954</v>
      </c>
    </row>
    <row r="2766" spans="1:15" x14ac:dyDescent="0.45">
      <c r="A2766" t="s">
        <v>13034</v>
      </c>
      <c r="B2766" t="s">
        <v>13035</v>
      </c>
      <c r="C2766" t="s">
        <v>13036</v>
      </c>
      <c r="D2766" t="s">
        <v>2940</v>
      </c>
      <c r="E2766" s="1">
        <v>46152.599502314813</v>
      </c>
      <c r="F2766">
        <v>1547</v>
      </c>
      <c r="G2766" t="s">
        <v>13037</v>
      </c>
      <c r="H2766" t="s">
        <v>15</v>
      </c>
      <c r="I2766" t="s">
        <v>2942</v>
      </c>
      <c r="J2766" t="str">
        <f>RIGHT(D2766,4)</f>
        <v>6339</v>
      </c>
      <c r="K2766" t="str">
        <f>IFERROR(VLOOKUP(VALUE(J2766),'Site Info'!$A:$G,3,FALSE),"")</f>
        <v>5670 NORTHWEST HWY</v>
      </c>
      <c r="L2766" t="str">
        <f>IFERROR(VLOOKUP(VALUE(J2766),'Site Info'!$A:$G,4,FALSE),"")</f>
        <v>CRYSTAL LAKE</v>
      </c>
      <c r="M2766" t="str">
        <f>IFERROR(VLOOKUP(VALUE(J2766),'Site Info'!$A:$G,5,FALSE),"")</f>
        <v>IL</v>
      </c>
      <c r="N2766" t="str">
        <f>IFERROR(VLOOKUP(VALUE(J2766),'Site Info'!$A:$G,6,FALSE),"")</f>
        <v>60014-8017</v>
      </c>
      <c r="O2766">
        <f>IFERROR(VLOOKUP(VALUE(J2766),'Site Info'!$A:$G,7,FALSE),"")</f>
        <v>8154779876</v>
      </c>
    </row>
    <row r="2767" spans="1:15" x14ac:dyDescent="0.45">
      <c r="A2767" t="s">
        <v>12416</v>
      </c>
      <c r="B2767" t="s">
        <v>12417</v>
      </c>
      <c r="C2767" t="s">
        <v>12418</v>
      </c>
      <c r="D2767" t="s">
        <v>2940</v>
      </c>
      <c r="E2767" s="1">
        <v>46152.666238425925</v>
      </c>
      <c r="F2767">
        <v>1547</v>
      </c>
      <c r="G2767" t="s">
        <v>12419</v>
      </c>
      <c r="H2767" t="s">
        <v>15</v>
      </c>
      <c r="I2767" t="s">
        <v>2942</v>
      </c>
      <c r="J2767" t="str">
        <f>RIGHT(D2767,4)</f>
        <v>6339</v>
      </c>
      <c r="K2767" t="str">
        <f>IFERROR(VLOOKUP(VALUE(J2767),'Site Info'!$A:$G,3,FALSE),"")</f>
        <v>5670 NORTHWEST HWY</v>
      </c>
      <c r="L2767" t="str">
        <f>IFERROR(VLOOKUP(VALUE(J2767),'Site Info'!$A:$G,4,FALSE),"")</f>
        <v>CRYSTAL LAKE</v>
      </c>
      <c r="M2767" t="str">
        <f>IFERROR(VLOOKUP(VALUE(J2767),'Site Info'!$A:$G,5,FALSE),"")</f>
        <v>IL</v>
      </c>
      <c r="N2767" t="str">
        <f>IFERROR(VLOOKUP(VALUE(J2767),'Site Info'!$A:$G,6,FALSE),"")</f>
        <v>60014-8017</v>
      </c>
      <c r="O2767">
        <f>IFERROR(VLOOKUP(VALUE(J2767),'Site Info'!$A:$G,7,FALSE),"")</f>
        <v>8154779876</v>
      </c>
    </row>
    <row r="2768" spans="1:15" x14ac:dyDescent="0.45">
      <c r="A2768" t="s">
        <v>13347</v>
      </c>
      <c r="B2768" t="s">
        <v>13348</v>
      </c>
      <c r="C2768" t="s">
        <v>13349</v>
      </c>
      <c r="D2768" t="s">
        <v>2940</v>
      </c>
      <c r="E2768" s="1">
        <v>46153.183831018519</v>
      </c>
      <c r="F2768">
        <v>1547</v>
      </c>
      <c r="G2768" t="s">
        <v>13350</v>
      </c>
      <c r="H2768" t="s">
        <v>15</v>
      </c>
      <c r="I2768" t="s">
        <v>2942</v>
      </c>
      <c r="J2768" t="str">
        <f>RIGHT(D2768,4)</f>
        <v>6339</v>
      </c>
      <c r="K2768" t="str">
        <f>IFERROR(VLOOKUP(VALUE(J2768),'Site Info'!$A:$G,3,FALSE),"")</f>
        <v>5670 NORTHWEST HWY</v>
      </c>
      <c r="L2768" t="str">
        <f>IFERROR(VLOOKUP(VALUE(J2768),'Site Info'!$A:$G,4,FALSE),"")</f>
        <v>CRYSTAL LAKE</v>
      </c>
      <c r="M2768" t="str">
        <f>IFERROR(VLOOKUP(VALUE(J2768),'Site Info'!$A:$G,5,FALSE),"")</f>
        <v>IL</v>
      </c>
      <c r="N2768" t="str">
        <f>IFERROR(VLOOKUP(VALUE(J2768),'Site Info'!$A:$G,6,FALSE),"")</f>
        <v>60014-8017</v>
      </c>
      <c r="O2768">
        <f>IFERROR(VLOOKUP(VALUE(J2768),'Site Info'!$A:$G,7,FALSE),"")</f>
        <v>8154779876</v>
      </c>
    </row>
    <row r="2769" spans="1:15" x14ac:dyDescent="0.45">
      <c r="A2769" t="s">
        <v>11992</v>
      </c>
      <c r="B2769" t="s">
        <v>11993</v>
      </c>
      <c r="C2769" t="s">
        <v>11994</v>
      </c>
      <c r="D2769" t="s">
        <v>2940</v>
      </c>
      <c r="E2769" s="1">
        <v>46153.201180555552</v>
      </c>
      <c r="F2769">
        <v>1547</v>
      </c>
      <c r="G2769" t="s">
        <v>11995</v>
      </c>
      <c r="H2769" t="s">
        <v>15</v>
      </c>
      <c r="I2769" t="s">
        <v>2942</v>
      </c>
      <c r="J2769" t="str">
        <f>RIGHT(D2769,4)</f>
        <v>6339</v>
      </c>
      <c r="K2769" t="str">
        <f>IFERROR(VLOOKUP(VALUE(J2769),'Site Info'!$A:$G,3,FALSE),"")</f>
        <v>5670 NORTHWEST HWY</v>
      </c>
      <c r="L2769" t="str">
        <f>IFERROR(VLOOKUP(VALUE(J2769),'Site Info'!$A:$G,4,FALSE),"")</f>
        <v>CRYSTAL LAKE</v>
      </c>
      <c r="M2769" t="str">
        <f>IFERROR(VLOOKUP(VALUE(J2769),'Site Info'!$A:$G,5,FALSE),"")</f>
        <v>IL</v>
      </c>
      <c r="N2769" t="str">
        <f>IFERROR(VLOOKUP(VALUE(J2769),'Site Info'!$A:$G,6,FALSE),"")</f>
        <v>60014-8017</v>
      </c>
      <c r="O2769">
        <f>IFERROR(VLOOKUP(VALUE(J2769),'Site Info'!$A:$G,7,FALSE),"")</f>
        <v>8154779876</v>
      </c>
    </row>
    <row r="2770" spans="1:15" x14ac:dyDescent="0.45">
      <c r="A2770" t="s">
        <v>10396</v>
      </c>
      <c r="B2770" t="s">
        <v>10397</v>
      </c>
      <c r="C2770" t="s">
        <v>10398</v>
      </c>
      <c r="D2770" t="s">
        <v>2940</v>
      </c>
      <c r="E2770" s="1">
        <v>46153.295787037037</v>
      </c>
      <c r="F2770">
        <v>1547</v>
      </c>
      <c r="G2770" t="s">
        <v>10399</v>
      </c>
      <c r="H2770" t="s">
        <v>15</v>
      </c>
      <c r="I2770" t="s">
        <v>2942</v>
      </c>
      <c r="J2770" t="str">
        <f>RIGHT(D2770,4)</f>
        <v>6339</v>
      </c>
      <c r="K2770" t="str">
        <f>IFERROR(VLOOKUP(VALUE(J2770),'Site Info'!$A:$G,3,FALSE),"")</f>
        <v>5670 NORTHWEST HWY</v>
      </c>
      <c r="L2770" t="str">
        <f>IFERROR(VLOOKUP(VALUE(J2770),'Site Info'!$A:$G,4,FALSE),"")</f>
        <v>CRYSTAL LAKE</v>
      </c>
      <c r="M2770" t="str">
        <f>IFERROR(VLOOKUP(VALUE(J2770),'Site Info'!$A:$G,5,FALSE),"")</f>
        <v>IL</v>
      </c>
      <c r="N2770" t="str">
        <f>IFERROR(VLOOKUP(VALUE(J2770),'Site Info'!$A:$G,6,FALSE),"")</f>
        <v>60014-8017</v>
      </c>
      <c r="O2770">
        <f>IFERROR(VLOOKUP(VALUE(J2770),'Site Info'!$A:$G,7,FALSE),"")</f>
        <v>8154779876</v>
      </c>
    </row>
    <row r="2771" spans="1:15" x14ac:dyDescent="0.45">
      <c r="A2771" t="s">
        <v>13002</v>
      </c>
      <c r="B2771" t="s">
        <v>13003</v>
      </c>
      <c r="C2771" t="s">
        <v>13004</v>
      </c>
      <c r="D2771" t="s">
        <v>2940</v>
      </c>
      <c r="E2771" s="1">
        <v>46153.361840277779</v>
      </c>
      <c r="F2771">
        <v>1547</v>
      </c>
      <c r="G2771" t="s">
        <v>13005</v>
      </c>
      <c r="H2771" t="s">
        <v>15</v>
      </c>
      <c r="I2771" t="s">
        <v>2942</v>
      </c>
      <c r="J2771" t="str">
        <f>RIGHT(D2771,4)</f>
        <v>6339</v>
      </c>
      <c r="K2771" t="str">
        <f>IFERROR(VLOOKUP(VALUE(J2771),'Site Info'!$A:$G,3,FALSE),"")</f>
        <v>5670 NORTHWEST HWY</v>
      </c>
      <c r="L2771" t="str">
        <f>IFERROR(VLOOKUP(VALUE(J2771),'Site Info'!$A:$G,4,FALSE),"")</f>
        <v>CRYSTAL LAKE</v>
      </c>
      <c r="M2771" t="str">
        <f>IFERROR(VLOOKUP(VALUE(J2771),'Site Info'!$A:$G,5,FALSE),"")</f>
        <v>IL</v>
      </c>
      <c r="N2771" t="str">
        <f>IFERROR(VLOOKUP(VALUE(J2771),'Site Info'!$A:$G,6,FALSE),"")</f>
        <v>60014-8017</v>
      </c>
      <c r="O2771">
        <f>IFERROR(VLOOKUP(VALUE(J2771),'Site Info'!$A:$G,7,FALSE),"")</f>
        <v>8154779876</v>
      </c>
    </row>
    <row r="2772" spans="1:15" x14ac:dyDescent="0.45">
      <c r="A2772" t="s">
        <v>2937</v>
      </c>
      <c r="B2772" t="s">
        <v>2938</v>
      </c>
      <c r="C2772" t="s">
        <v>2939</v>
      </c>
      <c r="D2772" t="s">
        <v>2940</v>
      </c>
      <c r="E2772" s="1">
        <v>46153.346446759257</v>
      </c>
      <c r="F2772">
        <v>1481</v>
      </c>
      <c r="G2772" t="s">
        <v>2941</v>
      </c>
      <c r="H2772" t="s">
        <v>15</v>
      </c>
      <c r="I2772" t="s">
        <v>2942</v>
      </c>
      <c r="J2772" t="str">
        <f>RIGHT(D2772,4)</f>
        <v>6339</v>
      </c>
      <c r="K2772" t="str">
        <f>IFERROR(VLOOKUP(VALUE(J2772),'Site Info'!$A:$G,3,FALSE),"")</f>
        <v>5670 NORTHWEST HWY</v>
      </c>
      <c r="L2772" t="str">
        <f>IFERROR(VLOOKUP(VALUE(J2772),'Site Info'!$A:$G,4,FALSE),"")</f>
        <v>CRYSTAL LAKE</v>
      </c>
      <c r="M2772" t="str">
        <f>IFERROR(VLOOKUP(VALUE(J2772),'Site Info'!$A:$G,5,FALSE),"")</f>
        <v>IL</v>
      </c>
      <c r="N2772" t="str">
        <f>IFERROR(VLOOKUP(VALUE(J2772),'Site Info'!$A:$G,6,FALSE),"")</f>
        <v>60014-8017</v>
      </c>
      <c r="O2772">
        <f>IFERROR(VLOOKUP(VALUE(J2772),'Site Info'!$A:$G,7,FALSE),"")</f>
        <v>8154779876</v>
      </c>
    </row>
    <row r="2773" spans="1:15" x14ac:dyDescent="0.45">
      <c r="A2773" t="s">
        <v>2991</v>
      </c>
      <c r="B2773" t="s">
        <v>2992</v>
      </c>
      <c r="C2773" t="s">
        <v>2993</v>
      </c>
      <c r="D2773" t="s">
        <v>2940</v>
      </c>
      <c r="E2773" s="1">
        <v>46153.366620370369</v>
      </c>
      <c r="F2773">
        <v>1481</v>
      </c>
      <c r="G2773" t="s">
        <v>2994</v>
      </c>
      <c r="H2773" t="s">
        <v>15</v>
      </c>
      <c r="I2773" t="s">
        <v>2942</v>
      </c>
      <c r="J2773" t="str">
        <f>RIGHT(D2773,4)</f>
        <v>6339</v>
      </c>
      <c r="K2773" t="str">
        <f>IFERROR(VLOOKUP(VALUE(J2773),'Site Info'!$A:$G,3,FALSE),"")</f>
        <v>5670 NORTHWEST HWY</v>
      </c>
      <c r="L2773" t="str">
        <f>IFERROR(VLOOKUP(VALUE(J2773),'Site Info'!$A:$G,4,FALSE),"")</f>
        <v>CRYSTAL LAKE</v>
      </c>
      <c r="M2773" t="str">
        <f>IFERROR(VLOOKUP(VALUE(J2773),'Site Info'!$A:$G,5,FALSE),"")</f>
        <v>IL</v>
      </c>
      <c r="N2773" t="str">
        <f>IFERROR(VLOOKUP(VALUE(J2773),'Site Info'!$A:$G,6,FALSE),"")</f>
        <v>60014-8017</v>
      </c>
      <c r="O2773">
        <f>IFERROR(VLOOKUP(VALUE(J2773),'Site Info'!$A:$G,7,FALSE),"")</f>
        <v>8154779876</v>
      </c>
    </row>
    <row r="2774" spans="1:15" x14ac:dyDescent="0.45">
      <c r="A2774" t="s">
        <v>13427</v>
      </c>
      <c r="B2774" t="s">
        <v>13428</v>
      </c>
      <c r="C2774" t="s">
        <v>13429</v>
      </c>
      <c r="D2774" t="s">
        <v>1671</v>
      </c>
      <c r="E2774" s="1">
        <v>46150.451412037037</v>
      </c>
      <c r="F2774">
        <v>1547</v>
      </c>
      <c r="G2774" t="s">
        <v>13430</v>
      </c>
      <c r="H2774" t="s">
        <v>15</v>
      </c>
      <c r="I2774" t="s">
        <v>1673</v>
      </c>
      <c r="J2774" t="str">
        <f>RIGHT(D2774,4)</f>
        <v>6651</v>
      </c>
      <c r="K2774" t="str">
        <f>IFERROR(VLOOKUP(VALUE(J2774),'Site Info'!$A:$G,3,FALSE),"")</f>
        <v>5702 BALT NATNL PIKE</v>
      </c>
      <c r="L2774" t="str">
        <f>IFERROR(VLOOKUP(VALUE(J2774),'Site Info'!$A:$G,4,FALSE),"")</f>
        <v>CATONSVILLE</v>
      </c>
      <c r="M2774" t="str">
        <f>IFERROR(VLOOKUP(VALUE(J2774),'Site Info'!$A:$G,5,FALSE),"")</f>
        <v>MD</v>
      </c>
      <c r="N2774" t="str">
        <f>IFERROR(VLOOKUP(VALUE(J2774),'Site Info'!$A:$G,6,FALSE),"")</f>
        <v>21228-1306</v>
      </c>
      <c r="O2774">
        <f>IFERROR(VLOOKUP(VALUE(J2774),'Site Info'!$A:$G,7,FALSE),"")</f>
        <v>4107447174</v>
      </c>
    </row>
    <row r="2775" spans="1:15" x14ac:dyDescent="0.45">
      <c r="A2775" t="s">
        <v>11924</v>
      </c>
      <c r="B2775" t="s">
        <v>11925</v>
      </c>
      <c r="C2775" t="s">
        <v>11926</v>
      </c>
      <c r="D2775" t="s">
        <v>1671</v>
      </c>
      <c r="E2775" s="1">
        <v>46153.343240740738</v>
      </c>
      <c r="F2775">
        <v>1547</v>
      </c>
      <c r="G2775" t="s">
        <v>11927</v>
      </c>
      <c r="H2775" t="s">
        <v>15</v>
      </c>
      <c r="I2775" t="s">
        <v>1673</v>
      </c>
      <c r="J2775" t="str">
        <f>RIGHT(D2775,4)</f>
        <v>6651</v>
      </c>
      <c r="K2775" t="str">
        <f>IFERROR(VLOOKUP(VALUE(J2775),'Site Info'!$A:$G,3,FALSE),"")</f>
        <v>5702 BALT NATNL PIKE</v>
      </c>
      <c r="L2775" t="str">
        <f>IFERROR(VLOOKUP(VALUE(J2775),'Site Info'!$A:$G,4,FALSE),"")</f>
        <v>CATONSVILLE</v>
      </c>
      <c r="M2775" t="str">
        <f>IFERROR(VLOOKUP(VALUE(J2775),'Site Info'!$A:$G,5,FALSE),"")</f>
        <v>MD</v>
      </c>
      <c r="N2775" t="str">
        <f>IFERROR(VLOOKUP(VALUE(J2775),'Site Info'!$A:$G,6,FALSE),"")</f>
        <v>21228-1306</v>
      </c>
      <c r="O2775">
        <f>IFERROR(VLOOKUP(VALUE(J2775),'Site Info'!$A:$G,7,FALSE),"")</f>
        <v>4107447174</v>
      </c>
    </row>
    <row r="2776" spans="1:15" x14ac:dyDescent="0.45">
      <c r="A2776" t="s">
        <v>1668</v>
      </c>
      <c r="B2776" t="s">
        <v>1669</v>
      </c>
      <c r="C2776" t="s">
        <v>1670</v>
      </c>
      <c r="D2776" t="s">
        <v>1671</v>
      </c>
      <c r="E2776" s="1">
        <v>46153.200682870367</v>
      </c>
      <c r="F2776">
        <v>1481</v>
      </c>
      <c r="G2776" t="s">
        <v>1672</v>
      </c>
      <c r="H2776" t="s">
        <v>15</v>
      </c>
      <c r="I2776" t="s">
        <v>1673</v>
      </c>
      <c r="J2776" t="str">
        <f>RIGHT(D2776,4)</f>
        <v>6651</v>
      </c>
      <c r="K2776" t="str">
        <f>IFERROR(VLOOKUP(VALUE(J2776),'Site Info'!$A:$G,3,FALSE),"")</f>
        <v>5702 BALT NATNL PIKE</v>
      </c>
      <c r="L2776" t="str">
        <f>IFERROR(VLOOKUP(VALUE(J2776),'Site Info'!$A:$G,4,FALSE),"")</f>
        <v>CATONSVILLE</v>
      </c>
      <c r="M2776" t="str">
        <f>IFERROR(VLOOKUP(VALUE(J2776),'Site Info'!$A:$G,5,FALSE),"")</f>
        <v>MD</v>
      </c>
      <c r="N2776" t="str">
        <f>IFERROR(VLOOKUP(VALUE(J2776),'Site Info'!$A:$G,6,FALSE),"")</f>
        <v>21228-1306</v>
      </c>
      <c r="O2776">
        <f>IFERROR(VLOOKUP(VALUE(J2776),'Site Info'!$A:$G,7,FALSE),"")</f>
        <v>4107447174</v>
      </c>
    </row>
    <row r="2777" spans="1:15" x14ac:dyDescent="0.45">
      <c r="A2777" t="s">
        <v>14273</v>
      </c>
      <c r="B2777" t="s">
        <v>14274</v>
      </c>
      <c r="C2777" t="s">
        <v>14275</v>
      </c>
      <c r="D2777" t="s">
        <v>555</v>
      </c>
      <c r="E2777" s="1">
        <v>46153.368298611109</v>
      </c>
      <c r="F2777">
        <v>1863</v>
      </c>
      <c r="G2777" t="s">
        <v>14276</v>
      </c>
      <c r="H2777" t="s">
        <v>136</v>
      </c>
      <c r="I2777" t="s">
        <v>557</v>
      </c>
      <c r="J2777" t="str">
        <f>RIGHT(D2777,4)</f>
        <v>4948</v>
      </c>
      <c r="K2777" t="str">
        <f>IFERROR(VLOOKUP(VALUE(J2777),'Site Info'!$A:$G,3,FALSE),"")</f>
        <v>5749 SHERWOOD WAY</v>
      </c>
      <c r="L2777" t="str">
        <f>IFERROR(VLOOKUP(VALUE(J2777),'Site Info'!$A:$G,4,FALSE),"")</f>
        <v>SAN ANGELO</v>
      </c>
      <c r="M2777" t="str">
        <f>IFERROR(VLOOKUP(VALUE(J2777),'Site Info'!$A:$G,5,FALSE),"")</f>
        <v>TX</v>
      </c>
      <c r="N2777" t="str">
        <f>IFERROR(VLOOKUP(VALUE(J2777),'Site Info'!$A:$G,6,FALSE),"")</f>
        <v>76901-5643</v>
      </c>
      <c r="O2777">
        <f>IFERROR(VLOOKUP(VALUE(J2777),'Site Info'!$A:$G,7,FALSE),"")</f>
        <v>3252239373</v>
      </c>
    </row>
    <row r="2778" spans="1:15" x14ac:dyDescent="0.45">
      <c r="A2778" t="s">
        <v>7579</v>
      </c>
      <c r="B2778" t="s">
        <v>7580</v>
      </c>
      <c r="C2778" t="s">
        <v>7581</v>
      </c>
      <c r="D2778" t="s">
        <v>555</v>
      </c>
      <c r="E2778" s="1">
        <v>46152.665659722225</v>
      </c>
      <c r="F2778">
        <v>1547</v>
      </c>
      <c r="G2778" t="s">
        <v>7582</v>
      </c>
      <c r="H2778" t="s">
        <v>15</v>
      </c>
      <c r="I2778" t="s">
        <v>557</v>
      </c>
      <c r="J2778" t="str">
        <f>RIGHT(D2778,4)</f>
        <v>4948</v>
      </c>
      <c r="K2778" t="str">
        <f>IFERROR(VLOOKUP(VALUE(J2778),'Site Info'!$A:$G,3,FALSE),"")</f>
        <v>5749 SHERWOOD WAY</v>
      </c>
      <c r="L2778" t="str">
        <f>IFERROR(VLOOKUP(VALUE(J2778),'Site Info'!$A:$G,4,FALSE),"")</f>
        <v>SAN ANGELO</v>
      </c>
      <c r="M2778" t="str">
        <f>IFERROR(VLOOKUP(VALUE(J2778),'Site Info'!$A:$G,5,FALSE),"")</f>
        <v>TX</v>
      </c>
      <c r="N2778" t="str">
        <f>IFERROR(VLOOKUP(VALUE(J2778),'Site Info'!$A:$G,6,FALSE),"")</f>
        <v>76901-5643</v>
      </c>
      <c r="O2778">
        <f>IFERROR(VLOOKUP(VALUE(J2778),'Site Info'!$A:$G,7,FALSE),"")</f>
        <v>3252239373</v>
      </c>
    </row>
    <row r="2779" spans="1:15" x14ac:dyDescent="0.45">
      <c r="A2779" t="s">
        <v>12272</v>
      </c>
      <c r="B2779" t="s">
        <v>12273</v>
      </c>
      <c r="C2779" t="s">
        <v>12274</v>
      </c>
      <c r="D2779" t="s">
        <v>555</v>
      </c>
      <c r="E2779" s="1">
        <v>46152.765231481484</v>
      </c>
      <c r="F2779">
        <v>1547</v>
      </c>
      <c r="G2779" t="s">
        <v>12275</v>
      </c>
      <c r="H2779" t="s">
        <v>15</v>
      </c>
      <c r="I2779" t="s">
        <v>557</v>
      </c>
      <c r="J2779" t="str">
        <f>RIGHT(D2779,4)</f>
        <v>4948</v>
      </c>
      <c r="K2779" t="str">
        <f>IFERROR(VLOOKUP(VALUE(J2779),'Site Info'!$A:$G,3,FALSE),"")</f>
        <v>5749 SHERWOOD WAY</v>
      </c>
      <c r="L2779" t="str">
        <f>IFERROR(VLOOKUP(VALUE(J2779),'Site Info'!$A:$G,4,FALSE),"")</f>
        <v>SAN ANGELO</v>
      </c>
      <c r="M2779" t="str">
        <f>IFERROR(VLOOKUP(VALUE(J2779),'Site Info'!$A:$G,5,FALSE),"")</f>
        <v>TX</v>
      </c>
      <c r="N2779" t="str">
        <f>IFERROR(VLOOKUP(VALUE(J2779),'Site Info'!$A:$G,6,FALSE),"")</f>
        <v>76901-5643</v>
      </c>
      <c r="O2779">
        <f>IFERROR(VLOOKUP(VALUE(J2779),'Site Info'!$A:$G,7,FALSE),"")</f>
        <v>3252239373</v>
      </c>
    </row>
    <row r="2780" spans="1:15" x14ac:dyDescent="0.45">
      <c r="A2780" t="s">
        <v>552</v>
      </c>
      <c r="B2780" t="s">
        <v>553</v>
      </c>
      <c r="C2780" t="s">
        <v>554</v>
      </c>
      <c r="D2780" t="s">
        <v>555</v>
      </c>
      <c r="E2780" s="1">
        <v>46152.765196759261</v>
      </c>
      <c r="F2780">
        <v>1481</v>
      </c>
      <c r="G2780" t="s">
        <v>556</v>
      </c>
      <c r="H2780" t="s">
        <v>15</v>
      </c>
      <c r="I2780" t="s">
        <v>557</v>
      </c>
      <c r="J2780" t="str">
        <f>RIGHT(D2780,4)</f>
        <v>4948</v>
      </c>
      <c r="K2780" t="str">
        <f>IFERROR(VLOOKUP(VALUE(J2780),'Site Info'!$A:$G,3,FALSE),"")</f>
        <v>5749 SHERWOOD WAY</v>
      </c>
      <c r="L2780" t="str">
        <f>IFERROR(VLOOKUP(VALUE(J2780),'Site Info'!$A:$G,4,FALSE),"")</f>
        <v>SAN ANGELO</v>
      </c>
      <c r="M2780" t="str">
        <f>IFERROR(VLOOKUP(VALUE(J2780),'Site Info'!$A:$G,5,FALSE),"")</f>
        <v>TX</v>
      </c>
      <c r="N2780" t="str">
        <f>IFERROR(VLOOKUP(VALUE(J2780),'Site Info'!$A:$G,6,FALSE),"")</f>
        <v>76901-5643</v>
      </c>
      <c r="O2780">
        <f>IFERROR(VLOOKUP(VALUE(J2780),'Site Info'!$A:$G,7,FALSE),"")</f>
        <v>3252239373</v>
      </c>
    </row>
    <row r="2781" spans="1:15" x14ac:dyDescent="0.45">
      <c r="A2781" t="s">
        <v>1350</v>
      </c>
      <c r="B2781" t="s">
        <v>1351</v>
      </c>
      <c r="C2781" t="s">
        <v>1352</v>
      </c>
      <c r="D2781" t="s">
        <v>555</v>
      </c>
      <c r="E2781" s="1">
        <v>46153.028240740743</v>
      </c>
      <c r="F2781">
        <v>1481</v>
      </c>
      <c r="G2781" t="s">
        <v>1353</v>
      </c>
      <c r="H2781" t="s">
        <v>15</v>
      </c>
      <c r="I2781" t="s">
        <v>557</v>
      </c>
      <c r="J2781" t="str">
        <f>RIGHT(D2781,4)</f>
        <v>4948</v>
      </c>
      <c r="K2781" t="str">
        <f>IFERROR(VLOOKUP(VALUE(J2781),'Site Info'!$A:$G,3,FALSE),"")</f>
        <v>5749 SHERWOOD WAY</v>
      </c>
      <c r="L2781" t="str">
        <f>IFERROR(VLOOKUP(VALUE(J2781),'Site Info'!$A:$G,4,FALSE),"")</f>
        <v>SAN ANGELO</v>
      </c>
      <c r="M2781" t="str">
        <f>IFERROR(VLOOKUP(VALUE(J2781),'Site Info'!$A:$G,5,FALSE),"")</f>
        <v>TX</v>
      </c>
      <c r="N2781" t="str">
        <f>IFERROR(VLOOKUP(VALUE(J2781),'Site Info'!$A:$G,6,FALSE),"")</f>
        <v>76901-5643</v>
      </c>
      <c r="O2781">
        <f>IFERROR(VLOOKUP(VALUE(J2781),'Site Info'!$A:$G,7,FALSE),"")</f>
        <v>3252239373</v>
      </c>
    </row>
    <row r="2782" spans="1:15" x14ac:dyDescent="0.45">
      <c r="A2782" t="s">
        <v>16547</v>
      </c>
      <c r="B2782" t="s">
        <v>16548</v>
      </c>
      <c r="C2782" t="s">
        <v>16549</v>
      </c>
      <c r="D2782" t="s">
        <v>555</v>
      </c>
      <c r="E2782" s="1">
        <v>46151.62096064815</v>
      </c>
      <c r="F2782">
        <v>1547</v>
      </c>
      <c r="G2782" t="s">
        <v>16550</v>
      </c>
      <c r="H2782" t="s">
        <v>15</v>
      </c>
      <c r="I2782" t="s">
        <v>557</v>
      </c>
      <c r="J2782" t="str">
        <f>RIGHT(D2782,4)</f>
        <v>4948</v>
      </c>
      <c r="K2782" t="str">
        <f>IFERROR(VLOOKUP(VALUE(J2782),'Site Info'!$A:$G,3,FALSE),"")</f>
        <v>5749 SHERWOOD WAY</v>
      </c>
      <c r="L2782" t="str">
        <f>IFERROR(VLOOKUP(VALUE(J2782),'Site Info'!$A:$G,4,FALSE),"")</f>
        <v>SAN ANGELO</v>
      </c>
      <c r="M2782" t="str">
        <f>IFERROR(VLOOKUP(VALUE(J2782),'Site Info'!$A:$G,5,FALSE),"")</f>
        <v>TX</v>
      </c>
      <c r="N2782" t="str">
        <f>IFERROR(VLOOKUP(VALUE(J2782),'Site Info'!$A:$G,6,FALSE),"")</f>
        <v>76901-5643</v>
      </c>
      <c r="O2782">
        <f>IFERROR(VLOOKUP(VALUE(J2782),'Site Info'!$A:$G,7,FALSE),"")</f>
        <v>3252239373</v>
      </c>
    </row>
    <row r="2783" spans="1:15" x14ac:dyDescent="0.45">
      <c r="A2783" t="s">
        <v>10012</v>
      </c>
      <c r="B2783" t="s">
        <v>10013</v>
      </c>
      <c r="C2783" t="s">
        <v>10014</v>
      </c>
      <c r="D2783" t="s">
        <v>9825</v>
      </c>
      <c r="E2783" s="1">
        <v>46151.561284722222</v>
      </c>
      <c r="F2783">
        <v>1547</v>
      </c>
      <c r="G2783" t="s">
        <v>10015</v>
      </c>
      <c r="H2783" t="s">
        <v>15</v>
      </c>
      <c r="I2783" t="s">
        <v>9827</v>
      </c>
      <c r="J2783" t="str">
        <f>RIGHT(D2783,4)</f>
        <v>6440</v>
      </c>
      <c r="K2783" t="str">
        <f>IFERROR(VLOOKUP(VALUE(J2783),'Site Info'!$A:$G,3,FALSE),"")</f>
        <v>579 TROY SCHENECTADY RD</v>
      </c>
      <c r="L2783" t="str">
        <f>IFERROR(VLOOKUP(VALUE(J2783),'Site Info'!$A:$G,4,FALSE),"")</f>
        <v>LATHAM</v>
      </c>
      <c r="M2783" t="str">
        <f>IFERROR(VLOOKUP(VALUE(J2783),'Site Info'!$A:$G,5,FALSE),"")</f>
        <v>NY</v>
      </c>
      <c r="N2783" t="str">
        <f>IFERROR(VLOOKUP(VALUE(J2783),'Site Info'!$A:$G,6,FALSE),"")</f>
        <v>12110-2806</v>
      </c>
      <c r="O2783">
        <f>IFERROR(VLOOKUP(VALUE(J2783),'Site Info'!$A:$G,7,FALSE),"")</f>
        <v>5187831481</v>
      </c>
    </row>
    <row r="2784" spans="1:15" x14ac:dyDescent="0.45">
      <c r="A2784" t="s">
        <v>9822</v>
      </c>
      <c r="B2784" t="s">
        <v>9823</v>
      </c>
      <c r="C2784" t="s">
        <v>9824</v>
      </c>
      <c r="D2784" t="s">
        <v>9825</v>
      </c>
      <c r="E2784" s="1">
        <v>46152.50267361111</v>
      </c>
      <c r="F2784">
        <v>1547</v>
      </c>
      <c r="G2784" t="s">
        <v>9826</v>
      </c>
      <c r="H2784" t="s">
        <v>15</v>
      </c>
      <c r="I2784" t="s">
        <v>9827</v>
      </c>
      <c r="J2784" t="str">
        <f>RIGHT(D2784,4)</f>
        <v>6440</v>
      </c>
      <c r="K2784" t="str">
        <f>IFERROR(VLOOKUP(VALUE(J2784),'Site Info'!$A:$G,3,FALSE),"")</f>
        <v>579 TROY SCHENECTADY RD</v>
      </c>
      <c r="L2784" t="str">
        <f>IFERROR(VLOOKUP(VALUE(J2784),'Site Info'!$A:$G,4,FALSE),"")</f>
        <v>LATHAM</v>
      </c>
      <c r="M2784" t="str">
        <f>IFERROR(VLOOKUP(VALUE(J2784),'Site Info'!$A:$G,5,FALSE),"")</f>
        <v>NY</v>
      </c>
      <c r="N2784" t="str">
        <f>IFERROR(VLOOKUP(VALUE(J2784),'Site Info'!$A:$G,6,FALSE),"")</f>
        <v>12110-2806</v>
      </c>
      <c r="O2784">
        <f>IFERROR(VLOOKUP(VALUE(J2784),'Site Info'!$A:$G,7,FALSE),"")</f>
        <v>5187831481</v>
      </c>
    </row>
    <row r="2785" spans="1:15" x14ac:dyDescent="0.45">
      <c r="A2785" t="s">
        <v>10500</v>
      </c>
      <c r="B2785" t="s">
        <v>10501</v>
      </c>
      <c r="C2785" t="s">
        <v>10502</v>
      </c>
      <c r="D2785" t="s">
        <v>9825</v>
      </c>
      <c r="E2785" s="1">
        <v>46153.32471064815</v>
      </c>
      <c r="F2785">
        <v>1547</v>
      </c>
      <c r="G2785" t="s">
        <v>10503</v>
      </c>
      <c r="H2785" t="s">
        <v>15</v>
      </c>
      <c r="I2785" t="s">
        <v>9827</v>
      </c>
      <c r="J2785" t="str">
        <f>RIGHT(D2785,4)</f>
        <v>6440</v>
      </c>
      <c r="K2785" t="str">
        <f>IFERROR(VLOOKUP(VALUE(J2785),'Site Info'!$A:$G,3,FALSE),"")</f>
        <v>579 TROY SCHENECTADY RD</v>
      </c>
      <c r="L2785" t="str">
        <f>IFERROR(VLOOKUP(VALUE(J2785),'Site Info'!$A:$G,4,FALSE),"")</f>
        <v>LATHAM</v>
      </c>
      <c r="M2785" t="str">
        <f>IFERROR(VLOOKUP(VALUE(J2785),'Site Info'!$A:$G,5,FALSE),"")</f>
        <v>NY</v>
      </c>
      <c r="N2785" t="str">
        <f>IFERROR(VLOOKUP(VALUE(J2785),'Site Info'!$A:$G,6,FALSE),"")</f>
        <v>12110-2806</v>
      </c>
      <c r="O2785">
        <f>IFERROR(VLOOKUP(VALUE(J2785),'Site Info'!$A:$G,7,FALSE),"")</f>
        <v>5187831481</v>
      </c>
    </row>
    <row r="2786" spans="1:15" x14ac:dyDescent="0.45">
      <c r="A2786" t="s">
        <v>16874</v>
      </c>
      <c r="B2786" t="s">
        <v>16875</v>
      </c>
      <c r="C2786" t="s">
        <v>16876</v>
      </c>
      <c r="D2786" t="s">
        <v>9825</v>
      </c>
      <c r="E2786" s="1">
        <v>46153.377662037034</v>
      </c>
      <c r="F2786">
        <v>1547</v>
      </c>
      <c r="G2786" t="s">
        <v>16877</v>
      </c>
      <c r="H2786" t="s">
        <v>15</v>
      </c>
      <c r="I2786" t="s">
        <v>9827</v>
      </c>
      <c r="J2786" t="str">
        <f>RIGHT(D2786,4)</f>
        <v>6440</v>
      </c>
      <c r="K2786" t="str">
        <f>IFERROR(VLOOKUP(VALUE(J2786),'Site Info'!$A:$G,3,FALSE),"")</f>
        <v>579 TROY SCHENECTADY RD</v>
      </c>
      <c r="L2786" t="str">
        <f>IFERROR(VLOOKUP(VALUE(J2786),'Site Info'!$A:$G,4,FALSE),"")</f>
        <v>LATHAM</v>
      </c>
      <c r="M2786" t="str">
        <f>IFERROR(VLOOKUP(VALUE(J2786),'Site Info'!$A:$G,5,FALSE),"")</f>
        <v>NY</v>
      </c>
      <c r="N2786" t="str">
        <f>IFERROR(VLOOKUP(VALUE(J2786),'Site Info'!$A:$G,6,FALSE),"")</f>
        <v>12110-2806</v>
      </c>
      <c r="O2786">
        <f>IFERROR(VLOOKUP(VALUE(J2786),'Site Info'!$A:$G,7,FALSE),"")</f>
        <v>5187831481</v>
      </c>
    </row>
    <row r="2787" spans="1:15" x14ac:dyDescent="0.45">
      <c r="A2787" t="s">
        <v>14253</v>
      </c>
      <c r="B2787" t="s">
        <v>14254</v>
      </c>
      <c r="C2787" t="s">
        <v>14255</v>
      </c>
      <c r="D2787" t="s">
        <v>1851</v>
      </c>
      <c r="E2787" s="1">
        <v>46144.61550925926</v>
      </c>
      <c r="F2787">
        <v>1863</v>
      </c>
      <c r="G2787" t="s">
        <v>14256</v>
      </c>
      <c r="H2787" t="s">
        <v>136</v>
      </c>
      <c r="I2787" t="s">
        <v>1853</v>
      </c>
      <c r="J2787" t="str">
        <f>RIGHT(D2787,4)</f>
        <v>6304</v>
      </c>
      <c r="K2787" t="str">
        <f>IFERROR(VLOOKUP(VALUE(J2787),'Site Info'!$A:$G,3,FALSE),"")</f>
        <v>5805 ROCKVILLE RD</v>
      </c>
      <c r="L2787" t="str">
        <f>IFERROR(VLOOKUP(VALUE(J2787),'Site Info'!$A:$G,4,FALSE),"")</f>
        <v>INDIANAPOLIS</v>
      </c>
      <c r="M2787" t="str">
        <f>IFERROR(VLOOKUP(VALUE(J2787),'Site Info'!$A:$G,5,FALSE),"")</f>
        <v>IN</v>
      </c>
      <c r="N2787" t="str">
        <f>IFERROR(VLOOKUP(VALUE(J2787),'Site Info'!$A:$G,6,FALSE),"")</f>
        <v>46224-9120</v>
      </c>
      <c r="O2787">
        <f>IFERROR(VLOOKUP(VALUE(J2787),'Site Info'!$A:$G,7,FALSE),"")</f>
        <v>3172483577</v>
      </c>
    </row>
    <row r="2788" spans="1:15" x14ac:dyDescent="0.45">
      <c r="A2788" t="s">
        <v>4376</v>
      </c>
      <c r="B2788" t="s">
        <v>4377</v>
      </c>
      <c r="C2788" t="s">
        <v>4378</v>
      </c>
      <c r="D2788" t="s">
        <v>1851</v>
      </c>
      <c r="E2788" s="1">
        <v>46148.27553240741</v>
      </c>
      <c r="F2788">
        <v>1547</v>
      </c>
      <c r="G2788" t="s">
        <v>4379</v>
      </c>
      <c r="H2788" t="s">
        <v>15</v>
      </c>
      <c r="I2788" t="s">
        <v>1853</v>
      </c>
      <c r="J2788" t="str">
        <f>RIGHT(D2788,4)</f>
        <v>6304</v>
      </c>
      <c r="K2788" t="str">
        <f>IFERROR(VLOOKUP(VALUE(J2788),'Site Info'!$A:$G,3,FALSE),"")</f>
        <v>5805 ROCKVILLE RD</v>
      </c>
      <c r="L2788" t="str">
        <f>IFERROR(VLOOKUP(VALUE(J2788),'Site Info'!$A:$G,4,FALSE),"")</f>
        <v>INDIANAPOLIS</v>
      </c>
      <c r="M2788" t="str">
        <f>IFERROR(VLOOKUP(VALUE(J2788),'Site Info'!$A:$G,5,FALSE),"")</f>
        <v>IN</v>
      </c>
      <c r="N2788" t="str">
        <f>IFERROR(VLOOKUP(VALUE(J2788),'Site Info'!$A:$G,6,FALSE),"")</f>
        <v>46224-9120</v>
      </c>
      <c r="O2788">
        <f>IFERROR(VLOOKUP(VALUE(J2788),'Site Info'!$A:$G,7,FALSE),"")</f>
        <v>3172483577</v>
      </c>
    </row>
    <row r="2789" spans="1:15" x14ac:dyDescent="0.45">
      <c r="A2789" t="s">
        <v>4782</v>
      </c>
      <c r="B2789" t="s">
        <v>4783</v>
      </c>
      <c r="C2789" t="s">
        <v>4784</v>
      </c>
      <c r="D2789" t="s">
        <v>1851</v>
      </c>
      <c r="E2789" s="1">
        <v>46152.354537037034</v>
      </c>
      <c r="F2789">
        <v>1547</v>
      </c>
      <c r="G2789" t="s">
        <v>4785</v>
      </c>
      <c r="H2789" t="s">
        <v>15</v>
      </c>
      <c r="I2789" t="s">
        <v>1853</v>
      </c>
      <c r="J2789" t="str">
        <f>RIGHT(D2789,4)</f>
        <v>6304</v>
      </c>
      <c r="K2789" t="str">
        <f>IFERROR(VLOOKUP(VALUE(J2789),'Site Info'!$A:$G,3,FALSE),"")</f>
        <v>5805 ROCKVILLE RD</v>
      </c>
      <c r="L2789" t="str">
        <f>IFERROR(VLOOKUP(VALUE(J2789),'Site Info'!$A:$G,4,FALSE),"")</f>
        <v>INDIANAPOLIS</v>
      </c>
      <c r="M2789" t="str">
        <f>IFERROR(VLOOKUP(VALUE(J2789),'Site Info'!$A:$G,5,FALSE),"")</f>
        <v>IN</v>
      </c>
      <c r="N2789" t="str">
        <f>IFERROR(VLOOKUP(VALUE(J2789),'Site Info'!$A:$G,6,FALSE),"")</f>
        <v>46224-9120</v>
      </c>
      <c r="O2789">
        <f>IFERROR(VLOOKUP(VALUE(J2789),'Site Info'!$A:$G,7,FALSE),"")</f>
        <v>3172483577</v>
      </c>
    </row>
    <row r="2790" spans="1:15" x14ac:dyDescent="0.45">
      <c r="A2790" t="s">
        <v>4766</v>
      </c>
      <c r="B2790" t="s">
        <v>4767</v>
      </c>
      <c r="C2790" t="s">
        <v>4768</v>
      </c>
      <c r="D2790" t="s">
        <v>1851</v>
      </c>
      <c r="E2790" s="1">
        <v>46153.283333333333</v>
      </c>
      <c r="F2790">
        <v>1547</v>
      </c>
      <c r="G2790" t="s">
        <v>4769</v>
      </c>
      <c r="H2790" t="s">
        <v>15</v>
      </c>
      <c r="I2790" t="s">
        <v>1853</v>
      </c>
      <c r="J2790" t="str">
        <f>RIGHT(D2790,4)</f>
        <v>6304</v>
      </c>
      <c r="K2790" t="str">
        <f>IFERROR(VLOOKUP(VALUE(J2790),'Site Info'!$A:$G,3,FALSE),"")</f>
        <v>5805 ROCKVILLE RD</v>
      </c>
      <c r="L2790" t="str">
        <f>IFERROR(VLOOKUP(VALUE(J2790),'Site Info'!$A:$G,4,FALSE),"")</f>
        <v>INDIANAPOLIS</v>
      </c>
      <c r="M2790" t="str">
        <f>IFERROR(VLOOKUP(VALUE(J2790),'Site Info'!$A:$G,5,FALSE),"")</f>
        <v>IN</v>
      </c>
      <c r="N2790" t="str">
        <f>IFERROR(VLOOKUP(VALUE(J2790),'Site Info'!$A:$G,6,FALSE),"")</f>
        <v>46224-9120</v>
      </c>
      <c r="O2790">
        <f>IFERROR(VLOOKUP(VALUE(J2790),'Site Info'!$A:$G,7,FALSE),"")</f>
        <v>3172483577</v>
      </c>
    </row>
    <row r="2791" spans="1:15" x14ac:dyDescent="0.45">
      <c r="A2791" t="s">
        <v>4762</v>
      </c>
      <c r="B2791" t="s">
        <v>4763</v>
      </c>
      <c r="C2791" t="s">
        <v>4764</v>
      </c>
      <c r="D2791" t="s">
        <v>1851</v>
      </c>
      <c r="E2791" s="1">
        <v>46153.358078703706</v>
      </c>
      <c r="F2791">
        <v>1547</v>
      </c>
      <c r="G2791" t="s">
        <v>4765</v>
      </c>
      <c r="H2791" t="s">
        <v>15</v>
      </c>
      <c r="I2791" t="s">
        <v>1853</v>
      </c>
      <c r="J2791" t="str">
        <f>RIGHT(D2791,4)</f>
        <v>6304</v>
      </c>
      <c r="K2791" t="str">
        <f>IFERROR(VLOOKUP(VALUE(J2791),'Site Info'!$A:$G,3,FALSE),"")</f>
        <v>5805 ROCKVILLE RD</v>
      </c>
      <c r="L2791" t="str">
        <f>IFERROR(VLOOKUP(VALUE(J2791),'Site Info'!$A:$G,4,FALSE),"")</f>
        <v>INDIANAPOLIS</v>
      </c>
      <c r="M2791" t="str">
        <f>IFERROR(VLOOKUP(VALUE(J2791),'Site Info'!$A:$G,5,FALSE),"")</f>
        <v>IN</v>
      </c>
      <c r="N2791" t="str">
        <f>IFERROR(VLOOKUP(VALUE(J2791),'Site Info'!$A:$G,6,FALSE),"")</f>
        <v>46224-9120</v>
      </c>
      <c r="O2791">
        <f>IFERROR(VLOOKUP(VALUE(J2791),'Site Info'!$A:$G,7,FALSE),"")</f>
        <v>3172483577</v>
      </c>
    </row>
    <row r="2792" spans="1:15" x14ac:dyDescent="0.45">
      <c r="A2792" t="s">
        <v>3961</v>
      </c>
      <c r="B2792" t="s">
        <v>3962</v>
      </c>
      <c r="C2792" t="s">
        <v>3963</v>
      </c>
      <c r="D2792" t="s">
        <v>1851</v>
      </c>
      <c r="E2792" s="1">
        <v>46150.587384259263</v>
      </c>
      <c r="F2792">
        <v>1481</v>
      </c>
      <c r="G2792" t="s">
        <v>3964</v>
      </c>
      <c r="H2792" t="s">
        <v>15</v>
      </c>
      <c r="I2792" t="s">
        <v>1853</v>
      </c>
      <c r="J2792" t="str">
        <f>RIGHT(D2792,4)</f>
        <v>6304</v>
      </c>
      <c r="K2792" t="str">
        <f>IFERROR(VLOOKUP(VALUE(J2792),'Site Info'!$A:$G,3,FALSE),"")</f>
        <v>5805 ROCKVILLE RD</v>
      </c>
      <c r="L2792" t="str">
        <f>IFERROR(VLOOKUP(VALUE(J2792),'Site Info'!$A:$G,4,FALSE),"")</f>
        <v>INDIANAPOLIS</v>
      </c>
      <c r="M2792" t="str">
        <f>IFERROR(VLOOKUP(VALUE(J2792),'Site Info'!$A:$G,5,FALSE),"")</f>
        <v>IN</v>
      </c>
      <c r="N2792" t="str">
        <f>IFERROR(VLOOKUP(VALUE(J2792),'Site Info'!$A:$G,6,FALSE),"")</f>
        <v>46224-9120</v>
      </c>
      <c r="O2792">
        <f>IFERROR(VLOOKUP(VALUE(J2792),'Site Info'!$A:$G,7,FALSE),"")</f>
        <v>3172483577</v>
      </c>
    </row>
    <row r="2793" spans="1:15" x14ac:dyDescent="0.45">
      <c r="A2793" t="s">
        <v>2090</v>
      </c>
      <c r="B2793" t="s">
        <v>2091</v>
      </c>
      <c r="C2793" t="s">
        <v>2092</v>
      </c>
      <c r="D2793" t="s">
        <v>1851</v>
      </c>
      <c r="E2793" s="1">
        <v>46151.266215277778</v>
      </c>
      <c r="F2793">
        <v>1481</v>
      </c>
      <c r="G2793" t="s">
        <v>2093</v>
      </c>
      <c r="H2793" t="s">
        <v>15</v>
      </c>
      <c r="I2793" t="s">
        <v>1853</v>
      </c>
      <c r="J2793" t="str">
        <f>RIGHT(D2793,4)</f>
        <v>6304</v>
      </c>
      <c r="K2793" t="str">
        <f>IFERROR(VLOOKUP(VALUE(J2793),'Site Info'!$A:$G,3,FALSE),"")</f>
        <v>5805 ROCKVILLE RD</v>
      </c>
      <c r="L2793" t="str">
        <f>IFERROR(VLOOKUP(VALUE(J2793),'Site Info'!$A:$G,4,FALSE),"")</f>
        <v>INDIANAPOLIS</v>
      </c>
      <c r="M2793" t="str">
        <f>IFERROR(VLOOKUP(VALUE(J2793),'Site Info'!$A:$G,5,FALSE),"")</f>
        <v>IN</v>
      </c>
      <c r="N2793" t="str">
        <f>IFERROR(VLOOKUP(VALUE(J2793),'Site Info'!$A:$G,6,FALSE),"")</f>
        <v>46224-9120</v>
      </c>
      <c r="O2793">
        <f>IFERROR(VLOOKUP(VALUE(J2793),'Site Info'!$A:$G,7,FALSE),"")</f>
        <v>3172483577</v>
      </c>
    </row>
    <row r="2794" spans="1:15" x14ac:dyDescent="0.45">
      <c r="A2794" t="s">
        <v>1848</v>
      </c>
      <c r="B2794" t="s">
        <v>1849</v>
      </c>
      <c r="C2794" t="s">
        <v>1850</v>
      </c>
      <c r="D2794" t="s">
        <v>1851</v>
      </c>
      <c r="E2794" s="1">
        <v>46153.147013888891</v>
      </c>
      <c r="F2794">
        <v>1481</v>
      </c>
      <c r="G2794" t="s">
        <v>1852</v>
      </c>
      <c r="H2794" t="s">
        <v>15</v>
      </c>
      <c r="I2794" t="s">
        <v>1853</v>
      </c>
      <c r="J2794" t="str">
        <f>RIGHT(D2794,4)</f>
        <v>6304</v>
      </c>
      <c r="K2794" t="str">
        <f>IFERROR(VLOOKUP(VALUE(J2794),'Site Info'!$A:$G,3,FALSE),"")</f>
        <v>5805 ROCKVILLE RD</v>
      </c>
      <c r="L2794" t="str">
        <f>IFERROR(VLOOKUP(VALUE(J2794),'Site Info'!$A:$G,4,FALSE),"")</f>
        <v>INDIANAPOLIS</v>
      </c>
      <c r="M2794" t="str">
        <f>IFERROR(VLOOKUP(VALUE(J2794),'Site Info'!$A:$G,5,FALSE),"")</f>
        <v>IN</v>
      </c>
      <c r="N2794" t="str">
        <f>IFERROR(VLOOKUP(VALUE(J2794),'Site Info'!$A:$G,6,FALSE),"")</f>
        <v>46224-9120</v>
      </c>
      <c r="O2794">
        <f>IFERROR(VLOOKUP(VALUE(J2794),'Site Info'!$A:$G,7,FALSE),"")</f>
        <v>3172483577</v>
      </c>
    </row>
    <row r="2795" spans="1:15" x14ac:dyDescent="0.45">
      <c r="A2795" t="s">
        <v>16689</v>
      </c>
      <c r="B2795" t="s">
        <v>16690</v>
      </c>
      <c r="C2795" t="s">
        <v>16691</v>
      </c>
      <c r="D2795" t="s">
        <v>1851</v>
      </c>
      <c r="E2795" s="1">
        <v>46150.883622685185</v>
      </c>
      <c r="F2795">
        <v>1481</v>
      </c>
      <c r="G2795" t="s">
        <v>16692</v>
      </c>
      <c r="H2795" t="s">
        <v>15</v>
      </c>
      <c r="I2795" t="s">
        <v>1853</v>
      </c>
      <c r="J2795" t="str">
        <f>RIGHT(D2795,4)</f>
        <v>6304</v>
      </c>
      <c r="K2795" t="str">
        <f>IFERROR(VLOOKUP(VALUE(J2795),'Site Info'!$A:$G,3,FALSE),"")</f>
        <v>5805 ROCKVILLE RD</v>
      </c>
      <c r="L2795" t="str">
        <f>IFERROR(VLOOKUP(VALUE(J2795),'Site Info'!$A:$G,4,FALSE),"")</f>
        <v>INDIANAPOLIS</v>
      </c>
      <c r="M2795" t="str">
        <f>IFERROR(VLOOKUP(VALUE(J2795),'Site Info'!$A:$G,5,FALSE),"")</f>
        <v>IN</v>
      </c>
      <c r="N2795" t="str">
        <f>IFERROR(VLOOKUP(VALUE(J2795),'Site Info'!$A:$G,6,FALSE),"")</f>
        <v>46224-9120</v>
      </c>
      <c r="O2795">
        <f>IFERROR(VLOOKUP(VALUE(J2795),'Site Info'!$A:$G,7,FALSE),"")</f>
        <v>3172483577</v>
      </c>
    </row>
    <row r="2796" spans="1:15" x14ac:dyDescent="0.45">
      <c r="A2796" t="s">
        <v>8969</v>
      </c>
      <c r="B2796" t="s">
        <v>8970</v>
      </c>
      <c r="C2796" t="s">
        <v>8971</v>
      </c>
      <c r="D2796" t="s">
        <v>991</v>
      </c>
      <c r="E2796" s="1">
        <v>46151.393587962964</v>
      </c>
      <c r="F2796">
        <v>1547</v>
      </c>
      <c r="G2796" t="s">
        <v>8972</v>
      </c>
      <c r="H2796" t="s">
        <v>15</v>
      </c>
      <c r="I2796" t="s">
        <v>993</v>
      </c>
      <c r="J2796" t="str">
        <f>RIGHT(D2796,4)</f>
        <v>6242</v>
      </c>
      <c r="K2796" t="str">
        <f>IFERROR(VLOOKUP(VALUE(J2796),'Site Info'!$A:$G,3,FALSE),"")</f>
        <v>5870 SAWMILL RD</v>
      </c>
      <c r="L2796" t="str">
        <f>IFERROR(VLOOKUP(VALUE(J2796),'Site Info'!$A:$G,4,FALSE),"")</f>
        <v>DUBLIN</v>
      </c>
      <c r="M2796" t="str">
        <f>IFERROR(VLOOKUP(VALUE(J2796),'Site Info'!$A:$G,5,FALSE),"")</f>
        <v>OH</v>
      </c>
      <c r="N2796" t="str">
        <f>IFERROR(VLOOKUP(VALUE(J2796),'Site Info'!$A:$G,6,FALSE),"")</f>
        <v>43017-1589</v>
      </c>
      <c r="O2796">
        <f>IFERROR(VLOOKUP(VALUE(J2796),'Site Info'!$A:$G,7,FALSE),"")</f>
        <v>6147607771</v>
      </c>
    </row>
    <row r="2797" spans="1:15" x14ac:dyDescent="0.45">
      <c r="A2797" t="s">
        <v>9093</v>
      </c>
      <c r="B2797" t="s">
        <v>9094</v>
      </c>
      <c r="C2797" t="s">
        <v>9095</v>
      </c>
      <c r="D2797" t="s">
        <v>991</v>
      </c>
      <c r="E2797" s="1">
        <v>46151.878576388888</v>
      </c>
      <c r="F2797">
        <v>1547</v>
      </c>
      <c r="G2797" t="s">
        <v>9096</v>
      </c>
      <c r="H2797" t="s">
        <v>15</v>
      </c>
      <c r="I2797" t="s">
        <v>993</v>
      </c>
      <c r="J2797" t="str">
        <f>RIGHT(D2797,4)</f>
        <v>6242</v>
      </c>
      <c r="K2797" t="str">
        <f>IFERROR(VLOOKUP(VALUE(J2797),'Site Info'!$A:$G,3,FALSE),"")</f>
        <v>5870 SAWMILL RD</v>
      </c>
      <c r="L2797" t="str">
        <f>IFERROR(VLOOKUP(VALUE(J2797),'Site Info'!$A:$G,4,FALSE),"")</f>
        <v>DUBLIN</v>
      </c>
      <c r="M2797" t="str">
        <f>IFERROR(VLOOKUP(VALUE(J2797),'Site Info'!$A:$G,5,FALSE),"")</f>
        <v>OH</v>
      </c>
      <c r="N2797" t="str">
        <f>IFERROR(VLOOKUP(VALUE(J2797),'Site Info'!$A:$G,6,FALSE),"")</f>
        <v>43017-1589</v>
      </c>
      <c r="O2797">
        <f>IFERROR(VLOOKUP(VALUE(J2797),'Site Info'!$A:$G,7,FALSE),"")</f>
        <v>6147607771</v>
      </c>
    </row>
    <row r="2798" spans="1:15" x14ac:dyDescent="0.45">
      <c r="A2798" t="s">
        <v>6881</v>
      </c>
      <c r="B2798" t="s">
        <v>6882</v>
      </c>
      <c r="C2798" t="s">
        <v>6883</v>
      </c>
      <c r="D2798" t="s">
        <v>991</v>
      </c>
      <c r="E2798" s="1">
        <v>46152.703587962962</v>
      </c>
      <c r="F2798">
        <v>1547</v>
      </c>
      <c r="G2798" t="s">
        <v>6884</v>
      </c>
      <c r="H2798" t="s">
        <v>15</v>
      </c>
      <c r="I2798" t="s">
        <v>993</v>
      </c>
      <c r="J2798" t="str">
        <f>RIGHT(D2798,4)</f>
        <v>6242</v>
      </c>
      <c r="K2798" t="str">
        <f>IFERROR(VLOOKUP(VALUE(J2798),'Site Info'!$A:$G,3,FALSE),"")</f>
        <v>5870 SAWMILL RD</v>
      </c>
      <c r="L2798" t="str">
        <f>IFERROR(VLOOKUP(VALUE(J2798),'Site Info'!$A:$G,4,FALSE),"")</f>
        <v>DUBLIN</v>
      </c>
      <c r="M2798" t="str">
        <f>IFERROR(VLOOKUP(VALUE(J2798),'Site Info'!$A:$G,5,FALSE),"")</f>
        <v>OH</v>
      </c>
      <c r="N2798" t="str">
        <f>IFERROR(VLOOKUP(VALUE(J2798),'Site Info'!$A:$G,6,FALSE),"")</f>
        <v>43017-1589</v>
      </c>
      <c r="O2798">
        <f>IFERROR(VLOOKUP(VALUE(J2798),'Site Info'!$A:$G,7,FALSE),"")</f>
        <v>6147607771</v>
      </c>
    </row>
    <row r="2799" spans="1:15" x14ac:dyDescent="0.45">
      <c r="A2799" t="s">
        <v>8933</v>
      </c>
      <c r="B2799" t="s">
        <v>8934</v>
      </c>
      <c r="C2799" t="s">
        <v>8935</v>
      </c>
      <c r="D2799" t="s">
        <v>991</v>
      </c>
      <c r="E2799" s="1">
        <v>46153.323483796295</v>
      </c>
      <c r="F2799">
        <v>1547</v>
      </c>
      <c r="G2799" t="s">
        <v>8936</v>
      </c>
      <c r="H2799" t="s">
        <v>15</v>
      </c>
      <c r="I2799" t="s">
        <v>993</v>
      </c>
      <c r="J2799" t="str">
        <f>RIGHT(D2799,4)</f>
        <v>6242</v>
      </c>
      <c r="K2799" t="str">
        <f>IFERROR(VLOOKUP(VALUE(J2799),'Site Info'!$A:$G,3,FALSE),"")</f>
        <v>5870 SAWMILL RD</v>
      </c>
      <c r="L2799" t="str">
        <f>IFERROR(VLOOKUP(VALUE(J2799),'Site Info'!$A:$G,4,FALSE),"")</f>
        <v>DUBLIN</v>
      </c>
      <c r="M2799" t="str">
        <f>IFERROR(VLOOKUP(VALUE(J2799),'Site Info'!$A:$G,5,FALSE),"")</f>
        <v>OH</v>
      </c>
      <c r="N2799" t="str">
        <f>IFERROR(VLOOKUP(VALUE(J2799),'Site Info'!$A:$G,6,FALSE),"")</f>
        <v>43017-1589</v>
      </c>
      <c r="O2799">
        <f>IFERROR(VLOOKUP(VALUE(J2799),'Site Info'!$A:$G,7,FALSE),"")</f>
        <v>6147607771</v>
      </c>
    </row>
    <row r="2800" spans="1:15" x14ac:dyDescent="0.45">
      <c r="A2800" t="s">
        <v>8865</v>
      </c>
      <c r="B2800" t="s">
        <v>8866</v>
      </c>
      <c r="C2800" t="s">
        <v>8867</v>
      </c>
      <c r="D2800" t="s">
        <v>991</v>
      </c>
      <c r="E2800" s="1">
        <v>46153.349456018521</v>
      </c>
      <c r="F2800">
        <v>1547</v>
      </c>
      <c r="G2800" t="s">
        <v>8868</v>
      </c>
      <c r="H2800" t="s">
        <v>15</v>
      </c>
      <c r="I2800" t="s">
        <v>993</v>
      </c>
      <c r="J2800" t="str">
        <f>RIGHT(D2800,4)</f>
        <v>6242</v>
      </c>
      <c r="K2800" t="str">
        <f>IFERROR(VLOOKUP(VALUE(J2800),'Site Info'!$A:$G,3,FALSE),"")</f>
        <v>5870 SAWMILL RD</v>
      </c>
      <c r="L2800" t="str">
        <f>IFERROR(VLOOKUP(VALUE(J2800),'Site Info'!$A:$G,4,FALSE),"")</f>
        <v>DUBLIN</v>
      </c>
      <c r="M2800" t="str">
        <f>IFERROR(VLOOKUP(VALUE(J2800),'Site Info'!$A:$G,5,FALSE),"")</f>
        <v>OH</v>
      </c>
      <c r="N2800" t="str">
        <f>IFERROR(VLOOKUP(VALUE(J2800),'Site Info'!$A:$G,6,FALSE),"")</f>
        <v>43017-1589</v>
      </c>
      <c r="O2800">
        <f>IFERROR(VLOOKUP(VALUE(J2800),'Site Info'!$A:$G,7,FALSE),"")</f>
        <v>6147607771</v>
      </c>
    </row>
    <row r="2801" spans="1:15" x14ac:dyDescent="0.45">
      <c r="A2801" t="s">
        <v>988</v>
      </c>
      <c r="B2801" t="s">
        <v>989</v>
      </c>
      <c r="C2801" t="s">
        <v>990</v>
      </c>
      <c r="D2801" t="s">
        <v>991</v>
      </c>
      <c r="E2801" s="1">
        <v>46152.422291666669</v>
      </c>
      <c r="F2801">
        <v>1481</v>
      </c>
      <c r="G2801" t="s">
        <v>992</v>
      </c>
      <c r="H2801" t="s">
        <v>15</v>
      </c>
      <c r="I2801" t="s">
        <v>993</v>
      </c>
      <c r="J2801" t="str">
        <f>RIGHT(D2801,4)</f>
        <v>6242</v>
      </c>
      <c r="K2801" t="str">
        <f>IFERROR(VLOOKUP(VALUE(J2801),'Site Info'!$A:$G,3,FALSE),"")</f>
        <v>5870 SAWMILL RD</v>
      </c>
      <c r="L2801" t="str">
        <f>IFERROR(VLOOKUP(VALUE(J2801),'Site Info'!$A:$G,4,FALSE),"")</f>
        <v>DUBLIN</v>
      </c>
      <c r="M2801" t="str">
        <f>IFERROR(VLOOKUP(VALUE(J2801),'Site Info'!$A:$G,5,FALSE),"")</f>
        <v>OH</v>
      </c>
      <c r="N2801" t="str">
        <f>IFERROR(VLOOKUP(VALUE(J2801),'Site Info'!$A:$G,6,FALSE),"")</f>
        <v>43017-1589</v>
      </c>
      <c r="O2801">
        <f>IFERROR(VLOOKUP(VALUE(J2801),'Site Info'!$A:$G,7,FALSE),"")</f>
        <v>6147607771</v>
      </c>
    </row>
    <row r="2802" spans="1:15" x14ac:dyDescent="0.45">
      <c r="A2802" t="s">
        <v>1086</v>
      </c>
      <c r="B2802" t="s">
        <v>1087</v>
      </c>
      <c r="C2802" t="s">
        <v>1088</v>
      </c>
      <c r="D2802" t="s">
        <v>991</v>
      </c>
      <c r="E2802" s="1">
        <v>46152.42701388889</v>
      </c>
      <c r="F2802">
        <v>1481</v>
      </c>
      <c r="G2802" t="s">
        <v>1089</v>
      </c>
      <c r="H2802" t="s">
        <v>15</v>
      </c>
      <c r="I2802" t="s">
        <v>993</v>
      </c>
      <c r="J2802" t="str">
        <f>RIGHT(D2802,4)</f>
        <v>6242</v>
      </c>
      <c r="K2802" t="str">
        <f>IFERROR(VLOOKUP(VALUE(J2802),'Site Info'!$A:$G,3,FALSE),"")</f>
        <v>5870 SAWMILL RD</v>
      </c>
      <c r="L2802" t="str">
        <f>IFERROR(VLOOKUP(VALUE(J2802),'Site Info'!$A:$G,4,FALSE),"")</f>
        <v>DUBLIN</v>
      </c>
      <c r="M2802" t="str">
        <f>IFERROR(VLOOKUP(VALUE(J2802),'Site Info'!$A:$G,5,FALSE),"")</f>
        <v>OH</v>
      </c>
      <c r="N2802" t="str">
        <f>IFERROR(VLOOKUP(VALUE(J2802),'Site Info'!$A:$G,6,FALSE),"")</f>
        <v>43017-1589</v>
      </c>
      <c r="O2802">
        <f>IFERROR(VLOOKUP(VALUE(J2802),'Site Info'!$A:$G,7,FALSE),"")</f>
        <v>6147607771</v>
      </c>
    </row>
    <row r="2803" spans="1:15" x14ac:dyDescent="0.45">
      <c r="A2803" t="s">
        <v>10702</v>
      </c>
      <c r="B2803" t="s">
        <v>10703</v>
      </c>
      <c r="C2803" t="s">
        <v>10704</v>
      </c>
      <c r="D2803" t="s">
        <v>870</v>
      </c>
      <c r="E2803" s="1">
        <v>46152.694143518522</v>
      </c>
      <c r="F2803">
        <v>1547</v>
      </c>
      <c r="G2803" t="s">
        <v>10705</v>
      </c>
      <c r="H2803" t="s">
        <v>15</v>
      </c>
      <c r="I2803" t="s">
        <v>871</v>
      </c>
      <c r="J2803" t="str">
        <f>RIGHT(D2803,4)</f>
        <v>6626</v>
      </c>
      <c r="K2803" t="str">
        <f>IFERROR(VLOOKUP(VALUE(J2803),'Site Info'!$A:$G,3,FALSE),"")</f>
        <v>5871 FIRESTONE BLVD</v>
      </c>
      <c r="L2803" t="str">
        <f>IFERROR(VLOOKUP(VALUE(J2803),'Site Info'!$A:$G,4,FALSE),"")</f>
        <v>SOUTH GATE</v>
      </c>
      <c r="M2803" t="str">
        <f>IFERROR(VLOOKUP(VALUE(J2803),'Site Info'!$A:$G,5,FALSE),"")</f>
        <v>CA</v>
      </c>
      <c r="N2803" t="str">
        <f>IFERROR(VLOOKUP(VALUE(J2803),'Site Info'!$A:$G,6,FALSE),"")</f>
        <v>90280-3705</v>
      </c>
      <c r="O2803">
        <f>IFERROR(VLOOKUP(VALUE(J2803),'Site Info'!$A:$G,7,FALSE),"")</f>
        <v>5629281514</v>
      </c>
    </row>
    <row r="2804" spans="1:15" x14ac:dyDescent="0.45">
      <c r="A2804" t="s">
        <v>10698</v>
      </c>
      <c r="B2804" t="s">
        <v>10699</v>
      </c>
      <c r="C2804" t="s">
        <v>10700</v>
      </c>
      <c r="D2804" t="s">
        <v>870</v>
      </c>
      <c r="E2804" s="1">
        <v>46152.806793981479</v>
      </c>
      <c r="F2804">
        <v>1547</v>
      </c>
      <c r="G2804" t="s">
        <v>10701</v>
      </c>
      <c r="H2804" t="s">
        <v>15</v>
      </c>
      <c r="I2804" t="s">
        <v>871</v>
      </c>
      <c r="J2804" t="str">
        <f>RIGHT(D2804,4)</f>
        <v>6626</v>
      </c>
      <c r="K2804" t="str">
        <f>IFERROR(VLOOKUP(VALUE(J2804),'Site Info'!$A:$G,3,FALSE),"")</f>
        <v>5871 FIRESTONE BLVD</v>
      </c>
      <c r="L2804" t="str">
        <f>IFERROR(VLOOKUP(VALUE(J2804),'Site Info'!$A:$G,4,FALSE),"")</f>
        <v>SOUTH GATE</v>
      </c>
      <c r="M2804" t="str">
        <f>IFERROR(VLOOKUP(VALUE(J2804),'Site Info'!$A:$G,5,FALSE),"")</f>
        <v>CA</v>
      </c>
      <c r="N2804" t="str">
        <f>IFERROR(VLOOKUP(VALUE(J2804),'Site Info'!$A:$G,6,FALSE),"")</f>
        <v>90280-3705</v>
      </c>
      <c r="O2804">
        <f>IFERROR(VLOOKUP(VALUE(J2804),'Site Info'!$A:$G,7,FALSE),"")</f>
        <v>5629281514</v>
      </c>
    </row>
    <row r="2805" spans="1:15" x14ac:dyDescent="0.45">
      <c r="A2805" t="s">
        <v>7248</v>
      </c>
      <c r="B2805" t="s">
        <v>7249</v>
      </c>
      <c r="C2805" t="s">
        <v>7250</v>
      </c>
      <c r="D2805" t="s">
        <v>870</v>
      </c>
      <c r="E2805" s="1">
        <v>46153.22828703704</v>
      </c>
      <c r="F2805">
        <v>1547</v>
      </c>
      <c r="G2805" t="s">
        <v>7251</v>
      </c>
      <c r="H2805" t="s">
        <v>15</v>
      </c>
      <c r="I2805" t="s">
        <v>871</v>
      </c>
      <c r="J2805" t="str">
        <f>RIGHT(D2805,4)</f>
        <v>6626</v>
      </c>
      <c r="K2805" t="str">
        <f>IFERROR(VLOOKUP(VALUE(J2805),'Site Info'!$A:$G,3,FALSE),"")</f>
        <v>5871 FIRESTONE BLVD</v>
      </c>
      <c r="L2805" t="str">
        <f>IFERROR(VLOOKUP(VALUE(J2805),'Site Info'!$A:$G,4,FALSE),"")</f>
        <v>SOUTH GATE</v>
      </c>
      <c r="M2805" t="str">
        <f>IFERROR(VLOOKUP(VALUE(J2805),'Site Info'!$A:$G,5,FALSE),"")</f>
        <v>CA</v>
      </c>
      <c r="N2805" t="str">
        <f>IFERROR(VLOOKUP(VALUE(J2805),'Site Info'!$A:$G,6,FALSE),"")</f>
        <v>90280-3705</v>
      </c>
      <c r="O2805">
        <f>IFERROR(VLOOKUP(VALUE(J2805),'Site Info'!$A:$G,7,FALSE),"")</f>
        <v>5629281514</v>
      </c>
    </row>
    <row r="2806" spans="1:15" x14ac:dyDescent="0.45">
      <c r="A2806" t="s">
        <v>10608</v>
      </c>
      <c r="B2806" t="s">
        <v>10609</v>
      </c>
      <c r="C2806" t="s">
        <v>10610</v>
      </c>
      <c r="D2806" t="s">
        <v>870</v>
      </c>
      <c r="E2806" s="1">
        <v>46153.373182870368</v>
      </c>
      <c r="F2806">
        <v>1547</v>
      </c>
      <c r="G2806" t="s">
        <v>10611</v>
      </c>
      <c r="H2806" t="s">
        <v>15</v>
      </c>
      <c r="I2806" t="s">
        <v>871</v>
      </c>
      <c r="J2806" t="str">
        <f>RIGHT(D2806,4)</f>
        <v>6626</v>
      </c>
      <c r="K2806" t="str">
        <f>IFERROR(VLOOKUP(VALUE(J2806),'Site Info'!$A:$G,3,FALSE),"")</f>
        <v>5871 FIRESTONE BLVD</v>
      </c>
      <c r="L2806" t="str">
        <f>IFERROR(VLOOKUP(VALUE(J2806),'Site Info'!$A:$G,4,FALSE),"")</f>
        <v>SOUTH GATE</v>
      </c>
      <c r="M2806" t="str">
        <f>IFERROR(VLOOKUP(VALUE(J2806),'Site Info'!$A:$G,5,FALSE),"")</f>
        <v>CA</v>
      </c>
      <c r="N2806" t="str">
        <f>IFERROR(VLOOKUP(VALUE(J2806),'Site Info'!$A:$G,6,FALSE),"")</f>
        <v>90280-3705</v>
      </c>
      <c r="O2806">
        <f>IFERROR(VLOOKUP(VALUE(J2806),'Site Info'!$A:$G,7,FALSE),"")</f>
        <v>5629281514</v>
      </c>
    </row>
    <row r="2807" spans="1:15" x14ac:dyDescent="0.45">
      <c r="A2807" t="s">
        <v>888</v>
      </c>
      <c r="B2807" t="s">
        <v>889</v>
      </c>
      <c r="C2807" t="s">
        <v>890</v>
      </c>
      <c r="D2807" t="s">
        <v>870</v>
      </c>
      <c r="E2807" s="1">
        <v>46153.31753472222</v>
      </c>
      <c r="F2807">
        <v>1481</v>
      </c>
      <c r="G2807" t="s">
        <v>891</v>
      </c>
      <c r="H2807" t="s">
        <v>15</v>
      </c>
      <c r="I2807" t="s">
        <v>871</v>
      </c>
      <c r="J2807" t="str">
        <f>RIGHT(D2807,4)</f>
        <v>6626</v>
      </c>
      <c r="K2807" t="str">
        <f>IFERROR(VLOOKUP(VALUE(J2807),'Site Info'!$A:$G,3,FALSE),"")</f>
        <v>5871 FIRESTONE BLVD</v>
      </c>
      <c r="L2807" t="str">
        <f>IFERROR(VLOOKUP(VALUE(J2807),'Site Info'!$A:$G,4,FALSE),"")</f>
        <v>SOUTH GATE</v>
      </c>
      <c r="M2807" t="str">
        <f>IFERROR(VLOOKUP(VALUE(J2807),'Site Info'!$A:$G,5,FALSE),"")</f>
        <v>CA</v>
      </c>
      <c r="N2807" t="str">
        <f>IFERROR(VLOOKUP(VALUE(J2807),'Site Info'!$A:$G,6,FALSE),"")</f>
        <v>90280-3705</v>
      </c>
      <c r="O2807">
        <f>IFERROR(VLOOKUP(VALUE(J2807),'Site Info'!$A:$G,7,FALSE),"")</f>
        <v>5629281514</v>
      </c>
    </row>
    <row r="2808" spans="1:15" x14ac:dyDescent="0.45">
      <c r="A2808" t="s">
        <v>9990</v>
      </c>
      <c r="B2808" t="s">
        <v>9991</v>
      </c>
      <c r="C2808" t="s">
        <v>9992</v>
      </c>
      <c r="D2808" t="s">
        <v>116</v>
      </c>
      <c r="E2808" s="1">
        <v>46133.048171296294</v>
      </c>
      <c r="F2808">
        <v>1547</v>
      </c>
      <c r="G2808" t="s">
        <v>9993</v>
      </c>
      <c r="H2808" t="s">
        <v>15</v>
      </c>
      <c r="I2808" t="s">
        <v>117</v>
      </c>
      <c r="J2808" t="str">
        <f>RIGHT(D2808,4)</f>
        <v>4853</v>
      </c>
      <c r="K2808" t="str">
        <f>IFERROR(VLOOKUP(VALUE(J2808),'Site Info'!$A:$G,3,FALSE),"")</f>
        <v>5940 PROMENADE PARKWAY</v>
      </c>
      <c r="L2808" t="str">
        <f>IFERROR(VLOOKUP(VALUE(J2808),'Site Info'!$A:$G,4,FALSE),"")</f>
        <v>CASTLE ROCK</v>
      </c>
      <c r="M2808" t="str">
        <f>IFERROR(VLOOKUP(VALUE(J2808),'Site Info'!$A:$G,5,FALSE),"")</f>
        <v>CO</v>
      </c>
      <c r="N2808" t="str">
        <f>IFERROR(VLOOKUP(VALUE(J2808),'Site Info'!$A:$G,6,FALSE),"")</f>
        <v>80108-0000</v>
      </c>
      <c r="O2808">
        <f>IFERROR(VLOOKUP(VALUE(J2808),'Site Info'!$A:$G,7,FALSE),"")</f>
        <v>3033798049</v>
      </c>
    </row>
    <row r="2809" spans="1:15" x14ac:dyDescent="0.45">
      <c r="A2809" t="s">
        <v>11013</v>
      </c>
      <c r="B2809" t="s">
        <v>11014</v>
      </c>
      <c r="C2809" t="s">
        <v>11015</v>
      </c>
      <c r="D2809" t="s">
        <v>116</v>
      </c>
      <c r="E2809" s="1">
        <v>46151.838449074072</v>
      </c>
      <c r="F2809">
        <v>1547</v>
      </c>
      <c r="G2809" t="s">
        <v>11016</v>
      </c>
      <c r="H2809" t="s">
        <v>15</v>
      </c>
      <c r="I2809" t="s">
        <v>117</v>
      </c>
      <c r="J2809" t="str">
        <f>RIGHT(D2809,4)</f>
        <v>4853</v>
      </c>
      <c r="K2809" t="str">
        <f>IFERROR(VLOOKUP(VALUE(J2809),'Site Info'!$A:$G,3,FALSE),"")</f>
        <v>5940 PROMENADE PARKWAY</v>
      </c>
      <c r="L2809" t="str">
        <f>IFERROR(VLOOKUP(VALUE(J2809),'Site Info'!$A:$G,4,FALSE),"")</f>
        <v>CASTLE ROCK</v>
      </c>
      <c r="M2809" t="str">
        <f>IFERROR(VLOOKUP(VALUE(J2809),'Site Info'!$A:$G,5,FALSE),"")</f>
        <v>CO</v>
      </c>
      <c r="N2809" t="str">
        <f>IFERROR(VLOOKUP(VALUE(J2809),'Site Info'!$A:$G,6,FALSE),"")</f>
        <v>80108-0000</v>
      </c>
      <c r="O2809">
        <f>IFERROR(VLOOKUP(VALUE(J2809),'Site Info'!$A:$G,7,FALSE),"")</f>
        <v>3033798049</v>
      </c>
    </row>
    <row r="2810" spans="1:15" x14ac:dyDescent="0.45">
      <c r="A2810" t="s">
        <v>12636</v>
      </c>
      <c r="B2810" t="s">
        <v>12637</v>
      </c>
      <c r="C2810" t="s">
        <v>12638</v>
      </c>
      <c r="D2810" t="s">
        <v>116</v>
      </c>
      <c r="E2810" s="1">
        <v>46152.078483796293</v>
      </c>
      <c r="F2810">
        <v>1547</v>
      </c>
      <c r="G2810" t="s">
        <v>12639</v>
      </c>
      <c r="H2810" t="s">
        <v>15</v>
      </c>
      <c r="I2810" t="s">
        <v>117</v>
      </c>
      <c r="J2810" t="str">
        <f>RIGHT(D2810,4)</f>
        <v>4853</v>
      </c>
      <c r="K2810" t="str">
        <f>IFERROR(VLOOKUP(VALUE(J2810),'Site Info'!$A:$G,3,FALSE),"")</f>
        <v>5940 PROMENADE PARKWAY</v>
      </c>
      <c r="L2810" t="str">
        <f>IFERROR(VLOOKUP(VALUE(J2810),'Site Info'!$A:$G,4,FALSE),"")</f>
        <v>CASTLE ROCK</v>
      </c>
      <c r="M2810" t="str">
        <f>IFERROR(VLOOKUP(VALUE(J2810),'Site Info'!$A:$G,5,FALSE),"")</f>
        <v>CO</v>
      </c>
      <c r="N2810" t="str">
        <f>IFERROR(VLOOKUP(VALUE(J2810),'Site Info'!$A:$G,6,FALSE),"")</f>
        <v>80108-0000</v>
      </c>
      <c r="O2810">
        <f>IFERROR(VLOOKUP(VALUE(J2810),'Site Info'!$A:$G,7,FALSE),"")</f>
        <v>3033798049</v>
      </c>
    </row>
    <row r="2811" spans="1:15" x14ac:dyDescent="0.45">
      <c r="A2811" t="s">
        <v>12624</v>
      </c>
      <c r="B2811" t="s">
        <v>12625</v>
      </c>
      <c r="C2811" t="s">
        <v>12626</v>
      </c>
      <c r="D2811" t="s">
        <v>116</v>
      </c>
      <c r="E2811" s="1">
        <v>46153.35465277778</v>
      </c>
      <c r="F2811">
        <v>1547</v>
      </c>
      <c r="G2811" t="s">
        <v>12627</v>
      </c>
      <c r="H2811" t="s">
        <v>15</v>
      </c>
      <c r="I2811" t="s">
        <v>117</v>
      </c>
      <c r="J2811" t="str">
        <f>RIGHT(D2811,4)</f>
        <v>4853</v>
      </c>
      <c r="K2811" t="str">
        <f>IFERROR(VLOOKUP(VALUE(J2811),'Site Info'!$A:$G,3,FALSE),"")</f>
        <v>5940 PROMENADE PARKWAY</v>
      </c>
      <c r="L2811" t="str">
        <f>IFERROR(VLOOKUP(VALUE(J2811),'Site Info'!$A:$G,4,FALSE),"")</f>
        <v>CASTLE ROCK</v>
      </c>
      <c r="M2811" t="str">
        <f>IFERROR(VLOOKUP(VALUE(J2811),'Site Info'!$A:$G,5,FALSE),"")</f>
        <v>CO</v>
      </c>
      <c r="N2811" t="str">
        <f>IFERROR(VLOOKUP(VALUE(J2811),'Site Info'!$A:$G,6,FALSE),"")</f>
        <v>80108-0000</v>
      </c>
      <c r="O2811">
        <f>IFERROR(VLOOKUP(VALUE(J2811),'Site Info'!$A:$G,7,FALSE),"")</f>
        <v>3033798049</v>
      </c>
    </row>
    <row r="2812" spans="1:15" x14ac:dyDescent="0.45">
      <c r="A2812" t="s">
        <v>3965</v>
      </c>
      <c r="B2812" t="s">
        <v>3966</v>
      </c>
      <c r="C2812" t="s">
        <v>3967</v>
      </c>
      <c r="D2812" t="s">
        <v>116</v>
      </c>
      <c r="E2812" s="1">
        <v>46152.586145833331</v>
      </c>
      <c r="F2812">
        <v>1481</v>
      </c>
      <c r="G2812" t="s">
        <v>3968</v>
      </c>
      <c r="H2812" t="s">
        <v>15</v>
      </c>
      <c r="I2812" t="s">
        <v>117</v>
      </c>
      <c r="J2812" t="str">
        <f>RIGHT(D2812,4)</f>
        <v>4853</v>
      </c>
      <c r="K2812" t="str">
        <f>IFERROR(VLOOKUP(VALUE(J2812),'Site Info'!$A:$G,3,FALSE),"")</f>
        <v>5940 PROMENADE PARKWAY</v>
      </c>
      <c r="L2812" t="str">
        <f>IFERROR(VLOOKUP(VALUE(J2812),'Site Info'!$A:$G,4,FALSE),"")</f>
        <v>CASTLE ROCK</v>
      </c>
      <c r="M2812" t="str">
        <f>IFERROR(VLOOKUP(VALUE(J2812),'Site Info'!$A:$G,5,FALSE),"")</f>
        <v>CO</v>
      </c>
      <c r="N2812" t="str">
        <f>IFERROR(VLOOKUP(VALUE(J2812),'Site Info'!$A:$G,6,FALSE),"")</f>
        <v>80108-0000</v>
      </c>
      <c r="O2812">
        <f>IFERROR(VLOOKUP(VALUE(J2812),'Site Info'!$A:$G,7,FALSE),"")</f>
        <v>3033798049</v>
      </c>
    </row>
    <row r="2813" spans="1:15" x14ac:dyDescent="0.45">
      <c r="A2813" t="s">
        <v>14612</v>
      </c>
      <c r="B2813" t="s">
        <v>14613</v>
      </c>
      <c r="C2813" t="s">
        <v>14614</v>
      </c>
      <c r="D2813" t="s">
        <v>3918</v>
      </c>
      <c r="E2813" s="1">
        <v>46151.671412037038</v>
      </c>
      <c r="F2813">
        <v>1547</v>
      </c>
      <c r="G2813" t="s">
        <v>14615</v>
      </c>
      <c r="H2813" t="s">
        <v>15</v>
      </c>
      <c r="I2813" t="s">
        <v>3920</v>
      </c>
      <c r="J2813" t="str">
        <f>RIGHT(D2813,4)</f>
        <v>4817</v>
      </c>
      <c r="K2813" t="str">
        <f>IFERROR(VLOOKUP(VALUE(J2813),'Site Info'!$A:$G,3,FALSE),"")</f>
        <v>5940 TRUSSVILLE CROSSINGS PKWY</v>
      </c>
      <c r="L2813" t="str">
        <f>IFERROR(VLOOKUP(VALUE(J2813),'Site Info'!$A:$G,4,FALSE),"")</f>
        <v>TRUSSVILLE</v>
      </c>
      <c r="M2813" t="str">
        <f>IFERROR(VLOOKUP(VALUE(J2813),'Site Info'!$A:$G,5,FALSE),"")</f>
        <v>AL</v>
      </c>
      <c r="N2813" t="str">
        <f>IFERROR(VLOOKUP(VALUE(J2813),'Site Info'!$A:$G,6,FALSE),"")</f>
        <v>35235-8607</v>
      </c>
      <c r="O2813">
        <f>IFERROR(VLOOKUP(VALUE(J2813),'Site Info'!$A:$G,7,FALSE),"")</f>
        <v>2056550505</v>
      </c>
    </row>
    <row r="2814" spans="1:15" x14ac:dyDescent="0.45">
      <c r="A2814" t="s">
        <v>12576</v>
      </c>
      <c r="B2814" t="s">
        <v>12577</v>
      </c>
      <c r="C2814" t="s">
        <v>12578</v>
      </c>
      <c r="D2814" t="s">
        <v>3918</v>
      </c>
      <c r="E2814" s="1">
        <v>46152.581342592595</v>
      </c>
      <c r="F2814">
        <v>1547</v>
      </c>
      <c r="G2814" t="s">
        <v>12579</v>
      </c>
      <c r="H2814" t="s">
        <v>15</v>
      </c>
      <c r="I2814" t="s">
        <v>3920</v>
      </c>
      <c r="J2814" t="str">
        <f>RIGHT(D2814,4)</f>
        <v>4817</v>
      </c>
      <c r="K2814" t="str">
        <f>IFERROR(VLOOKUP(VALUE(J2814),'Site Info'!$A:$G,3,FALSE),"")</f>
        <v>5940 TRUSSVILLE CROSSINGS PKWY</v>
      </c>
      <c r="L2814" t="str">
        <f>IFERROR(VLOOKUP(VALUE(J2814),'Site Info'!$A:$G,4,FALSE),"")</f>
        <v>TRUSSVILLE</v>
      </c>
      <c r="M2814" t="str">
        <f>IFERROR(VLOOKUP(VALUE(J2814),'Site Info'!$A:$G,5,FALSE),"")</f>
        <v>AL</v>
      </c>
      <c r="N2814" t="str">
        <f>IFERROR(VLOOKUP(VALUE(J2814),'Site Info'!$A:$G,6,FALSE),"")</f>
        <v>35235-8607</v>
      </c>
      <c r="O2814">
        <f>IFERROR(VLOOKUP(VALUE(J2814),'Site Info'!$A:$G,7,FALSE),"")</f>
        <v>2056550505</v>
      </c>
    </row>
    <row r="2815" spans="1:15" x14ac:dyDescent="0.45">
      <c r="A2815" t="s">
        <v>14584</v>
      </c>
      <c r="B2815" t="s">
        <v>14585</v>
      </c>
      <c r="C2815" t="s">
        <v>14586</v>
      </c>
      <c r="D2815" t="s">
        <v>3918</v>
      </c>
      <c r="E2815" s="1">
        <v>46152.667604166665</v>
      </c>
      <c r="F2815">
        <v>1547</v>
      </c>
      <c r="G2815" t="s">
        <v>14587</v>
      </c>
      <c r="H2815" t="s">
        <v>15</v>
      </c>
      <c r="I2815" t="s">
        <v>3920</v>
      </c>
      <c r="J2815" t="str">
        <f>RIGHT(D2815,4)</f>
        <v>4817</v>
      </c>
      <c r="K2815" t="str">
        <f>IFERROR(VLOOKUP(VALUE(J2815),'Site Info'!$A:$G,3,FALSE),"")</f>
        <v>5940 TRUSSVILLE CROSSINGS PKWY</v>
      </c>
      <c r="L2815" t="str">
        <f>IFERROR(VLOOKUP(VALUE(J2815),'Site Info'!$A:$G,4,FALSE),"")</f>
        <v>TRUSSVILLE</v>
      </c>
      <c r="M2815" t="str">
        <f>IFERROR(VLOOKUP(VALUE(J2815),'Site Info'!$A:$G,5,FALSE),"")</f>
        <v>AL</v>
      </c>
      <c r="N2815" t="str">
        <f>IFERROR(VLOOKUP(VALUE(J2815),'Site Info'!$A:$G,6,FALSE),"")</f>
        <v>35235-8607</v>
      </c>
      <c r="O2815">
        <f>IFERROR(VLOOKUP(VALUE(J2815),'Site Info'!$A:$G,7,FALSE),"")</f>
        <v>2056550505</v>
      </c>
    </row>
    <row r="2816" spans="1:15" x14ac:dyDescent="0.45">
      <c r="A2816" t="s">
        <v>13207</v>
      </c>
      <c r="B2816" t="s">
        <v>13208</v>
      </c>
      <c r="C2816" t="s">
        <v>13209</v>
      </c>
      <c r="D2816" t="s">
        <v>3918</v>
      </c>
      <c r="E2816" s="1">
        <v>46152.750405092593</v>
      </c>
      <c r="F2816">
        <v>1547</v>
      </c>
      <c r="G2816" t="s">
        <v>13210</v>
      </c>
      <c r="H2816" t="s">
        <v>15</v>
      </c>
      <c r="I2816" t="s">
        <v>3920</v>
      </c>
      <c r="J2816" t="str">
        <f>RIGHT(D2816,4)</f>
        <v>4817</v>
      </c>
      <c r="K2816" t="str">
        <f>IFERROR(VLOOKUP(VALUE(J2816),'Site Info'!$A:$G,3,FALSE),"")</f>
        <v>5940 TRUSSVILLE CROSSINGS PKWY</v>
      </c>
      <c r="L2816" t="str">
        <f>IFERROR(VLOOKUP(VALUE(J2816),'Site Info'!$A:$G,4,FALSE),"")</f>
        <v>TRUSSVILLE</v>
      </c>
      <c r="M2816" t="str">
        <f>IFERROR(VLOOKUP(VALUE(J2816),'Site Info'!$A:$G,5,FALSE),"")</f>
        <v>AL</v>
      </c>
      <c r="N2816" t="str">
        <f>IFERROR(VLOOKUP(VALUE(J2816),'Site Info'!$A:$G,6,FALSE),"")</f>
        <v>35235-8607</v>
      </c>
      <c r="O2816">
        <f>IFERROR(VLOOKUP(VALUE(J2816),'Site Info'!$A:$G,7,FALSE),"")</f>
        <v>2056550505</v>
      </c>
    </row>
    <row r="2817" spans="1:15" x14ac:dyDescent="0.45">
      <c r="A2817" t="s">
        <v>11852</v>
      </c>
      <c r="B2817" t="s">
        <v>11853</v>
      </c>
      <c r="C2817" t="s">
        <v>11854</v>
      </c>
      <c r="D2817" t="s">
        <v>3918</v>
      </c>
      <c r="E2817" s="1">
        <v>46153.234178240738</v>
      </c>
      <c r="F2817">
        <v>1547</v>
      </c>
      <c r="G2817" t="s">
        <v>11855</v>
      </c>
      <c r="H2817" t="s">
        <v>15</v>
      </c>
      <c r="I2817" t="s">
        <v>3920</v>
      </c>
      <c r="J2817" t="str">
        <f>RIGHT(D2817,4)</f>
        <v>4817</v>
      </c>
      <c r="K2817" t="str">
        <f>IFERROR(VLOOKUP(VALUE(J2817),'Site Info'!$A:$G,3,FALSE),"")</f>
        <v>5940 TRUSSVILLE CROSSINGS PKWY</v>
      </c>
      <c r="L2817" t="str">
        <f>IFERROR(VLOOKUP(VALUE(J2817),'Site Info'!$A:$G,4,FALSE),"")</f>
        <v>TRUSSVILLE</v>
      </c>
      <c r="M2817" t="str">
        <f>IFERROR(VLOOKUP(VALUE(J2817),'Site Info'!$A:$G,5,FALSE),"")</f>
        <v>AL</v>
      </c>
      <c r="N2817" t="str">
        <f>IFERROR(VLOOKUP(VALUE(J2817),'Site Info'!$A:$G,6,FALSE),"")</f>
        <v>35235-8607</v>
      </c>
      <c r="O2817">
        <f>IFERROR(VLOOKUP(VALUE(J2817),'Site Info'!$A:$G,7,FALSE),"")</f>
        <v>2056550505</v>
      </c>
    </row>
    <row r="2818" spans="1:15" x14ac:dyDescent="0.45">
      <c r="A2818" t="s">
        <v>3915</v>
      </c>
      <c r="B2818" t="s">
        <v>3916</v>
      </c>
      <c r="C2818" t="s">
        <v>3917</v>
      </c>
      <c r="D2818" t="s">
        <v>3918</v>
      </c>
      <c r="E2818" s="1">
        <v>46152.691018518519</v>
      </c>
      <c r="F2818">
        <v>1481</v>
      </c>
      <c r="G2818" t="s">
        <v>3919</v>
      </c>
      <c r="H2818" t="s">
        <v>15</v>
      </c>
      <c r="I2818" t="s">
        <v>3920</v>
      </c>
      <c r="J2818" t="str">
        <f>RIGHT(D2818,4)</f>
        <v>4817</v>
      </c>
      <c r="K2818" t="str">
        <f>IFERROR(VLOOKUP(VALUE(J2818),'Site Info'!$A:$G,3,FALSE),"")</f>
        <v>5940 TRUSSVILLE CROSSINGS PKWY</v>
      </c>
      <c r="L2818" t="str">
        <f>IFERROR(VLOOKUP(VALUE(J2818),'Site Info'!$A:$G,4,FALSE),"")</f>
        <v>TRUSSVILLE</v>
      </c>
      <c r="M2818" t="str">
        <f>IFERROR(VLOOKUP(VALUE(J2818),'Site Info'!$A:$G,5,FALSE),"")</f>
        <v>AL</v>
      </c>
      <c r="N2818" t="str">
        <f>IFERROR(VLOOKUP(VALUE(J2818),'Site Info'!$A:$G,6,FALSE),"")</f>
        <v>35235-8607</v>
      </c>
      <c r="O2818">
        <f>IFERROR(VLOOKUP(VALUE(J2818),'Site Info'!$A:$G,7,FALSE),"")</f>
        <v>2056550505</v>
      </c>
    </row>
    <row r="2819" spans="1:15" x14ac:dyDescent="0.45">
      <c r="A2819" t="s">
        <v>3071</v>
      </c>
      <c r="B2819" t="s">
        <v>3072</v>
      </c>
      <c r="C2819" t="s">
        <v>3073</v>
      </c>
      <c r="D2819" t="s">
        <v>1273</v>
      </c>
      <c r="E2819" s="1">
        <v>46152.254664351851</v>
      </c>
      <c r="F2819">
        <v>1481</v>
      </c>
      <c r="G2819" t="s">
        <v>3074</v>
      </c>
      <c r="H2819" t="s">
        <v>15</v>
      </c>
      <c r="I2819" t="s">
        <v>1275</v>
      </c>
      <c r="J2819" t="str">
        <f>RIGHT(D2819,4)</f>
        <v>4915</v>
      </c>
      <c r="K2819" t="str">
        <f>IFERROR(VLOOKUP(VALUE(J2819),'Site Info'!$A:$G,3,FALSE),"")</f>
        <v>600 HIGHWAY 95 STE 200</v>
      </c>
      <c r="L2819" t="str">
        <f>IFERROR(VLOOKUP(VALUE(J2819),'Site Info'!$A:$G,4,FALSE),"")</f>
        <v>BULLHEAD CITY</v>
      </c>
      <c r="M2819" t="str">
        <f>IFERROR(VLOOKUP(VALUE(J2819),'Site Info'!$A:$G,5,FALSE),"")</f>
        <v>AZ</v>
      </c>
      <c r="N2819" t="str">
        <f>IFERROR(VLOOKUP(VALUE(J2819),'Site Info'!$A:$G,6,FALSE),"")</f>
        <v>86429-5005</v>
      </c>
      <c r="O2819">
        <f>IFERROR(VLOOKUP(VALUE(J2819),'Site Info'!$A:$G,7,FALSE),"")</f>
        <v>9287543900</v>
      </c>
    </row>
    <row r="2820" spans="1:15" x14ac:dyDescent="0.45">
      <c r="A2820" t="s">
        <v>1270</v>
      </c>
      <c r="B2820" t="s">
        <v>1271</v>
      </c>
      <c r="C2820" t="s">
        <v>1272</v>
      </c>
      <c r="D2820" t="s">
        <v>1273</v>
      </c>
      <c r="E2820" s="1">
        <v>46153.317256944443</v>
      </c>
      <c r="F2820">
        <v>1481</v>
      </c>
      <c r="G2820" t="s">
        <v>1274</v>
      </c>
      <c r="H2820" t="s">
        <v>15</v>
      </c>
      <c r="I2820" t="s">
        <v>1275</v>
      </c>
      <c r="J2820" t="str">
        <f>RIGHT(D2820,4)</f>
        <v>4915</v>
      </c>
      <c r="K2820" t="str">
        <f>IFERROR(VLOOKUP(VALUE(J2820),'Site Info'!$A:$G,3,FALSE),"")</f>
        <v>600 HIGHWAY 95 STE 200</v>
      </c>
      <c r="L2820" t="str">
        <f>IFERROR(VLOOKUP(VALUE(J2820),'Site Info'!$A:$G,4,FALSE),"")</f>
        <v>BULLHEAD CITY</v>
      </c>
      <c r="M2820" t="str">
        <f>IFERROR(VLOOKUP(VALUE(J2820),'Site Info'!$A:$G,5,FALSE),"")</f>
        <v>AZ</v>
      </c>
      <c r="N2820" t="str">
        <f>IFERROR(VLOOKUP(VALUE(J2820),'Site Info'!$A:$G,6,FALSE),"")</f>
        <v>86429-5005</v>
      </c>
      <c r="O2820">
        <f>IFERROR(VLOOKUP(VALUE(J2820),'Site Info'!$A:$G,7,FALSE),"")</f>
        <v>9287543900</v>
      </c>
    </row>
    <row r="2821" spans="1:15" x14ac:dyDescent="0.45">
      <c r="A2821" t="s">
        <v>16524</v>
      </c>
      <c r="B2821" t="s">
        <v>16525</v>
      </c>
      <c r="C2821" t="s">
        <v>16526</v>
      </c>
      <c r="D2821" t="s">
        <v>1273</v>
      </c>
      <c r="E2821" s="1">
        <v>46151.760752314818</v>
      </c>
      <c r="F2821">
        <v>1547</v>
      </c>
      <c r="G2821" t="s">
        <v>16527</v>
      </c>
      <c r="H2821" t="s">
        <v>15</v>
      </c>
      <c r="I2821" t="s">
        <v>1275</v>
      </c>
      <c r="J2821" t="str">
        <f>RIGHT(D2821,4)</f>
        <v>4915</v>
      </c>
      <c r="K2821" t="str">
        <f>IFERROR(VLOOKUP(VALUE(J2821),'Site Info'!$A:$G,3,FALSE),"")</f>
        <v>600 HIGHWAY 95 STE 200</v>
      </c>
      <c r="L2821" t="str">
        <f>IFERROR(VLOOKUP(VALUE(J2821),'Site Info'!$A:$G,4,FALSE),"")</f>
        <v>BULLHEAD CITY</v>
      </c>
      <c r="M2821" t="str">
        <f>IFERROR(VLOOKUP(VALUE(J2821),'Site Info'!$A:$G,5,FALSE),"")</f>
        <v>AZ</v>
      </c>
      <c r="N2821" t="str">
        <f>IFERROR(VLOOKUP(VALUE(J2821),'Site Info'!$A:$G,6,FALSE),"")</f>
        <v>86429-5005</v>
      </c>
      <c r="O2821">
        <f>IFERROR(VLOOKUP(VALUE(J2821),'Site Info'!$A:$G,7,FALSE),"")</f>
        <v>9287543900</v>
      </c>
    </row>
    <row r="2822" spans="1:15" x14ac:dyDescent="0.45">
      <c r="A2822" t="s">
        <v>16528</v>
      </c>
      <c r="B2822" t="s">
        <v>16529</v>
      </c>
      <c r="C2822" t="s">
        <v>16530</v>
      </c>
      <c r="D2822" t="s">
        <v>1273</v>
      </c>
      <c r="E2822" s="1">
        <v>46152.740891203706</v>
      </c>
      <c r="F2822">
        <v>1547</v>
      </c>
      <c r="G2822" t="s">
        <v>16531</v>
      </c>
      <c r="H2822" t="s">
        <v>15</v>
      </c>
      <c r="I2822" t="s">
        <v>1275</v>
      </c>
      <c r="J2822" t="str">
        <f>RIGHT(D2822,4)</f>
        <v>4915</v>
      </c>
      <c r="K2822" t="str">
        <f>IFERROR(VLOOKUP(VALUE(J2822),'Site Info'!$A:$G,3,FALSE),"")</f>
        <v>600 HIGHWAY 95 STE 200</v>
      </c>
      <c r="L2822" t="str">
        <f>IFERROR(VLOOKUP(VALUE(J2822),'Site Info'!$A:$G,4,FALSE),"")</f>
        <v>BULLHEAD CITY</v>
      </c>
      <c r="M2822" t="str">
        <f>IFERROR(VLOOKUP(VALUE(J2822),'Site Info'!$A:$G,5,FALSE),"")</f>
        <v>AZ</v>
      </c>
      <c r="N2822" t="str">
        <f>IFERROR(VLOOKUP(VALUE(J2822),'Site Info'!$A:$G,6,FALSE),"")</f>
        <v>86429-5005</v>
      </c>
      <c r="O2822">
        <f>IFERROR(VLOOKUP(VALUE(J2822),'Site Info'!$A:$G,7,FALSE),"")</f>
        <v>9287543900</v>
      </c>
    </row>
    <row r="2823" spans="1:15" x14ac:dyDescent="0.45">
      <c r="A2823" t="s">
        <v>10572</v>
      </c>
      <c r="B2823" t="s">
        <v>10573</v>
      </c>
      <c r="C2823" t="s">
        <v>10574</v>
      </c>
      <c r="D2823" t="s">
        <v>2366</v>
      </c>
      <c r="E2823" s="1">
        <v>46152.492719907408</v>
      </c>
      <c r="F2823">
        <v>1548</v>
      </c>
      <c r="G2823" t="s">
        <v>10575</v>
      </c>
      <c r="H2823" t="s">
        <v>15</v>
      </c>
      <c r="I2823" t="s">
        <v>2368</v>
      </c>
      <c r="J2823" t="str">
        <f>RIGHT(D2823,4)</f>
        <v>8210</v>
      </c>
      <c r="K2823" t="str">
        <f>IFERROR(VLOOKUP(VALUE(J2823),'Site Info'!$A:$G,3,FALSE),"")</f>
        <v>600 N BURLESON BLVD</v>
      </c>
      <c r="L2823" t="str">
        <f>IFERROR(VLOOKUP(VALUE(J2823),'Site Info'!$A:$G,4,FALSE),"")</f>
        <v>BURLESON</v>
      </c>
      <c r="M2823" t="str">
        <f>IFERROR(VLOOKUP(VALUE(J2823),'Site Info'!$A:$G,5,FALSE),"")</f>
        <v>TX</v>
      </c>
      <c r="N2823" t="str">
        <f>IFERROR(VLOOKUP(VALUE(J2823),'Site Info'!$A:$G,6,FALSE),"")</f>
        <v>76028-2901</v>
      </c>
      <c r="O2823">
        <f>IFERROR(VLOOKUP(VALUE(J2823),'Site Info'!$A:$G,7,FALSE),"")</f>
        <v>8172939225</v>
      </c>
    </row>
    <row r="2824" spans="1:15" x14ac:dyDescent="0.45">
      <c r="A2824" t="s">
        <v>12584</v>
      </c>
      <c r="B2824" t="s">
        <v>12585</v>
      </c>
      <c r="C2824" t="s">
        <v>12586</v>
      </c>
      <c r="D2824" t="s">
        <v>2366</v>
      </c>
      <c r="E2824" s="1">
        <v>46152.669039351851</v>
      </c>
      <c r="F2824">
        <v>1547</v>
      </c>
      <c r="G2824" t="s">
        <v>12587</v>
      </c>
      <c r="H2824" t="s">
        <v>15</v>
      </c>
      <c r="I2824" t="s">
        <v>2368</v>
      </c>
      <c r="J2824" t="str">
        <f>RIGHT(D2824,4)</f>
        <v>8210</v>
      </c>
      <c r="K2824" t="str">
        <f>IFERROR(VLOOKUP(VALUE(J2824),'Site Info'!$A:$G,3,FALSE),"")</f>
        <v>600 N BURLESON BLVD</v>
      </c>
      <c r="L2824" t="str">
        <f>IFERROR(VLOOKUP(VALUE(J2824),'Site Info'!$A:$G,4,FALSE),"")</f>
        <v>BURLESON</v>
      </c>
      <c r="M2824" t="str">
        <f>IFERROR(VLOOKUP(VALUE(J2824),'Site Info'!$A:$G,5,FALSE),"")</f>
        <v>TX</v>
      </c>
      <c r="N2824" t="str">
        <f>IFERROR(VLOOKUP(VALUE(J2824),'Site Info'!$A:$G,6,FALSE),"")</f>
        <v>76028-2901</v>
      </c>
      <c r="O2824">
        <f>IFERROR(VLOOKUP(VALUE(J2824),'Site Info'!$A:$G,7,FALSE),"")</f>
        <v>8172939225</v>
      </c>
    </row>
    <row r="2825" spans="1:15" x14ac:dyDescent="0.45">
      <c r="A2825" t="s">
        <v>6022</v>
      </c>
      <c r="B2825" t="s">
        <v>6023</v>
      </c>
      <c r="C2825" t="s">
        <v>6024</v>
      </c>
      <c r="D2825" t="s">
        <v>2366</v>
      </c>
      <c r="E2825" s="1">
        <v>46152.868738425925</v>
      </c>
      <c r="F2825">
        <v>1547</v>
      </c>
      <c r="G2825" t="s">
        <v>6025</v>
      </c>
      <c r="H2825" t="s">
        <v>15</v>
      </c>
      <c r="I2825" t="s">
        <v>2368</v>
      </c>
      <c r="J2825" t="str">
        <f>RIGHT(D2825,4)</f>
        <v>8210</v>
      </c>
      <c r="K2825" t="str">
        <f>IFERROR(VLOOKUP(VALUE(J2825),'Site Info'!$A:$G,3,FALSE),"")</f>
        <v>600 N BURLESON BLVD</v>
      </c>
      <c r="L2825" t="str">
        <f>IFERROR(VLOOKUP(VALUE(J2825),'Site Info'!$A:$G,4,FALSE),"")</f>
        <v>BURLESON</v>
      </c>
      <c r="M2825" t="str">
        <f>IFERROR(VLOOKUP(VALUE(J2825),'Site Info'!$A:$G,5,FALSE),"")</f>
        <v>TX</v>
      </c>
      <c r="N2825" t="str">
        <f>IFERROR(VLOOKUP(VALUE(J2825),'Site Info'!$A:$G,6,FALSE),"")</f>
        <v>76028-2901</v>
      </c>
      <c r="O2825">
        <f>IFERROR(VLOOKUP(VALUE(J2825),'Site Info'!$A:$G,7,FALSE),"")</f>
        <v>8172939225</v>
      </c>
    </row>
    <row r="2826" spans="1:15" x14ac:dyDescent="0.45">
      <c r="A2826" t="s">
        <v>3659</v>
      </c>
      <c r="B2826" t="s">
        <v>3660</v>
      </c>
      <c r="C2826" t="s">
        <v>3661</v>
      </c>
      <c r="D2826" t="s">
        <v>2366</v>
      </c>
      <c r="E2826" s="1">
        <v>46153.290717592594</v>
      </c>
      <c r="F2826">
        <v>1481</v>
      </c>
      <c r="G2826" t="s">
        <v>3662</v>
      </c>
      <c r="H2826" t="s">
        <v>15</v>
      </c>
      <c r="I2826" t="s">
        <v>2368</v>
      </c>
      <c r="J2826" t="str">
        <f>RIGHT(D2826,4)</f>
        <v>8210</v>
      </c>
      <c r="K2826" t="str">
        <f>IFERROR(VLOOKUP(VALUE(J2826),'Site Info'!$A:$G,3,FALSE),"")</f>
        <v>600 N BURLESON BLVD</v>
      </c>
      <c r="L2826" t="str">
        <f>IFERROR(VLOOKUP(VALUE(J2826),'Site Info'!$A:$G,4,FALSE),"")</f>
        <v>BURLESON</v>
      </c>
      <c r="M2826" t="str">
        <f>IFERROR(VLOOKUP(VALUE(J2826),'Site Info'!$A:$G,5,FALSE),"")</f>
        <v>TX</v>
      </c>
      <c r="N2826" t="str">
        <f>IFERROR(VLOOKUP(VALUE(J2826),'Site Info'!$A:$G,6,FALSE),"")</f>
        <v>76028-2901</v>
      </c>
      <c r="O2826">
        <f>IFERROR(VLOOKUP(VALUE(J2826),'Site Info'!$A:$G,7,FALSE),"")</f>
        <v>8172939225</v>
      </c>
    </row>
    <row r="2827" spans="1:15" x14ac:dyDescent="0.45">
      <c r="A2827" t="s">
        <v>2363</v>
      </c>
      <c r="B2827" t="s">
        <v>2364</v>
      </c>
      <c r="C2827" t="s">
        <v>2365</v>
      </c>
      <c r="D2827" t="s">
        <v>2366</v>
      </c>
      <c r="E2827" s="1">
        <v>46153.34107638889</v>
      </c>
      <c r="F2827">
        <v>1481</v>
      </c>
      <c r="G2827" t="s">
        <v>2367</v>
      </c>
      <c r="H2827" t="s">
        <v>15</v>
      </c>
      <c r="I2827" t="s">
        <v>2368</v>
      </c>
      <c r="J2827" t="str">
        <f>RIGHT(D2827,4)</f>
        <v>8210</v>
      </c>
      <c r="K2827" t="str">
        <f>IFERROR(VLOOKUP(VALUE(J2827),'Site Info'!$A:$G,3,FALSE),"")</f>
        <v>600 N BURLESON BLVD</v>
      </c>
      <c r="L2827" t="str">
        <f>IFERROR(VLOOKUP(VALUE(J2827),'Site Info'!$A:$G,4,FALSE),"")</f>
        <v>BURLESON</v>
      </c>
      <c r="M2827" t="str">
        <f>IFERROR(VLOOKUP(VALUE(J2827),'Site Info'!$A:$G,5,FALSE),"")</f>
        <v>TX</v>
      </c>
      <c r="N2827" t="str">
        <f>IFERROR(VLOOKUP(VALUE(J2827),'Site Info'!$A:$G,6,FALSE),"")</f>
        <v>76028-2901</v>
      </c>
      <c r="O2827">
        <f>IFERROR(VLOOKUP(VALUE(J2827),'Site Info'!$A:$G,7,FALSE),"")</f>
        <v>8172939225</v>
      </c>
    </row>
    <row r="2828" spans="1:15" x14ac:dyDescent="0.45">
      <c r="A2828" t="s">
        <v>17168</v>
      </c>
      <c r="B2828" t="s">
        <v>17169</v>
      </c>
      <c r="C2828" t="s">
        <v>17170</v>
      </c>
      <c r="D2828" t="s">
        <v>2366</v>
      </c>
      <c r="E2828" s="1">
        <v>46152.480752314812</v>
      </c>
      <c r="F2828">
        <v>1547</v>
      </c>
      <c r="G2828" t="s">
        <v>17171</v>
      </c>
      <c r="H2828" t="s">
        <v>15</v>
      </c>
      <c r="I2828" t="s">
        <v>2368</v>
      </c>
      <c r="J2828" t="str">
        <f>RIGHT(D2828,4)</f>
        <v>8210</v>
      </c>
      <c r="K2828" t="str">
        <f>IFERROR(VLOOKUP(VALUE(J2828),'Site Info'!$A:$G,3,FALSE),"")</f>
        <v>600 N BURLESON BLVD</v>
      </c>
      <c r="L2828" t="str">
        <f>IFERROR(VLOOKUP(VALUE(J2828),'Site Info'!$A:$G,4,FALSE),"")</f>
        <v>BURLESON</v>
      </c>
      <c r="M2828" t="str">
        <f>IFERROR(VLOOKUP(VALUE(J2828),'Site Info'!$A:$G,5,FALSE),"")</f>
        <v>TX</v>
      </c>
      <c r="N2828" t="str">
        <f>IFERROR(VLOOKUP(VALUE(J2828),'Site Info'!$A:$G,6,FALSE),"")</f>
        <v>76028-2901</v>
      </c>
      <c r="O2828">
        <f>IFERROR(VLOOKUP(VALUE(J2828),'Site Info'!$A:$G,7,FALSE),"")</f>
        <v>8172939225</v>
      </c>
    </row>
    <row r="2829" spans="1:15" x14ac:dyDescent="0.45">
      <c r="A2829" t="s">
        <v>5196</v>
      </c>
      <c r="B2829" t="s">
        <v>5197</v>
      </c>
      <c r="C2829" t="s">
        <v>5198</v>
      </c>
      <c r="D2829" t="s">
        <v>220</v>
      </c>
      <c r="E2829" s="1">
        <v>46151.286504629628</v>
      </c>
      <c r="F2829">
        <v>1547</v>
      </c>
      <c r="G2829" t="s">
        <v>5199</v>
      </c>
      <c r="H2829" t="s">
        <v>15</v>
      </c>
      <c r="I2829" t="s">
        <v>221</v>
      </c>
      <c r="J2829" t="str">
        <f>RIGHT(D2829,4)</f>
        <v>8164</v>
      </c>
      <c r="K2829" t="str">
        <f>IFERROR(VLOOKUP(VALUE(J2829),'Site Info'!$A:$G,3,FALSE),"")</f>
        <v>600 N SPRINGDALE RD</v>
      </c>
      <c r="L2829" t="str">
        <f>IFERROR(VLOOKUP(VALUE(J2829),'Site Info'!$A:$G,4,FALSE),"")</f>
        <v>WAUKESHA</v>
      </c>
      <c r="M2829" t="str">
        <f>IFERROR(VLOOKUP(VALUE(J2829),'Site Info'!$A:$G,5,FALSE),"")</f>
        <v>WI</v>
      </c>
      <c r="N2829" t="str">
        <f>IFERROR(VLOOKUP(VALUE(J2829),'Site Info'!$A:$G,6,FALSE),"")</f>
        <v>53186-1815</v>
      </c>
      <c r="O2829">
        <f>IFERROR(VLOOKUP(VALUE(J2829),'Site Info'!$A:$G,7,FALSE),"")</f>
        <v>2627981490</v>
      </c>
    </row>
    <row r="2830" spans="1:15" x14ac:dyDescent="0.45">
      <c r="A2830" t="s">
        <v>5062</v>
      </c>
      <c r="B2830" t="s">
        <v>5063</v>
      </c>
      <c r="C2830" t="s">
        <v>5064</v>
      </c>
      <c r="D2830" t="s">
        <v>220</v>
      </c>
      <c r="E2830" s="1">
        <v>46151.773321759261</v>
      </c>
      <c r="F2830">
        <v>1547</v>
      </c>
      <c r="G2830" t="s">
        <v>5065</v>
      </c>
      <c r="H2830" t="s">
        <v>15</v>
      </c>
      <c r="I2830" t="s">
        <v>221</v>
      </c>
      <c r="J2830" t="str">
        <f>RIGHT(D2830,4)</f>
        <v>8164</v>
      </c>
      <c r="K2830" t="str">
        <f>IFERROR(VLOOKUP(VALUE(J2830),'Site Info'!$A:$G,3,FALSE),"")</f>
        <v>600 N SPRINGDALE RD</v>
      </c>
      <c r="L2830" t="str">
        <f>IFERROR(VLOOKUP(VALUE(J2830),'Site Info'!$A:$G,4,FALSE),"")</f>
        <v>WAUKESHA</v>
      </c>
      <c r="M2830" t="str">
        <f>IFERROR(VLOOKUP(VALUE(J2830),'Site Info'!$A:$G,5,FALSE),"")</f>
        <v>WI</v>
      </c>
      <c r="N2830" t="str">
        <f>IFERROR(VLOOKUP(VALUE(J2830),'Site Info'!$A:$G,6,FALSE),"")</f>
        <v>53186-1815</v>
      </c>
      <c r="O2830">
        <f>IFERROR(VLOOKUP(VALUE(J2830),'Site Info'!$A:$G,7,FALSE),"")</f>
        <v>2627981490</v>
      </c>
    </row>
    <row r="2831" spans="1:15" x14ac:dyDescent="0.45">
      <c r="A2831" t="s">
        <v>12392</v>
      </c>
      <c r="B2831" t="s">
        <v>12393</v>
      </c>
      <c r="C2831" t="s">
        <v>12394</v>
      </c>
      <c r="D2831" t="s">
        <v>220</v>
      </c>
      <c r="E2831" s="1">
        <v>46151.789710648147</v>
      </c>
      <c r="F2831">
        <v>1547</v>
      </c>
      <c r="G2831" t="s">
        <v>12395</v>
      </c>
      <c r="H2831" t="s">
        <v>15</v>
      </c>
      <c r="I2831" t="s">
        <v>221</v>
      </c>
      <c r="J2831" t="str">
        <f>RIGHT(D2831,4)</f>
        <v>8164</v>
      </c>
      <c r="K2831" t="str">
        <f>IFERROR(VLOOKUP(VALUE(J2831),'Site Info'!$A:$G,3,FALSE),"")</f>
        <v>600 N SPRINGDALE RD</v>
      </c>
      <c r="L2831" t="str">
        <f>IFERROR(VLOOKUP(VALUE(J2831),'Site Info'!$A:$G,4,FALSE),"")</f>
        <v>WAUKESHA</v>
      </c>
      <c r="M2831" t="str">
        <f>IFERROR(VLOOKUP(VALUE(J2831),'Site Info'!$A:$G,5,FALSE),"")</f>
        <v>WI</v>
      </c>
      <c r="N2831" t="str">
        <f>IFERROR(VLOOKUP(VALUE(J2831),'Site Info'!$A:$G,6,FALSE),"")</f>
        <v>53186-1815</v>
      </c>
      <c r="O2831">
        <f>IFERROR(VLOOKUP(VALUE(J2831),'Site Info'!$A:$G,7,FALSE),"")</f>
        <v>2627981490</v>
      </c>
    </row>
    <row r="2832" spans="1:15" x14ac:dyDescent="0.45">
      <c r="A2832" t="s">
        <v>5384</v>
      </c>
      <c r="B2832" t="s">
        <v>5385</v>
      </c>
      <c r="C2832" t="s">
        <v>5386</v>
      </c>
      <c r="D2832" t="s">
        <v>220</v>
      </c>
      <c r="E2832" s="1">
        <v>46153.324328703704</v>
      </c>
      <c r="F2832">
        <v>1547</v>
      </c>
      <c r="G2832" t="s">
        <v>5387</v>
      </c>
      <c r="H2832" t="s">
        <v>15</v>
      </c>
      <c r="I2832" t="s">
        <v>221</v>
      </c>
      <c r="J2832" t="str">
        <f>RIGHT(D2832,4)</f>
        <v>8164</v>
      </c>
      <c r="K2832" t="str">
        <f>IFERROR(VLOOKUP(VALUE(J2832),'Site Info'!$A:$G,3,FALSE),"")</f>
        <v>600 N SPRINGDALE RD</v>
      </c>
      <c r="L2832" t="str">
        <f>IFERROR(VLOOKUP(VALUE(J2832),'Site Info'!$A:$G,4,FALSE),"")</f>
        <v>WAUKESHA</v>
      </c>
      <c r="M2832" t="str">
        <f>IFERROR(VLOOKUP(VALUE(J2832),'Site Info'!$A:$G,5,FALSE),"")</f>
        <v>WI</v>
      </c>
      <c r="N2832" t="str">
        <f>IFERROR(VLOOKUP(VALUE(J2832),'Site Info'!$A:$G,6,FALSE),"")</f>
        <v>53186-1815</v>
      </c>
      <c r="O2832">
        <f>IFERROR(VLOOKUP(VALUE(J2832),'Site Info'!$A:$G,7,FALSE),"")</f>
        <v>2627981490</v>
      </c>
    </row>
    <row r="2833" spans="1:15" x14ac:dyDescent="0.45">
      <c r="A2833" t="s">
        <v>13796</v>
      </c>
      <c r="B2833" t="s">
        <v>13797</v>
      </c>
      <c r="C2833" t="s">
        <v>13798</v>
      </c>
      <c r="D2833" t="s">
        <v>3676</v>
      </c>
      <c r="E2833" s="1">
        <v>46150.033773148149</v>
      </c>
      <c r="F2833">
        <v>1547</v>
      </c>
      <c r="G2833" t="s">
        <v>13799</v>
      </c>
      <c r="H2833" t="s">
        <v>15</v>
      </c>
      <c r="I2833" t="s">
        <v>3678</v>
      </c>
      <c r="J2833" t="str">
        <f>RIGHT(D2833,4)</f>
        <v>6245</v>
      </c>
      <c r="K2833" t="str">
        <f>IFERROR(VLOOKUP(VALUE(J2833),'Site Info'!$A:$G,3,FALSE),"")</f>
        <v>600 W CENTRAL TEXAS EXPRESSWAY</v>
      </c>
      <c r="L2833" t="str">
        <f>IFERROR(VLOOKUP(VALUE(J2833),'Site Info'!$A:$G,4,FALSE),"")</f>
        <v>HARKER HEIGHTS</v>
      </c>
      <c r="M2833" t="str">
        <f>IFERROR(VLOOKUP(VALUE(J2833),'Site Info'!$A:$G,5,FALSE),"")</f>
        <v>TX</v>
      </c>
      <c r="N2833" t="str">
        <f>IFERROR(VLOOKUP(VALUE(J2833),'Site Info'!$A:$G,6,FALSE),"")</f>
        <v>76548-0000</v>
      </c>
      <c r="O2833">
        <f>IFERROR(VLOOKUP(VALUE(J2833),'Site Info'!$A:$G,7,FALSE),"")</f>
        <v>2544154885</v>
      </c>
    </row>
    <row r="2834" spans="1:15" x14ac:dyDescent="0.45">
      <c r="A2834" t="s">
        <v>6727</v>
      </c>
      <c r="B2834" t="s">
        <v>6728</v>
      </c>
      <c r="C2834" t="s">
        <v>6729</v>
      </c>
      <c r="D2834" t="s">
        <v>3676</v>
      </c>
      <c r="E2834" s="1">
        <v>46151.625254629631</v>
      </c>
      <c r="F2834">
        <v>1547</v>
      </c>
      <c r="G2834" t="s">
        <v>6730</v>
      </c>
      <c r="H2834" t="s">
        <v>15</v>
      </c>
      <c r="I2834" t="s">
        <v>3678</v>
      </c>
      <c r="J2834" t="str">
        <f>RIGHT(D2834,4)</f>
        <v>6245</v>
      </c>
      <c r="K2834" t="str">
        <f>IFERROR(VLOOKUP(VALUE(J2834),'Site Info'!$A:$G,3,FALSE),"")</f>
        <v>600 W CENTRAL TEXAS EXPRESSWAY</v>
      </c>
      <c r="L2834" t="str">
        <f>IFERROR(VLOOKUP(VALUE(J2834),'Site Info'!$A:$G,4,FALSE),"")</f>
        <v>HARKER HEIGHTS</v>
      </c>
      <c r="M2834" t="str">
        <f>IFERROR(VLOOKUP(VALUE(J2834),'Site Info'!$A:$G,5,FALSE),"")</f>
        <v>TX</v>
      </c>
      <c r="N2834" t="str">
        <f>IFERROR(VLOOKUP(VALUE(J2834),'Site Info'!$A:$G,6,FALSE),"")</f>
        <v>76548-0000</v>
      </c>
      <c r="O2834">
        <f>IFERROR(VLOOKUP(VALUE(J2834),'Site Info'!$A:$G,7,FALSE),"")</f>
        <v>2544154885</v>
      </c>
    </row>
    <row r="2835" spans="1:15" x14ac:dyDescent="0.45">
      <c r="A2835" t="s">
        <v>7871</v>
      </c>
      <c r="B2835" t="s">
        <v>7872</v>
      </c>
      <c r="C2835" t="s">
        <v>7873</v>
      </c>
      <c r="D2835" t="s">
        <v>3676</v>
      </c>
      <c r="E2835" s="1">
        <v>46152.406111111108</v>
      </c>
      <c r="F2835">
        <v>1547</v>
      </c>
      <c r="G2835" t="s">
        <v>7874</v>
      </c>
      <c r="H2835" t="s">
        <v>15</v>
      </c>
      <c r="I2835" t="s">
        <v>3678</v>
      </c>
      <c r="J2835" t="str">
        <f>RIGHT(D2835,4)</f>
        <v>6245</v>
      </c>
      <c r="K2835" t="str">
        <f>IFERROR(VLOOKUP(VALUE(J2835),'Site Info'!$A:$G,3,FALSE),"")</f>
        <v>600 W CENTRAL TEXAS EXPRESSWAY</v>
      </c>
      <c r="L2835" t="str">
        <f>IFERROR(VLOOKUP(VALUE(J2835),'Site Info'!$A:$G,4,FALSE),"")</f>
        <v>HARKER HEIGHTS</v>
      </c>
      <c r="M2835" t="str">
        <f>IFERROR(VLOOKUP(VALUE(J2835),'Site Info'!$A:$G,5,FALSE),"")</f>
        <v>TX</v>
      </c>
      <c r="N2835" t="str">
        <f>IFERROR(VLOOKUP(VALUE(J2835),'Site Info'!$A:$G,6,FALSE),"")</f>
        <v>76548-0000</v>
      </c>
      <c r="O2835">
        <f>IFERROR(VLOOKUP(VALUE(J2835),'Site Info'!$A:$G,7,FALSE),"")</f>
        <v>2544154885</v>
      </c>
    </row>
    <row r="2836" spans="1:15" x14ac:dyDescent="0.45">
      <c r="A2836" t="s">
        <v>6661</v>
      </c>
      <c r="B2836" t="s">
        <v>6662</v>
      </c>
      <c r="C2836" t="s">
        <v>6663</v>
      </c>
      <c r="D2836" t="s">
        <v>3676</v>
      </c>
      <c r="E2836" s="1">
        <v>46152.663877314815</v>
      </c>
      <c r="F2836">
        <v>1547</v>
      </c>
      <c r="G2836" t="s">
        <v>6664</v>
      </c>
      <c r="H2836" t="s">
        <v>15</v>
      </c>
      <c r="I2836" t="s">
        <v>3678</v>
      </c>
      <c r="J2836" t="str">
        <f>RIGHT(D2836,4)</f>
        <v>6245</v>
      </c>
      <c r="K2836" t="str">
        <f>IFERROR(VLOOKUP(VALUE(J2836),'Site Info'!$A:$G,3,FALSE),"")</f>
        <v>600 W CENTRAL TEXAS EXPRESSWAY</v>
      </c>
      <c r="L2836" t="str">
        <f>IFERROR(VLOOKUP(VALUE(J2836),'Site Info'!$A:$G,4,FALSE),"")</f>
        <v>HARKER HEIGHTS</v>
      </c>
      <c r="M2836" t="str">
        <f>IFERROR(VLOOKUP(VALUE(J2836),'Site Info'!$A:$G,5,FALSE),"")</f>
        <v>TX</v>
      </c>
      <c r="N2836" t="str">
        <f>IFERROR(VLOOKUP(VALUE(J2836),'Site Info'!$A:$G,6,FALSE),"")</f>
        <v>76548-0000</v>
      </c>
      <c r="O2836">
        <f>IFERROR(VLOOKUP(VALUE(J2836),'Site Info'!$A:$G,7,FALSE),"")</f>
        <v>2544154885</v>
      </c>
    </row>
    <row r="2837" spans="1:15" x14ac:dyDescent="0.45">
      <c r="A2837" t="s">
        <v>12044</v>
      </c>
      <c r="B2837" t="s">
        <v>12045</v>
      </c>
      <c r="C2837" t="s">
        <v>12046</v>
      </c>
      <c r="D2837" t="s">
        <v>3676</v>
      </c>
      <c r="E2837" s="1">
        <v>46153.282500000001</v>
      </c>
      <c r="F2837">
        <v>1547</v>
      </c>
      <c r="G2837" t="s">
        <v>12047</v>
      </c>
      <c r="H2837" t="s">
        <v>15</v>
      </c>
      <c r="I2837" t="s">
        <v>3678</v>
      </c>
      <c r="J2837" t="str">
        <f>RIGHT(D2837,4)</f>
        <v>6245</v>
      </c>
      <c r="K2837" t="str">
        <f>IFERROR(VLOOKUP(VALUE(J2837),'Site Info'!$A:$G,3,FALSE),"")</f>
        <v>600 W CENTRAL TEXAS EXPRESSWAY</v>
      </c>
      <c r="L2837" t="str">
        <f>IFERROR(VLOOKUP(VALUE(J2837),'Site Info'!$A:$G,4,FALSE),"")</f>
        <v>HARKER HEIGHTS</v>
      </c>
      <c r="M2837" t="str">
        <f>IFERROR(VLOOKUP(VALUE(J2837),'Site Info'!$A:$G,5,FALSE),"")</f>
        <v>TX</v>
      </c>
      <c r="N2837" t="str">
        <f>IFERROR(VLOOKUP(VALUE(J2837),'Site Info'!$A:$G,6,FALSE),"")</f>
        <v>76548-0000</v>
      </c>
      <c r="O2837">
        <f>IFERROR(VLOOKUP(VALUE(J2837),'Site Info'!$A:$G,7,FALSE),"")</f>
        <v>2544154885</v>
      </c>
    </row>
    <row r="2838" spans="1:15" x14ac:dyDescent="0.45">
      <c r="A2838" t="s">
        <v>3673</v>
      </c>
      <c r="B2838" t="s">
        <v>3674</v>
      </c>
      <c r="C2838" t="s">
        <v>3675</v>
      </c>
      <c r="D2838" t="s">
        <v>3676</v>
      </c>
      <c r="E2838" s="1">
        <v>46153.309652777774</v>
      </c>
      <c r="F2838">
        <v>1481</v>
      </c>
      <c r="G2838" t="s">
        <v>3677</v>
      </c>
      <c r="H2838" t="s">
        <v>15</v>
      </c>
      <c r="I2838" t="s">
        <v>3678</v>
      </c>
      <c r="J2838" t="str">
        <f>RIGHT(D2838,4)</f>
        <v>6245</v>
      </c>
      <c r="K2838" t="str">
        <f>IFERROR(VLOOKUP(VALUE(J2838),'Site Info'!$A:$G,3,FALSE),"")</f>
        <v>600 W CENTRAL TEXAS EXPRESSWAY</v>
      </c>
      <c r="L2838" t="str">
        <f>IFERROR(VLOOKUP(VALUE(J2838),'Site Info'!$A:$G,4,FALSE),"")</f>
        <v>HARKER HEIGHTS</v>
      </c>
      <c r="M2838" t="str">
        <f>IFERROR(VLOOKUP(VALUE(J2838),'Site Info'!$A:$G,5,FALSE),"")</f>
        <v>TX</v>
      </c>
      <c r="N2838" t="str">
        <f>IFERROR(VLOOKUP(VALUE(J2838),'Site Info'!$A:$G,6,FALSE),"")</f>
        <v>76548-0000</v>
      </c>
      <c r="O2838">
        <f>IFERROR(VLOOKUP(VALUE(J2838),'Site Info'!$A:$G,7,FALSE),"")</f>
        <v>2544154885</v>
      </c>
    </row>
    <row r="2839" spans="1:15" x14ac:dyDescent="0.45">
      <c r="A2839" t="s">
        <v>14339</v>
      </c>
      <c r="B2839" t="s">
        <v>14340</v>
      </c>
      <c r="C2839" t="s">
        <v>14341</v>
      </c>
      <c r="D2839" t="s">
        <v>14342</v>
      </c>
      <c r="E2839" s="1">
        <v>46153.313067129631</v>
      </c>
      <c r="F2839">
        <v>1481</v>
      </c>
      <c r="G2839" t="s">
        <v>14343</v>
      </c>
      <c r="H2839" t="s">
        <v>15</v>
      </c>
      <c r="I2839" t="s">
        <v>14344</v>
      </c>
      <c r="J2839" t="str">
        <f>RIGHT(D2839,4)</f>
        <v>7673</v>
      </c>
      <c r="K2839" t="str">
        <f>IFERROR(VLOOKUP(VALUE(J2839),'Site Info'!$A:$G,3,FALSE),"")</f>
        <v>600 WILLARD HAGAN DR</v>
      </c>
      <c r="L2839" t="str">
        <f>IFERROR(VLOOKUP(VALUE(J2839),'Site Info'!$A:$G,4,FALSE),"")</f>
        <v>LEBANON</v>
      </c>
      <c r="M2839" t="str">
        <f>IFERROR(VLOOKUP(VALUE(J2839),'Site Info'!$A:$G,5,FALSE),"")</f>
        <v>TN</v>
      </c>
      <c r="N2839" t="str">
        <f>IFERROR(VLOOKUP(VALUE(J2839),'Site Info'!$A:$G,6,FALSE),"")</f>
        <v>37090-0000</v>
      </c>
      <c r="O2839">
        <f>IFERROR(VLOOKUP(VALUE(J2839),'Site Info'!$A:$G,7,FALSE),"")</f>
        <v>6159944110</v>
      </c>
    </row>
    <row r="2840" spans="1:15" x14ac:dyDescent="0.45">
      <c r="A2840" t="s">
        <v>8945</v>
      </c>
      <c r="B2840" t="s">
        <v>8946</v>
      </c>
      <c r="C2840" t="s">
        <v>8947</v>
      </c>
      <c r="D2840" t="s">
        <v>816</v>
      </c>
      <c r="E2840" s="1">
        <v>46152.437025462961</v>
      </c>
      <c r="F2840">
        <v>1547</v>
      </c>
      <c r="G2840" t="s">
        <v>8948</v>
      </c>
      <c r="H2840" t="s">
        <v>15</v>
      </c>
      <c r="I2840" t="s">
        <v>817</v>
      </c>
      <c r="J2840" t="str">
        <f>RIGHT(D2840,4)</f>
        <v>6569</v>
      </c>
      <c r="K2840" t="str">
        <f>IFERROR(VLOOKUP(VALUE(J2840),'Site Info'!$A:$G,3,FALSE),"")</f>
        <v>601 COMMERCE DR</v>
      </c>
      <c r="L2840" t="str">
        <f>IFERROR(VLOOKUP(VALUE(J2840),'Site Info'!$A:$G,4,FALSE),"")</f>
        <v>BLUEFIELD</v>
      </c>
      <c r="M2840" t="str">
        <f>IFERROR(VLOOKUP(VALUE(J2840),'Site Info'!$A:$G,5,FALSE),"")</f>
        <v>VA</v>
      </c>
      <c r="N2840" t="str">
        <f>IFERROR(VLOOKUP(VALUE(J2840),'Site Info'!$A:$G,6,FALSE),"")</f>
        <v>24605-9221</v>
      </c>
      <c r="O2840">
        <f>IFERROR(VLOOKUP(VALUE(J2840),'Site Info'!$A:$G,7,FALSE),"")</f>
        <v>2763261583</v>
      </c>
    </row>
    <row r="2841" spans="1:15" x14ac:dyDescent="0.45">
      <c r="A2841" t="s">
        <v>13499</v>
      </c>
      <c r="B2841" t="s">
        <v>13500</v>
      </c>
      <c r="C2841" t="s">
        <v>13501</v>
      </c>
      <c r="D2841" t="s">
        <v>816</v>
      </c>
      <c r="E2841" s="1">
        <v>46152.491539351853</v>
      </c>
      <c r="F2841">
        <v>1547</v>
      </c>
      <c r="G2841" t="s">
        <v>13502</v>
      </c>
      <c r="H2841" t="s">
        <v>15</v>
      </c>
      <c r="I2841" t="s">
        <v>817</v>
      </c>
      <c r="J2841" t="str">
        <f>RIGHT(D2841,4)</f>
        <v>6569</v>
      </c>
      <c r="K2841" t="str">
        <f>IFERROR(VLOOKUP(VALUE(J2841),'Site Info'!$A:$G,3,FALSE),"")</f>
        <v>601 COMMERCE DR</v>
      </c>
      <c r="L2841" t="str">
        <f>IFERROR(VLOOKUP(VALUE(J2841),'Site Info'!$A:$G,4,FALSE),"")</f>
        <v>BLUEFIELD</v>
      </c>
      <c r="M2841" t="str">
        <f>IFERROR(VLOOKUP(VALUE(J2841),'Site Info'!$A:$G,5,FALSE),"")</f>
        <v>VA</v>
      </c>
      <c r="N2841" t="str">
        <f>IFERROR(VLOOKUP(VALUE(J2841),'Site Info'!$A:$G,6,FALSE),"")</f>
        <v>24605-9221</v>
      </c>
      <c r="O2841">
        <f>IFERROR(VLOOKUP(VALUE(J2841),'Site Info'!$A:$G,7,FALSE),"")</f>
        <v>2763261583</v>
      </c>
    </row>
    <row r="2842" spans="1:15" x14ac:dyDescent="0.45">
      <c r="A2842" t="s">
        <v>7019</v>
      </c>
      <c r="B2842" t="s">
        <v>7020</v>
      </c>
      <c r="C2842" t="s">
        <v>7021</v>
      </c>
      <c r="D2842" t="s">
        <v>816</v>
      </c>
      <c r="E2842" s="1">
        <v>46153.153599537036</v>
      </c>
      <c r="F2842">
        <v>1547</v>
      </c>
      <c r="G2842" t="s">
        <v>7022</v>
      </c>
      <c r="H2842" t="s">
        <v>15</v>
      </c>
      <c r="I2842" t="s">
        <v>817</v>
      </c>
      <c r="J2842" t="str">
        <f>RIGHT(D2842,4)</f>
        <v>6569</v>
      </c>
      <c r="K2842" t="str">
        <f>IFERROR(VLOOKUP(VALUE(J2842),'Site Info'!$A:$G,3,FALSE),"")</f>
        <v>601 COMMERCE DR</v>
      </c>
      <c r="L2842" t="str">
        <f>IFERROR(VLOOKUP(VALUE(J2842),'Site Info'!$A:$G,4,FALSE),"")</f>
        <v>BLUEFIELD</v>
      </c>
      <c r="M2842" t="str">
        <f>IFERROR(VLOOKUP(VALUE(J2842),'Site Info'!$A:$G,5,FALSE),"")</f>
        <v>VA</v>
      </c>
      <c r="N2842" t="str">
        <f>IFERROR(VLOOKUP(VALUE(J2842),'Site Info'!$A:$G,6,FALSE),"")</f>
        <v>24605-9221</v>
      </c>
      <c r="O2842">
        <f>IFERROR(VLOOKUP(VALUE(J2842),'Site Info'!$A:$G,7,FALSE),"")</f>
        <v>2763261583</v>
      </c>
    </row>
    <row r="2843" spans="1:15" x14ac:dyDescent="0.45">
      <c r="A2843" t="s">
        <v>7931</v>
      </c>
      <c r="B2843" t="s">
        <v>7932</v>
      </c>
      <c r="C2843" t="s">
        <v>7933</v>
      </c>
      <c r="D2843" t="s">
        <v>816</v>
      </c>
      <c r="E2843" s="1">
        <v>46153.301215277781</v>
      </c>
      <c r="F2843">
        <v>1547</v>
      </c>
      <c r="G2843" t="s">
        <v>7934</v>
      </c>
      <c r="H2843" t="s">
        <v>15</v>
      </c>
      <c r="I2843" t="s">
        <v>817</v>
      </c>
      <c r="J2843" t="str">
        <f>RIGHT(D2843,4)</f>
        <v>6569</v>
      </c>
      <c r="K2843" t="str">
        <f>IFERROR(VLOOKUP(VALUE(J2843),'Site Info'!$A:$G,3,FALSE),"")</f>
        <v>601 COMMERCE DR</v>
      </c>
      <c r="L2843" t="str">
        <f>IFERROR(VLOOKUP(VALUE(J2843),'Site Info'!$A:$G,4,FALSE),"")</f>
        <v>BLUEFIELD</v>
      </c>
      <c r="M2843" t="str">
        <f>IFERROR(VLOOKUP(VALUE(J2843),'Site Info'!$A:$G,5,FALSE),"")</f>
        <v>VA</v>
      </c>
      <c r="N2843" t="str">
        <f>IFERROR(VLOOKUP(VALUE(J2843),'Site Info'!$A:$G,6,FALSE),"")</f>
        <v>24605-9221</v>
      </c>
      <c r="O2843">
        <f>IFERROR(VLOOKUP(VALUE(J2843),'Site Info'!$A:$G,7,FALSE),"")</f>
        <v>2763261583</v>
      </c>
    </row>
    <row r="2844" spans="1:15" x14ac:dyDescent="0.45">
      <c r="A2844" t="s">
        <v>2385</v>
      </c>
      <c r="B2844" t="s">
        <v>2386</v>
      </c>
      <c r="C2844" t="s">
        <v>2387</v>
      </c>
      <c r="D2844" t="s">
        <v>816</v>
      </c>
      <c r="E2844" s="1">
        <v>46152.481481481482</v>
      </c>
      <c r="F2844">
        <v>1481</v>
      </c>
      <c r="G2844" t="s">
        <v>2388</v>
      </c>
      <c r="H2844" t="s">
        <v>15</v>
      </c>
      <c r="I2844" t="s">
        <v>817</v>
      </c>
      <c r="J2844" t="str">
        <f>RIGHT(D2844,4)</f>
        <v>6569</v>
      </c>
      <c r="K2844" t="str">
        <f>IFERROR(VLOOKUP(VALUE(J2844),'Site Info'!$A:$G,3,FALSE),"")</f>
        <v>601 COMMERCE DR</v>
      </c>
      <c r="L2844" t="str">
        <f>IFERROR(VLOOKUP(VALUE(J2844),'Site Info'!$A:$G,4,FALSE),"")</f>
        <v>BLUEFIELD</v>
      </c>
      <c r="M2844" t="str">
        <f>IFERROR(VLOOKUP(VALUE(J2844),'Site Info'!$A:$G,5,FALSE),"")</f>
        <v>VA</v>
      </c>
      <c r="N2844" t="str">
        <f>IFERROR(VLOOKUP(VALUE(J2844),'Site Info'!$A:$G,6,FALSE),"")</f>
        <v>24605-9221</v>
      </c>
      <c r="O2844">
        <f>IFERROR(VLOOKUP(VALUE(J2844),'Site Info'!$A:$G,7,FALSE),"")</f>
        <v>2763261583</v>
      </c>
    </row>
    <row r="2845" spans="1:15" x14ac:dyDescent="0.45">
      <c r="A2845" t="s">
        <v>1090</v>
      </c>
      <c r="B2845" t="s">
        <v>1091</v>
      </c>
      <c r="C2845" t="s">
        <v>1092</v>
      </c>
      <c r="D2845" t="s">
        <v>816</v>
      </c>
      <c r="E2845" s="1">
        <v>46153.133668981478</v>
      </c>
      <c r="F2845">
        <v>1481</v>
      </c>
      <c r="G2845" t="s">
        <v>1093</v>
      </c>
      <c r="H2845" t="s">
        <v>15</v>
      </c>
      <c r="I2845" t="s">
        <v>817</v>
      </c>
      <c r="J2845" t="str">
        <f>RIGHT(D2845,4)</f>
        <v>6569</v>
      </c>
      <c r="K2845" t="str">
        <f>IFERROR(VLOOKUP(VALUE(J2845),'Site Info'!$A:$G,3,FALSE),"")</f>
        <v>601 COMMERCE DR</v>
      </c>
      <c r="L2845" t="str">
        <f>IFERROR(VLOOKUP(VALUE(J2845),'Site Info'!$A:$G,4,FALSE),"")</f>
        <v>BLUEFIELD</v>
      </c>
      <c r="M2845" t="str">
        <f>IFERROR(VLOOKUP(VALUE(J2845),'Site Info'!$A:$G,5,FALSE),"")</f>
        <v>VA</v>
      </c>
      <c r="N2845" t="str">
        <f>IFERROR(VLOOKUP(VALUE(J2845),'Site Info'!$A:$G,6,FALSE),"")</f>
        <v>24605-9221</v>
      </c>
      <c r="O2845">
        <f>IFERROR(VLOOKUP(VALUE(J2845),'Site Info'!$A:$G,7,FALSE),"")</f>
        <v>2763261583</v>
      </c>
    </row>
    <row r="2846" spans="1:15" x14ac:dyDescent="0.45">
      <c r="A2846" t="s">
        <v>11804</v>
      </c>
      <c r="B2846" t="s">
        <v>11805</v>
      </c>
      <c r="C2846" t="s">
        <v>11806</v>
      </c>
      <c r="D2846" t="s">
        <v>11777</v>
      </c>
      <c r="E2846" s="1">
        <v>46150.88621527778</v>
      </c>
      <c r="F2846">
        <v>1547</v>
      </c>
      <c r="G2846" t="s">
        <v>11807</v>
      </c>
      <c r="H2846" t="s">
        <v>15</v>
      </c>
      <c r="I2846" t="s">
        <v>11779</v>
      </c>
      <c r="J2846" t="str">
        <f>RIGHT(D2846,4)</f>
        <v>8102</v>
      </c>
      <c r="K2846" t="str">
        <f>IFERROR(VLOOKUP(VALUE(J2846),'Site Info'!$A:$G,3,FALSE),"")</f>
        <v>601 E I65 SERVICE RD S</v>
      </c>
      <c r="L2846" t="str">
        <f>IFERROR(VLOOKUP(VALUE(J2846),'Site Info'!$A:$G,4,FALSE),"")</f>
        <v>MOBILE</v>
      </c>
      <c r="M2846" t="str">
        <f>IFERROR(VLOOKUP(VALUE(J2846),'Site Info'!$A:$G,5,FALSE),"")</f>
        <v>AL</v>
      </c>
      <c r="N2846" t="str">
        <f>IFERROR(VLOOKUP(VALUE(J2846),'Site Info'!$A:$G,6,FALSE),"")</f>
        <v>36606-3901</v>
      </c>
      <c r="O2846">
        <f>IFERROR(VLOOKUP(VALUE(J2846),'Site Info'!$A:$G,7,FALSE),"")</f>
        <v>2514791346</v>
      </c>
    </row>
    <row r="2847" spans="1:15" x14ac:dyDescent="0.45">
      <c r="A2847" t="s">
        <v>14013</v>
      </c>
      <c r="B2847" t="s">
        <v>14014</v>
      </c>
      <c r="C2847" t="s">
        <v>14015</v>
      </c>
      <c r="D2847" t="s">
        <v>11777</v>
      </c>
      <c r="E2847" s="1">
        <v>46152.31695601852</v>
      </c>
      <c r="F2847">
        <v>1547</v>
      </c>
      <c r="G2847" t="s">
        <v>14016</v>
      </c>
      <c r="H2847" t="s">
        <v>15</v>
      </c>
      <c r="I2847" t="s">
        <v>11779</v>
      </c>
      <c r="J2847" t="str">
        <f>RIGHT(D2847,4)</f>
        <v>8102</v>
      </c>
      <c r="K2847" t="str">
        <f>IFERROR(VLOOKUP(VALUE(J2847),'Site Info'!$A:$G,3,FALSE),"")</f>
        <v>601 E I65 SERVICE RD S</v>
      </c>
      <c r="L2847" t="str">
        <f>IFERROR(VLOOKUP(VALUE(J2847),'Site Info'!$A:$G,4,FALSE),"")</f>
        <v>MOBILE</v>
      </c>
      <c r="M2847" t="str">
        <f>IFERROR(VLOOKUP(VALUE(J2847),'Site Info'!$A:$G,5,FALSE),"")</f>
        <v>AL</v>
      </c>
      <c r="N2847" t="str">
        <f>IFERROR(VLOOKUP(VALUE(J2847),'Site Info'!$A:$G,6,FALSE),"")</f>
        <v>36606-3901</v>
      </c>
      <c r="O2847">
        <f>IFERROR(VLOOKUP(VALUE(J2847),'Site Info'!$A:$G,7,FALSE),"")</f>
        <v>2514791346</v>
      </c>
    </row>
    <row r="2848" spans="1:15" x14ac:dyDescent="0.45">
      <c r="A2848" t="s">
        <v>11774</v>
      </c>
      <c r="B2848" t="s">
        <v>11775</v>
      </c>
      <c r="C2848" t="s">
        <v>11776</v>
      </c>
      <c r="D2848" t="s">
        <v>11777</v>
      </c>
      <c r="E2848" s="1">
        <v>46153.350208333337</v>
      </c>
      <c r="F2848">
        <v>1547</v>
      </c>
      <c r="G2848" t="s">
        <v>11778</v>
      </c>
      <c r="H2848" t="s">
        <v>15</v>
      </c>
      <c r="I2848" t="s">
        <v>11779</v>
      </c>
      <c r="J2848" t="str">
        <f>RIGHT(D2848,4)</f>
        <v>8102</v>
      </c>
      <c r="K2848" t="str">
        <f>IFERROR(VLOOKUP(VALUE(J2848),'Site Info'!$A:$G,3,FALSE),"")</f>
        <v>601 E I65 SERVICE RD S</v>
      </c>
      <c r="L2848" t="str">
        <f>IFERROR(VLOOKUP(VALUE(J2848),'Site Info'!$A:$G,4,FALSE),"")</f>
        <v>MOBILE</v>
      </c>
      <c r="M2848" t="str">
        <f>IFERROR(VLOOKUP(VALUE(J2848),'Site Info'!$A:$G,5,FALSE),"")</f>
        <v>AL</v>
      </c>
      <c r="N2848" t="str">
        <f>IFERROR(VLOOKUP(VALUE(J2848),'Site Info'!$A:$G,6,FALSE),"")</f>
        <v>36606-3901</v>
      </c>
      <c r="O2848">
        <f>IFERROR(VLOOKUP(VALUE(J2848),'Site Info'!$A:$G,7,FALSE),"")</f>
        <v>2514791346</v>
      </c>
    </row>
    <row r="2849" spans="1:15" x14ac:dyDescent="0.45">
      <c r="A2849" t="s">
        <v>14005</v>
      </c>
      <c r="B2849" t="s">
        <v>14006</v>
      </c>
      <c r="C2849" t="s">
        <v>14007</v>
      </c>
      <c r="D2849" t="s">
        <v>11777</v>
      </c>
      <c r="E2849" s="1">
        <v>46150.644166666665</v>
      </c>
      <c r="F2849">
        <v>1547</v>
      </c>
      <c r="G2849" t="s">
        <v>14008</v>
      </c>
      <c r="H2849" t="s">
        <v>15</v>
      </c>
      <c r="I2849" t="s">
        <v>11779</v>
      </c>
      <c r="J2849" t="str">
        <f>RIGHT(D2849,4)</f>
        <v>8102</v>
      </c>
      <c r="K2849" t="str">
        <f>IFERROR(VLOOKUP(VALUE(J2849),'Site Info'!$A:$G,3,FALSE),"")</f>
        <v>601 E I65 SERVICE RD S</v>
      </c>
      <c r="L2849" t="str">
        <f>IFERROR(VLOOKUP(VALUE(J2849),'Site Info'!$A:$G,4,FALSE),"")</f>
        <v>MOBILE</v>
      </c>
      <c r="M2849" t="str">
        <f>IFERROR(VLOOKUP(VALUE(J2849),'Site Info'!$A:$G,5,FALSE),"")</f>
        <v>AL</v>
      </c>
      <c r="N2849" t="str">
        <f>IFERROR(VLOOKUP(VALUE(J2849),'Site Info'!$A:$G,6,FALSE),"")</f>
        <v>36606-3901</v>
      </c>
      <c r="O2849">
        <f>IFERROR(VLOOKUP(VALUE(J2849),'Site Info'!$A:$G,7,FALSE),"")</f>
        <v>2514791346</v>
      </c>
    </row>
    <row r="2850" spans="1:15" x14ac:dyDescent="0.45">
      <c r="A2850" t="s">
        <v>16469</v>
      </c>
      <c r="B2850" t="s">
        <v>17077</v>
      </c>
      <c r="C2850" t="s">
        <v>17078</v>
      </c>
      <c r="D2850" t="s">
        <v>11777</v>
      </c>
      <c r="E2850" s="1">
        <v>46152.875925925924</v>
      </c>
      <c r="F2850">
        <v>1628</v>
      </c>
      <c r="G2850" t="s">
        <v>17079</v>
      </c>
      <c r="H2850" t="s">
        <v>13988</v>
      </c>
      <c r="I2850" t="s">
        <v>11779</v>
      </c>
      <c r="J2850" t="str">
        <f>RIGHT(D2850,4)</f>
        <v>8102</v>
      </c>
      <c r="K2850" t="str">
        <f>IFERROR(VLOOKUP(VALUE(J2850),'Site Info'!$A:$G,3,FALSE),"")</f>
        <v>601 E I65 SERVICE RD S</v>
      </c>
      <c r="L2850" t="str">
        <f>IFERROR(VLOOKUP(VALUE(J2850),'Site Info'!$A:$G,4,FALSE),"")</f>
        <v>MOBILE</v>
      </c>
      <c r="M2850" t="str">
        <f>IFERROR(VLOOKUP(VALUE(J2850),'Site Info'!$A:$G,5,FALSE),"")</f>
        <v>AL</v>
      </c>
      <c r="N2850" t="str">
        <f>IFERROR(VLOOKUP(VALUE(J2850),'Site Info'!$A:$G,6,FALSE),"")</f>
        <v>36606-3901</v>
      </c>
      <c r="O2850">
        <f>IFERROR(VLOOKUP(VALUE(J2850),'Site Info'!$A:$G,7,FALSE),"")</f>
        <v>2514791346</v>
      </c>
    </row>
    <row r="2851" spans="1:15" x14ac:dyDescent="0.45">
      <c r="A2851" t="s">
        <v>12288</v>
      </c>
      <c r="B2851" t="s">
        <v>12289</v>
      </c>
      <c r="C2851" t="s">
        <v>12290</v>
      </c>
      <c r="D2851" t="s">
        <v>12291</v>
      </c>
      <c r="E2851" s="1">
        <v>46152.629178240742</v>
      </c>
      <c r="F2851">
        <v>1547</v>
      </c>
      <c r="G2851" t="s">
        <v>12292</v>
      </c>
      <c r="H2851" t="s">
        <v>15</v>
      </c>
      <c r="I2851" t="s">
        <v>12293</v>
      </c>
      <c r="J2851" t="str">
        <f>RIGHT(D2851,4)</f>
        <v>8270</v>
      </c>
      <c r="K2851" t="str">
        <f>IFERROR(VLOOKUP(VALUE(J2851),'Site Info'!$A:$G,3,FALSE),"")</f>
        <v>6016 MARSHA SHARP FWY</v>
      </c>
      <c r="L2851" t="str">
        <f>IFERROR(VLOOKUP(VALUE(J2851),'Site Info'!$A:$G,4,FALSE),"")</f>
        <v>LUBBOCK</v>
      </c>
      <c r="M2851" t="str">
        <f>IFERROR(VLOOKUP(VALUE(J2851),'Site Info'!$A:$G,5,FALSE),"")</f>
        <v>TX</v>
      </c>
      <c r="N2851" t="str">
        <f>IFERROR(VLOOKUP(VALUE(J2851),'Site Info'!$A:$G,6,FALSE),"")</f>
        <v>79407-3730</v>
      </c>
      <c r="O2851">
        <f>IFERROR(VLOOKUP(VALUE(J2851),'Site Info'!$A:$G,7,FALSE),"")</f>
        <v>8067937182</v>
      </c>
    </row>
    <row r="2852" spans="1:15" x14ac:dyDescent="0.45">
      <c r="A2852" t="s">
        <v>17250</v>
      </c>
      <c r="B2852" t="s">
        <v>17251</v>
      </c>
      <c r="C2852" t="s">
        <v>17252</v>
      </c>
      <c r="D2852" t="s">
        <v>12291</v>
      </c>
      <c r="E2852" s="1">
        <v>46153.378842592596</v>
      </c>
      <c r="F2852">
        <v>1547</v>
      </c>
      <c r="G2852" t="s">
        <v>17253</v>
      </c>
      <c r="H2852" t="s">
        <v>15</v>
      </c>
      <c r="I2852" t="s">
        <v>12293</v>
      </c>
      <c r="J2852" t="str">
        <f>RIGHT(D2852,4)</f>
        <v>8270</v>
      </c>
      <c r="K2852" t="str">
        <f>IFERROR(VLOOKUP(VALUE(J2852),'Site Info'!$A:$G,3,FALSE),"")</f>
        <v>6016 MARSHA SHARP FWY</v>
      </c>
      <c r="L2852" t="str">
        <f>IFERROR(VLOOKUP(VALUE(J2852),'Site Info'!$A:$G,4,FALSE),"")</f>
        <v>LUBBOCK</v>
      </c>
      <c r="M2852" t="str">
        <f>IFERROR(VLOOKUP(VALUE(J2852),'Site Info'!$A:$G,5,FALSE),"")</f>
        <v>TX</v>
      </c>
      <c r="N2852" t="str">
        <f>IFERROR(VLOOKUP(VALUE(J2852),'Site Info'!$A:$G,6,FALSE),"")</f>
        <v>79407-3730</v>
      </c>
      <c r="O2852">
        <f>IFERROR(VLOOKUP(VALUE(J2852),'Site Info'!$A:$G,7,FALSE),"")</f>
        <v>8067937182</v>
      </c>
    </row>
    <row r="2853" spans="1:15" x14ac:dyDescent="0.45">
      <c r="A2853" t="s">
        <v>5016</v>
      </c>
      <c r="B2853" t="s">
        <v>5017</v>
      </c>
      <c r="C2853" t="s">
        <v>5018</v>
      </c>
      <c r="D2853" t="s">
        <v>5013</v>
      </c>
      <c r="E2853" s="1">
        <v>46150.631041666667</v>
      </c>
      <c r="F2853">
        <v>1547</v>
      </c>
      <c r="G2853" t="s">
        <v>5019</v>
      </c>
      <c r="H2853" t="s">
        <v>15</v>
      </c>
      <c r="I2853" t="s">
        <v>5015</v>
      </c>
      <c r="J2853" t="str">
        <f>RIGHT(D2853,4)</f>
        <v>6489</v>
      </c>
      <c r="K2853" t="str">
        <f>IFERROR(VLOOKUP(VALUE(J2853),'Site Info'!$A:$G,3,FALSE),"")</f>
        <v>603 RIVER OAKS W</v>
      </c>
      <c r="L2853" t="str">
        <f>IFERROR(VLOOKUP(VALUE(J2853),'Site Info'!$A:$G,4,FALSE),"")</f>
        <v>CALUMET CITY</v>
      </c>
      <c r="M2853" t="str">
        <f>IFERROR(VLOOKUP(VALUE(J2853),'Site Info'!$A:$G,5,FALSE),"")</f>
        <v>IL</v>
      </c>
      <c r="N2853" t="str">
        <f>IFERROR(VLOOKUP(VALUE(J2853),'Site Info'!$A:$G,6,FALSE),"")</f>
        <v>60409-5408</v>
      </c>
      <c r="O2853">
        <f>IFERROR(VLOOKUP(VALUE(J2853),'Site Info'!$A:$G,7,FALSE),"")</f>
        <v>7088321794</v>
      </c>
    </row>
    <row r="2854" spans="1:15" x14ac:dyDescent="0.45">
      <c r="A2854" t="s">
        <v>5046</v>
      </c>
      <c r="B2854" t="s">
        <v>5047</v>
      </c>
      <c r="C2854" t="s">
        <v>5048</v>
      </c>
      <c r="D2854" t="s">
        <v>5013</v>
      </c>
      <c r="E2854" s="1">
        <v>46152.545138888891</v>
      </c>
      <c r="F2854">
        <v>1547</v>
      </c>
      <c r="G2854" t="s">
        <v>5049</v>
      </c>
      <c r="H2854" t="s">
        <v>15</v>
      </c>
      <c r="I2854" t="s">
        <v>5015</v>
      </c>
      <c r="J2854" t="str">
        <f>RIGHT(D2854,4)</f>
        <v>6489</v>
      </c>
      <c r="K2854" t="str">
        <f>IFERROR(VLOOKUP(VALUE(J2854),'Site Info'!$A:$G,3,FALSE),"")</f>
        <v>603 RIVER OAKS W</v>
      </c>
      <c r="L2854" t="str">
        <f>IFERROR(VLOOKUP(VALUE(J2854),'Site Info'!$A:$G,4,FALSE),"")</f>
        <v>CALUMET CITY</v>
      </c>
      <c r="M2854" t="str">
        <f>IFERROR(VLOOKUP(VALUE(J2854),'Site Info'!$A:$G,5,FALSE),"")</f>
        <v>IL</v>
      </c>
      <c r="N2854" t="str">
        <f>IFERROR(VLOOKUP(VALUE(J2854),'Site Info'!$A:$G,6,FALSE),"")</f>
        <v>60409-5408</v>
      </c>
      <c r="O2854">
        <f>IFERROR(VLOOKUP(VALUE(J2854),'Site Info'!$A:$G,7,FALSE),"")</f>
        <v>7088321794</v>
      </c>
    </row>
    <row r="2855" spans="1:15" x14ac:dyDescent="0.45">
      <c r="A2855" t="s">
        <v>5444</v>
      </c>
      <c r="B2855" t="s">
        <v>5445</v>
      </c>
      <c r="C2855" t="s">
        <v>5446</v>
      </c>
      <c r="D2855" t="s">
        <v>5013</v>
      </c>
      <c r="E2855" s="1">
        <v>46152.671365740738</v>
      </c>
      <c r="F2855">
        <v>1547</v>
      </c>
      <c r="G2855" t="s">
        <v>5447</v>
      </c>
      <c r="H2855" t="s">
        <v>15</v>
      </c>
      <c r="I2855" t="s">
        <v>5015</v>
      </c>
      <c r="J2855" t="str">
        <f>RIGHT(D2855,4)</f>
        <v>6489</v>
      </c>
      <c r="K2855" t="str">
        <f>IFERROR(VLOOKUP(VALUE(J2855),'Site Info'!$A:$G,3,FALSE),"")</f>
        <v>603 RIVER OAKS W</v>
      </c>
      <c r="L2855" t="str">
        <f>IFERROR(VLOOKUP(VALUE(J2855),'Site Info'!$A:$G,4,FALSE),"")</f>
        <v>CALUMET CITY</v>
      </c>
      <c r="M2855" t="str">
        <f>IFERROR(VLOOKUP(VALUE(J2855),'Site Info'!$A:$G,5,FALSE),"")</f>
        <v>IL</v>
      </c>
      <c r="N2855" t="str">
        <f>IFERROR(VLOOKUP(VALUE(J2855),'Site Info'!$A:$G,6,FALSE),"")</f>
        <v>60409-5408</v>
      </c>
      <c r="O2855">
        <f>IFERROR(VLOOKUP(VALUE(J2855),'Site Info'!$A:$G,7,FALSE),"")</f>
        <v>7088321794</v>
      </c>
    </row>
    <row r="2856" spans="1:15" x14ac:dyDescent="0.45">
      <c r="A2856" t="s">
        <v>5288</v>
      </c>
      <c r="B2856" t="s">
        <v>5289</v>
      </c>
      <c r="C2856" t="s">
        <v>5290</v>
      </c>
      <c r="D2856" t="s">
        <v>5013</v>
      </c>
      <c r="E2856" s="1">
        <v>46153.171967592592</v>
      </c>
      <c r="F2856">
        <v>1547</v>
      </c>
      <c r="G2856" t="s">
        <v>5291</v>
      </c>
      <c r="H2856" t="s">
        <v>15</v>
      </c>
      <c r="I2856" t="s">
        <v>5015</v>
      </c>
      <c r="J2856" t="str">
        <f>RIGHT(D2856,4)</f>
        <v>6489</v>
      </c>
      <c r="K2856" t="str">
        <f>IFERROR(VLOOKUP(VALUE(J2856),'Site Info'!$A:$G,3,FALSE),"")</f>
        <v>603 RIVER OAKS W</v>
      </c>
      <c r="L2856" t="str">
        <f>IFERROR(VLOOKUP(VALUE(J2856),'Site Info'!$A:$G,4,FALSE),"")</f>
        <v>CALUMET CITY</v>
      </c>
      <c r="M2856" t="str">
        <f>IFERROR(VLOOKUP(VALUE(J2856),'Site Info'!$A:$G,5,FALSE),"")</f>
        <v>IL</v>
      </c>
      <c r="N2856" t="str">
        <f>IFERROR(VLOOKUP(VALUE(J2856),'Site Info'!$A:$G,6,FALSE),"")</f>
        <v>60409-5408</v>
      </c>
      <c r="O2856">
        <f>IFERROR(VLOOKUP(VALUE(J2856),'Site Info'!$A:$G,7,FALSE),"")</f>
        <v>7088321794</v>
      </c>
    </row>
    <row r="2857" spans="1:15" x14ac:dyDescent="0.45">
      <c r="A2857" t="s">
        <v>5066</v>
      </c>
      <c r="B2857" t="s">
        <v>5067</v>
      </c>
      <c r="C2857" t="s">
        <v>5068</v>
      </c>
      <c r="D2857" t="s">
        <v>5013</v>
      </c>
      <c r="E2857" s="1">
        <v>46153.336064814815</v>
      </c>
      <c r="F2857">
        <v>1547</v>
      </c>
      <c r="G2857" t="s">
        <v>5069</v>
      </c>
      <c r="H2857" t="s">
        <v>15</v>
      </c>
      <c r="I2857" t="s">
        <v>5015</v>
      </c>
      <c r="J2857" t="str">
        <f>RIGHT(D2857,4)</f>
        <v>6489</v>
      </c>
      <c r="K2857" t="str">
        <f>IFERROR(VLOOKUP(VALUE(J2857),'Site Info'!$A:$G,3,FALSE),"")</f>
        <v>603 RIVER OAKS W</v>
      </c>
      <c r="L2857" t="str">
        <f>IFERROR(VLOOKUP(VALUE(J2857),'Site Info'!$A:$G,4,FALSE),"")</f>
        <v>CALUMET CITY</v>
      </c>
      <c r="M2857" t="str">
        <f>IFERROR(VLOOKUP(VALUE(J2857),'Site Info'!$A:$G,5,FALSE),"")</f>
        <v>IL</v>
      </c>
      <c r="N2857" t="str">
        <f>IFERROR(VLOOKUP(VALUE(J2857),'Site Info'!$A:$G,6,FALSE),"")</f>
        <v>60409-5408</v>
      </c>
      <c r="O2857">
        <f>IFERROR(VLOOKUP(VALUE(J2857),'Site Info'!$A:$G,7,FALSE),"")</f>
        <v>7088321794</v>
      </c>
    </row>
    <row r="2858" spans="1:15" x14ac:dyDescent="0.45">
      <c r="A2858" t="s">
        <v>5010</v>
      </c>
      <c r="B2858" t="s">
        <v>5011</v>
      </c>
      <c r="C2858" t="s">
        <v>5012</v>
      </c>
      <c r="D2858" t="s">
        <v>5013</v>
      </c>
      <c r="E2858" s="1">
        <v>46153.367083333331</v>
      </c>
      <c r="F2858">
        <v>1547</v>
      </c>
      <c r="G2858" t="s">
        <v>5014</v>
      </c>
      <c r="H2858" t="s">
        <v>15</v>
      </c>
      <c r="I2858" t="s">
        <v>5015</v>
      </c>
      <c r="J2858" t="str">
        <f>RIGHT(D2858,4)</f>
        <v>6489</v>
      </c>
      <c r="K2858" t="str">
        <f>IFERROR(VLOOKUP(VALUE(J2858),'Site Info'!$A:$G,3,FALSE),"")</f>
        <v>603 RIVER OAKS W</v>
      </c>
      <c r="L2858" t="str">
        <f>IFERROR(VLOOKUP(VALUE(J2858),'Site Info'!$A:$G,4,FALSE),"")</f>
        <v>CALUMET CITY</v>
      </c>
      <c r="M2858" t="str">
        <f>IFERROR(VLOOKUP(VALUE(J2858),'Site Info'!$A:$G,5,FALSE),"")</f>
        <v>IL</v>
      </c>
      <c r="N2858" t="str">
        <f>IFERROR(VLOOKUP(VALUE(J2858),'Site Info'!$A:$G,6,FALSE),"")</f>
        <v>60409-5408</v>
      </c>
      <c r="O2858">
        <f>IFERROR(VLOOKUP(VALUE(J2858),'Site Info'!$A:$G,7,FALSE),"")</f>
        <v>7088321794</v>
      </c>
    </row>
    <row r="2859" spans="1:15" x14ac:dyDescent="0.45">
      <c r="A2859" t="s">
        <v>5268</v>
      </c>
      <c r="B2859" t="s">
        <v>5269</v>
      </c>
      <c r="C2859" t="s">
        <v>5270</v>
      </c>
      <c r="D2859" t="s">
        <v>5013</v>
      </c>
      <c r="E2859" s="1">
        <v>46153.371192129627</v>
      </c>
      <c r="F2859">
        <v>1547</v>
      </c>
      <c r="G2859" t="s">
        <v>5271</v>
      </c>
      <c r="H2859" t="s">
        <v>15</v>
      </c>
      <c r="I2859" t="s">
        <v>5015</v>
      </c>
      <c r="J2859" t="str">
        <f>RIGHT(D2859,4)</f>
        <v>6489</v>
      </c>
      <c r="K2859" t="str">
        <f>IFERROR(VLOOKUP(VALUE(J2859),'Site Info'!$A:$G,3,FALSE),"")</f>
        <v>603 RIVER OAKS W</v>
      </c>
      <c r="L2859" t="str">
        <f>IFERROR(VLOOKUP(VALUE(J2859),'Site Info'!$A:$G,4,FALSE),"")</f>
        <v>CALUMET CITY</v>
      </c>
      <c r="M2859" t="str">
        <f>IFERROR(VLOOKUP(VALUE(J2859),'Site Info'!$A:$G,5,FALSE),"")</f>
        <v>IL</v>
      </c>
      <c r="N2859" t="str">
        <f>IFERROR(VLOOKUP(VALUE(J2859),'Site Info'!$A:$G,6,FALSE),"")</f>
        <v>60409-5408</v>
      </c>
      <c r="O2859">
        <f>IFERROR(VLOOKUP(VALUE(J2859),'Site Info'!$A:$G,7,FALSE),"")</f>
        <v>7088321794</v>
      </c>
    </row>
    <row r="2860" spans="1:15" x14ac:dyDescent="0.45">
      <c r="A2860" t="s">
        <v>9892</v>
      </c>
      <c r="B2860" t="s">
        <v>9893</v>
      </c>
      <c r="C2860" t="s">
        <v>9894</v>
      </c>
      <c r="D2860" t="s">
        <v>733</v>
      </c>
      <c r="E2860" s="1">
        <v>46152.627638888887</v>
      </c>
      <c r="F2860">
        <v>1547</v>
      </c>
      <c r="G2860" t="s">
        <v>9895</v>
      </c>
      <c r="H2860" t="s">
        <v>15</v>
      </c>
      <c r="I2860" t="s">
        <v>735</v>
      </c>
      <c r="J2860" t="str">
        <f>RIGHT(D2860,4)</f>
        <v>6616</v>
      </c>
      <c r="K2860" t="str">
        <f>IFERROR(VLOOKUP(VALUE(J2860),'Site Info'!$A:$G,3,FALSE),"")</f>
        <v>603 S PLACENTIA AVE</v>
      </c>
      <c r="L2860" t="str">
        <f>IFERROR(VLOOKUP(VALUE(J2860),'Site Info'!$A:$G,4,FALSE),"")</f>
        <v>FULLERTON</v>
      </c>
      <c r="M2860" t="str">
        <f>IFERROR(VLOOKUP(VALUE(J2860),'Site Info'!$A:$G,5,FALSE),"")</f>
        <v>CA</v>
      </c>
      <c r="N2860" t="str">
        <f>IFERROR(VLOOKUP(VALUE(J2860),'Site Info'!$A:$G,6,FALSE),"")</f>
        <v>92831-5112</v>
      </c>
      <c r="O2860">
        <f>IFERROR(VLOOKUP(VALUE(J2860),'Site Info'!$A:$G,7,FALSE),"")</f>
        <v>7147387755</v>
      </c>
    </row>
    <row r="2861" spans="1:15" x14ac:dyDescent="0.45">
      <c r="A2861" t="s">
        <v>11017</v>
      </c>
      <c r="B2861" t="s">
        <v>11018</v>
      </c>
      <c r="C2861" t="s">
        <v>11019</v>
      </c>
      <c r="D2861" t="s">
        <v>733</v>
      </c>
      <c r="E2861" s="1">
        <v>46152.720451388886</v>
      </c>
      <c r="F2861">
        <v>1547</v>
      </c>
      <c r="G2861" t="s">
        <v>11020</v>
      </c>
      <c r="H2861" t="s">
        <v>15</v>
      </c>
      <c r="I2861" t="s">
        <v>735</v>
      </c>
      <c r="J2861" t="str">
        <f>RIGHT(D2861,4)</f>
        <v>6616</v>
      </c>
      <c r="K2861" t="str">
        <f>IFERROR(VLOOKUP(VALUE(J2861),'Site Info'!$A:$G,3,FALSE),"")</f>
        <v>603 S PLACENTIA AVE</v>
      </c>
      <c r="L2861" t="str">
        <f>IFERROR(VLOOKUP(VALUE(J2861),'Site Info'!$A:$G,4,FALSE),"")</f>
        <v>FULLERTON</v>
      </c>
      <c r="M2861" t="str">
        <f>IFERROR(VLOOKUP(VALUE(J2861),'Site Info'!$A:$G,5,FALSE),"")</f>
        <v>CA</v>
      </c>
      <c r="N2861" t="str">
        <f>IFERROR(VLOOKUP(VALUE(J2861),'Site Info'!$A:$G,6,FALSE),"")</f>
        <v>92831-5112</v>
      </c>
      <c r="O2861">
        <f>IFERROR(VLOOKUP(VALUE(J2861),'Site Info'!$A:$G,7,FALSE),"")</f>
        <v>7147387755</v>
      </c>
    </row>
    <row r="2862" spans="1:15" x14ac:dyDescent="0.45">
      <c r="A2862" t="s">
        <v>4312</v>
      </c>
      <c r="B2862" t="s">
        <v>4313</v>
      </c>
      <c r="C2862" t="s">
        <v>4314</v>
      </c>
      <c r="D2862" t="s">
        <v>733</v>
      </c>
      <c r="E2862" s="1">
        <v>46152.797465277778</v>
      </c>
      <c r="F2862">
        <v>1547</v>
      </c>
      <c r="G2862" t="s">
        <v>4315</v>
      </c>
      <c r="H2862" t="s">
        <v>15</v>
      </c>
      <c r="I2862" t="s">
        <v>735</v>
      </c>
      <c r="J2862" t="str">
        <f>RIGHT(D2862,4)</f>
        <v>6616</v>
      </c>
      <c r="K2862" t="str">
        <f>IFERROR(VLOOKUP(VALUE(J2862),'Site Info'!$A:$G,3,FALSE),"")</f>
        <v>603 S PLACENTIA AVE</v>
      </c>
      <c r="L2862" t="str">
        <f>IFERROR(VLOOKUP(VALUE(J2862),'Site Info'!$A:$G,4,FALSE),"")</f>
        <v>FULLERTON</v>
      </c>
      <c r="M2862" t="str">
        <f>IFERROR(VLOOKUP(VALUE(J2862),'Site Info'!$A:$G,5,FALSE),"")</f>
        <v>CA</v>
      </c>
      <c r="N2862" t="str">
        <f>IFERROR(VLOOKUP(VALUE(J2862),'Site Info'!$A:$G,6,FALSE),"")</f>
        <v>92831-5112</v>
      </c>
      <c r="O2862">
        <f>IFERROR(VLOOKUP(VALUE(J2862),'Site Info'!$A:$G,7,FALSE),"")</f>
        <v>7147387755</v>
      </c>
    </row>
    <row r="2863" spans="1:15" x14ac:dyDescent="0.45">
      <c r="A2863" t="s">
        <v>9934</v>
      </c>
      <c r="B2863" t="s">
        <v>9935</v>
      </c>
      <c r="C2863" t="s">
        <v>9936</v>
      </c>
      <c r="D2863" t="s">
        <v>733</v>
      </c>
      <c r="E2863" s="1">
        <v>46153.258136574077</v>
      </c>
      <c r="F2863">
        <v>1547</v>
      </c>
      <c r="G2863" t="s">
        <v>9937</v>
      </c>
      <c r="H2863" t="s">
        <v>15</v>
      </c>
      <c r="I2863" t="s">
        <v>735</v>
      </c>
      <c r="J2863" t="str">
        <f>RIGHT(D2863,4)</f>
        <v>6616</v>
      </c>
      <c r="K2863" t="str">
        <f>IFERROR(VLOOKUP(VALUE(J2863),'Site Info'!$A:$G,3,FALSE),"")</f>
        <v>603 S PLACENTIA AVE</v>
      </c>
      <c r="L2863" t="str">
        <f>IFERROR(VLOOKUP(VALUE(J2863),'Site Info'!$A:$G,4,FALSE),"")</f>
        <v>FULLERTON</v>
      </c>
      <c r="M2863" t="str">
        <f>IFERROR(VLOOKUP(VALUE(J2863),'Site Info'!$A:$G,5,FALSE),"")</f>
        <v>CA</v>
      </c>
      <c r="N2863" t="str">
        <f>IFERROR(VLOOKUP(VALUE(J2863),'Site Info'!$A:$G,6,FALSE),"")</f>
        <v>92831-5112</v>
      </c>
      <c r="O2863">
        <f>IFERROR(VLOOKUP(VALUE(J2863),'Site Info'!$A:$G,7,FALSE),"")</f>
        <v>7147387755</v>
      </c>
    </row>
    <row r="2864" spans="1:15" x14ac:dyDescent="0.45">
      <c r="A2864" t="s">
        <v>9431</v>
      </c>
      <c r="B2864" t="s">
        <v>9432</v>
      </c>
      <c r="C2864" t="s">
        <v>9433</v>
      </c>
      <c r="D2864" t="s">
        <v>733</v>
      </c>
      <c r="E2864" s="1">
        <v>46153.350243055553</v>
      </c>
      <c r="F2864">
        <v>1547</v>
      </c>
      <c r="G2864" t="s">
        <v>9434</v>
      </c>
      <c r="H2864" t="s">
        <v>15</v>
      </c>
      <c r="I2864" t="s">
        <v>735</v>
      </c>
      <c r="J2864" t="str">
        <f>RIGHT(D2864,4)</f>
        <v>6616</v>
      </c>
      <c r="K2864" t="str">
        <f>IFERROR(VLOOKUP(VALUE(J2864),'Site Info'!$A:$G,3,FALSE),"")</f>
        <v>603 S PLACENTIA AVE</v>
      </c>
      <c r="L2864" t="str">
        <f>IFERROR(VLOOKUP(VALUE(J2864),'Site Info'!$A:$G,4,FALSE),"")</f>
        <v>FULLERTON</v>
      </c>
      <c r="M2864" t="str">
        <f>IFERROR(VLOOKUP(VALUE(J2864),'Site Info'!$A:$G,5,FALSE),"")</f>
        <v>CA</v>
      </c>
      <c r="N2864" t="str">
        <f>IFERROR(VLOOKUP(VALUE(J2864),'Site Info'!$A:$G,6,FALSE),"")</f>
        <v>92831-5112</v>
      </c>
      <c r="O2864">
        <f>IFERROR(VLOOKUP(VALUE(J2864),'Site Info'!$A:$G,7,FALSE),"")</f>
        <v>7147387755</v>
      </c>
    </row>
    <row r="2865" spans="1:15" x14ac:dyDescent="0.45">
      <c r="A2865" t="s">
        <v>3931</v>
      </c>
      <c r="B2865" t="s">
        <v>3932</v>
      </c>
      <c r="C2865" t="s">
        <v>3933</v>
      </c>
      <c r="D2865" t="s">
        <v>733</v>
      </c>
      <c r="E2865" s="1">
        <v>46152.737986111111</v>
      </c>
      <c r="F2865">
        <v>1481</v>
      </c>
      <c r="G2865" t="s">
        <v>3934</v>
      </c>
      <c r="H2865" t="s">
        <v>15</v>
      </c>
      <c r="I2865" t="s">
        <v>735</v>
      </c>
      <c r="J2865" t="str">
        <f>RIGHT(D2865,4)</f>
        <v>6616</v>
      </c>
      <c r="K2865" t="str">
        <f>IFERROR(VLOOKUP(VALUE(J2865),'Site Info'!$A:$G,3,FALSE),"")</f>
        <v>603 S PLACENTIA AVE</v>
      </c>
      <c r="L2865" t="str">
        <f>IFERROR(VLOOKUP(VALUE(J2865),'Site Info'!$A:$G,4,FALSE),"")</f>
        <v>FULLERTON</v>
      </c>
      <c r="M2865" t="str">
        <f>IFERROR(VLOOKUP(VALUE(J2865),'Site Info'!$A:$G,5,FALSE),"")</f>
        <v>CA</v>
      </c>
      <c r="N2865" t="str">
        <f>IFERROR(VLOOKUP(VALUE(J2865),'Site Info'!$A:$G,6,FALSE),"")</f>
        <v>92831-5112</v>
      </c>
      <c r="O2865">
        <f>IFERROR(VLOOKUP(VALUE(J2865),'Site Info'!$A:$G,7,FALSE),"")</f>
        <v>7147387755</v>
      </c>
    </row>
    <row r="2866" spans="1:15" x14ac:dyDescent="0.45">
      <c r="A2866" t="s">
        <v>730</v>
      </c>
      <c r="B2866" t="s">
        <v>731</v>
      </c>
      <c r="C2866" t="s">
        <v>732</v>
      </c>
      <c r="D2866" t="s">
        <v>733</v>
      </c>
      <c r="E2866" s="1">
        <v>46153.262800925928</v>
      </c>
      <c r="F2866">
        <v>1481</v>
      </c>
      <c r="G2866" t="s">
        <v>734</v>
      </c>
      <c r="H2866" t="s">
        <v>15</v>
      </c>
      <c r="I2866" t="s">
        <v>735</v>
      </c>
      <c r="J2866" t="str">
        <f>RIGHT(D2866,4)</f>
        <v>6616</v>
      </c>
      <c r="K2866" t="str">
        <f>IFERROR(VLOOKUP(VALUE(J2866),'Site Info'!$A:$G,3,FALSE),"")</f>
        <v>603 S PLACENTIA AVE</v>
      </c>
      <c r="L2866" t="str">
        <f>IFERROR(VLOOKUP(VALUE(J2866),'Site Info'!$A:$G,4,FALSE),"")</f>
        <v>FULLERTON</v>
      </c>
      <c r="M2866" t="str">
        <f>IFERROR(VLOOKUP(VALUE(J2866),'Site Info'!$A:$G,5,FALSE),"")</f>
        <v>CA</v>
      </c>
      <c r="N2866" t="str">
        <f>IFERROR(VLOOKUP(VALUE(J2866),'Site Info'!$A:$G,6,FALSE),"")</f>
        <v>92831-5112</v>
      </c>
      <c r="O2866">
        <f>IFERROR(VLOOKUP(VALUE(J2866),'Site Info'!$A:$G,7,FALSE),"")</f>
        <v>7147387755</v>
      </c>
    </row>
    <row r="2867" spans="1:15" x14ac:dyDescent="0.45">
      <c r="A2867" t="s">
        <v>13119</v>
      </c>
      <c r="B2867" t="s">
        <v>13120</v>
      </c>
      <c r="C2867" t="s">
        <v>13121</v>
      </c>
      <c r="D2867" t="s">
        <v>10687</v>
      </c>
      <c r="E2867" s="1">
        <v>46151.325868055559</v>
      </c>
      <c r="F2867">
        <v>1547</v>
      </c>
      <c r="G2867" t="s">
        <v>13122</v>
      </c>
      <c r="H2867" t="s">
        <v>15</v>
      </c>
      <c r="I2867" t="s">
        <v>10689</v>
      </c>
      <c r="J2867" t="str">
        <f>RIGHT(D2867,4)</f>
        <v>6503</v>
      </c>
      <c r="K2867" t="str">
        <f>IFERROR(VLOOKUP(VALUE(J2867),'Site Info'!$A:$G,3,FALSE),"")</f>
        <v>6080 U S HIGHWAY 98</v>
      </c>
      <c r="L2867" t="str">
        <f>IFERROR(VLOOKUP(VALUE(J2867),'Site Info'!$A:$G,4,FALSE),"")</f>
        <v>HATTIESBURG</v>
      </c>
      <c r="M2867" t="str">
        <f>IFERROR(VLOOKUP(VALUE(J2867),'Site Info'!$A:$G,5,FALSE),"")</f>
        <v>MS</v>
      </c>
      <c r="N2867" t="str">
        <f>IFERROR(VLOOKUP(VALUE(J2867),'Site Info'!$A:$G,6,FALSE),"")</f>
        <v>39402-8854</v>
      </c>
      <c r="O2867">
        <f>IFERROR(VLOOKUP(VALUE(J2867),'Site Info'!$A:$G,7,FALSE),"")</f>
        <v>6012612171</v>
      </c>
    </row>
    <row r="2868" spans="1:15" x14ac:dyDescent="0.45">
      <c r="A2868" t="s">
        <v>12020</v>
      </c>
      <c r="B2868" t="s">
        <v>12021</v>
      </c>
      <c r="C2868" t="s">
        <v>12022</v>
      </c>
      <c r="D2868" t="s">
        <v>10687</v>
      </c>
      <c r="E2868" s="1">
        <v>46152.698923611111</v>
      </c>
      <c r="F2868">
        <v>1547</v>
      </c>
      <c r="G2868" t="s">
        <v>12023</v>
      </c>
      <c r="H2868" t="s">
        <v>15</v>
      </c>
      <c r="I2868" t="s">
        <v>10689</v>
      </c>
      <c r="J2868" t="str">
        <f>RIGHT(D2868,4)</f>
        <v>6503</v>
      </c>
      <c r="K2868" t="str">
        <f>IFERROR(VLOOKUP(VALUE(J2868),'Site Info'!$A:$G,3,FALSE),"")</f>
        <v>6080 U S HIGHWAY 98</v>
      </c>
      <c r="L2868" t="str">
        <f>IFERROR(VLOOKUP(VALUE(J2868),'Site Info'!$A:$G,4,FALSE),"")</f>
        <v>HATTIESBURG</v>
      </c>
      <c r="M2868" t="str">
        <f>IFERROR(VLOOKUP(VALUE(J2868),'Site Info'!$A:$G,5,FALSE),"")</f>
        <v>MS</v>
      </c>
      <c r="N2868" t="str">
        <f>IFERROR(VLOOKUP(VALUE(J2868),'Site Info'!$A:$G,6,FALSE),"")</f>
        <v>39402-8854</v>
      </c>
      <c r="O2868">
        <f>IFERROR(VLOOKUP(VALUE(J2868),'Site Info'!$A:$G,7,FALSE),"")</f>
        <v>6012612171</v>
      </c>
    </row>
    <row r="2869" spans="1:15" x14ac:dyDescent="0.45">
      <c r="A2869" t="s">
        <v>10684</v>
      </c>
      <c r="B2869" t="s">
        <v>10685</v>
      </c>
      <c r="C2869" t="s">
        <v>10686</v>
      </c>
      <c r="D2869" t="s">
        <v>10687</v>
      </c>
      <c r="E2869" s="1">
        <v>46152.858888888892</v>
      </c>
      <c r="F2869">
        <v>1547</v>
      </c>
      <c r="G2869" t="s">
        <v>10688</v>
      </c>
      <c r="H2869" t="s">
        <v>15</v>
      </c>
      <c r="I2869" t="s">
        <v>10689</v>
      </c>
      <c r="J2869" t="str">
        <f>RIGHT(D2869,4)</f>
        <v>6503</v>
      </c>
      <c r="K2869" t="str">
        <f>IFERROR(VLOOKUP(VALUE(J2869),'Site Info'!$A:$G,3,FALSE),"")</f>
        <v>6080 U S HIGHWAY 98</v>
      </c>
      <c r="L2869" t="str">
        <f>IFERROR(VLOOKUP(VALUE(J2869),'Site Info'!$A:$G,4,FALSE),"")</f>
        <v>HATTIESBURG</v>
      </c>
      <c r="M2869" t="str">
        <f>IFERROR(VLOOKUP(VALUE(J2869),'Site Info'!$A:$G,5,FALSE),"")</f>
        <v>MS</v>
      </c>
      <c r="N2869" t="str">
        <f>IFERROR(VLOOKUP(VALUE(J2869),'Site Info'!$A:$G,6,FALSE),"")</f>
        <v>39402-8854</v>
      </c>
      <c r="O2869">
        <f>IFERROR(VLOOKUP(VALUE(J2869),'Site Info'!$A:$G,7,FALSE),"")</f>
        <v>6012612171</v>
      </c>
    </row>
    <row r="2870" spans="1:15" x14ac:dyDescent="0.45">
      <c r="A2870" t="s">
        <v>13259</v>
      </c>
      <c r="B2870" t="s">
        <v>13260</v>
      </c>
      <c r="C2870" t="s">
        <v>13261</v>
      </c>
      <c r="D2870" t="s">
        <v>10687</v>
      </c>
      <c r="E2870" s="1">
        <v>46153.367812500001</v>
      </c>
      <c r="F2870">
        <v>1547</v>
      </c>
      <c r="G2870" t="s">
        <v>13262</v>
      </c>
      <c r="H2870" t="s">
        <v>15</v>
      </c>
      <c r="I2870" t="s">
        <v>10689</v>
      </c>
      <c r="J2870" t="str">
        <f>RIGHT(D2870,4)</f>
        <v>6503</v>
      </c>
      <c r="K2870" t="str">
        <f>IFERROR(VLOOKUP(VALUE(J2870),'Site Info'!$A:$G,3,FALSE),"")</f>
        <v>6080 U S HIGHWAY 98</v>
      </c>
      <c r="L2870" t="str">
        <f>IFERROR(VLOOKUP(VALUE(J2870),'Site Info'!$A:$G,4,FALSE),"")</f>
        <v>HATTIESBURG</v>
      </c>
      <c r="M2870" t="str">
        <f>IFERROR(VLOOKUP(VALUE(J2870),'Site Info'!$A:$G,5,FALSE),"")</f>
        <v>MS</v>
      </c>
      <c r="N2870" t="str">
        <f>IFERROR(VLOOKUP(VALUE(J2870),'Site Info'!$A:$G,6,FALSE),"")</f>
        <v>39402-8854</v>
      </c>
      <c r="O2870">
        <f>IFERROR(VLOOKUP(VALUE(J2870),'Site Info'!$A:$G,7,FALSE),"")</f>
        <v>6012612171</v>
      </c>
    </row>
    <row r="2871" spans="1:15" x14ac:dyDescent="0.45">
      <c r="A2871" t="s">
        <v>12882</v>
      </c>
      <c r="B2871" t="s">
        <v>12883</v>
      </c>
      <c r="C2871" t="s">
        <v>12884</v>
      </c>
      <c r="D2871" t="s">
        <v>10687</v>
      </c>
      <c r="E2871" s="1">
        <v>46153.373865740738</v>
      </c>
      <c r="F2871">
        <v>1547</v>
      </c>
      <c r="G2871" t="s">
        <v>12885</v>
      </c>
      <c r="H2871" t="s">
        <v>15</v>
      </c>
      <c r="I2871" t="s">
        <v>10689</v>
      </c>
      <c r="J2871" t="str">
        <f>RIGHT(D2871,4)</f>
        <v>6503</v>
      </c>
      <c r="K2871" t="str">
        <f>IFERROR(VLOOKUP(VALUE(J2871),'Site Info'!$A:$G,3,FALSE),"")</f>
        <v>6080 U S HIGHWAY 98</v>
      </c>
      <c r="L2871" t="str">
        <f>IFERROR(VLOOKUP(VALUE(J2871),'Site Info'!$A:$G,4,FALSE),"")</f>
        <v>HATTIESBURG</v>
      </c>
      <c r="M2871" t="str">
        <f>IFERROR(VLOOKUP(VALUE(J2871),'Site Info'!$A:$G,5,FALSE),"")</f>
        <v>MS</v>
      </c>
      <c r="N2871" t="str">
        <f>IFERROR(VLOOKUP(VALUE(J2871),'Site Info'!$A:$G,6,FALSE),"")</f>
        <v>39402-8854</v>
      </c>
      <c r="O2871">
        <f>IFERROR(VLOOKUP(VALUE(J2871),'Site Info'!$A:$G,7,FALSE),"")</f>
        <v>6012612171</v>
      </c>
    </row>
    <row r="2872" spans="1:15" x14ac:dyDescent="0.45">
      <c r="A2872" t="s">
        <v>16906</v>
      </c>
      <c r="B2872" t="s">
        <v>16907</v>
      </c>
      <c r="C2872" t="s">
        <v>16908</v>
      </c>
      <c r="D2872" t="s">
        <v>10687</v>
      </c>
      <c r="E2872" s="1">
        <v>46148.048194444447</v>
      </c>
      <c r="F2872">
        <v>1547</v>
      </c>
      <c r="G2872" t="s">
        <v>16909</v>
      </c>
      <c r="H2872" t="s">
        <v>15</v>
      </c>
      <c r="I2872" t="s">
        <v>10689</v>
      </c>
      <c r="J2872" t="str">
        <f>RIGHT(D2872,4)</f>
        <v>6503</v>
      </c>
      <c r="K2872" t="str">
        <f>IFERROR(VLOOKUP(VALUE(J2872),'Site Info'!$A:$G,3,FALSE),"")</f>
        <v>6080 U S HIGHWAY 98</v>
      </c>
      <c r="L2872" t="str">
        <f>IFERROR(VLOOKUP(VALUE(J2872),'Site Info'!$A:$G,4,FALSE),"")</f>
        <v>HATTIESBURG</v>
      </c>
      <c r="M2872" t="str">
        <f>IFERROR(VLOOKUP(VALUE(J2872),'Site Info'!$A:$G,5,FALSE),"")</f>
        <v>MS</v>
      </c>
      <c r="N2872" t="str">
        <f>IFERROR(VLOOKUP(VALUE(J2872),'Site Info'!$A:$G,6,FALSE),"")</f>
        <v>39402-8854</v>
      </c>
      <c r="O2872">
        <f>IFERROR(VLOOKUP(VALUE(J2872),'Site Info'!$A:$G,7,FALSE),"")</f>
        <v>6012612171</v>
      </c>
    </row>
    <row r="2873" spans="1:15" x14ac:dyDescent="0.45">
      <c r="A2873" t="s">
        <v>7749</v>
      </c>
      <c r="B2873" t="s">
        <v>7750</v>
      </c>
      <c r="C2873" t="s">
        <v>7751</v>
      </c>
      <c r="D2873" t="s">
        <v>409</v>
      </c>
      <c r="E2873" s="1">
        <v>46152.605671296296</v>
      </c>
      <c r="F2873">
        <v>1547</v>
      </c>
      <c r="G2873" t="s">
        <v>7752</v>
      </c>
      <c r="H2873" t="s">
        <v>15</v>
      </c>
      <c r="I2873" t="s">
        <v>411</v>
      </c>
      <c r="J2873" t="str">
        <f>RIGHT(D2873,4)</f>
        <v>6653</v>
      </c>
      <c r="K2873" t="str">
        <f>IFERROR(VLOOKUP(VALUE(J2873),'Site Info'!$A:$G,3,FALSE),"")</f>
        <v>610 N FREDERICK AVE</v>
      </c>
      <c r="L2873" t="str">
        <f>IFERROR(VLOOKUP(VALUE(J2873),'Site Info'!$A:$G,4,FALSE),"")</f>
        <v>GAITHERSBURG</v>
      </c>
      <c r="M2873" t="str">
        <f>IFERROR(VLOOKUP(VALUE(J2873),'Site Info'!$A:$G,5,FALSE),"")</f>
        <v>MD</v>
      </c>
      <c r="N2873" t="str">
        <f>IFERROR(VLOOKUP(VALUE(J2873),'Site Info'!$A:$G,6,FALSE),"")</f>
        <v>20877-2527</v>
      </c>
      <c r="O2873">
        <f>IFERROR(VLOOKUP(VALUE(J2873),'Site Info'!$A:$G,7,FALSE),"")</f>
        <v>3012162550</v>
      </c>
    </row>
    <row r="2874" spans="1:15" x14ac:dyDescent="0.45">
      <c r="A2874" t="s">
        <v>11424</v>
      </c>
      <c r="B2874" t="s">
        <v>11425</v>
      </c>
      <c r="C2874" t="s">
        <v>11426</v>
      </c>
      <c r="D2874" t="s">
        <v>409</v>
      </c>
      <c r="E2874" s="1">
        <v>46153.141238425924</v>
      </c>
      <c r="F2874">
        <v>1547</v>
      </c>
      <c r="G2874" t="s">
        <v>11427</v>
      </c>
      <c r="H2874" t="s">
        <v>15</v>
      </c>
      <c r="I2874" t="s">
        <v>411</v>
      </c>
      <c r="J2874" t="str">
        <f>RIGHT(D2874,4)</f>
        <v>6653</v>
      </c>
      <c r="K2874" t="str">
        <f>IFERROR(VLOOKUP(VALUE(J2874),'Site Info'!$A:$G,3,FALSE),"")</f>
        <v>610 N FREDERICK AVE</v>
      </c>
      <c r="L2874" t="str">
        <f>IFERROR(VLOOKUP(VALUE(J2874),'Site Info'!$A:$G,4,FALSE),"")</f>
        <v>GAITHERSBURG</v>
      </c>
      <c r="M2874" t="str">
        <f>IFERROR(VLOOKUP(VALUE(J2874),'Site Info'!$A:$G,5,FALSE),"")</f>
        <v>MD</v>
      </c>
      <c r="N2874" t="str">
        <f>IFERROR(VLOOKUP(VALUE(J2874),'Site Info'!$A:$G,6,FALSE),"")</f>
        <v>20877-2527</v>
      </c>
      <c r="O2874">
        <f>IFERROR(VLOOKUP(VALUE(J2874),'Site Info'!$A:$G,7,FALSE),"")</f>
        <v>3012162550</v>
      </c>
    </row>
    <row r="2875" spans="1:15" x14ac:dyDescent="0.45">
      <c r="A2875" t="s">
        <v>2263</v>
      </c>
      <c r="B2875" t="s">
        <v>2264</v>
      </c>
      <c r="C2875" t="s">
        <v>2265</v>
      </c>
      <c r="D2875" t="s">
        <v>409</v>
      </c>
      <c r="E2875" s="1">
        <v>46150.970995370371</v>
      </c>
      <c r="F2875">
        <v>1481</v>
      </c>
      <c r="G2875" t="s">
        <v>2266</v>
      </c>
      <c r="H2875" t="s">
        <v>15</v>
      </c>
      <c r="I2875" t="s">
        <v>411</v>
      </c>
      <c r="J2875" t="str">
        <f>RIGHT(D2875,4)</f>
        <v>6653</v>
      </c>
      <c r="K2875" t="str">
        <f>IFERROR(VLOOKUP(VALUE(J2875),'Site Info'!$A:$G,3,FALSE),"")</f>
        <v>610 N FREDERICK AVE</v>
      </c>
      <c r="L2875" t="str">
        <f>IFERROR(VLOOKUP(VALUE(J2875),'Site Info'!$A:$G,4,FALSE),"")</f>
        <v>GAITHERSBURG</v>
      </c>
      <c r="M2875" t="str">
        <f>IFERROR(VLOOKUP(VALUE(J2875),'Site Info'!$A:$G,5,FALSE),"")</f>
        <v>MD</v>
      </c>
      <c r="N2875" t="str">
        <f>IFERROR(VLOOKUP(VALUE(J2875),'Site Info'!$A:$G,6,FALSE),"")</f>
        <v>20877-2527</v>
      </c>
      <c r="O2875">
        <f>IFERROR(VLOOKUP(VALUE(J2875),'Site Info'!$A:$G,7,FALSE),"")</f>
        <v>3012162550</v>
      </c>
    </row>
    <row r="2876" spans="1:15" x14ac:dyDescent="0.45">
      <c r="A2876" t="s">
        <v>2176</v>
      </c>
      <c r="B2876" t="s">
        <v>2177</v>
      </c>
      <c r="C2876" t="s">
        <v>2178</v>
      </c>
      <c r="D2876" t="s">
        <v>409</v>
      </c>
      <c r="E2876" s="1">
        <v>46152.623703703706</v>
      </c>
      <c r="F2876">
        <v>1481</v>
      </c>
      <c r="G2876" t="s">
        <v>2179</v>
      </c>
      <c r="H2876" t="s">
        <v>15</v>
      </c>
      <c r="I2876" t="s">
        <v>411</v>
      </c>
      <c r="J2876" t="str">
        <f>RIGHT(D2876,4)</f>
        <v>6653</v>
      </c>
      <c r="K2876" t="str">
        <f>IFERROR(VLOOKUP(VALUE(J2876),'Site Info'!$A:$G,3,FALSE),"")</f>
        <v>610 N FREDERICK AVE</v>
      </c>
      <c r="L2876" t="str">
        <f>IFERROR(VLOOKUP(VALUE(J2876),'Site Info'!$A:$G,4,FALSE),"")</f>
        <v>GAITHERSBURG</v>
      </c>
      <c r="M2876" t="str">
        <f>IFERROR(VLOOKUP(VALUE(J2876),'Site Info'!$A:$G,5,FALSE),"")</f>
        <v>MD</v>
      </c>
      <c r="N2876" t="str">
        <f>IFERROR(VLOOKUP(VALUE(J2876),'Site Info'!$A:$G,6,FALSE),"")</f>
        <v>20877-2527</v>
      </c>
      <c r="O2876">
        <f>IFERROR(VLOOKUP(VALUE(J2876),'Site Info'!$A:$G,7,FALSE),"")</f>
        <v>3012162550</v>
      </c>
    </row>
    <row r="2877" spans="1:15" x14ac:dyDescent="0.45">
      <c r="A2877" t="s">
        <v>406</v>
      </c>
      <c r="B2877" t="s">
        <v>407</v>
      </c>
      <c r="C2877" t="s">
        <v>408</v>
      </c>
      <c r="D2877" t="s">
        <v>409</v>
      </c>
      <c r="E2877" s="1">
        <v>46153.069444444445</v>
      </c>
      <c r="F2877">
        <v>1481</v>
      </c>
      <c r="G2877" t="s">
        <v>410</v>
      </c>
      <c r="H2877" t="s">
        <v>15</v>
      </c>
      <c r="I2877" t="s">
        <v>411</v>
      </c>
      <c r="J2877" t="str">
        <f>RIGHT(D2877,4)</f>
        <v>6653</v>
      </c>
      <c r="K2877" t="str">
        <f>IFERROR(VLOOKUP(VALUE(J2877),'Site Info'!$A:$G,3,FALSE),"")</f>
        <v>610 N FREDERICK AVE</v>
      </c>
      <c r="L2877" t="str">
        <f>IFERROR(VLOOKUP(VALUE(J2877),'Site Info'!$A:$G,4,FALSE),"")</f>
        <v>GAITHERSBURG</v>
      </c>
      <c r="M2877" t="str">
        <f>IFERROR(VLOOKUP(VALUE(J2877),'Site Info'!$A:$G,5,FALSE),"")</f>
        <v>MD</v>
      </c>
      <c r="N2877" t="str">
        <f>IFERROR(VLOOKUP(VALUE(J2877),'Site Info'!$A:$G,6,FALSE),"")</f>
        <v>20877-2527</v>
      </c>
      <c r="O2877">
        <f>IFERROR(VLOOKUP(VALUE(J2877),'Site Info'!$A:$G,7,FALSE),"")</f>
        <v>3012162550</v>
      </c>
    </row>
    <row r="2878" spans="1:15" x14ac:dyDescent="0.45">
      <c r="A2878" t="s">
        <v>662</v>
      </c>
      <c r="B2878" t="s">
        <v>663</v>
      </c>
      <c r="C2878" t="s">
        <v>664</v>
      </c>
      <c r="D2878" t="s">
        <v>409</v>
      </c>
      <c r="E2878" s="1">
        <v>46153.340358796297</v>
      </c>
      <c r="F2878">
        <v>1481</v>
      </c>
      <c r="G2878" t="s">
        <v>665</v>
      </c>
      <c r="H2878" t="s">
        <v>15</v>
      </c>
      <c r="I2878" t="s">
        <v>411</v>
      </c>
      <c r="J2878" t="str">
        <f>RIGHT(D2878,4)</f>
        <v>6653</v>
      </c>
      <c r="K2878" t="str">
        <f>IFERROR(VLOOKUP(VALUE(J2878),'Site Info'!$A:$G,3,FALSE),"")</f>
        <v>610 N FREDERICK AVE</v>
      </c>
      <c r="L2878" t="str">
        <f>IFERROR(VLOOKUP(VALUE(J2878),'Site Info'!$A:$G,4,FALSE),"")</f>
        <v>GAITHERSBURG</v>
      </c>
      <c r="M2878" t="str">
        <f>IFERROR(VLOOKUP(VALUE(J2878),'Site Info'!$A:$G,5,FALSE),"")</f>
        <v>MD</v>
      </c>
      <c r="N2878" t="str">
        <f>IFERROR(VLOOKUP(VALUE(J2878),'Site Info'!$A:$G,6,FALSE),"")</f>
        <v>20877-2527</v>
      </c>
      <c r="O2878">
        <f>IFERROR(VLOOKUP(VALUE(J2878),'Site Info'!$A:$G,7,FALSE),"")</f>
        <v>3012162550</v>
      </c>
    </row>
    <row r="2879" spans="1:15" x14ac:dyDescent="0.45">
      <c r="A2879" t="s">
        <v>13215</v>
      </c>
      <c r="B2879" t="s">
        <v>13216</v>
      </c>
      <c r="C2879" t="s">
        <v>13217</v>
      </c>
      <c r="D2879" t="s">
        <v>9332</v>
      </c>
      <c r="E2879" s="1">
        <v>46153.19902777778</v>
      </c>
      <c r="F2879">
        <v>1548</v>
      </c>
      <c r="G2879" t="s">
        <v>13218</v>
      </c>
      <c r="H2879" t="s">
        <v>15</v>
      </c>
      <c r="I2879" t="s">
        <v>9334</v>
      </c>
      <c r="J2879" t="str">
        <f>RIGHT(D2879,4)</f>
        <v>8112</v>
      </c>
      <c r="K2879" t="str">
        <f>IFERROR(VLOOKUP(VALUE(J2879),'Site Info'!$A:$G,3,FALSE),"")</f>
        <v>6101 LEE HWY</v>
      </c>
      <c r="L2879" t="str">
        <f>IFERROR(VLOOKUP(VALUE(J2879),'Site Info'!$A:$G,4,FALSE),"")</f>
        <v>CHATTANOOGA</v>
      </c>
      <c r="M2879" t="str">
        <f>IFERROR(VLOOKUP(VALUE(J2879),'Site Info'!$A:$G,5,FALSE),"")</f>
        <v>TN</v>
      </c>
      <c r="N2879" t="str">
        <f>IFERROR(VLOOKUP(VALUE(J2879),'Site Info'!$A:$G,6,FALSE),"")</f>
        <v>37421-2932</v>
      </c>
      <c r="O2879">
        <f>IFERROR(VLOOKUP(VALUE(J2879),'Site Info'!$A:$G,7,FALSE),"")</f>
        <v>4239541746</v>
      </c>
    </row>
    <row r="2880" spans="1:15" x14ac:dyDescent="0.45">
      <c r="A2880" t="s">
        <v>9329</v>
      </c>
      <c r="B2880" t="s">
        <v>9330</v>
      </c>
      <c r="C2880" t="s">
        <v>9331</v>
      </c>
      <c r="D2880" t="s">
        <v>9332</v>
      </c>
      <c r="E2880" s="1">
        <v>46151.629513888889</v>
      </c>
      <c r="F2880">
        <v>1547</v>
      </c>
      <c r="G2880" t="s">
        <v>9333</v>
      </c>
      <c r="H2880" t="s">
        <v>15</v>
      </c>
      <c r="I2880" t="s">
        <v>9334</v>
      </c>
      <c r="J2880" t="str">
        <f>RIGHT(D2880,4)</f>
        <v>8112</v>
      </c>
      <c r="K2880" t="str">
        <f>IFERROR(VLOOKUP(VALUE(J2880),'Site Info'!$A:$G,3,FALSE),"")</f>
        <v>6101 LEE HWY</v>
      </c>
      <c r="L2880" t="str">
        <f>IFERROR(VLOOKUP(VALUE(J2880),'Site Info'!$A:$G,4,FALSE),"")</f>
        <v>CHATTANOOGA</v>
      </c>
      <c r="M2880" t="str">
        <f>IFERROR(VLOOKUP(VALUE(J2880),'Site Info'!$A:$G,5,FALSE),"")</f>
        <v>TN</v>
      </c>
      <c r="N2880" t="str">
        <f>IFERROR(VLOOKUP(VALUE(J2880),'Site Info'!$A:$G,6,FALSE),"")</f>
        <v>37421-2932</v>
      </c>
      <c r="O2880">
        <f>IFERROR(VLOOKUP(VALUE(J2880),'Site Info'!$A:$G,7,FALSE),"")</f>
        <v>4239541746</v>
      </c>
    </row>
    <row r="2881" spans="1:15" x14ac:dyDescent="0.45">
      <c r="A2881" t="s">
        <v>13399</v>
      </c>
      <c r="B2881" t="s">
        <v>13400</v>
      </c>
      <c r="C2881" t="s">
        <v>13401</v>
      </c>
      <c r="D2881" t="s">
        <v>9332</v>
      </c>
      <c r="E2881" s="1">
        <v>46152.425717592596</v>
      </c>
      <c r="F2881">
        <v>1547</v>
      </c>
      <c r="G2881" t="s">
        <v>13402</v>
      </c>
      <c r="H2881" t="s">
        <v>15</v>
      </c>
      <c r="I2881" t="s">
        <v>9334</v>
      </c>
      <c r="J2881" t="str">
        <f>RIGHT(D2881,4)</f>
        <v>8112</v>
      </c>
      <c r="K2881" t="str">
        <f>IFERROR(VLOOKUP(VALUE(J2881),'Site Info'!$A:$G,3,FALSE),"")</f>
        <v>6101 LEE HWY</v>
      </c>
      <c r="L2881" t="str">
        <f>IFERROR(VLOOKUP(VALUE(J2881),'Site Info'!$A:$G,4,FALSE),"")</f>
        <v>CHATTANOOGA</v>
      </c>
      <c r="M2881" t="str">
        <f>IFERROR(VLOOKUP(VALUE(J2881),'Site Info'!$A:$G,5,FALSE),"")</f>
        <v>TN</v>
      </c>
      <c r="N2881" t="str">
        <f>IFERROR(VLOOKUP(VALUE(J2881),'Site Info'!$A:$G,6,FALSE),"")</f>
        <v>37421-2932</v>
      </c>
      <c r="O2881">
        <f>IFERROR(VLOOKUP(VALUE(J2881),'Site Info'!$A:$G,7,FALSE),"")</f>
        <v>4239541746</v>
      </c>
    </row>
    <row r="2882" spans="1:15" x14ac:dyDescent="0.45">
      <c r="A2882" t="s">
        <v>14620</v>
      </c>
      <c r="B2882" t="s">
        <v>14621</v>
      </c>
      <c r="C2882" t="s">
        <v>14622</v>
      </c>
      <c r="D2882" t="s">
        <v>9332</v>
      </c>
      <c r="E2882" s="1">
        <v>46153.308506944442</v>
      </c>
      <c r="F2882">
        <v>1547</v>
      </c>
      <c r="G2882" t="s">
        <v>14623</v>
      </c>
      <c r="H2882" t="s">
        <v>15</v>
      </c>
      <c r="J2882" t="str">
        <f>RIGHT(D2882,4)</f>
        <v>8112</v>
      </c>
      <c r="K2882" t="str">
        <f>IFERROR(VLOOKUP(VALUE(J2882),'Site Info'!$A:$G,3,FALSE),"")</f>
        <v>6101 LEE HWY</v>
      </c>
      <c r="L2882" t="str">
        <f>IFERROR(VLOOKUP(VALUE(J2882),'Site Info'!$A:$G,4,FALSE),"")</f>
        <v>CHATTANOOGA</v>
      </c>
      <c r="M2882" t="str">
        <f>IFERROR(VLOOKUP(VALUE(J2882),'Site Info'!$A:$G,5,FALSE),"")</f>
        <v>TN</v>
      </c>
      <c r="N2882" t="str">
        <f>IFERROR(VLOOKUP(VALUE(J2882),'Site Info'!$A:$G,6,FALSE),"")</f>
        <v>37421-2932</v>
      </c>
      <c r="O2882">
        <f>IFERROR(VLOOKUP(VALUE(J2882),'Site Info'!$A:$G,7,FALSE),"")</f>
        <v>4239541746</v>
      </c>
    </row>
    <row r="2883" spans="1:15" x14ac:dyDescent="0.45">
      <c r="A2883" t="s">
        <v>10340</v>
      </c>
      <c r="B2883" t="s">
        <v>10341</v>
      </c>
      <c r="C2883" t="s">
        <v>10342</v>
      </c>
      <c r="D2883" t="s">
        <v>9332</v>
      </c>
      <c r="E2883" s="1">
        <v>46153.331562500003</v>
      </c>
      <c r="F2883">
        <v>1547</v>
      </c>
      <c r="G2883" t="s">
        <v>10343</v>
      </c>
      <c r="H2883" t="s">
        <v>15</v>
      </c>
      <c r="I2883" t="s">
        <v>9334</v>
      </c>
      <c r="J2883" t="str">
        <f>RIGHT(D2883,4)</f>
        <v>8112</v>
      </c>
      <c r="K2883" t="str">
        <f>IFERROR(VLOOKUP(VALUE(J2883),'Site Info'!$A:$G,3,FALSE),"")</f>
        <v>6101 LEE HWY</v>
      </c>
      <c r="L2883" t="str">
        <f>IFERROR(VLOOKUP(VALUE(J2883),'Site Info'!$A:$G,4,FALSE),"")</f>
        <v>CHATTANOOGA</v>
      </c>
      <c r="M2883" t="str">
        <f>IFERROR(VLOOKUP(VALUE(J2883),'Site Info'!$A:$G,5,FALSE),"")</f>
        <v>TN</v>
      </c>
      <c r="N2883" t="str">
        <f>IFERROR(VLOOKUP(VALUE(J2883),'Site Info'!$A:$G,6,FALSE),"")</f>
        <v>37421-2932</v>
      </c>
      <c r="O2883">
        <f>IFERROR(VLOOKUP(VALUE(J2883),'Site Info'!$A:$G,7,FALSE),"")</f>
        <v>4239541746</v>
      </c>
    </row>
    <row r="2884" spans="1:15" x14ac:dyDescent="0.45">
      <c r="A2884" t="s">
        <v>8123</v>
      </c>
      <c r="B2884" t="s">
        <v>8124</v>
      </c>
      <c r="C2884" t="s">
        <v>8125</v>
      </c>
      <c r="D2884" t="s">
        <v>8126</v>
      </c>
      <c r="E2884" s="1">
        <v>46149.57135416667</v>
      </c>
      <c r="F2884">
        <v>1547</v>
      </c>
      <c r="G2884" t="s">
        <v>8127</v>
      </c>
      <c r="H2884" t="s">
        <v>15</v>
      </c>
      <c r="I2884" t="s">
        <v>8128</v>
      </c>
      <c r="J2884" t="str">
        <f>RIGHT(D2884,4)</f>
        <v>6547</v>
      </c>
      <c r="K2884" t="str">
        <f>IFERROR(VLOOKUP(VALUE(J2884),'Site Info'!$A:$G,3,FALSE),"")</f>
        <v>611 LYCOMING MALL CIR</v>
      </c>
      <c r="L2884" t="str">
        <f>IFERROR(VLOOKUP(VALUE(J2884),'Site Info'!$A:$G,4,FALSE),"")</f>
        <v>MUNCY</v>
      </c>
      <c r="M2884" t="str">
        <f>IFERROR(VLOOKUP(VALUE(J2884),'Site Info'!$A:$G,5,FALSE),"")</f>
        <v>PA</v>
      </c>
      <c r="N2884" t="str">
        <f>IFERROR(VLOOKUP(VALUE(J2884),'Site Info'!$A:$G,6,FALSE),"")</f>
        <v>17756-1826</v>
      </c>
      <c r="O2884">
        <f>IFERROR(VLOOKUP(VALUE(J2884),'Site Info'!$A:$G,7,FALSE),"")</f>
        <v>5705466699</v>
      </c>
    </row>
    <row r="2885" spans="1:15" x14ac:dyDescent="0.45">
      <c r="A2885" t="s">
        <v>8333</v>
      </c>
      <c r="B2885" t="s">
        <v>8334</v>
      </c>
      <c r="C2885" t="s">
        <v>8335</v>
      </c>
      <c r="D2885" t="s">
        <v>8126</v>
      </c>
      <c r="E2885" s="1">
        <v>46153.178587962961</v>
      </c>
      <c r="F2885">
        <v>1547</v>
      </c>
      <c r="G2885" t="s">
        <v>8336</v>
      </c>
      <c r="H2885" t="s">
        <v>15</v>
      </c>
      <c r="I2885" t="s">
        <v>8128</v>
      </c>
      <c r="J2885" t="str">
        <f>RIGHT(D2885,4)</f>
        <v>6547</v>
      </c>
      <c r="K2885" t="str">
        <f>IFERROR(VLOOKUP(VALUE(J2885),'Site Info'!$A:$G,3,FALSE),"")</f>
        <v>611 LYCOMING MALL CIR</v>
      </c>
      <c r="L2885" t="str">
        <f>IFERROR(VLOOKUP(VALUE(J2885),'Site Info'!$A:$G,4,FALSE),"")</f>
        <v>MUNCY</v>
      </c>
      <c r="M2885" t="str">
        <f>IFERROR(VLOOKUP(VALUE(J2885),'Site Info'!$A:$G,5,FALSE),"")</f>
        <v>PA</v>
      </c>
      <c r="N2885" t="str">
        <f>IFERROR(VLOOKUP(VALUE(J2885),'Site Info'!$A:$G,6,FALSE),"")</f>
        <v>17756-1826</v>
      </c>
      <c r="O2885">
        <f>IFERROR(VLOOKUP(VALUE(J2885),'Site Info'!$A:$G,7,FALSE),"")</f>
        <v>5705466699</v>
      </c>
    </row>
    <row r="2886" spans="1:15" x14ac:dyDescent="0.45">
      <c r="A2886" t="s">
        <v>8797</v>
      </c>
      <c r="B2886" t="s">
        <v>8798</v>
      </c>
      <c r="C2886" t="s">
        <v>8799</v>
      </c>
      <c r="D2886" t="s">
        <v>8126</v>
      </c>
      <c r="E2886" s="1">
        <v>46153.275902777779</v>
      </c>
      <c r="F2886">
        <v>1547</v>
      </c>
      <c r="G2886" t="s">
        <v>8800</v>
      </c>
      <c r="H2886" t="s">
        <v>15</v>
      </c>
      <c r="I2886" t="s">
        <v>8128</v>
      </c>
      <c r="J2886" t="str">
        <f>RIGHT(D2886,4)</f>
        <v>6547</v>
      </c>
      <c r="K2886" t="str">
        <f>IFERROR(VLOOKUP(VALUE(J2886),'Site Info'!$A:$G,3,FALSE),"")</f>
        <v>611 LYCOMING MALL CIR</v>
      </c>
      <c r="L2886" t="str">
        <f>IFERROR(VLOOKUP(VALUE(J2886),'Site Info'!$A:$G,4,FALSE),"")</f>
        <v>MUNCY</v>
      </c>
      <c r="M2886" t="str">
        <f>IFERROR(VLOOKUP(VALUE(J2886),'Site Info'!$A:$G,5,FALSE),"")</f>
        <v>PA</v>
      </c>
      <c r="N2886" t="str">
        <f>IFERROR(VLOOKUP(VALUE(J2886),'Site Info'!$A:$G,6,FALSE),"")</f>
        <v>17756-1826</v>
      </c>
      <c r="O2886">
        <f>IFERROR(VLOOKUP(VALUE(J2886),'Site Info'!$A:$G,7,FALSE),"")</f>
        <v>5705466699</v>
      </c>
    </row>
    <row r="2887" spans="1:15" x14ac:dyDescent="0.45">
      <c r="A2887" t="s">
        <v>8373</v>
      </c>
      <c r="B2887" t="s">
        <v>8374</v>
      </c>
      <c r="C2887" t="s">
        <v>8375</v>
      </c>
      <c r="D2887" t="s">
        <v>8126</v>
      </c>
      <c r="E2887" s="1">
        <v>46153.367685185185</v>
      </c>
      <c r="F2887">
        <v>1547</v>
      </c>
      <c r="G2887" t="s">
        <v>8376</v>
      </c>
      <c r="H2887" t="s">
        <v>15</v>
      </c>
      <c r="I2887" t="s">
        <v>8128</v>
      </c>
      <c r="J2887" t="str">
        <f>RIGHT(D2887,4)</f>
        <v>6547</v>
      </c>
      <c r="K2887" t="str">
        <f>IFERROR(VLOOKUP(VALUE(J2887),'Site Info'!$A:$G,3,FALSE),"")</f>
        <v>611 LYCOMING MALL CIR</v>
      </c>
      <c r="L2887" t="str">
        <f>IFERROR(VLOOKUP(VALUE(J2887),'Site Info'!$A:$G,4,FALSE),"")</f>
        <v>MUNCY</v>
      </c>
      <c r="M2887" t="str">
        <f>IFERROR(VLOOKUP(VALUE(J2887),'Site Info'!$A:$G,5,FALSE),"")</f>
        <v>PA</v>
      </c>
      <c r="N2887" t="str">
        <f>IFERROR(VLOOKUP(VALUE(J2887),'Site Info'!$A:$G,6,FALSE),"")</f>
        <v>17756-1826</v>
      </c>
      <c r="O2887">
        <f>IFERROR(VLOOKUP(VALUE(J2887),'Site Info'!$A:$G,7,FALSE),"")</f>
        <v>5705466699</v>
      </c>
    </row>
    <row r="2888" spans="1:15" x14ac:dyDescent="0.45">
      <c r="A2888" t="s">
        <v>16928</v>
      </c>
      <c r="B2888" t="s">
        <v>16929</v>
      </c>
      <c r="C2888" t="s">
        <v>16930</v>
      </c>
      <c r="D2888" t="s">
        <v>8126</v>
      </c>
      <c r="E2888" s="1">
        <v>46151.412777777776</v>
      </c>
      <c r="F2888">
        <v>1863</v>
      </c>
      <c r="G2888" t="s">
        <v>16931</v>
      </c>
      <c r="H2888" t="s">
        <v>136</v>
      </c>
      <c r="I2888" t="s">
        <v>8128</v>
      </c>
      <c r="J2888" t="str">
        <f>RIGHT(D2888,4)</f>
        <v>6547</v>
      </c>
      <c r="K2888" t="str">
        <f>IFERROR(VLOOKUP(VALUE(J2888),'Site Info'!$A:$G,3,FALSE),"")</f>
        <v>611 LYCOMING MALL CIR</v>
      </c>
      <c r="L2888" t="str">
        <f>IFERROR(VLOOKUP(VALUE(J2888),'Site Info'!$A:$G,4,FALSE),"")</f>
        <v>MUNCY</v>
      </c>
      <c r="M2888" t="str">
        <f>IFERROR(VLOOKUP(VALUE(J2888),'Site Info'!$A:$G,5,FALSE),"")</f>
        <v>PA</v>
      </c>
      <c r="N2888" t="str">
        <f>IFERROR(VLOOKUP(VALUE(J2888),'Site Info'!$A:$G,6,FALSE),"")</f>
        <v>17756-1826</v>
      </c>
      <c r="O2888">
        <f>IFERROR(VLOOKUP(VALUE(J2888),'Site Info'!$A:$G,7,FALSE),"")</f>
        <v>5705466699</v>
      </c>
    </row>
    <row r="2889" spans="1:15" x14ac:dyDescent="0.45">
      <c r="A2889" t="s">
        <v>16504</v>
      </c>
      <c r="B2889" t="s">
        <v>16932</v>
      </c>
      <c r="C2889" t="s">
        <v>16933</v>
      </c>
      <c r="D2889" t="s">
        <v>8126</v>
      </c>
      <c r="E2889" s="1">
        <v>46152.243009259262</v>
      </c>
      <c r="F2889">
        <v>1628</v>
      </c>
      <c r="G2889" t="s">
        <v>16934</v>
      </c>
      <c r="H2889" t="s">
        <v>13988</v>
      </c>
      <c r="I2889" t="s">
        <v>8128</v>
      </c>
      <c r="J2889" t="str">
        <f>RIGHT(D2889,4)</f>
        <v>6547</v>
      </c>
      <c r="K2889" t="str">
        <f>IFERROR(VLOOKUP(VALUE(J2889),'Site Info'!$A:$G,3,FALSE),"")</f>
        <v>611 LYCOMING MALL CIR</v>
      </c>
      <c r="L2889" t="str">
        <f>IFERROR(VLOOKUP(VALUE(J2889),'Site Info'!$A:$G,4,FALSE),"")</f>
        <v>MUNCY</v>
      </c>
      <c r="M2889" t="str">
        <f>IFERROR(VLOOKUP(VALUE(J2889),'Site Info'!$A:$G,5,FALSE),"")</f>
        <v>PA</v>
      </c>
      <c r="N2889" t="str">
        <f>IFERROR(VLOOKUP(VALUE(J2889),'Site Info'!$A:$G,6,FALSE),"")</f>
        <v>17756-1826</v>
      </c>
      <c r="O2889">
        <f>IFERROR(VLOOKUP(VALUE(J2889),'Site Info'!$A:$G,7,FALSE),"")</f>
        <v>5705466699</v>
      </c>
    </row>
    <row r="2890" spans="1:15" x14ac:dyDescent="0.45">
      <c r="A2890" t="s">
        <v>16935</v>
      </c>
      <c r="B2890" t="s">
        <v>16936</v>
      </c>
      <c r="C2890" t="s">
        <v>16937</v>
      </c>
      <c r="D2890" t="s">
        <v>8126</v>
      </c>
      <c r="E2890" s="1">
        <v>46153.367152777777</v>
      </c>
      <c r="F2890">
        <v>1547</v>
      </c>
      <c r="G2890" t="s">
        <v>16938</v>
      </c>
      <c r="H2890" t="s">
        <v>15</v>
      </c>
      <c r="I2890" t="s">
        <v>8128</v>
      </c>
      <c r="J2890" t="str">
        <f>RIGHT(D2890,4)</f>
        <v>6547</v>
      </c>
      <c r="K2890" t="str">
        <f>IFERROR(VLOOKUP(VALUE(J2890),'Site Info'!$A:$G,3,FALSE),"")</f>
        <v>611 LYCOMING MALL CIR</v>
      </c>
      <c r="L2890" t="str">
        <f>IFERROR(VLOOKUP(VALUE(J2890),'Site Info'!$A:$G,4,FALSE),"")</f>
        <v>MUNCY</v>
      </c>
      <c r="M2890" t="str">
        <f>IFERROR(VLOOKUP(VALUE(J2890),'Site Info'!$A:$G,5,FALSE),"")</f>
        <v>PA</v>
      </c>
      <c r="N2890" t="str">
        <f>IFERROR(VLOOKUP(VALUE(J2890),'Site Info'!$A:$G,6,FALSE),"")</f>
        <v>17756-1826</v>
      </c>
      <c r="O2890">
        <f>IFERROR(VLOOKUP(VALUE(J2890),'Site Info'!$A:$G,7,FALSE),"")</f>
        <v>5705466699</v>
      </c>
    </row>
    <row r="2891" spans="1:15" x14ac:dyDescent="0.45">
      <c r="A2891" t="s">
        <v>8265</v>
      </c>
      <c r="B2891" t="s">
        <v>8266</v>
      </c>
      <c r="C2891" t="s">
        <v>8267</v>
      </c>
      <c r="D2891" t="s">
        <v>3312</v>
      </c>
      <c r="E2891" s="1">
        <v>46152.46675925926</v>
      </c>
      <c r="F2891">
        <v>1547</v>
      </c>
      <c r="G2891" t="s">
        <v>8268</v>
      </c>
      <c r="H2891" t="s">
        <v>15</v>
      </c>
      <c r="I2891" t="s">
        <v>3314</v>
      </c>
      <c r="J2891" t="str">
        <f>RIGHT(D2891,4)</f>
        <v>4962</v>
      </c>
      <c r="K2891" t="str">
        <f>IFERROR(VLOOKUP(VALUE(J2891),'Site Info'!$A:$G,3,FALSE),"")</f>
        <v>614 CROSSINGS RD</v>
      </c>
      <c r="L2891" t="str">
        <f>IFERROR(VLOOKUP(VALUE(J2891),'Site Info'!$A:$G,4,FALSE),"")</f>
        <v>SANDUSKY</v>
      </c>
      <c r="M2891" t="str">
        <f>IFERROR(VLOOKUP(VALUE(J2891),'Site Info'!$A:$G,5,FALSE),"")</f>
        <v>OH</v>
      </c>
      <c r="N2891" t="str">
        <f>IFERROR(VLOOKUP(VALUE(J2891),'Site Info'!$A:$G,6,FALSE),"")</f>
        <v>44870-8909</v>
      </c>
      <c r="O2891">
        <f>IFERROR(VLOOKUP(VALUE(J2891),'Site Info'!$A:$G,7,FALSE),"")</f>
        <v>4196266563</v>
      </c>
    </row>
    <row r="2892" spans="1:15" x14ac:dyDescent="0.45">
      <c r="A2892" t="s">
        <v>8465</v>
      </c>
      <c r="B2892" t="s">
        <v>8466</v>
      </c>
      <c r="C2892" t="s">
        <v>8467</v>
      </c>
      <c r="D2892" t="s">
        <v>3312</v>
      </c>
      <c r="E2892" s="1">
        <v>46153.275543981479</v>
      </c>
      <c r="F2892">
        <v>1547</v>
      </c>
      <c r="G2892" t="s">
        <v>8468</v>
      </c>
      <c r="H2892" t="s">
        <v>15</v>
      </c>
      <c r="I2892" t="s">
        <v>3314</v>
      </c>
      <c r="J2892" t="str">
        <f>RIGHT(D2892,4)</f>
        <v>4962</v>
      </c>
      <c r="K2892" t="str">
        <f>IFERROR(VLOOKUP(VALUE(J2892),'Site Info'!$A:$G,3,FALSE),"")</f>
        <v>614 CROSSINGS RD</v>
      </c>
      <c r="L2892" t="str">
        <f>IFERROR(VLOOKUP(VALUE(J2892),'Site Info'!$A:$G,4,FALSE),"")</f>
        <v>SANDUSKY</v>
      </c>
      <c r="M2892" t="str">
        <f>IFERROR(VLOOKUP(VALUE(J2892),'Site Info'!$A:$G,5,FALSE),"")</f>
        <v>OH</v>
      </c>
      <c r="N2892" t="str">
        <f>IFERROR(VLOOKUP(VALUE(J2892),'Site Info'!$A:$G,6,FALSE),"")</f>
        <v>44870-8909</v>
      </c>
      <c r="O2892">
        <f>IFERROR(VLOOKUP(VALUE(J2892),'Site Info'!$A:$G,7,FALSE),"")</f>
        <v>4196266563</v>
      </c>
    </row>
    <row r="2893" spans="1:15" x14ac:dyDescent="0.45">
      <c r="A2893" t="s">
        <v>9033</v>
      </c>
      <c r="B2893" t="s">
        <v>9034</v>
      </c>
      <c r="C2893" t="s">
        <v>9035</v>
      </c>
      <c r="D2893" t="s">
        <v>3312</v>
      </c>
      <c r="E2893" s="1">
        <v>46153.370694444442</v>
      </c>
      <c r="F2893">
        <v>1547</v>
      </c>
      <c r="G2893" t="s">
        <v>9036</v>
      </c>
      <c r="H2893" t="s">
        <v>15</v>
      </c>
      <c r="I2893" t="s">
        <v>3314</v>
      </c>
      <c r="J2893" t="str">
        <f>RIGHT(D2893,4)</f>
        <v>4962</v>
      </c>
      <c r="K2893" t="str">
        <f>IFERROR(VLOOKUP(VALUE(J2893),'Site Info'!$A:$G,3,FALSE),"")</f>
        <v>614 CROSSINGS RD</v>
      </c>
      <c r="L2893" t="str">
        <f>IFERROR(VLOOKUP(VALUE(J2893),'Site Info'!$A:$G,4,FALSE),"")</f>
        <v>SANDUSKY</v>
      </c>
      <c r="M2893" t="str">
        <f>IFERROR(VLOOKUP(VALUE(J2893),'Site Info'!$A:$G,5,FALSE),"")</f>
        <v>OH</v>
      </c>
      <c r="N2893" t="str">
        <f>IFERROR(VLOOKUP(VALUE(J2893),'Site Info'!$A:$G,6,FALSE),"")</f>
        <v>44870-8909</v>
      </c>
      <c r="O2893">
        <f>IFERROR(VLOOKUP(VALUE(J2893),'Site Info'!$A:$G,7,FALSE),"")</f>
        <v>4196266563</v>
      </c>
    </row>
    <row r="2894" spans="1:15" x14ac:dyDescent="0.45">
      <c r="A2894" t="s">
        <v>7725</v>
      </c>
      <c r="B2894" t="s">
        <v>7726</v>
      </c>
      <c r="C2894" t="s">
        <v>7727</v>
      </c>
      <c r="D2894" t="s">
        <v>3312</v>
      </c>
      <c r="E2894" s="1">
        <v>46153.373483796298</v>
      </c>
      <c r="F2894">
        <v>1547</v>
      </c>
      <c r="G2894" t="s">
        <v>7728</v>
      </c>
      <c r="H2894" t="s">
        <v>15</v>
      </c>
      <c r="I2894" t="s">
        <v>3314</v>
      </c>
      <c r="J2894" t="str">
        <f>RIGHT(D2894,4)</f>
        <v>4962</v>
      </c>
      <c r="K2894" t="str">
        <f>IFERROR(VLOOKUP(VALUE(J2894),'Site Info'!$A:$G,3,FALSE),"")</f>
        <v>614 CROSSINGS RD</v>
      </c>
      <c r="L2894" t="str">
        <f>IFERROR(VLOOKUP(VALUE(J2894),'Site Info'!$A:$G,4,FALSE),"")</f>
        <v>SANDUSKY</v>
      </c>
      <c r="M2894" t="str">
        <f>IFERROR(VLOOKUP(VALUE(J2894),'Site Info'!$A:$G,5,FALSE),"")</f>
        <v>OH</v>
      </c>
      <c r="N2894" t="str">
        <f>IFERROR(VLOOKUP(VALUE(J2894),'Site Info'!$A:$G,6,FALSE),"")</f>
        <v>44870-8909</v>
      </c>
      <c r="O2894">
        <f>IFERROR(VLOOKUP(VALUE(J2894),'Site Info'!$A:$G,7,FALSE),"")</f>
        <v>4196266563</v>
      </c>
    </row>
    <row r="2895" spans="1:15" x14ac:dyDescent="0.45">
      <c r="A2895" t="s">
        <v>3309</v>
      </c>
      <c r="B2895" t="s">
        <v>3310</v>
      </c>
      <c r="C2895" t="s">
        <v>3311</v>
      </c>
      <c r="D2895" t="s">
        <v>3312</v>
      </c>
      <c r="E2895" s="1">
        <v>46151.191284722219</v>
      </c>
      <c r="F2895">
        <v>1481</v>
      </c>
      <c r="G2895" t="s">
        <v>3313</v>
      </c>
      <c r="H2895" t="s">
        <v>15</v>
      </c>
      <c r="I2895" t="s">
        <v>3314</v>
      </c>
      <c r="J2895" t="str">
        <f>RIGHT(D2895,4)</f>
        <v>4962</v>
      </c>
      <c r="K2895" t="str">
        <f>IFERROR(VLOOKUP(VALUE(J2895),'Site Info'!$A:$G,3,FALSE),"")</f>
        <v>614 CROSSINGS RD</v>
      </c>
      <c r="L2895" t="str">
        <f>IFERROR(VLOOKUP(VALUE(J2895),'Site Info'!$A:$G,4,FALSE),"")</f>
        <v>SANDUSKY</v>
      </c>
      <c r="M2895" t="str">
        <f>IFERROR(VLOOKUP(VALUE(J2895),'Site Info'!$A:$G,5,FALSE),"")</f>
        <v>OH</v>
      </c>
      <c r="N2895" t="str">
        <f>IFERROR(VLOOKUP(VALUE(J2895),'Site Info'!$A:$G,6,FALSE),"")</f>
        <v>44870-8909</v>
      </c>
      <c r="O2895">
        <f>IFERROR(VLOOKUP(VALUE(J2895),'Site Info'!$A:$G,7,FALSE),"")</f>
        <v>4196266563</v>
      </c>
    </row>
    <row r="2896" spans="1:15" x14ac:dyDescent="0.45">
      <c r="A2896" t="s">
        <v>16558</v>
      </c>
      <c r="B2896" t="s">
        <v>16559</v>
      </c>
      <c r="C2896" t="s">
        <v>16560</v>
      </c>
      <c r="D2896" t="s">
        <v>3312</v>
      </c>
      <c r="E2896" s="1">
        <v>46153.33</v>
      </c>
      <c r="F2896">
        <v>1481</v>
      </c>
      <c r="G2896" t="s">
        <v>16561</v>
      </c>
      <c r="H2896" t="s">
        <v>15</v>
      </c>
      <c r="I2896" t="s">
        <v>3314</v>
      </c>
      <c r="J2896" t="str">
        <f>RIGHT(D2896,4)</f>
        <v>4962</v>
      </c>
      <c r="K2896" t="str">
        <f>IFERROR(VLOOKUP(VALUE(J2896),'Site Info'!$A:$G,3,FALSE),"")</f>
        <v>614 CROSSINGS RD</v>
      </c>
      <c r="L2896" t="str">
        <f>IFERROR(VLOOKUP(VALUE(J2896),'Site Info'!$A:$G,4,FALSE),"")</f>
        <v>SANDUSKY</v>
      </c>
      <c r="M2896" t="str">
        <f>IFERROR(VLOOKUP(VALUE(J2896),'Site Info'!$A:$G,5,FALSE),"")</f>
        <v>OH</v>
      </c>
      <c r="N2896" t="str">
        <f>IFERROR(VLOOKUP(VALUE(J2896),'Site Info'!$A:$G,6,FALSE),"")</f>
        <v>44870-8909</v>
      </c>
      <c r="O2896">
        <f>IFERROR(VLOOKUP(VALUE(J2896),'Site Info'!$A:$G,7,FALSE),"")</f>
        <v>4196266563</v>
      </c>
    </row>
    <row r="2897" spans="1:15" x14ac:dyDescent="0.45">
      <c r="A2897" t="s">
        <v>10672</v>
      </c>
      <c r="B2897" t="s">
        <v>10673</v>
      </c>
      <c r="C2897" t="s">
        <v>10674</v>
      </c>
      <c r="D2897" t="s">
        <v>3604</v>
      </c>
      <c r="E2897" s="1">
        <v>46153.130486111113</v>
      </c>
      <c r="F2897">
        <v>1547</v>
      </c>
      <c r="G2897" t="s">
        <v>10675</v>
      </c>
      <c r="H2897" t="s">
        <v>15</v>
      </c>
      <c r="I2897" t="s">
        <v>3606</v>
      </c>
      <c r="J2897" t="str">
        <f>RIGHT(D2897,4)</f>
        <v>4944</v>
      </c>
      <c r="K2897" t="str">
        <f>IFERROR(VLOOKUP(VALUE(J2897),'Site Info'!$A:$G,3,FALSE),"")</f>
        <v>6160 S SAGINAW RD</v>
      </c>
      <c r="L2897" t="str">
        <f>IFERROR(VLOOKUP(VALUE(J2897),'Site Info'!$A:$G,4,FALSE),"")</f>
        <v>GRAND BLANC</v>
      </c>
      <c r="M2897" t="str">
        <f>IFERROR(VLOOKUP(VALUE(J2897),'Site Info'!$A:$G,5,FALSE),"")</f>
        <v>MI</v>
      </c>
      <c r="N2897" t="str">
        <f>IFERROR(VLOOKUP(VALUE(J2897),'Site Info'!$A:$G,6,FALSE),"")</f>
        <v>48439-7026</v>
      </c>
      <c r="O2897">
        <f>IFERROR(VLOOKUP(VALUE(J2897),'Site Info'!$A:$G,7,FALSE),"")</f>
        <v>8106039540</v>
      </c>
    </row>
    <row r="2898" spans="1:15" x14ac:dyDescent="0.45">
      <c r="A2898" t="s">
        <v>12332</v>
      </c>
      <c r="B2898" t="s">
        <v>12333</v>
      </c>
      <c r="C2898" t="s">
        <v>12334</v>
      </c>
      <c r="D2898" t="s">
        <v>3604</v>
      </c>
      <c r="E2898" s="1">
        <v>46153.311018518521</v>
      </c>
      <c r="F2898">
        <v>1547</v>
      </c>
      <c r="G2898" t="s">
        <v>12335</v>
      </c>
      <c r="H2898" t="s">
        <v>15</v>
      </c>
      <c r="I2898" t="s">
        <v>3606</v>
      </c>
      <c r="J2898" t="str">
        <f>RIGHT(D2898,4)</f>
        <v>4944</v>
      </c>
      <c r="K2898" t="str">
        <f>IFERROR(VLOOKUP(VALUE(J2898),'Site Info'!$A:$G,3,FALSE),"")</f>
        <v>6160 S SAGINAW RD</v>
      </c>
      <c r="L2898" t="str">
        <f>IFERROR(VLOOKUP(VALUE(J2898),'Site Info'!$A:$G,4,FALSE),"")</f>
        <v>GRAND BLANC</v>
      </c>
      <c r="M2898" t="str">
        <f>IFERROR(VLOOKUP(VALUE(J2898),'Site Info'!$A:$G,5,FALSE),"")</f>
        <v>MI</v>
      </c>
      <c r="N2898" t="str">
        <f>IFERROR(VLOOKUP(VALUE(J2898),'Site Info'!$A:$G,6,FALSE),"")</f>
        <v>48439-7026</v>
      </c>
      <c r="O2898">
        <f>IFERROR(VLOOKUP(VALUE(J2898),'Site Info'!$A:$G,7,FALSE),"")</f>
        <v>8106039540</v>
      </c>
    </row>
    <row r="2899" spans="1:15" x14ac:dyDescent="0.45">
      <c r="A2899" t="s">
        <v>12396</v>
      </c>
      <c r="B2899" t="s">
        <v>12397</v>
      </c>
      <c r="C2899" t="s">
        <v>12398</v>
      </c>
      <c r="D2899" t="s">
        <v>3604</v>
      </c>
      <c r="E2899" s="1">
        <v>46153.350416666668</v>
      </c>
      <c r="F2899">
        <v>1547</v>
      </c>
      <c r="G2899" t="s">
        <v>12399</v>
      </c>
      <c r="H2899" t="s">
        <v>15</v>
      </c>
      <c r="I2899" t="s">
        <v>3606</v>
      </c>
      <c r="J2899" t="str">
        <f>RIGHT(D2899,4)</f>
        <v>4944</v>
      </c>
      <c r="K2899" t="str">
        <f>IFERROR(VLOOKUP(VALUE(J2899),'Site Info'!$A:$G,3,FALSE),"")</f>
        <v>6160 S SAGINAW RD</v>
      </c>
      <c r="L2899" t="str">
        <f>IFERROR(VLOOKUP(VALUE(J2899),'Site Info'!$A:$G,4,FALSE),"")</f>
        <v>GRAND BLANC</v>
      </c>
      <c r="M2899" t="str">
        <f>IFERROR(VLOOKUP(VALUE(J2899),'Site Info'!$A:$G,5,FALSE),"")</f>
        <v>MI</v>
      </c>
      <c r="N2899" t="str">
        <f>IFERROR(VLOOKUP(VALUE(J2899),'Site Info'!$A:$G,6,FALSE),"")</f>
        <v>48439-7026</v>
      </c>
      <c r="O2899">
        <f>IFERROR(VLOOKUP(VALUE(J2899),'Site Info'!$A:$G,7,FALSE),"")</f>
        <v>8106039540</v>
      </c>
    </row>
    <row r="2900" spans="1:15" x14ac:dyDescent="0.45">
      <c r="A2900" t="s">
        <v>13784</v>
      </c>
      <c r="B2900" t="s">
        <v>13785</v>
      </c>
      <c r="C2900" t="s">
        <v>13786</v>
      </c>
      <c r="D2900" t="s">
        <v>3604</v>
      </c>
      <c r="E2900" s="1">
        <v>46153.351261574076</v>
      </c>
      <c r="F2900">
        <v>1547</v>
      </c>
      <c r="G2900" t="s">
        <v>13787</v>
      </c>
      <c r="H2900" t="s">
        <v>15</v>
      </c>
      <c r="I2900" t="s">
        <v>3606</v>
      </c>
      <c r="J2900" t="str">
        <f>RIGHT(D2900,4)</f>
        <v>4944</v>
      </c>
      <c r="K2900" t="str">
        <f>IFERROR(VLOOKUP(VALUE(J2900),'Site Info'!$A:$G,3,FALSE),"")</f>
        <v>6160 S SAGINAW RD</v>
      </c>
      <c r="L2900" t="str">
        <f>IFERROR(VLOOKUP(VALUE(J2900),'Site Info'!$A:$G,4,FALSE),"")</f>
        <v>GRAND BLANC</v>
      </c>
      <c r="M2900" t="str">
        <f>IFERROR(VLOOKUP(VALUE(J2900),'Site Info'!$A:$G,5,FALSE),"")</f>
        <v>MI</v>
      </c>
      <c r="N2900" t="str">
        <f>IFERROR(VLOOKUP(VALUE(J2900),'Site Info'!$A:$G,6,FALSE),"")</f>
        <v>48439-7026</v>
      </c>
      <c r="O2900">
        <f>IFERROR(VLOOKUP(VALUE(J2900),'Site Info'!$A:$G,7,FALSE),"")</f>
        <v>8106039540</v>
      </c>
    </row>
    <row r="2901" spans="1:15" x14ac:dyDescent="0.45">
      <c r="A2901" t="s">
        <v>10738</v>
      </c>
      <c r="B2901" t="s">
        <v>10739</v>
      </c>
      <c r="C2901" t="s">
        <v>10740</v>
      </c>
      <c r="D2901" t="s">
        <v>3604</v>
      </c>
      <c r="E2901" s="1">
        <v>46153.369432870371</v>
      </c>
      <c r="F2901">
        <v>1547</v>
      </c>
      <c r="G2901" t="s">
        <v>10741</v>
      </c>
      <c r="H2901" t="s">
        <v>15</v>
      </c>
      <c r="I2901" t="s">
        <v>3606</v>
      </c>
      <c r="J2901" t="str">
        <f>RIGHT(D2901,4)</f>
        <v>4944</v>
      </c>
      <c r="K2901" t="str">
        <f>IFERROR(VLOOKUP(VALUE(J2901),'Site Info'!$A:$G,3,FALSE),"")</f>
        <v>6160 S SAGINAW RD</v>
      </c>
      <c r="L2901" t="str">
        <f>IFERROR(VLOOKUP(VALUE(J2901),'Site Info'!$A:$G,4,FALSE),"")</f>
        <v>GRAND BLANC</v>
      </c>
      <c r="M2901" t="str">
        <f>IFERROR(VLOOKUP(VALUE(J2901),'Site Info'!$A:$G,5,FALSE),"")</f>
        <v>MI</v>
      </c>
      <c r="N2901" t="str">
        <f>IFERROR(VLOOKUP(VALUE(J2901),'Site Info'!$A:$G,6,FALSE),"")</f>
        <v>48439-7026</v>
      </c>
      <c r="O2901">
        <f>IFERROR(VLOOKUP(VALUE(J2901),'Site Info'!$A:$G,7,FALSE),"")</f>
        <v>8106039540</v>
      </c>
    </row>
    <row r="2902" spans="1:15" x14ac:dyDescent="0.45">
      <c r="A2902" t="s">
        <v>6086</v>
      </c>
      <c r="B2902" t="s">
        <v>6087</v>
      </c>
      <c r="C2902" t="s">
        <v>6088</v>
      </c>
      <c r="D2902" t="s">
        <v>3604</v>
      </c>
      <c r="E2902" s="1">
        <v>46153.369606481479</v>
      </c>
      <c r="F2902">
        <v>1547</v>
      </c>
      <c r="G2902" t="s">
        <v>6089</v>
      </c>
      <c r="H2902" t="s">
        <v>15</v>
      </c>
      <c r="I2902" t="s">
        <v>3606</v>
      </c>
      <c r="J2902" t="str">
        <f>RIGHT(D2902,4)</f>
        <v>4944</v>
      </c>
      <c r="K2902" t="str">
        <f>IFERROR(VLOOKUP(VALUE(J2902),'Site Info'!$A:$G,3,FALSE),"")</f>
        <v>6160 S SAGINAW RD</v>
      </c>
      <c r="L2902" t="str">
        <f>IFERROR(VLOOKUP(VALUE(J2902),'Site Info'!$A:$G,4,FALSE),"")</f>
        <v>GRAND BLANC</v>
      </c>
      <c r="M2902" t="str">
        <f>IFERROR(VLOOKUP(VALUE(J2902),'Site Info'!$A:$G,5,FALSE),"")</f>
        <v>MI</v>
      </c>
      <c r="N2902" t="str">
        <f>IFERROR(VLOOKUP(VALUE(J2902),'Site Info'!$A:$G,6,FALSE),"")</f>
        <v>48439-7026</v>
      </c>
      <c r="O2902">
        <f>IFERROR(VLOOKUP(VALUE(J2902),'Site Info'!$A:$G,7,FALSE),"")</f>
        <v>8106039540</v>
      </c>
    </row>
    <row r="2903" spans="1:15" x14ac:dyDescent="0.45">
      <c r="A2903" t="s">
        <v>12148</v>
      </c>
      <c r="B2903" t="s">
        <v>12149</v>
      </c>
      <c r="C2903" t="s">
        <v>12150</v>
      </c>
      <c r="D2903" t="s">
        <v>3604</v>
      </c>
      <c r="E2903" s="1">
        <v>46153.369930555556</v>
      </c>
      <c r="F2903">
        <v>1547</v>
      </c>
      <c r="G2903" t="s">
        <v>12151</v>
      </c>
      <c r="H2903" t="s">
        <v>15</v>
      </c>
      <c r="I2903" t="s">
        <v>3606</v>
      </c>
      <c r="J2903" t="str">
        <f>RIGHT(D2903,4)</f>
        <v>4944</v>
      </c>
      <c r="K2903" t="str">
        <f>IFERROR(VLOOKUP(VALUE(J2903),'Site Info'!$A:$G,3,FALSE),"")</f>
        <v>6160 S SAGINAW RD</v>
      </c>
      <c r="L2903" t="str">
        <f>IFERROR(VLOOKUP(VALUE(J2903),'Site Info'!$A:$G,4,FALSE),"")</f>
        <v>GRAND BLANC</v>
      </c>
      <c r="M2903" t="str">
        <f>IFERROR(VLOOKUP(VALUE(J2903),'Site Info'!$A:$G,5,FALSE),"")</f>
        <v>MI</v>
      </c>
      <c r="N2903" t="str">
        <f>IFERROR(VLOOKUP(VALUE(J2903),'Site Info'!$A:$G,6,FALSE),"")</f>
        <v>48439-7026</v>
      </c>
      <c r="O2903">
        <f>IFERROR(VLOOKUP(VALUE(J2903),'Site Info'!$A:$G,7,FALSE),"")</f>
        <v>8106039540</v>
      </c>
    </row>
    <row r="2904" spans="1:15" x14ac:dyDescent="0.45">
      <c r="A2904" t="s">
        <v>3601</v>
      </c>
      <c r="B2904" t="s">
        <v>3602</v>
      </c>
      <c r="C2904" t="s">
        <v>3603</v>
      </c>
      <c r="D2904" t="s">
        <v>3604</v>
      </c>
      <c r="E2904" s="1">
        <v>46153.339259259257</v>
      </c>
      <c r="F2904">
        <v>1481</v>
      </c>
      <c r="G2904" t="s">
        <v>3605</v>
      </c>
      <c r="H2904" t="s">
        <v>15</v>
      </c>
      <c r="I2904" t="s">
        <v>3606</v>
      </c>
      <c r="J2904" t="str">
        <f>RIGHT(D2904,4)</f>
        <v>4944</v>
      </c>
      <c r="K2904" t="str">
        <f>IFERROR(VLOOKUP(VALUE(J2904),'Site Info'!$A:$G,3,FALSE),"")</f>
        <v>6160 S SAGINAW RD</v>
      </c>
      <c r="L2904" t="str">
        <f>IFERROR(VLOOKUP(VALUE(J2904),'Site Info'!$A:$G,4,FALSE),"")</f>
        <v>GRAND BLANC</v>
      </c>
      <c r="M2904" t="str">
        <f>IFERROR(VLOOKUP(VALUE(J2904),'Site Info'!$A:$G,5,FALSE),"")</f>
        <v>MI</v>
      </c>
      <c r="N2904" t="str">
        <f>IFERROR(VLOOKUP(VALUE(J2904),'Site Info'!$A:$G,6,FALSE),"")</f>
        <v>48439-7026</v>
      </c>
      <c r="O2904">
        <f>IFERROR(VLOOKUP(VALUE(J2904),'Site Info'!$A:$G,7,FALSE),"")</f>
        <v>8106039540</v>
      </c>
    </row>
    <row r="2905" spans="1:15" x14ac:dyDescent="0.45">
      <c r="A2905" t="s">
        <v>12946</v>
      </c>
      <c r="B2905" t="s">
        <v>12947</v>
      </c>
      <c r="C2905" t="s">
        <v>12948</v>
      </c>
      <c r="D2905" t="s">
        <v>3604</v>
      </c>
      <c r="E2905" s="1">
        <v>46101.599490740744</v>
      </c>
      <c r="F2905">
        <v>1547</v>
      </c>
      <c r="G2905" t="s">
        <v>12949</v>
      </c>
      <c r="H2905" t="s">
        <v>15</v>
      </c>
      <c r="I2905" t="s">
        <v>3606</v>
      </c>
      <c r="J2905" t="str">
        <f>RIGHT(D2905,4)</f>
        <v>4944</v>
      </c>
      <c r="K2905" t="str">
        <f>IFERROR(VLOOKUP(VALUE(J2905),'Site Info'!$A:$G,3,FALSE),"")</f>
        <v>6160 S SAGINAW RD</v>
      </c>
      <c r="L2905" t="str">
        <f>IFERROR(VLOOKUP(VALUE(J2905),'Site Info'!$A:$G,4,FALSE),"")</f>
        <v>GRAND BLANC</v>
      </c>
      <c r="M2905" t="str">
        <f>IFERROR(VLOOKUP(VALUE(J2905),'Site Info'!$A:$G,5,FALSE),"")</f>
        <v>MI</v>
      </c>
      <c r="N2905" t="str">
        <f>IFERROR(VLOOKUP(VALUE(J2905),'Site Info'!$A:$G,6,FALSE),"")</f>
        <v>48439-7026</v>
      </c>
      <c r="O2905">
        <f>IFERROR(VLOOKUP(VALUE(J2905),'Site Info'!$A:$G,7,FALSE),"")</f>
        <v>8106039540</v>
      </c>
    </row>
    <row r="2906" spans="1:15" x14ac:dyDescent="0.45">
      <c r="A2906" t="s">
        <v>14592</v>
      </c>
      <c r="B2906" t="s">
        <v>14593</v>
      </c>
      <c r="C2906" t="s">
        <v>14594</v>
      </c>
      <c r="D2906" t="s">
        <v>1839</v>
      </c>
      <c r="E2906" s="1">
        <v>46152.487986111111</v>
      </c>
      <c r="F2906">
        <v>1547</v>
      </c>
      <c r="G2906" t="s">
        <v>14595</v>
      </c>
      <c r="H2906" t="s">
        <v>15</v>
      </c>
      <c r="I2906" t="s">
        <v>1841</v>
      </c>
      <c r="J2906" t="str">
        <f>RIGHT(D2906,4)</f>
        <v>6372</v>
      </c>
      <c r="K2906" t="str">
        <f>IFERROR(VLOOKUP(VALUE(J2906),'Site Info'!$A:$G,3,FALSE),"")</f>
        <v>6185 RETAIL RD STE 100</v>
      </c>
      <c r="L2906" t="str">
        <f>IFERROR(VLOOKUP(VALUE(J2906),'Site Info'!$A:$G,4,FALSE),"")</f>
        <v>DALLAS</v>
      </c>
      <c r="M2906" t="str">
        <f>IFERROR(VLOOKUP(VALUE(J2906),'Site Info'!$A:$G,5,FALSE),"")</f>
        <v>TX</v>
      </c>
      <c r="N2906" t="str">
        <f>IFERROR(VLOOKUP(VALUE(J2906),'Site Info'!$A:$G,6,FALSE),"")</f>
        <v>75231-6023</v>
      </c>
      <c r="O2906">
        <f>IFERROR(VLOOKUP(VALUE(J2906),'Site Info'!$A:$G,7,FALSE),"")</f>
        <v>2143822297</v>
      </c>
    </row>
    <row r="2907" spans="1:15" x14ac:dyDescent="0.45">
      <c r="A2907" t="s">
        <v>14483</v>
      </c>
      <c r="B2907" t="s">
        <v>14484</v>
      </c>
      <c r="C2907" t="s">
        <v>14485</v>
      </c>
      <c r="D2907" t="s">
        <v>1839</v>
      </c>
      <c r="E2907" s="1">
        <v>46152.643414351849</v>
      </c>
      <c r="F2907">
        <v>1547</v>
      </c>
      <c r="G2907" t="s">
        <v>14486</v>
      </c>
      <c r="H2907" t="s">
        <v>15</v>
      </c>
      <c r="I2907" t="s">
        <v>1841</v>
      </c>
      <c r="J2907" t="str">
        <f>RIGHT(D2907,4)</f>
        <v>6372</v>
      </c>
      <c r="K2907" t="str">
        <f>IFERROR(VLOOKUP(VALUE(J2907),'Site Info'!$A:$G,3,FALSE),"")</f>
        <v>6185 RETAIL RD STE 100</v>
      </c>
      <c r="L2907" t="str">
        <f>IFERROR(VLOOKUP(VALUE(J2907),'Site Info'!$A:$G,4,FALSE),"")</f>
        <v>DALLAS</v>
      </c>
      <c r="M2907" t="str">
        <f>IFERROR(VLOOKUP(VALUE(J2907),'Site Info'!$A:$G,5,FALSE),"")</f>
        <v>TX</v>
      </c>
      <c r="N2907" t="str">
        <f>IFERROR(VLOOKUP(VALUE(J2907),'Site Info'!$A:$G,6,FALSE),"")</f>
        <v>75231-6023</v>
      </c>
      <c r="O2907">
        <f>IFERROR(VLOOKUP(VALUE(J2907),'Site Info'!$A:$G,7,FALSE),"")</f>
        <v>2143822297</v>
      </c>
    </row>
    <row r="2908" spans="1:15" x14ac:dyDescent="0.45">
      <c r="A2908" t="s">
        <v>14588</v>
      </c>
      <c r="B2908" t="s">
        <v>14589</v>
      </c>
      <c r="C2908" t="s">
        <v>14590</v>
      </c>
      <c r="D2908" t="s">
        <v>1839</v>
      </c>
      <c r="E2908" s="1">
        <v>46152.670092592591</v>
      </c>
      <c r="F2908">
        <v>1547</v>
      </c>
      <c r="G2908" t="s">
        <v>14591</v>
      </c>
      <c r="H2908" t="s">
        <v>15</v>
      </c>
      <c r="I2908" t="s">
        <v>1841</v>
      </c>
      <c r="J2908" t="str">
        <f>RIGHT(D2908,4)</f>
        <v>6372</v>
      </c>
      <c r="K2908" t="str">
        <f>IFERROR(VLOOKUP(VALUE(J2908),'Site Info'!$A:$G,3,FALSE),"")</f>
        <v>6185 RETAIL RD STE 100</v>
      </c>
      <c r="L2908" t="str">
        <f>IFERROR(VLOOKUP(VALUE(J2908),'Site Info'!$A:$G,4,FALSE),"")</f>
        <v>DALLAS</v>
      </c>
      <c r="M2908" t="str">
        <f>IFERROR(VLOOKUP(VALUE(J2908),'Site Info'!$A:$G,5,FALSE),"")</f>
        <v>TX</v>
      </c>
      <c r="N2908" t="str">
        <f>IFERROR(VLOOKUP(VALUE(J2908),'Site Info'!$A:$G,6,FALSE),"")</f>
        <v>75231-6023</v>
      </c>
      <c r="O2908">
        <f>IFERROR(VLOOKUP(VALUE(J2908),'Site Info'!$A:$G,7,FALSE),"")</f>
        <v>2143822297</v>
      </c>
    </row>
    <row r="2909" spans="1:15" x14ac:dyDescent="0.45">
      <c r="A2909" t="s">
        <v>1836</v>
      </c>
      <c r="B2909" t="s">
        <v>1837</v>
      </c>
      <c r="C2909" t="s">
        <v>1838</v>
      </c>
      <c r="D2909" t="s">
        <v>1839</v>
      </c>
      <c r="E2909" s="1">
        <v>46153.193298611113</v>
      </c>
      <c r="F2909">
        <v>1481</v>
      </c>
      <c r="G2909" t="s">
        <v>1840</v>
      </c>
      <c r="H2909" t="s">
        <v>15</v>
      </c>
      <c r="I2909" t="s">
        <v>1841</v>
      </c>
      <c r="J2909" t="str">
        <f>RIGHT(D2909,4)</f>
        <v>6372</v>
      </c>
      <c r="K2909" t="str">
        <f>IFERROR(VLOOKUP(VALUE(J2909),'Site Info'!$A:$G,3,FALSE),"")</f>
        <v>6185 RETAIL RD STE 100</v>
      </c>
      <c r="L2909" t="str">
        <f>IFERROR(VLOOKUP(VALUE(J2909),'Site Info'!$A:$G,4,FALSE),"")</f>
        <v>DALLAS</v>
      </c>
      <c r="M2909" t="str">
        <f>IFERROR(VLOOKUP(VALUE(J2909),'Site Info'!$A:$G,5,FALSE),"")</f>
        <v>TX</v>
      </c>
      <c r="N2909" t="str">
        <f>IFERROR(VLOOKUP(VALUE(J2909),'Site Info'!$A:$G,6,FALSE),"")</f>
        <v>75231-6023</v>
      </c>
      <c r="O2909">
        <f>IFERROR(VLOOKUP(VALUE(J2909),'Site Info'!$A:$G,7,FALSE),"")</f>
        <v>2143822297</v>
      </c>
    </row>
    <row r="2910" spans="1:15" x14ac:dyDescent="0.45">
      <c r="A2910" t="s">
        <v>16794</v>
      </c>
      <c r="B2910" t="s">
        <v>16795</v>
      </c>
      <c r="C2910" t="s">
        <v>16796</v>
      </c>
      <c r="D2910" t="s">
        <v>1839</v>
      </c>
      <c r="E2910" s="1">
        <v>46151.897303240738</v>
      </c>
      <c r="F2910">
        <v>1481</v>
      </c>
      <c r="G2910" t="s">
        <v>16797</v>
      </c>
      <c r="H2910" t="s">
        <v>15</v>
      </c>
      <c r="I2910" t="s">
        <v>1841</v>
      </c>
      <c r="J2910" t="str">
        <f>RIGHT(D2910,4)</f>
        <v>6372</v>
      </c>
      <c r="K2910" t="str">
        <f>IFERROR(VLOOKUP(VALUE(J2910),'Site Info'!$A:$G,3,FALSE),"")</f>
        <v>6185 RETAIL RD STE 100</v>
      </c>
      <c r="L2910" t="str">
        <f>IFERROR(VLOOKUP(VALUE(J2910),'Site Info'!$A:$G,4,FALSE),"")</f>
        <v>DALLAS</v>
      </c>
      <c r="M2910" t="str">
        <f>IFERROR(VLOOKUP(VALUE(J2910),'Site Info'!$A:$G,5,FALSE),"")</f>
        <v>TX</v>
      </c>
      <c r="N2910" t="str">
        <f>IFERROR(VLOOKUP(VALUE(J2910),'Site Info'!$A:$G,6,FALSE),"")</f>
        <v>75231-6023</v>
      </c>
      <c r="O2910">
        <f>IFERROR(VLOOKUP(VALUE(J2910),'Site Info'!$A:$G,7,FALSE),"")</f>
        <v>2143822297</v>
      </c>
    </row>
    <row r="2911" spans="1:15" x14ac:dyDescent="0.45">
      <c r="A2911" t="s">
        <v>10580</v>
      </c>
      <c r="B2911" t="s">
        <v>10581</v>
      </c>
      <c r="C2911" t="s">
        <v>10582</v>
      </c>
      <c r="D2911" t="s">
        <v>2870</v>
      </c>
      <c r="E2911" s="1">
        <v>46152.418993055559</v>
      </c>
      <c r="F2911">
        <v>1548</v>
      </c>
      <c r="G2911" t="s">
        <v>10583</v>
      </c>
      <c r="H2911" t="s">
        <v>15</v>
      </c>
      <c r="I2911" t="s">
        <v>2872</v>
      </c>
      <c r="J2911" t="str">
        <f>RIGHT(D2911,4)</f>
        <v>8254</v>
      </c>
      <c r="K2911" t="str">
        <f>IFERROR(VLOOKUP(VALUE(J2911),'Site Info'!$A:$G,3,FALSE),"")</f>
        <v>6200 W KELLOGG DR</v>
      </c>
      <c r="L2911" t="str">
        <f>IFERROR(VLOOKUP(VALUE(J2911),'Site Info'!$A:$G,4,FALSE),"")</f>
        <v>WICHITA</v>
      </c>
      <c r="M2911" t="str">
        <f>IFERROR(VLOOKUP(VALUE(J2911),'Site Info'!$A:$G,5,FALSE),"")</f>
        <v>KS</v>
      </c>
      <c r="N2911" t="str">
        <f>IFERROR(VLOOKUP(VALUE(J2911),'Site Info'!$A:$G,6,FALSE),"")</f>
        <v>67209-2352</v>
      </c>
      <c r="O2911">
        <f>IFERROR(VLOOKUP(VALUE(J2911),'Site Info'!$A:$G,7,FALSE),"")</f>
        <v>3169453010</v>
      </c>
    </row>
    <row r="2912" spans="1:15" x14ac:dyDescent="0.45">
      <c r="A2912" t="s">
        <v>13623</v>
      </c>
      <c r="B2912" t="s">
        <v>13624</v>
      </c>
      <c r="C2912" t="s">
        <v>13625</v>
      </c>
      <c r="D2912" t="s">
        <v>2870</v>
      </c>
      <c r="E2912" s="1">
        <v>46149.604537037034</v>
      </c>
      <c r="F2912">
        <v>1547</v>
      </c>
      <c r="G2912" t="s">
        <v>13626</v>
      </c>
      <c r="H2912" t="s">
        <v>15</v>
      </c>
      <c r="I2912" t="s">
        <v>2872</v>
      </c>
      <c r="J2912" t="str">
        <f>RIGHT(D2912,4)</f>
        <v>8254</v>
      </c>
      <c r="K2912" t="str">
        <f>IFERROR(VLOOKUP(VALUE(J2912),'Site Info'!$A:$G,3,FALSE),"")</f>
        <v>6200 W KELLOGG DR</v>
      </c>
      <c r="L2912" t="str">
        <f>IFERROR(VLOOKUP(VALUE(J2912),'Site Info'!$A:$G,4,FALSE),"")</f>
        <v>WICHITA</v>
      </c>
      <c r="M2912" t="str">
        <f>IFERROR(VLOOKUP(VALUE(J2912),'Site Info'!$A:$G,5,FALSE),"")</f>
        <v>KS</v>
      </c>
      <c r="N2912" t="str">
        <f>IFERROR(VLOOKUP(VALUE(J2912),'Site Info'!$A:$G,6,FALSE),"")</f>
        <v>67209-2352</v>
      </c>
      <c r="O2912">
        <f>IFERROR(VLOOKUP(VALUE(J2912),'Site Info'!$A:$G,7,FALSE),"")</f>
        <v>3169453010</v>
      </c>
    </row>
    <row r="2913" spans="1:15" x14ac:dyDescent="0.45">
      <c r="A2913" t="s">
        <v>10564</v>
      </c>
      <c r="B2913" t="s">
        <v>10565</v>
      </c>
      <c r="C2913" t="s">
        <v>10566</v>
      </c>
      <c r="D2913" t="s">
        <v>2870</v>
      </c>
      <c r="E2913" s="1">
        <v>46151.687905092593</v>
      </c>
      <c r="F2913">
        <v>1547</v>
      </c>
      <c r="G2913" t="s">
        <v>10567</v>
      </c>
      <c r="H2913" t="s">
        <v>15</v>
      </c>
      <c r="I2913" t="s">
        <v>2872</v>
      </c>
      <c r="J2913" t="str">
        <f>RIGHT(D2913,4)</f>
        <v>8254</v>
      </c>
      <c r="K2913" t="str">
        <f>IFERROR(VLOOKUP(VALUE(J2913),'Site Info'!$A:$G,3,FALSE),"")</f>
        <v>6200 W KELLOGG DR</v>
      </c>
      <c r="L2913" t="str">
        <f>IFERROR(VLOOKUP(VALUE(J2913),'Site Info'!$A:$G,4,FALSE),"")</f>
        <v>WICHITA</v>
      </c>
      <c r="M2913" t="str">
        <f>IFERROR(VLOOKUP(VALUE(J2913),'Site Info'!$A:$G,5,FALSE),"")</f>
        <v>KS</v>
      </c>
      <c r="N2913" t="str">
        <f>IFERROR(VLOOKUP(VALUE(J2913),'Site Info'!$A:$G,6,FALSE),"")</f>
        <v>67209-2352</v>
      </c>
      <c r="O2913">
        <f>IFERROR(VLOOKUP(VALUE(J2913),'Site Info'!$A:$G,7,FALSE),"")</f>
        <v>3169453010</v>
      </c>
    </row>
    <row r="2914" spans="1:15" x14ac:dyDescent="0.45">
      <c r="A2914" t="s">
        <v>12572</v>
      </c>
      <c r="B2914" t="s">
        <v>12573</v>
      </c>
      <c r="C2914" t="s">
        <v>12574</v>
      </c>
      <c r="D2914" t="s">
        <v>2870</v>
      </c>
      <c r="E2914" s="1">
        <v>46151.704525462963</v>
      </c>
      <c r="F2914">
        <v>1547</v>
      </c>
      <c r="G2914" t="s">
        <v>12575</v>
      </c>
      <c r="H2914" t="s">
        <v>15</v>
      </c>
      <c r="I2914" t="s">
        <v>2872</v>
      </c>
      <c r="J2914" t="str">
        <f>RIGHT(D2914,4)</f>
        <v>8254</v>
      </c>
      <c r="K2914" t="str">
        <f>IFERROR(VLOOKUP(VALUE(J2914),'Site Info'!$A:$G,3,FALSE),"")</f>
        <v>6200 W KELLOGG DR</v>
      </c>
      <c r="L2914" t="str">
        <f>IFERROR(VLOOKUP(VALUE(J2914),'Site Info'!$A:$G,4,FALSE),"")</f>
        <v>WICHITA</v>
      </c>
      <c r="M2914" t="str">
        <f>IFERROR(VLOOKUP(VALUE(J2914),'Site Info'!$A:$G,5,FALSE),"")</f>
        <v>KS</v>
      </c>
      <c r="N2914" t="str">
        <f>IFERROR(VLOOKUP(VALUE(J2914),'Site Info'!$A:$G,6,FALSE),"")</f>
        <v>67209-2352</v>
      </c>
      <c r="O2914">
        <f>IFERROR(VLOOKUP(VALUE(J2914),'Site Info'!$A:$G,7,FALSE),"")</f>
        <v>3169453010</v>
      </c>
    </row>
    <row r="2915" spans="1:15" x14ac:dyDescent="0.45">
      <c r="A2915" t="s">
        <v>12620</v>
      </c>
      <c r="B2915" t="s">
        <v>12621</v>
      </c>
      <c r="C2915" t="s">
        <v>12622</v>
      </c>
      <c r="D2915" t="s">
        <v>2870</v>
      </c>
      <c r="E2915" s="1">
        <v>46153.244699074072</v>
      </c>
      <c r="F2915">
        <v>1547</v>
      </c>
      <c r="G2915" t="s">
        <v>12623</v>
      </c>
      <c r="H2915" t="s">
        <v>15</v>
      </c>
      <c r="I2915" t="s">
        <v>2872</v>
      </c>
      <c r="J2915" t="str">
        <f>RIGHT(D2915,4)</f>
        <v>8254</v>
      </c>
      <c r="K2915" t="str">
        <f>IFERROR(VLOOKUP(VALUE(J2915),'Site Info'!$A:$G,3,FALSE),"")</f>
        <v>6200 W KELLOGG DR</v>
      </c>
      <c r="L2915" t="str">
        <f>IFERROR(VLOOKUP(VALUE(J2915),'Site Info'!$A:$G,4,FALSE),"")</f>
        <v>WICHITA</v>
      </c>
      <c r="M2915" t="str">
        <f>IFERROR(VLOOKUP(VALUE(J2915),'Site Info'!$A:$G,5,FALSE),"")</f>
        <v>KS</v>
      </c>
      <c r="N2915" t="str">
        <f>IFERROR(VLOOKUP(VALUE(J2915),'Site Info'!$A:$G,6,FALSE),"")</f>
        <v>67209-2352</v>
      </c>
      <c r="O2915">
        <f>IFERROR(VLOOKUP(VALUE(J2915),'Site Info'!$A:$G,7,FALSE),"")</f>
        <v>3169453010</v>
      </c>
    </row>
    <row r="2916" spans="1:15" x14ac:dyDescent="0.45">
      <c r="A2916" t="s">
        <v>12616</v>
      </c>
      <c r="B2916" t="s">
        <v>12617</v>
      </c>
      <c r="C2916" t="s">
        <v>12618</v>
      </c>
      <c r="D2916" t="s">
        <v>2870</v>
      </c>
      <c r="E2916" s="1">
        <v>46153.310995370368</v>
      </c>
      <c r="F2916">
        <v>1547</v>
      </c>
      <c r="G2916" t="s">
        <v>12619</v>
      </c>
      <c r="H2916" t="s">
        <v>15</v>
      </c>
      <c r="I2916" t="s">
        <v>2872</v>
      </c>
      <c r="J2916" t="str">
        <f>RIGHT(D2916,4)</f>
        <v>8254</v>
      </c>
      <c r="K2916" t="str">
        <f>IFERROR(VLOOKUP(VALUE(J2916),'Site Info'!$A:$G,3,FALSE),"")</f>
        <v>6200 W KELLOGG DR</v>
      </c>
      <c r="L2916" t="str">
        <f>IFERROR(VLOOKUP(VALUE(J2916),'Site Info'!$A:$G,4,FALSE),"")</f>
        <v>WICHITA</v>
      </c>
      <c r="M2916" t="str">
        <f>IFERROR(VLOOKUP(VALUE(J2916),'Site Info'!$A:$G,5,FALSE),"")</f>
        <v>KS</v>
      </c>
      <c r="N2916" t="str">
        <f>IFERROR(VLOOKUP(VALUE(J2916),'Site Info'!$A:$G,6,FALSE),"")</f>
        <v>67209-2352</v>
      </c>
      <c r="O2916">
        <f>IFERROR(VLOOKUP(VALUE(J2916),'Site Info'!$A:$G,7,FALSE),"")</f>
        <v>3169453010</v>
      </c>
    </row>
    <row r="2917" spans="1:15" x14ac:dyDescent="0.45">
      <c r="A2917" t="s">
        <v>2867</v>
      </c>
      <c r="B2917" t="s">
        <v>2868</v>
      </c>
      <c r="C2917" t="s">
        <v>2869</v>
      </c>
      <c r="D2917" t="s">
        <v>2870</v>
      </c>
      <c r="E2917" s="1">
        <v>46152.482256944444</v>
      </c>
      <c r="F2917">
        <v>1481</v>
      </c>
      <c r="G2917" t="s">
        <v>2871</v>
      </c>
      <c r="H2917" t="s">
        <v>15</v>
      </c>
      <c r="I2917" t="s">
        <v>2872</v>
      </c>
      <c r="J2917" t="str">
        <f>RIGHT(D2917,4)</f>
        <v>8254</v>
      </c>
      <c r="K2917" t="str">
        <f>IFERROR(VLOOKUP(VALUE(J2917),'Site Info'!$A:$G,3,FALSE),"")</f>
        <v>6200 W KELLOGG DR</v>
      </c>
      <c r="L2917" t="str">
        <f>IFERROR(VLOOKUP(VALUE(J2917),'Site Info'!$A:$G,4,FALSE),"")</f>
        <v>WICHITA</v>
      </c>
      <c r="M2917" t="str">
        <f>IFERROR(VLOOKUP(VALUE(J2917),'Site Info'!$A:$G,5,FALSE),"")</f>
        <v>KS</v>
      </c>
      <c r="N2917" t="str">
        <f>IFERROR(VLOOKUP(VALUE(J2917),'Site Info'!$A:$G,6,FALSE),"")</f>
        <v>67209-2352</v>
      </c>
      <c r="O2917">
        <f>IFERROR(VLOOKUP(VALUE(J2917),'Site Info'!$A:$G,7,FALSE),"")</f>
        <v>3169453010</v>
      </c>
    </row>
    <row r="2918" spans="1:15" x14ac:dyDescent="0.45">
      <c r="A2918" t="s">
        <v>16493</v>
      </c>
      <c r="B2918" t="s">
        <v>17223</v>
      </c>
      <c r="C2918" t="s">
        <v>17224</v>
      </c>
      <c r="D2918" t="s">
        <v>2870</v>
      </c>
      <c r="E2918" s="1">
        <v>46152.173726851855</v>
      </c>
      <c r="F2918">
        <v>1628</v>
      </c>
      <c r="G2918" t="s">
        <v>17225</v>
      </c>
      <c r="H2918" t="s">
        <v>13988</v>
      </c>
      <c r="I2918" t="s">
        <v>2872</v>
      </c>
      <c r="J2918" t="str">
        <f>RIGHT(D2918,4)</f>
        <v>8254</v>
      </c>
      <c r="K2918" t="str">
        <f>IFERROR(VLOOKUP(VALUE(J2918),'Site Info'!$A:$G,3,FALSE),"")</f>
        <v>6200 W KELLOGG DR</v>
      </c>
      <c r="L2918" t="str">
        <f>IFERROR(VLOOKUP(VALUE(J2918),'Site Info'!$A:$G,4,FALSE),"")</f>
        <v>WICHITA</v>
      </c>
      <c r="M2918" t="str">
        <f>IFERROR(VLOOKUP(VALUE(J2918),'Site Info'!$A:$G,5,FALSE),"")</f>
        <v>KS</v>
      </c>
      <c r="N2918" t="str">
        <f>IFERROR(VLOOKUP(VALUE(J2918),'Site Info'!$A:$G,6,FALSE),"")</f>
        <v>67209-2352</v>
      </c>
      <c r="O2918">
        <f>IFERROR(VLOOKUP(VALUE(J2918),'Site Info'!$A:$G,7,FALSE),"")</f>
        <v>3169453010</v>
      </c>
    </row>
    <row r="2919" spans="1:15" x14ac:dyDescent="0.45">
      <c r="A2919" t="s">
        <v>6448</v>
      </c>
      <c r="B2919" t="s">
        <v>6449</v>
      </c>
      <c r="C2919" t="s">
        <v>6450</v>
      </c>
      <c r="D2919" t="s">
        <v>6325</v>
      </c>
      <c r="E2919" s="1">
        <v>46151.832557870373</v>
      </c>
      <c r="F2919">
        <v>1547</v>
      </c>
      <c r="G2919" t="s">
        <v>6451</v>
      </c>
      <c r="H2919" t="s">
        <v>15</v>
      </c>
      <c r="I2919" t="s">
        <v>6327</v>
      </c>
      <c r="J2919" t="str">
        <f>RIGHT(D2919,4)</f>
        <v>4816</v>
      </c>
      <c r="K2919" t="str">
        <f>IFERROR(VLOOKUP(VALUE(J2919),'Site Info'!$A:$G,3,FALSE),"")</f>
        <v>6201 S AURORA PKWY</v>
      </c>
      <c r="L2919" t="str">
        <f>IFERROR(VLOOKUP(VALUE(J2919),'Site Info'!$A:$G,4,FALSE),"")</f>
        <v>AURORA</v>
      </c>
      <c r="M2919" t="str">
        <f>IFERROR(VLOOKUP(VALUE(J2919),'Site Info'!$A:$G,5,FALSE),"")</f>
        <v>CO</v>
      </c>
      <c r="N2919" t="str">
        <f>IFERROR(VLOOKUP(VALUE(J2919),'Site Info'!$A:$G,6,FALSE),"")</f>
        <v>80016-5849</v>
      </c>
      <c r="O2919">
        <f>IFERROR(VLOOKUP(VALUE(J2919),'Site Info'!$A:$G,7,FALSE),"")</f>
        <v>3036175601</v>
      </c>
    </row>
    <row r="2920" spans="1:15" x14ac:dyDescent="0.45">
      <c r="A2920" t="s">
        <v>6480</v>
      </c>
      <c r="B2920" t="s">
        <v>6481</v>
      </c>
      <c r="C2920" t="s">
        <v>6482</v>
      </c>
      <c r="D2920" t="s">
        <v>6325</v>
      </c>
      <c r="E2920" s="1">
        <v>46152.485590277778</v>
      </c>
      <c r="F2920">
        <v>1547</v>
      </c>
      <c r="G2920" t="s">
        <v>6483</v>
      </c>
      <c r="H2920" t="s">
        <v>15</v>
      </c>
      <c r="I2920" t="s">
        <v>6327</v>
      </c>
      <c r="J2920" t="str">
        <f>RIGHT(D2920,4)</f>
        <v>4816</v>
      </c>
      <c r="K2920" t="str">
        <f>IFERROR(VLOOKUP(VALUE(J2920),'Site Info'!$A:$G,3,FALSE),"")</f>
        <v>6201 S AURORA PKWY</v>
      </c>
      <c r="L2920" t="str">
        <f>IFERROR(VLOOKUP(VALUE(J2920),'Site Info'!$A:$G,4,FALSE),"")</f>
        <v>AURORA</v>
      </c>
      <c r="M2920" t="str">
        <f>IFERROR(VLOOKUP(VALUE(J2920),'Site Info'!$A:$G,5,FALSE),"")</f>
        <v>CO</v>
      </c>
      <c r="N2920" t="str">
        <f>IFERROR(VLOOKUP(VALUE(J2920),'Site Info'!$A:$G,6,FALSE),"")</f>
        <v>80016-5849</v>
      </c>
      <c r="O2920">
        <f>IFERROR(VLOOKUP(VALUE(J2920),'Site Info'!$A:$G,7,FALSE),"")</f>
        <v>3036175601</v>
      </c>
    </row>
    <row r="2921" spans="1:15" x14ac:dyDescent="0.45">
      <c r="A2921" t="s">
        <v>6322</v>
      </c>
      <c r="B2921" t="s">
        <v>6323</v>
      </c>
      <c r="C2921" t="s">
        <v>6324</v>
      </c>
      <c r="D2921" t="s">
        <v>6325</v>
      </c>
      <c r="E2921" s="1">
        <v>46153.219837962963</v>
      </c>
      <c r="F2921">
        <v>1547</v>
      </c>
      <c r="G2921" t="s">
        <v>6326</v>
      </c>
      <c r="H2921" t="s">
        <v>15</v>
      </c>
      <c r="I2921" t="s">
        <v>6327</v>
      </c>
      <c r="J2921" t="str">
        <f>RIGHT(D2921,4)</f>
        <v>4816</v>
      </c>
      <c r="K2921" t="str">
        <f>IFERROR(VLOOKUP(VALUE(J2921),'Site Info'!$A:$G,3,FALSE),"")</f>
        <v>6201 S AURORA PKWY</v>
      </c>
      <c r="L2921" t="str">
        <f>IFERROR(VLOOKUP(VALUE(J2921),'Site Info'!$A:$G,4,FALSE),"")</f>
        <v>AURORA</v>
      </c>
      <c r="M2921" t="str">
        <f>IFERROR(VLOOKUP(VALUE(J2921),'Site Info'!$A:$G,5,FALSE),"")</f>
        <v>CO</v>
      </c>
      <c r="N2921" t="str">
        <f>IFERROR(VLOOKUP(VALUE(J2921),'Site Info'!$A:$G,6,FALSE),"")</f>
        <v>80016-5849</v>
      </c>
      <c r="O2921">
        <f>IFERROR(VLOOKUP(VALUE(J2921),'Site Info'!$A:$G,7,FALSE),"")</f>
        <v>3036175601</v>
      </c>
    </row>
    <row r="2922" spans="1:15" x14ac:dyDescent="0.45">
      <c r="A2922" t="s">
        <v>11492</v>
      </c>
      <c r="B2922" t="s">
        <v>11493</v>
      </c>
      <c r="C2922" t="s">
        <v>11494</v>
      </c>
      <c r="D2922" t="s">
        <v>6325</v>
      </c>
      <c r="E2922" s="1">
        <v>46153.35328703704</v>
      </c>
      <c r="F2922">
        <v>1547</v>
      </c>
      <c r="G2922" t="s">
        <v>11495</v>
      </c>
      <c r="H2922" t="s">
        <v>15</v>
      </c>
      <c r="I2922" t="s">
        <v>6327</v>
      </c>
      <c r="J2922" t="str">
        <f>RIGHT(D2922,4)</f>
        <v>4816</v>
      </c>
      <c r="K2922" t="str">
        <f>IFERROR(VLOOKUP(VALUE(J2922),'Site Info'!$A:$G,3,FALSE),"")</f>
        <v>6201 S AURORA PKWY</v>
      </c>
      <c r="L2922" t="str">
        <f>IFERROR(VLOOKUP(VALUE(J2922),'Site Info'!$A:$G,4,FALSE),"")</f>
        <v>AURORA</v>
      </c>
      <c r="M2922" t="str">
        <f>IFERROR(VLOOKUP(VALUE(J2922),'Site Info'!$A:$G,5,FALSE),"")</f>
        <v>CO</v>
      </c>
      <c r="N2922" t="str">
        <f>IFERROR(VLOOKUP(VALUE(J2922),'Site Info'!$A:$G,6,FALSE),"")</f>
        <v>80016-5849</v>
      </c>
      <c r="O2922">
        <f>IFERROR(VLOOKUP(VALUE(J2922),'Site Info'!$A:$G,7,FALSE),"")</f>
        <v>3036175601</v>
      </c>
    </row>
    <row r="2923" spans="1:15" x14ac:dyDescent="0.45">
      <c r="A2923" t="s">
        <v>11272</v>
      </c>
      <c r="B2923" t="s">
        <v>11273</v>
      </c>
      <c r="C2923" t="s">
        <v>11274</v>
      </c>
      <c r="D2923" t="s">
        <v>6325</v>
      </c>
      <c r="E2923" s="1">
        <v>46153.354814814818</v>
      </c>
      <c r="F2923">
        <v>1547</v>
      </c>
      <c r="G2923" t="s">
        <v>11275</v>
      </c>
      <c r="H2923" t="s">
        <v>15</v>
      </c>
      <c r="I2923" t="s">
        <v>6327</v>
      </c>
      <c r="J2923" t="str">
        <f>RIGHT(D2923,4)</f>
        <v>4816</v>
      </c>
      <c r="K2923" t="str">
        <f>IFERROR(VLOOKUP(VALUE(J2923),'Site Info'!$A:$G,3,FALSE),"")</f>
        <v>6201 S AURORA PKWY</v>
      </c>
      <c r="L2923" t="str">
        <f>IFERROR(VLOOKUP(VALUE(J2923),'Site Info'!$A:$G,4,FALSE),"")</f>
        <v>AURORA</v>
      </c>
      <c r="M2923" t="str">
        <f>IFERROR(VLOOKUP(VALUE(J2923),'Site Info'!$A:$G,5,FALSE),"")</f>
        <v>CO</v>
      </c>
      <c r="N2923" t="str">
        <f>IFERROR(VLOOKUP(VALUE(J2923),'Site Info'!$A:$G,6,FALSE),"")</f>
        <v>80016-5849</v>
      </c>
      <c r="O2923">
        <f>IFERROR(VLOOKUP(VALUE(J2923),'Site Info'!$A:$G,7,FALSE),"")</f>
        <v>3036175601</v>
      </c>
    </row>
    <row r="2924" spans="1:15" x14ac:dyDescent="0.45">
      <c r="A2924" t="s">
        <v>5802</v>
      </c>
      <c r="B2924" t="s">
        <v>5803</v>
      </c>
      <c r="C2924" t="s">
        <v>5804</v>
      </c>
      <c r="D2924" t="s">
        <v>123</v>
      </c>
      <c r="E2924" s="1">
        <v>46151.389594907407</v>
      </c>
      <c r="F2924">
        <v>1547</v>
      </c>
      <c r="G2924" t="s">
        <v>5805</v>
      </c>
      <c r="H2924" t="s">
        <v>15</v>
      </c>
      <c r="I2924" t="s">
        <v>124</v>
      </c>
      <c r="J2924" t="str">
        <f>RIGHT(D2924,4)</f>
        <v>6269</v>
      </c>
      <c r="K2924" t="str">
        <f>IFERROR(VLOOKUP(VALUE(J2924),'Site Info'!$A:$G,3,FALSE),"")</f>
        <v>621 N EXPRESSWAY 77</v>
      </c>
      <c r="L2924" t="str">
        <f>IFERROR(VLOOKUP(VALUE(J2924),'Site Info'!$A:$G,4,FALSE),"")</f>
        <v>HARLINGEN</v>
      </c>
      <c r="M2924" t="str">
        <f>IFERROR(VLOOKUP(VALUE(J2924),'Site Info'!$A:$G,5,FALSE),"")</f>
        <v>TX</v>
      </c>
      <c r="N2924" t="str">
        <f>IFERROR(VLOOKUP(VALUE(J2924),'Site Info'!$A:$G,6,FALSE),"")</f>
        <v>78552-5202</v>
      </c>
      <c r="O2924">
        <f>IFERROR(VLOOKUP(VALUE(J2924),'Site Info'!$A:$G,7,FALSE),"")</f>
        <v>9565077305</v>
      </c>
    </row>
    <row r="2925" spans="1:15" x14ac:dyDescent="0.45">
      <c r="A2925" t="s">
        <v>5560</v>
      </c>
      <c r="B2925" t="s">
        <v>5561</v>
      </c>
      <c r="C2925" t="s">
        <v>5562</v>
      </c>
      <c r="D2925" t="s">
        <v>123</v>
      </c>
      <c r="E2925" s="1">
        <v>46152.670358796298</v>
      </c>
      <c r="F2925">
        <v>1547</v>
      </c>
      <c r="G2925" t="s">
        <v>5563</v>
      </c>
      <c r="H2925" t="s">
        <v>15</v>
      </c>
      <c r="I2925" t="s">
        <v>124</v>
      </c>
      <c r="J2925" t="str">
        <f>RIGHT(D2925,4)</f>
        <v>6269</v>
      </c>
      <c r="K2925" t="str">
        <f>IFERROR(VLOOKUP(VALUE(J2925),'Site Info'!$A:$G,3,FALSE),"")</f>
        <v>621 N EXPRESSWAY 77</v>
      </c>
      <c r="L2925" t="str">
        <f>IFERROR(VLOOKUP(VALUE(J2925),'Site Info'!$A:$G,4,FALSE),"")</f>
        <v>HARLINGEN</v>
      </c>
      <c r="M2925" t="str">
        <f>IFERROR(VLOOKUP(VALUE(J2925),'Site Info'!$A:$G,5,FALSE),"")</f>
        <v>TX</v>
      </c>
      <c r="N2925" t="str">
        <f>IFERROR(VLOOKUP(VALUE(J2925),'Site Info'!$A:$G,6,FALSE),"")</f>
        <v>78552-5202</v>
      </c>
      <c r="O2925">
        <f>IFERROR(VLOOKUP(VALUE(J2925),'Site Info'!$A:$G,7,FALSE),"")</f>
        <v>9565077305</v>
      </c>
    </row>
    <row r="2926" spans="1:15" x14ac:dyDescent="0.45">
      <c r="A2926" t="s">
        <v>13591</v>
      </c>
      <c r="B2926" t="s">
        <v>13592</v>
      </c>
      <c r="C2926" t="s">
        <v>13593</v>
      </c>
      <c r="D2926" t="s">
        <v>123</v>
      </c>
      <c r="E2926" s="1">
        <v>46153.222708333335</v>
      </c>
      <c r="F2926">
        <v>1547</v>
      </c>
      <c r="G2926" t="s">
        <v>13594</v>
      </c>
      <c r="H2926" t="s">
        <v>15</v>
      </c>
      <c r="I2926" t="s">
        <v>124</v>
      </c>
      <c r="J2926" t="str">
        <f>RIGHT(D2926,4)</f>
        <v>6269</v>
      </c>
      <c r="K2926" t="str">
        <f>IFERROR(VLOOKUP(VALUE(J2926),'Site Info'!$A:$G,3,FALSE),"")</f>
        <v>621 N EXPRESSWAY 77</v>
      </c>
      <c r="L2926" t="str">
        <f>IFERROR(VLOOKUP(VALUE(J2926),'Site Info'!$A:$G,4,FALSE),"")</f>
        <v>HARLINGEN</v>
      </c>
      <c r="M2926" t="str">
        <f>IFERROR(VLOOKUP(VALUE(J2926),'Site Info'!$A:$G,5,FALSE),"")</f>
        <v>TX</v>
      </c>
      <c r="N2926" t="str">
        <f>IFERROR(VLOOKUP(VALUE(J2926),'Site Info'!$A:$G,6,FALSE),"")</f>
        <v>78552-5202</v>
      </c>
      <c r="O2926">
        <f>IFERROR(VLOOKUP(VALUE(J2926),'Site Info'!$A:$G,7,FALSE),"")</f>
        <v>9565077305</v>
      </c>
    </row>
    <row r="2927" spans="1:15" x14ac:dyDescent="0.45">
      <c r="A2927" t="s">
        <v>13655</v>
      </c>
      <c r="B2927" t="s">
        <v>13656</v>
      </c>
      <c r="C2927" t="s">
        <v>13657</v>
      </c>
      <c r="D2927" t="s">
        <v>123</v>
      </c>
      <c r="E2927" s="1">
        <v>46153.295115740744</v>
      </c>
      <c r="F2927">
        <v>1547</v>
      </c>
      <c r="G2927" t="s">
        <v>13658</v>
      </c>
      <c r="H2927" t="s">
        <v>15</v>
      </c>
      <c r="I2927" t="s">
        <v>124</v>
      </c>
      <c r="J2927" t="str">
        <f>RIGHT(D2927,4)</f>
        <v>6269</v>
      </c>
      <c r="K2927" t="str">
        <f>IFERROR(VLOOKUP(VALUE(J2927),'Site Info'!$A:$G,3,FALSE),"")</f>
        <v>621 N EXPRESSWAY 77</v>
      </c>
      <c r="L2927" t="str">
        <f>IFERROR(VLOOKUP(VALUE(J2927),'Site Info'!$A:$G,4,FALSE),"")</f>
        <v>HARLINGEN</v>
      </c>
      <c r="M2927" t="str">
        <f>IFERROR(VLOOKUP(VALUE(J2927),'Site Info'!$A:$G,5,FALSE),"")</f>
        <v>TX</v>
      </c>
      <c r="N2927" t="str">
        <f>IFERROR(VLOOKUP(VALUE(J2927),'Site Info'!$A:$G,6,FALSE),"")</f>
        <v>78552-5202</v>
      </c>
      <c r="O2927">
        <f>IFERROR(VLOOKUP(VALUE(J2927),'Site Info'!$A:$G,7,FALSE),"")</f>
        <v>9565077305</v>
      </c>
    </row>
    <row r="2928" spans="1:15" x14ac:dyDescent="0.45">
      <c r="A2928" t="s">
        <v>5846</v>
      </c>
      <c r="B2928" t="s">
        <v>5847</v>
      </c>
      <c r="C2928" t="s">
        <v>5848</v>
      </c>
      <c r="D2928" t="s">
        <v>123</v>
      </c>
      <c r="E2928" s="1">
        <v>46153.361342592594</v>
      </c>
      <c r="F2928">
        <v>1547</v>
      </c>
      <c r="G2928" t="s">
        <v>5849</v>
      </c>
      <c r="H2928" t="s">
        <v>15</v>
      </c>
      <c r="I2928" t="s">
        <v>124</v>
      </c>
      <c r="J2928" t="str">
        <f>RIGHT(D2928,4)</f>
        <v>6269</v>
      </c>
      <c r="K2928" t="str">
        <f>IFERROR(VLOOKUP(VALUE(J2928),'Site Info'!$A:$G,3,FALSE),"")</f>
        <v>621 N EXPRESSWAY 77</v>
      </c>
      <c r="L2928" t="str">
        <f>IFERROR(VLOOKUP(VALUE(J2928),'Site Info'!$A:$G,4,FALSE),"")</f>
        <v>HARLINGEN</v>
      </c>
      <c r="M2928" t="str">
        <f>IFERROR(VLOOKUP(VALUE(J2928),'Site Info'!$A:$G,5,FALSE),"")</f>
        <v>TX</v>
      </c>
      <c r="N2928" t="str">
        <f>IFERROR(VLOOKUP(VALUE(J2928),'Site Info'!$A:$G,6,FALSE),"")</f>
        <v>78552-5202</v>
      </c>
      <c r="O2928">
        <f>IFERROR(VLOOKUP(VALUE(J2928),'Site Info'!$A:$G,7,FALSE),"")</f>
        <v>9565077305</v>
      </c>
    </row>
    <row r="2929" spans="1:15" x14ac:dyDescent="0.45">
      <c r="A2929" t="s">
        <v>10128</v>
      </c>
      <c r="B2929" t="s">
        <v>10129</v>
      </c>
      <c r="C2929" t="s">
        <v>10130</v>
      </c>
      <c r="D2929" t="s">
        <v>2988</v>
      </c>
      <c r="E2929" s="1">
        <v>46152.624236111114</v>
      </c>
      <c r="F2929">
        <v>1547</v>
      </c>
      <c r="G2929" t="s">
        <v>10131</v>
      </c>
      <c r="H2929" t="s">
        <v>15</v>
      </c>
      <c r="I2929" t="s">
        <v>2990</v>
      </c>
      <c r="J2929" t="str">
        <f>RIGHT(D2929,4)</f>
        <v>4847</v>
      </c>
      <c r="K2929" t="str">
        <f>IFERROR(VLOOKUP(VALUE(J2929),'Site Info'!$A:$G,3,FALSE),"")</f>
        <v>6211 STATE ROUTE 30</v>
      </c>
      <c r="L2929" t="str">
        <f>IFERROR(VLOOKUP(VALUE(J2929),'Site Info'!$A:$G,4,FALSE),"")</f>
        <v>GREENSBURG</v>
      </c>
      <c r="M2929" t="str">
        <f>IFERROR(VLOOKUP(VALUE(J2929),'Site Info'!$A:$G,5,FALSE),"")</f>
        <v>PA</v>
      </c>
      <c r="N2929" t="str">
        <f>IFERROR(VLOOKUP(VALUE(J2929),'Site Info'!$A:$G,6,FALSE),"")</f>
        <v>15601-7288</v>
      </c>
      <c r="O2929">
        <f>IFERROR(VLOOKUP(VALUE(J2929),'Site Info'!$A:$G,7,FALSE),"")</f>
        <v>7248507490</v>
      </c>
    </row>
    <row r="2930" spans="1:15" x14ac:dyDescent="0.45">
      <c r="A2930" t="s">
        <v>9501</v>
      </c>
      <c r="B2930" t="s">
        <v>9502</v>
      </c>
      <c r="C2930" t="s">
        <v>9503</v>
      </c>
      <c r="D2930" t="s">
        <v>2988</v>
      </c>
      <c r="E2930" s="1">
        <v>46153.293182870373</v>
      </c>
      <c r="F2930">
        <v>1547</v>
      </c>
      <c r="G2930" t="s">
        <v>9504</v>
      </c>
      <c r="H2930" t="s">
        <v>15</v>
      </c>
      <c r="I2930" t="s">
        <v>2990</v>
      </c>
      <c r="J2930" t="str">
        <f>RIGHT(D2930,4)</f>
        <v>4847</v>
      </c>
      <c r="K2930" t="str">
        <f>IFERROR(VLOOKUP(VALUE(J2930),'Site Info'!$A:$G,3,FALSE),"")</f>
        <v>6211 STATE ROUTE 30</v>
      </c>
      <c r="L2930" t="str">
        <f>IFERROR(VLOOKUP(VALUE(J2930),'Site Info'!$A:$G,4,FALSE),"")</f>
        <v>GREENSBURG</v>
      </c>
      <c r="M2930" t="str">
        <f>IFERROR(VLOOKUP(VALUE(J2930),'Site Info'!$A:$G,5,FALSE),"")</f>
        <v>PA</v>
      </c>
      <c r="N2930" t="str">
        <f>IFERROR(VLOOKUP(VALUE(J2930),'Site Info'!$A:$G,6,FALSE),"")</f>
        <v>15601-7288</v>
      </c>
      <c r="O2930">
        <f>IFERROR(VLOOKUP(VALUE(J2930),'Site Info'!$A:$G,7,FALSE),"")</f>
        <v>7248507490</v>
      </c>
    </row>
    <row r="2931" spans="1:15" x14ac:dyDescent="0.45">
      <c r="A2931" t="s">
        <v>12316</v>
      </c>
      <c r="B2931" t="s">
        <v>12317</v>
      </c>
      <c r="C2931" t="s">
        <v>12318</v>
      </c>
      <c r="D2931" t="s">
        <v>2988</v>
      </c>
      <c r="E2931" s="1">
        <v>46153.333333333336</v>
      </c>
      <c r="F2931">
        <v>1547</v>
      </c>
      <c r="G2931" t="s">
        <v>12319</v>
      </c>
      <c r="H2931" t="s">
        <v>15</v>
      </c>
      <c r="I2931" t="s">
        <v>2990</v>
      </c>
      <c r="J2931" t="str">
        <f>RIGHT(D2931,4)</f>
        <v>4847</v>
      </c>
      <c r="K2931" t="str">
        <f>IFERROR(VLOOKUP(VALUE(J2931),'Site Info'!$A:$G,3,FALSE),"")</f>
        <v>6211 STATE ROUTE 30</v>
      </c>
      <c r="L2931" t="str">
        <f>IFERROR(VLOOKUP(VALUE(J2931),'Site Info'!$A:$G,4,FALSE),"")</f>
        <v>GREENSBURG</v>
      </c>
      <c r="M2931" t="str">
        <f>IFERROR(VLOOKUP(VALUE(J2931),'Site Info'!$A:$G,5,FALSE),"")</f>
        <v>PA</v>
      </c>
      <c r="N2931" t="str">
        <f>IFERROR(VLOOKUP(VALUE(J2931),'Site Info'!$A:$G,6,FALSE),"")</f>
        <v>15601-7288</v>
      </c>
      <c r="O2931">
        <f>IFERROR(VLOOKUP(VALUE(J2931),'Site Info'!$A:$G,7,FALSE),"")</f>
        <v>7248507490</v>
      </c>
    </row>
    <row r="2932" spans="1:15" x14ac:dyDescent="0.45">
      <c r="A2932" t="s">
        <v>11001</v>
      </c>
      <c r="B2932" t="s">
        <v>11002</v>
      </c>
      <c r="C2932" t="s">
        <v>11003</v>
      </c>
      <c r="D2932" t="s">
        <v>2988</v>
      </c>
      <c r="E2932" s="1">
        <v>46153.36146990741</v>
      </c>
      <c r="F2932">
        <v>1547</v>
      </c>
      <c r="G2932" t="s">
        <v>11004</v>
      </c>
      <c r="H2932" t="s">
        <v>15</v>
      </c>
      <c r="I2932" t="s">
        <v>2990</v>
      </c>
      <c r="J2932" t="str">
        <f>RIGHT(D2932,4)</f>
        <v>4847</v>
      </c>
      <c r="K2932" t="str">
        <f>IFERROR(VLOOKUP(VALUE(J2932),'Site Info'!$A:$G,3,FALSE),"")</f>
        <v>6211 STATE ROUTE 30</v>
      </c>
      <c r="L2932" t="str">
        <f>IFERROR(VLOOKUP(VALUE(J2932),'Site Info'!$A:$G,4,FALSE),"")</f>
        <v>GREENSBURG</v>
      </c>
      <c r="M2932" t="str">
        <f>IFERROR(VLOOKUP(VALUE(J2932),'Site Info'!$A:$G,5,FALSE),"")</f>
        <v>PA</v>
      </c>
      <c r="N2932" t="str">
        <f>IFERROR(VLOOKUP(VALUE(J2932),'Site Info'!$A:$G,6,FALSE),"")</f>
        <v>15601-7288</v>
      </c>
      <c r="O2932">
        <f>IFERROR(VLOOKUP(VALUE(J2932),'Site Info'!$A:$G,7,FALSE),"")</f>
        <v>7248507490</v>
      </c>
    </row>
    <row r="2933" spans="1:15" x14ac:dyDescent="0.45">
      <c r="A2933" t="s">
        <v>2985</v>
      </c>
      <c r="B2933" t="s">
        <v>2986</v>
      </c>
      <c r="C2933" t="s">
        <v>2987</v>
      </c>
      <c r="D2933" t="s">
        <v>2988</v>
      </c>
      <c r="E2933" s="1">
        <v>46153.218946759262</v>
      </c>
      <c r="F2933">
        <v>1481</v>
      </c>
      <c r="G2933" t="s">
        <v>2989</v>
      </c>
      <c r="H2933" t="s">
        <v>15</v>
      </c>
      <c r="I2933" t="s">
        <v>2990</v>
      </c>
      <c r="J2933" t="str">
        <f>RIGHT(D2933,4)</f>
        <v>4847</v>
      </c>
      <c r="K2933" t="str">
        <f>IFERROR(VLOOKUP(VALUE(J2933),'Site Info'!$A:$G,3,FALSE),"")</f>
        <v>6211 STATE ROUTE 30</v>
      </c>
      <c r="L2933" t="str">
        <f>IFERROR(VLOOKUP(VALUE(J2933),'Site Info'!$A:$G,4,FALSE),"")</f>
        <v>GREENSBURG</v>
      </c>
      <c r="M2933" t="str">
        <f>IFERROR(VLOOKUP(VALUE(J2933),'Site Info'!$A:$G,5,FALSE),"")</f>
        <v>PA</v>
      </c>
      <c r="N2933" t="str">
        <f>IFERROR(VLOOKUP(VALUE(J2933),'Site Info'!$A:$G,6,FALSE),"")</f>
        <v>15601-7288</v>
      </c>
      <c r="O2933">
        <f>IFERROR(VLOOKUP(VALUE(J2933),'Site Info'!$A:$G,7,FALSE),"")</f>
        <v>7248507490</v>
      </c>
    </row>
    <row r="2934" spans="1:15" x14ac:dyDescent="0.45">
      <c r="A2934" t="s">
        <v>3251</v>
      </c>
      <c r="B2934" t="s">
        <v>3252</v>
      </c>
      <c r="C2934" t="s">
        <v>3253</v>
      </c>
      <c r="D2934" t="s">
        <v>2988</v>
      </c>
      <c r="E2934" s="1">
        <v>46153.331967592596</v>
      </c>
      <c r="F2934">
        <v>1481</v>
      </c>
      <c r="G2934" t="s">
        <v>3254</v>
      </c>
      <c r="H2934" t="s">
        <v>15</v>
      </c>
      <c r="I2934" t="s">
        <v>2990</v>
      </c>
      <c r="J2934" t="str">
        <f>RIGHT(D2934,4)</f>
        <v>4847</v>
      </c>
      <c r="K2934" t="str">
        <f>IFERROR(VLOOKUP(VALUE(J2934),'Site Info'!$A:$G,3,FALSE),"")</f>
        <v>6211 STATE ROUTE 30</v>
      </c>
      <c r="L2934" t="str">
        <f>IFERROR(VLOOKUP(VALUE(J2934),'Site Info'!$A:$G,4,FALSE),"")</f>
        <v>GREENSBURG</v>
      </c>
      <c r="M2934" t="str">
        <f>IFERROR(VLOOKUP(VALUE(J2934),'Site Info'!$A:$G,5,FALSE),"")</f>
        <v>PA</v>
      </c>
      <c r="N2934" t="str">
        <f>IFERROR(VLOOKUP(VALUE(J2934),'Site Info'!$A:$G,6,FALSE),"")</f>
        <v>15601-7288</v>
      </c>
      <c r="O2934">
        <f>IFERROR(VLOOKUP(VALUE(J2934),'Site Info'!$A:$G,7,FALSE),"")</f>
        <v>7248507490</v>
      </c>
    </row>
    <row r="2935" spans="1:15" x14ac:dyDescent="0.45">
      <c r="A2935" t="s">
        <v>11102</v>
      </c>
      <c r="B2935" t="s">
        <v>11103</v>
      </c>
      <c r="C2935" t="s">
        <v>11104</v>
      </c>
      <c r="D2935" t="s">
        <v>11105</v>
      </c>
      <c r="E2935" s="1">
        <v>46152.805150462962</v>
      </c>
      <c r="F2935">
        <v>1547</v>
      </c>
      <c r="G2935" t="s">
        <v>11106</v>
      </c>
      <c r="H2935" t="s">
        <v>15</v>
      </c>
      <c r="I2935" t="s">
        <v>11107</v>
      </c>
      <c r="J2935" t="str">
        <f>RIGHT(D2935,4)</f>
        <v>6235</v>
      </c>
      <c r="K2935" t="str">
        <f>IFERROR(VLOOKUP(VALUE(J2935),'Site Info'!$A:$G,3,FALSE),"")</f>
        <v>6336 COLLEGE GROVE WAY</v>
      </c>
      <c r="L2935" t="str">
        <f>IFERROR(VLOOKUP(VALUE(J2935),'Site Info'!$A:$G,4,FALSE),"")</f>
        <v>SAN DIEGO</v>
      </c>
      <c r="M2935" t="str">
        <f>IFERROR(VLOOKUP(VALUE(J2935),'Site Info'!$A:$G,5,FALSE),"")</f>
        <v>CA</v>
      </c>
      <c r="N2935" t="str">
        <f>IFERROR(VLOOKUP(VALUE(J2935),'Site Info'!$A:$G,6,FALSE),"")</f>
        <v>92115-7244</v>
      </c>
      <c r="O2935">
        <f>IFERROR(VLOOKUP(VALUE(J2935),'Site Info'!$A:$G,7,FALSE),"")</f>
        <v>6198580084</v>
      </c>
    </row>
    <row r="2936" spans="1:15" x14ac:dyDescent="0.45">
      <c r="A2936" t="s">
        <v>16636</v>
      </c>
      <c r="B2936" t="s">
        <v>16637</v>
      </c>
      <c r="C2936" t="s">
        <v>16638</v>
      </c>
      <c r="D2936" t="s">
        <v>11105</v>
      </c>
      <c r="E2936" s="1">
        <v>46073.048472222225</v>
      </c>
      <c r="F2936">
        <v>1481</v>
      </c>
      <c r="G2936" t="s">
        <v>16639</v>
      </c>
      <c r="H2936" t="s">
        <v>15</v>
      </c>
      <c r="I2936" t="s">
        <v>11107</v>
      </c>
      <c r="J2936" t="str">
        <f>RIGHT(D2936,4)</f>
        <v>6235</v>
      </c>
      <c r="K2936" t="str">
        <f>IFERROR(VLOOKUP(VALUE(J2936),'Site Info'!$A:$G,3,FALSE),"")</f>
        <v>6336 COLLEGE GROVE WAY</v>
      </c>
      <c r="L2936" t="str">
        <f>IFERROR(VLOOKUP(VALUE(J2936),'Site Info'!$A:$G,4,FALSE),"")</f>
        <v>SAN DIEGO</v>
      </c>
      <c r="M2936" t="str">
        <f>IFERROR(VLOOKUP(VALUE(J2936),'Site Info'!$A:$G,5,FALSE),"")</f>
        <v>CA</v>
      </c>
      <c r="N2936" t="str">
        <f>IFERROR(VLOOKUP(VALUE(J2936),'Site Info'!$A:$G,6,FALSE),"")</f>
        <v>92115-7244</v>
      </c>
      <c r="O2936">
        <f>IFERROR(VLOOKUP(VALUE(J2936),'Site Info'!$A:$G,7,FALSE),"")</f>
        <v>6198580084</v>
      </c>
    </row>
    <row r="2937" spans="1:15" x14ac:dyDescent="0.45">
      <c r="A2937" t="s">
        <v>7093</v>
      </c>
      <c r="B2937" t="s">
        <v>7094</v>
      </c>
      <c r="C2937" t="s">
        <v>7095</v>
      </c>
      <c r="D2937" t="s">
        <v>1459</v>
      </c>
      <c r="E2937" s="1">
        <v>46151.187986111108</v>
      </c>
      <c r="F2937">
        <v>1547</v>
      </c>
      <c r="G2937" t="s">
        <v>7096</v>
      </c>
      <c r="H2937" t="s">
        <v>15</v>
      </c>
      <c r="I2937" t="s">
        <v>1461</v>
      </c>
      <c r="J2937" t="str">
        <f>RIGHT(D2937,4)</f>
        <v>6322</v>
      </c>
      <c r="K2937" t="str">
        <f>IFERROR(VLOOKUP(VALUE(J2937),'Site Info'!$A:$G,3,FALSE),"")</f>
        <v>6361 SOUTH AVE</v>
      </c>
      <c r="L2937" t="str">
        <f>IFERROR(VLOOKUP(VALUE(J2937),'Site Info'!$A:$G,4,FALSE),"")</f>
        <v>BOARDMAN</v>
      </c>
      <c r="M2937" t="str">
        <f>IFERROR(VLOOKUP(VALUE(J2937),'Site Info'!$A:$G,5,FALSE),"")</f>
        <v>OH</v>
      </c>
      <c r="N2937" t="str">
        <f>IFERROR(VLOOKUP(VALUE(J2937),'Site Info'!$A:$G,6,FALSE),"")</f>
        <v>44512-3619</v>
      </c>
      <c r="O2937">
        <f>IFERROR(VLOOKUP(VALUE(J2937),'Site Info'!$A:$G,7,FALSE),"")</f>
        <v>3309651643</v>
      </c>
    </row>
    <row r="2938" spans="1:15" x14ac:dyDescent="0.45">
      <c r="A2938" t="s">
        <v>8813</v>
      </c>
      <c r="B2938" t="s">
        <v>8814</v>
      </c>
      <c r="C2938" t="s">
        <v>8815</v>
      </c>
      <c r="D2938" t="s">
        <v>1459</v>
      </c>
      <c r="E2938" s="1">
        <v>46151.664803240739</v>
      </c>
      <c r="F2938">
        <v>1547</v>
      </c>
      <c r="G2938" t="s">
        <v>8816</v>
      </c>
      <c r="H2938" t="s">
        <v>15</v>
      </c>
      <c r="I2938" t="s">
        <v>1461</v>
      </c>
      <c r="J2938" t="str">
        <f>RIGHT(D2938,4)</f>
        <v>6322</v>
      </c>
      <c r="K2938" t="str">
        <f>IFERROR(VLOOKUP(VALUE(J2938),'Site Info'!$A:$G,3,FALSE),"")</f>
        <v>6361 SOUTH AVE</v>
      </c>
      <c r="L2938" t="str">
        <f>IFERROR(VLOOKUP(VALUE(J2938),'Site Info'!$A:$G,4,FALSE),"")</f>
        <v>BOARDMAN</v>
      </c>
      <c r="M2938" t="str">
        <f>IFERROR(VLOOKUP(VALUE(J2938),'Site Info'!$A:$G,5,FALSE),"")</f>
        <v>OH</v>
      </c>
      <c r="N2938" t="str">
        <f>IFERROR(VLOOKUP(VALUE(J2938),'Site Info'!$A:$G,6,FALSE),"")</f>
        <v>44512-3619</v>
      </c>
      <c r="O2938">
        <f>IFERROR(VLOOKUP(VALUE(J2938),'Site Info'!$A:$G,7,FALSE),"")</f>
        <v>3309651643</v>
      </c>
    </row>
    <row r="2939" spans="1:15" x14ac:dyDescent="0.45">
      <c r="A2939" t="s">
        <v>8809</v>
      </c>
      <c r="B2939" t="s">
        <v>8810</v>
      </c>
      <c r="C2939" t="s">
        <v>8811</v>
      </c>
      <c r="D2939" t="s">
        <v>1459</v>
      </c>
      <c r="E2939" s="1">
        <v>46152.42392361111</v>
      </c>
      <c r="F2939">
        <v>1547</v>
      </c>
      <c r="G2939" t="s">
        <v>8812</v>
      </c>
      <c r="H2939" t="s">
        <v>15</v>
      </c>
      <c r="I2939" t="s">
        <v>1461</v>
      </c>
      <c r="J2939" t="str">
        <f>RIGHT(D2939,4)</f>
        <v>6322</v>
      </c>
      <c r="K2939" t="str">
        <f>IFERROR(VLOOKUP(VALUE(J2939),'Site Info'!$A:$G,3,FALSE),"")</f>
        <v>6361 SOUTH AVE</v>
      </c>
      <c r="L2939" t="str">
        <f>IFERROR(VLOOKUP(VALUE(J2939),'Site Info'!$A:$G,4,FALSE),"")</f>
        <v>BOARDMAN</v>
      </c>
      <c r="M2939" t="str">
        <f>IFERROR(VLOOKUP(VALUE(J2939),'Site Info'!$A:$G,5,FALSE),"")</f>
        <v>OH</v>
      </c>
      <c r="N2939" t="str">
        <f>IFERROR(VLOOKUP(VALUE(J2939),'Site Info'!$A:$G,6,FALSE),"")</f>
        <v>44512-3619</v>
      </c>
      <c r="O2939">
        <f>IFERROR(VLOOKUP(VALUE(J2939),'Site Info'!$A:$G,7,FALSE),"")</f>
        <v>3309651643</v>
      </c>
    </row>
    <row r="2940" spans="1:15" x14ac:dyDescent="0.45">
      <c r="A2940" t="s">
        <v>9089</v>
      </c>
      <c r="B2940" t="s">
        <v>9090</v>
      </c>
      <c r="C2940" t="s">
        <v>9091</v>
      </c>
      <c r="D2940" t="s">
        <v>1459</v>
      </c>
      <c r="E2940" s="1">
        <v>46153.131851851853</v>
      </c>
      <c r="F2940">
        <v>1547</v>
      </c>
      <c r="G2940" t="s">
        <v>9092</v>
      </c>
      <c r="H2940" t="s">
        <v>15</v>
      </c>
      <c r="I2940" t="s">
        <v>1461</v>
      </c>
      <c r="J2940" t="str">
        <f>RIGHT(D2940,4)</f>
        <v>6322</v>
      </c>
      <c r="K2940" t="str">
        <f>IFERROR(VLOOKUP(VALUE(J2940),'Site Info'!$A:$G,3,FALSE),"")</f>
        <v>6361 SOUTH AVE</v>
      </c>
      <c r="L2940" t="str">
        <f>IFERROR(VLOOKUP(VALUE(J2940),'Site Info'!$A:$G,4,FALSE),"")</f>
        <v>BOARDMAN</v>
      </c>
      <c r="M2940" t="str">
        <f>IFERROR(VLOOKUP(VALUE(J2940),'Site Info'!$A:$G,5,FALSE),"")</f>
        <v>OH</v>
      </c>
      <c r="N2940" t="str">
        <f>IFERROR(VLOOKUP(VALUE(J2940),'Site Info'!$A:$G,6,FALSE),"")</f>
        <v>44512-3619</v>
      </c>
      <c r="O2940">
        <f>IFERROR(VLOOKUP(VALUE(J2940),'Site Info'!$A:$G,7,FALSE),"")</f>
        <v>3309651643</v>
      </c>
    </row>
    <row r="2941" spans="1:15" x14ac:dyDescent="0.45">
      <c r="A2941" t="s">
        <v>3135</v>
      </c>
      <c r="B2941" t="s">
        <v>3136</v>
      </c>
      <c r="C2941" t="s">
        <v>3137</v>
      </c>
      <c r="D2941" t="s">
        <v>1459</v>
      </c>
      <c r="E2941" s="1">
        <v>46153.170185185183</v>
      </c>
      <c r="F2941">
        <v>1481</v>
      </c>
      <c r="G2941" t="s">
        <v>3138</v>
      </c>
      <c r="H2941" t="s">
        <v>15</v>
      </c>
      <c r="I2941" t="s">
        <v>1461</v>
      </c>
      <c r="J2941" t="str">
        <f>RIGHT(D2941,4)</f>
        <v>6322</v>
      </c>
      <c r="K2941" t="str">
        <f>IFERROR(VLOOKUP(VALUE(J2941),'Site Info'!$A:$G,3,FALSE),"")</f>
        <v>6361 SOUTH AVE</v>
      </c>
      <c r="L2941" t="str">
        <f>IFERROR(VLOOKUP(VALUE(J2941),'Site Info'!$A:$G,4,FALSE),"")</f>
        <v>BOARDMAN</v>
      </c>
      <c r="M2941" t="str">
        <f>IFERROR(VLOOKUP(VALUE(J2941),'Site Info'!$A:$G,5,FALSE),"")</f>
        <v>OH</v>
      </c>
      <c r="N2941" t="str">
        <f>IFERROR(VLOOKUP(VALUE(J2941),'Site Info'!$A:$G,6,FALSE),"")</f>
        <v>44512-3619</v>
      </c>
      <c r="O2941">
        <f>IFERROR(VLOOKUP(VALUE(J2941),'Site Info'!$A:$G,7,FALSE),"")</f>
        <v>3309651643</v>
      </c>
    </row>
    <row r="2942" spans="1:15" x14ac:dyDescent="0.45">
      <c r="A2942" t="s">
        <v>1456</v>
      </c>
      <c r="B2942" t="s">
        <v>1457</v>
      </c>
      <c r="C2942" t="s">
        <v>1458</v>
      </c>
      <c r="D2942" t="s">
        <v>1459</v>
      </c>
      <c r="E2942" s="1">
        <v>46153.180636574078</v>
      </c>
      <c r="F2942">
        <v>1481</v>
      </c>
      <c r="G2942" t="s">
        <v>1460</v>
      </c>
      <c r="H2942" t="s">
        <v>15</v>
      </c>
      <c r="I2942" t="s">
        <v>1461</v>
      </c>
      <c r="J2942" t="str">
        <f>RIGHT(D2942,4)</f>
        <v>6322</v>
      </c>
      <c r="K2942" t="str">
        <f>IFERROR(VLOOKUP(VALUE(J2942),'Site Info'!$A:$G,3,FALSE),"")</f>
        <v>6361 SOUTH AVE</v>
      </c>
      <c r="L2942" t="str">
        <f>IFERROR(VLOOKUP(VALUE(J2942),'Site Info'!$A:$G,4,FALSE),"")</f>
        <v>BOARDMAN</v>
      </c>
      <c r="M2942" t="str">
        <f>IFERROR(VLOOKUP(VALUE(J2942),'Site Info'!$A:$G,5,FALSE),"")</f>
        <v>OH</v>
      </c>
      <c r="N2942" t="str">
        <f>IFERROR(VLOOKUP(VALUE(J2942),'Site Info'!$A:$G,6,FALSE),"")</f>
        <v>44512-3619</v>
      </c>
      <c r="O2942">
        <f>IFERROR(VLOOKUP(VALUE(J2942),'Site Info'!$A:$G,7,FALSE),"")</f>
        <v>3309651643</v>
      </c>
    </row>
    <row r="2943" spans="1:15" x14ac:dyDescent="0.45">
      <c r="A2943" t="s">
        <v>16718</v>
      </c>
      <c r="B2943" t="s">
        <v>16719</v>
      </c>
      <c r="C2943" t="s">
        <v>16720</v>
      </c>
      <c r="D2943" t="s">
        <v>1459</v>
      </c>
      <c r="E2943" s="1">
        <v>46153.371678240743</v>
      </c>
      <c r="F2943">
        <v>1547</v>
      </c>
      <c r="G2943" t="s">
        <v>16721</v>
      </c>
      <c r="H2943" t="s">
        <v>15</v>
      </c>
      <c r="I2943" t="s">
        <v>1461</v>
      </c>
      <c r="J2943" t="str">
        <f>RIGHT(D2943,4)</f>
        <v>6322</v>
      </c>
      <c r="K2943" t="str">
        <f>IFERROR(VLOOKUP(VALUE(J2943),'Site Info'!$A:$G,3,FALSE),"")</f>
        <v>6361 SOUTH AVE</v>
      </c>
      <c r="L2943" t="str">
        <f>IFERROR(VLOOKUP(VALUE(J2943),'Site Info'!$A:$G,4,FALSE),"")</f>
        <v>BOARDMAN</v>
      </c>
      <c r="M2943" t="str">
        <f>IFERROR(VLOOKUP(VALUE(J2943),'Site Info'!$A:$G,5,FALSE),"")</f>
        <v>OH</v>
      </c>
      <c r="N2943" t="str">
        <f>IFERROR(VLOOKUP(VALUE(J2943),'Site Info'!$A:$G,6,FALSE),"")</f>
        <v>44512-3619</v>
      </c>
      <c r="O2943">
        <f>IFERROR(VLOOKUP(VALUE(J2943),'Site Info'!$A:$G,7,FALSE),"")</f>
        <v>3309651643</v>
      </c>
    </row>
    <row r="2944" spans="1:15" x14ac:dyDescent="0.45">
      <c r="A2944" t="s">
        <v>12096</v>
      </c>
      <c r="B2944" t="s">
        <v>12097</v>
      </c>
      <c r="C2944" t="s">
        <v>12098</v>
      </c>
      <c r="D2944" t="s">
        <v>851</v>
      </c>
      <c r="E2944" s="1">
        <v>46126.784837962965</v>
      </c>
      <c r="F2944">
        <v>1548</v>
      </c>
      <c r="G2944" t="s">
        <v>12099</v>
      </c>
      <c r="H2944" t="s">
        <v>15</v>
      </c>
      <c r="I2944" t="s">
        <v>853</v>
      </c>
      <c r="J2944" t="str">
        <f>RIGHT(D2944,4)</f>
        <v>6378</v>
      </c>
      <c r="K2944" t="str">
        <f>IFERROR(VLOOKUP(VALUE(J2944),'Site Info'!$A:$G,3,FALSE),"")</f>
        <v>6363 VALLEY SPRINGS PKWY</v>
      </c>
      <c r="L2944" t="str">
        <f>IFERROR(VLOOKUP(VALUE(J2944),'Site Info'!$A:$G,4,FALSE),"")</f>
        <v>RIVERSIDE</v>
      </c>
      <c r="M2944" t="str">
        <f>IFERROR(VLOOKUP(VALUE(J2944),'Site Info'!$A:$G,5,FALSE),"")</f>
        <v>CA</v>
      </c>
      <c r="N2944" t="str">
        <f>IFERROR(VLOOKUP(VALUE(J2944),'Site Info'!$A:$G,6,FALSE),"")</f>
        <v>92507-0905</v>
      </c>
      <c r="O2944">
        <f>IFERROR(VLOOKUP(VALUE(J2944),'Site Info'!$A:$G,7,FALSE),"")</f>
        <v>9516534840</v>
      </c>
    </row>
    <row r="2945" spans="1:15" x14ac:dyDescent="0.45">
      <c r="A2945" t="s">
        <v>14604</v>
      </c>
      <c r="B2945" t="s">
        <v>14605</v>
      </c>
      <c r="C2945" t="s">
        <v>14606</v>
      </c>
      <c r="D2945" t="s">
        <v>851</v>
      </c>
      <c r="E2945" s="1">
        <v>46152.728703703702</v>
      </c>
      <c r="F2945">
        <v>1547</v>
      </c>
      <c r="G2945" t="s">
        <v>14607</v>
      </c>
      <c r="H2945" t="s">
        <v>15</v>
      </c>
      <c r="I2945" t="s">
        <v>853</v>
      </c>
      <c r="J2945" t="str">
        <f>RIGHT(D2945,4)</f>
        <v>6378</v>
      </c>
      <c r="K2945" t="str">
        <f>IFERROR(VLOOKUP(VALUE(J2945),'Site Info'!$A:$G,3,FALSE),"")</f>
        <v>6363 VALLEY SPRINGS PKWY</v>
      </c>
      <c r="L2945" t="str">
        <f>IFERROR(VLOOKUP(VALUE(J2945),'Site Info'!$A:$G,4,FALSE),"")</f>
        <v>RIVERSIDE</v>
      </c>
      <c r="M2945" t="str">
        <f>IFERROR(VLOOKUP(VALUE(J2945),'Site Info'!$A:$G,5,FALSE),"")</f>
        <v>CA</v>
      </c>
      <c r="N2945" t="str">
        <f>IFERROR(VLOOKUP(VALUE(J2945),'Site Info'!$A:$G,6,FALSE),"")</f>
        <v>92507-0905</v>
      </c>
      <c r="O2945">
        <f>IFERROR(VLOOKUP(VALUE(J2945),'Site Info'!$A:$G,7,FALSE),"")</f>
        <v>9516534840</v>
      </c>
    </row>
    <row r="2946" spans="1:15" x14ac:dyDescent="0.45">
      <c r="A2946" t="s">
        <v>12520</v>
      </c>
      <c r="B2946" t="s">
        <v>12521</v>
      </c>
      <c r="C2946" t="s">
        <v>12522</v>
      </c>
      <c r="D2946" t="s">
        <v>851</v>
      </c>
      <c r="E2946" s="1">
        <v>46152.943148148152</v>
      </c>
      <c r="F2946">
        <v>1547</v>
      </c>
      <c r="G2946" t="s">
        <v>12523</v>
      </c>
      <c r="H2946" t="s">
        <v>15</v>
      </c>
      <c r="I2946" t="s">
        <v>853</v>
      </c>
      <c r="J2946" t="str">
        <f>RIGHT(D2946,4)</f>
        <v>6378</v>
      </c>
      <c r="K2946" t="str">
        <f>IFERROR(VLOOKUP(VALUE(J2946),'Site Info'!$A:$G,3,FALSE),"")</f>
        <v>6363 VALLEY SPRINGS PKWY</v>
      </c>
      <c r="L2946" t="str">
        <f>IFERROR(VLOOKUP(VALUE(J2946),'Site Info'!$A:$G,4,FALSE),"")</f>
        <v>RIVERSIDE</v>
      </c>
      <c r="M2946" t="str">
        <f>IFERROR(VLOOKUP(VALUE(J2946),'Site Info'!$A:$G,5,FALSE),"")</f>
        <v>CA</v>
      </c>
      <c r="N2946" t="str">
        <f>IFERROR(VLOOKUP(VALUE(J2946),'Site Info'!$A:$G,6,FALSE),"")</f>
        <v>92507-0905</v>
      </c>
      <c r="O2946">
        <f>IFERROR(VLOOKUP(VALUE(J2946),'Site Info'!$A:$G,7,FALSE),"")</f>
        <v>9516534840</v>
      </c>
    </row>
    <row r="2947" spans="1:15" x14ac:dyDescent="0.45">
      <c r="A2947" t="s">
        <v>848</v>
      </c>
      <c r="B2947" t="s">
        <v>849</v>
      </c>
      <c r="C2947" t="s">
        <v>850</v>
      </c>
      <c r="D2947" t="s">
        <v>851</v>
      </c>
      <c r="E2947" s="1">
        <v>46112.592291666668</v>
      </c>
      <c r="F2947">
        <v>1481</v>
      </c>
      <c r="G2947" t="s">
        <v>852</v>
      </c>
      <c r="H2947" t="s">
        <v>15</v>
      </c>
      <c r="I2947" t="s">
        <v>853</v>
      </c>
      <c r="J2947" t="str">
        <f>RIGHT(D2947,4)</f>
        <v>6378</v>
      </c>
      <c r="K2947" t="str">
        <f>IFERROR(VLOOKUP(VALUE(J2947),'Site Info'!$A:$G,3,FALSE),"")</f>
        <v>6363 VALLEY SPRINGS PKWY</v>
      </c>
      <c r="L2947" t="str">
        <f>IFERROR(VLOOKUP(VALUE(J2947),'Site Info'!$A:$G,4,FALSE),"")</f>
        <v>RIVERSIDE</v>
      </c>
      <c r="M2947" t="str">
        <f>IFERROR(VLOOKUP(VALUE(J2947),'Site Info'!$A:$G,5,FALSE),"")</f>
        <v>CA</v>
      </c>
      <c r="N2947" t="str">
        <f>IFERROR(VLOOKUP(VALUE(J2947),'Site Info'!$A:$G,6,FALSE),"")</f>
        <v>92507-0905</v>
      </c>
      <c r="O2947">
        <f>IFERROR(VLOOKUP(VALUE(J2947),'Site Info'!$A:$G,7,FALSE),"")</f>
        <v>9516534840</v>
      </c>
    </row>
    <row r="2948" spans="1:15" x14ac:dyDescent="0.45">
      <c r="A2948" t="s">
        <v>1302</v>
      </c>
      <c r="B2948" t="s">
        <v>1303</v>
      </c>
      <c r="C2948" t="s">
        <v>1304</v>
      </c>
      <c r="D2948" t="s">
        <v>851</v>
      </c>
      <c r="E2948" s="1">
        <v>46153.32849537037</v>
      </c>
      <c r="F2948">
        <v>1481</v>
      </c>
      <c r="G2948" t="s">
        <v>1305</v>
      </c>
      <c r="H2948" t="s">
        <v>15</v>
      </c>
      <c r="I2948" t="s">
        <v>853</v>
      </c>
      <c r="J2948" t="str">
        <f>RIGHT(D2948,4)</f>
        <v>6378</v>
      </c>
      <c r="K2948" t="str">
        <f>IFERROR(VLOOKUP(VALUE(J2948),'Site Info'!$A:$G,3,FALSE),"")</f>
        <v>6363 VALLEY SPRINGS PKWY</v>
      </c>
      <c r="L2948" t="str">
        <f>IFERROR(VLOOKUP(VALUE(J2948),'Site Info'!$A:$G,4,FALSE),"")</f>
        <v>RIVERSIDE</v>
      </c>
      <c r="M2948" t="str">
        <f>IFERROR(VLOOKUP(VALUE(J2948),'Site Info'!$A:$G,5,FALSE),"")</f>
        <v>CA</v>
      </c>
      <c r="N2948" t="str">
        <f>IFERROR(VLOOKUP(VALUE(J2948),'Site Info'!$A:$G,6,FALSE),"")</f>
        <v>92507-0905</v>
      </c>
      <c r="O2948">
        <f>IFERROR(VLOOKUP(VALUE(J2948),'Site Info'!$A:$G,7,FALSE),"")</f>
        <v>9516534840</v>
      </c>
    </row>
    <row r="2949" spans="1:15" x14ac:dyDescent="0.45">
      <c r="A2949" t="s">
        <v>9749</v>
      </c>
      <c r="B2949" t="s">
        <v>9750</v>
      </c>
      <c r="C2949" t="s">
        <v>9751</v>
      </c>
      <c r="D2949" t="s">
        <v>2690</v>
      </c>
      <c r="E2949" s="1">
        <v>46153.352858796294</v>
      </c>
      <c r="F2949">
        <v>1547</v>
      </c>
      <c r="G2949" t="s">
        <v>9752</v>
      </c>
      <c r="H2949" t="s">
        <v>15</v>
      </c>
      <c r="I2949" t="s">
        <v>2692</v>
      </c>
      <c r="J2949" t="str">
        <f>RIGHT(D2949,4)</f>
        <v>6363</v>
      </c>
      <c r="K2949" t="str">
        <f>IFERROR(VLOOKUP(VALUE(J2949),'Site Info'!$A:$G,3,FALSE),"")</f>
        <v>6373 YOUNGERMAN CIR</v>
      </c>
      <c r="L2949" t="str">
        <f>IFERROR(VLOOKUP(VALUE(J2949),'Site Info'!$A:$G,4,FALSE),"")</f>
        <v>JACKSONVILLE</v>
      </c>
      <c r="M2949" t="str">
        <f>IFERROR(VLOOKUP(VALUE(J2949),'Site Info'!$A:$G,5,FALSE),"")</f>
        <v>FL</v>
      </c>
      <c r="N2949" t="str">
        <f>IFERROR(VLOOKUP(VALUE(J2949),'Site Info'!$A:$G,6,FALSE),"")</f>
        <v>32244-6609</v>
      </c>
      <c r="O2949">
        <f>IFERROR(VLOOKUP(VALUE(J2949),'Site Info'!$A:$G,7,FALSE),"")</f>
        <v>9045739702</v>
      </c>
    </row>
    <row r="2950" spans="1:15" x14ac:dyDescent="0.45">
      <c r="A2950" t="s">
        <v>2687</v>
      </c>
      <c r="B2950" t="s">
        <v>2688</v>
      </c>
      <c r="C2950" t="s">
        <v>2689</v>
      </c>
      <c r="D2950" t="s">
        <v>2690</v>
      </c>
      <c r="E2950" s="1">
        <v>46151.739085648151</v>
      </c>
      <c r="F2950">
        <v>1481</v>
      </c>
      <c r="G2950" t="s">
        <v>2691</v>
      </c>
      <c r="H2950" t="s">
        <v>15</v>
      </c>
      <c r="I2950" t="s">
        <v>2692</v>
      </c>
      <c r="J2950" t="str">
        <f>RIGHT(D2950,4)</f>
        <v>6363</v>
      </c>
      <c r="K2950" t="str">
        <f>IFERROR(VLOOKUP(VALUE(J2950),'Site Info'!$A:$G,3,FALSE),"")</f>
        <v>6373 YOUNGERMAN CIR</v>
      </c>
      <c r="L2950" t="str">
        <f>IFERROR(VLOOKUP(VALUE(J2950),'Site Info'!$A:$G,4,FALSE),"")</f>
        <v>JACKSONVILLE</v>
      </c>
      <c r="M2950" t="str">
        <f>IFERROR(VLOOKUP(VALUE(J2950),'Site Info'!$A:$G,5,FALSE),"")</f>
        <v>FL</v>
      </c>
      <c r="N2950" t="str">
        <f>IFERROR(VLOOKUP(VALUE(J2950),'Site Info'!$A:$G,6,FALSE),"")</f>
        <v>32244-6609</v>
      </c>
      <c r="O2950">
        <f>IFERROR(VLOOKUP(VALUE(J2950),'Site Info'!$A:$G,7,FALSE),"")</f>
        <v>9045739702</v>
      </c>
    </row>
    <row r="2951" spans="1:15" x14ac:dyDescent="0.45">
      <c r="A2951" t="s">
        <v>14309</v>
      </c>
      <c r="B2951" t="s">
        <v>14310</v>
      </c>
      <c r="C2951" t="s">
        <v>14311</v>
      </c>
      <c r="D2951" t="s">
        <v>2690</v>
      </c>
      <c r="E2951" s="1">
        <v>46153.386574074073</v>
      </c>
      <c r="F2951">
        <v>1481</v>
      </c>
      <c r="G2951" t="s">
        <v>14312</v>
      </c>
      <c r="H2951" t="s">
        <v>15</v>
      </c>
      <c r="I2951" t="s">
        <v>2692</v>
      </c>
      <c r="J2951" t="str">
        <f>RIGHT(D2951,4)</f>
        <v>6363</v>
      </c>
      <c r="K2951" t="str">
        <f>IFERROR(VLOOKUP(VALUE(J2951),'Site Info'!$A:$G,3,FALSE),"")</f>
        <v>6373 YOUNGERMAN CIR</v>
      </c>
      <c r="L2951" t="str">
        <f>IFERROR(VLOOKUP(VALUE(J2951),'Site Info'!$A:$G,4,FALSE),"")</f>
        <v>JACKSONVILLE</v>
      </c>
      <c r="M2951" t="str">
        <f>IFERROR(VLOOKUP(VALUE(J2951),'Site Info'!$A:$G,5,FALSE),"")</f>
        <v>FL</v>
      </c>
      <c r="N2951" t="str">
        <f>IFERROR(VLOOKUP(VALUE(J2951),'Site Info'!$A:$G,6,FALSE),"")</f>
        <v>32244-6609</v>
      </c>
      <c r="O2951">
        <f>IFERROR(VLOOKUP(VALUE(J2951),'Site Info'!$A:$G,7,FALSE),"")</f>
        <v>9045739702</v>
      </c>
    </row>
    <row r="2952" spans="1:15" x14ac:dyDescent="0.45">
      <c r="A2952" t="s">
        <v>11488</v>
      </c>
      <c r="B2952" t="s">
        <v>11489</v>
      </c>
      <c r="C2952" t="s">
        <v>11490</v>
      </c>
      <c r="D2952" t="s">
        <v>1067</v>
      </c>
      <c r="E2952" s="1">
        <v>46152.478587962964</v>
      </c>
      <c r="F2952">
        <v>1547</v>
      </c>
      <c r="G2952" t="s">
        <v>11491</v>
      </c>
      <c r="H2952" t="s">
        <v>15</v>
      </c>
      <c r="I2952" t="s">
        <v>1069</v>
      </c>
      <c r="J2952" t="str">
        <f>RIGHT(D2952,4)</f>
        <v>8268</v>
      </c>
      <c r="K2952" t="str">
        <f>IFERROR(VLOOKUP(VALUE(J2952),'Site Info'!$A:$G,3,FALSE),"")</f>
        <v>6375 NE LOOP 820</v>
      </c>
      <c r="L2952" t="str">
        <f>IFERROR(VLOOKUP(VALUE(J2952),'Site Info'!$A:$G,4,FALSE),"")</f>
        <v>NORTH RICHLAND HILLS</v>
      </c>
      <c r="M2952" t="str">
        <f>IFERROR(VLOOKUP(VALUE(J2952),'Site Info'!$A:$G,5,FALSE),"")</f>
        <v>TX</v>
      </c>
      <c r="N2952" t="str">
        <f>IFERROR(VLOOKUP(VALUE(J2952),'Site Info'!$A:$G,6,FALSE),"")</f>
        <v>76180-6035</v>
      </c>
      <c r="O2952">
        <f>IFERROR(VLOOKUP(VALUE(J2952),'Site Info'!$A:$G,7,FALSE),"")</f>
        <v>8174283700</v>
      </c>
    </row>
    <row r="2953" spans="1:15" x14ac:dyDescent="0.45">
      <c r="A2953" t="s">
        <v>14443</v>
      </c>
      <c r="B2953" t="s">
        <v>14444</v>
      </c>
      <c r="C2953" t="s">
        <v>14445</v>
      </c>
      <c r="D2953" t="s">
        <v>1067</v>
      </c>
      <c r="E2953" s="1">
        <v>46152.63385416667</v>
      </c>
      <c r="F2953">
        <v>1547</v>
      </c>
      <c r="G2953" t="s">
        <v>14446</v>
      </c>
      <c r="H2953" t="s">
        <v>15</v>
      </c>
      <c r="I2953" t="s">
        <v>1069</v>
      </c>
      <c r="J2953" t="str">
        <f>RIGHT(D2953,4)</f>
        <v>8268</v>
      </c>
      <c r="K2953" t="str">
        <f>IFERROR(VLOOKUP(VALUE(J2953),'Site Info'!$A:$G,3,FALSE),"")</f>
        <v>6375 NE LOOP 820</v>
      </c>
      <c r="L2953" t="str">
        <f>IFERROR(VLOOKUP(VALUE(J2953),'Site Info'!$A:$G,4,FALSE),"")</f>
        <v>NORTH RICHLAND HILLS</v>
      </c>
      <c r="M2953" t="str">
        <f>IFERROR(VLOOKUP(VALUE(J2953),'Site Info'!$A:$G,5,FALSE),"")</f>
        <v>TX</v>
      </c>
      <c r="N2953" t="str">
        <f>IFERROR(VLOOKUP(VALUE(J2953),'Site Info'!$A:$G,6,FALSE),"")</f>
        <v>76180-6035</v>
      </c>
      <c r="O2953">
        <f>IFERROR(VLOOKUP(VALUE(J2953),'Site Info'!$A:$G,7,FALSE),"")</f>
        <v>8174283700</v>
      </c>
    </row>
    <row r="2954" spans="1:15" x14ac:dyDescent="0.45">
      <c r="A2954" t="s">
        <v>10730</v>
      </c>
      <c r="B2954" t="s">
        <v>10731</v>
      </c>
      <c r="C2954" t="s">
        <v>10732</v>
      </c>
      <c r="D2954" t="s">
        <v>1067</v>
      </c>
      <c r="E2954" s="1">
        <v>46152.636828703704</v>
      </c>
      <c r="F2954">
        <v>1547</v>
      </c>
      <c r="G2954" t="s">
        <v>10733</v>
      </c>
      <c r="H2954" t="s">
        <v>15</v>
      </c>
      <c r="I2954" t="s">
        <v>1069</v>
      </c>
      <c r="J2954" t="str">
        <f>RIGHT(D2954,4)</f>
        <v>8268</v>
      </c>
      <c r="K2954" t="str">
        <f>IFERROR(VLOOKUP(VALUE(J2954),'Site Info'!$A:$G,3,FALSE),"")</f>
        <v>6375 NE LOOP 820</v>
      </c>
      <c r="L2954" t="str">
        <f>IFERROR(VLOOKUP(VALUE(J2954),'Site Info'!$A:$G,4,FALSE),"")</f>
        <v>NORTH RICHLAND HILLS</v>
      </c>
      <c r="M2954" t="str">
        <f>IFERROR(VLOOKUP(VALUE(J2954),'Site Info'!$A:$G,5,FALSE),"")</f>
        <v>TX</v>
      </c>
      <c r="N2954" t="str">
        <f>IFERROR(VLOOKUP(VALUE(J2954),'Site Info'!$A:$G,6,FALSE),"")</f>
        <v>76180-6035</v>
      </c>
      <c r="O2954">
        <f>IFERROR(VLOOKUP(VALUE(J2954),'Site Info'!$A:$G,7,FALSE),"")</f>
        <v>8174283700</v>
      </c>
    </row>
    <row r="2955" spans="1:15" x14ac:dyDescent="0.45">
      <c r="A2955" t="s">
        <v>6434</v>
      </c>
      <c r="B2955" t="s">
        <v>6435</v>
      </c>
      <c r="C2955" t="s">
        <v>6436</v>
      </c>
      <c r="D2955" t="s">
        <v>1067</v>
      </c>
      <c r="E2955" s="1">
        <v>46153.257060185184</v>
      </c>
      <c r="F2955">
        <v>1547</v>
      </c>
      <c r="G2955" t="s">
        <v>6437</v>
      </c>
      <c r="H2955" t="s">
        <v>15</v>
      </c>
      <c r="I2955" t="s">
        <v>1069</v>
      </c>
      <c r="J2955" t="str">
        <f>RIGHT(D2955,4)</f>
        <v>8268</v>
      </c>
      <c r="K2955" t="str">
        <f>IFERROR(VLOOKUP(VALUE(J2955),'Site Info'!$A:$G,3,FALSE),"")</f>
        <v>6375 NE LOOP 820</v>
      </c>
      <c r="L2955" t="str">
        <f>IFERROR(VLOOKUP(VALUE(J2955),'Site Info'!$A:$G,4,FALSE),"")</f>
        <v>NORTH RICHLAND HILLS</v>
      </c>
      <c r="M2955" t="str">
        <f>IFERROR(VLOOKUP(VALUE(J2955),'Site Info'!$A:$G,5,FALSE),"")</f>
        <v>TX</v>
      </c>
      <c r="N2955" t="str">
        <f>IFERROR(VLOOKUP(VALUE(J2955),'Site Info'!$A:$G,6,FALSE),"")</f>
        <v>76180-6035</v>
      </c>
      <c r="O2955">
        <f>IFERROR(VLOOKUP(VALUE(J2955),'Site Info'!$A:$G,7,FALSE),"")</f>
        <v>8174283700</v>
      </c>
    </row>
    <row r="2956" spans="1:15" x14ac:dyDescent="0.45">
      <c r="A2956" t="s">
        <v>10652</v>
      </c>
      <c r="B2956" t="s">
        <v>10653</v>
      </c>
      <c r="C2956" t="s">
        <v>10654</v>
      </c>
      <c r="D2956" t="s">
        <v>1067</v>
      </c>
      <c r="E2956" s="1">
        <v>46153.347442129627</v>
      </c>
      <c r="F2956">
        <v>1547</v>
      </c>
      <c r="G2956" t="s">
        <v>10655</v>
      </c>
      <c r="H2956" t="s">
        <v>15</v>
      </c>
      <c r="I2956" t="s">
        <v>1069</v>
      </c>
      <c r="J2956" t="str">
        <f>RIGHT(D2956,4)</f>
        <v>8268</v>
      </c>
      <c r="K2956" t="str">
        <f>IFERROR(VLOOKUP(VALUE(J2956),'Site Info'!$A:$G,3,FALSE),"")</f>
        <v>6375 NE LOOP 820</v>
      </c>
      <c r="L2956" t="str">
        <f>IFERROR(VLOOKUP(VALUE(J2956),'Site Info'!$A:$G,4,FALSE),"")</f>
        <v>NORTH RICHLAND HILLS</v>
      </c>
      <c r="M2956" t="str">
        <f>IFERROR(VLOOKUP(VALUE(J2956),'Site Info'!$A:$G,5,FALSE),"")</f>
        <v>TX</v>
      </c>
      <c r="N2956" t="str">
        <f>IFERROR(VLOOKUP(VALUE(J2956),'Site Info'!$A:$G,6,FALSE),"")</f>
        <v>76180-6035</v>
      </c>
      <c r="O2956">
        <f>IFERROR(VLOOKUP(VALUE(J2956),'Site Info'!$A:$G,7,FALSE),"")</f>
        <v>8174283700</v>
      </c>
    </row>
    <row r="2957" spans="1:15" x14ac:dyDescent="0.45">
      <c r="A2957" t="s">
        <v>11570</v>
      </c>
      <c r="B2957" t="s">
        <v>11571</v>
      </c>
      <c r="C2957" t="s">
        <v>11572</v>
      </c>
      <c r="D2957" t="s">
        <v>1067</v>
      </c>
      <c r="E2957" s="1">
        <v>46153.361944444441</v>
      </c>
      <c r="F2957">
        <v>1547</v>
      </c>
      <c r="G2957" t="s">
        <v>11573</v>
      </c>
      <c r="H2957" t="s">
        <v>15</v>
      </c>
      <c r="I2957" t="s">
        <v>1069</v>
      </c>
      <c r="J2957" t="str">
        <f>RIGHT(D2957,4)</f>
        <v>8268</v>
      </c>
      <c r="K2957" t="str">
        <f>IFERROR(VLOOKUP(VALUE(J2957),'Site Info'!$A:$G,3,FALSE),"")</f>
        <v>6375 NE LOOP 820</v>
      </c>
      <c r="L2957" t="str">
        <f>IFERROR(VLOOKUP(VALUE(J2957),'Site Info'!$A:$G,4,FALSE),"")</f>
        <v>NORTH RICHLAND HILLS</v>
      </c>
      <c r="M2957" t="str">
        <f>IFERROR(VLOOKUP(VALUE(J2957),'Site Info'!$A:$G,5,FALSE),"")</f>
        <v>TX</v>
      </c>
      <c r="N2957" t="str">
        <f>IFERROR(VLOOKUP(VALUE(J2957),'Site Info'!$A:$G,6,FALSE),"")</f>
        <v>76180-6035</v>
      </c>
      <c r="O2957">
        <f>IFERROR(VLOOKUP(VALUE(J2957),'Site Info'!$A:$G,7,FALSE),"")</f>
        <v>8174283700</v>
      </c>
    </row>
    <row r="2958" spans="1:15" x14ac:dyDescent="0.45">
      <c r="A2958" t="s">
        <v>1064</v>
      </c>
      <c r="B2958" t="s">
        <v>1065</v>
      </c>
      <c r="C2958" t="s">
        <v>1066</v>
      </c>
      <c r="D2958" t="s">
        <v>1067</v>
      </c>
      <c r="E2958" s="1">
        <v>46152.590277777781</v>
      </c>
      <c r="F2958">
        <v>1481</v>
      </c>
      <c r="G2958" t="s">
        <v>1068</v>
      </c>
      <c r="H2958" t="s">
        <v>15</v>
      </c>
      <c r="I2958" t="s">
        <v>1069</v>
      </c>
      <c r="J2958" t="str">
        <f>RIGHT(D2958,4)</f>
        <v>8268</v>
      </c>
      <c r="K2958" t="str">
        <f>IFERROR(VLOOKUP(VALUE(J2958),'Site Info'!$A:$G,3,FALSE),"")</f>
        <v>6375 NE LOOP 820</v>
      </c>
      <c r="L2958" t="str">
        <f>IFERROR(VLOOKUP(VALUE(J2958),'Site Info'!$A:$G,4,FALSE),"")</f>
        <v>NORTH RICHLAND HILLS</v>
      </c>
      <c r="M2958" t="str">
        <f>IFERROR(VLOOKUP(VALUE(J2958),'Site Info'!$A:$G,5,FALSE),"")</f>
        <v>TX</v>
      </c>
      <c r="N2958" t="str">
        <f>IFERROR(VLOOKUP(VALUE(J2958),'Site Info'!$A:$G,6,FALSE),"")</f>
        <v>76180-6035</v>
      </c>
      <c r="O2958">
        <f>IFERROR(VLOOKUP(VALUE(J2958),'Site Info'!$A:$G,7,FALSE),"")</f>
        <v>8174283700</v>
      </c>
    </row>
    <row r="2959" spans="1:15" x14ac:dyDescent="0.45">
      <c r="A2959" t="s">
        <v>3239</v>
      </c>
      <c r="B2959" t="s">
        <v>3240</v>
      </c>
      <c r="C2959" t="s">
        <v>3241</v>
      </c>
      <c r="D2959" t="s">
        <v>1067</v>
      </c>
      <c r="E2959" s="1">
        <v>46153.17765046296</v>
      </c>
      <c r="F2959">
        <v>1481</v>
      </c>
      <c r="G2959" t="s">
        <v>3242</v>
      </c>
      <c r="H2959" t="s">
        <v>15</v>
      </c>
      <c r="I2959" t="s">
        <v>1069</v>
      </c>
      <c r="J2959" t="str">
        <f>RIGHT(D2959,4)</f>
        <v>8268</v>
      </c>
      <c r="K2959" t="str">
        <f>IFERROR(VLOOKUP(VALUE(J2959),'Site Info'!$A:$G,3,FALSE),"")</f>
        <v>6375 NE LOOP 820</v>
      </c>
      <c r="L2959" t="str">
        <f>IFERROR(VLOOKUP(VALUE(J2959),'Site Info'!$A:$G,4,FALSE),"")</f>
        <v>NORTH RICHLAND HILLS</v>
      </c>
      <c r="M2959" t="str">
        <f>IFERROR(VLOOKUP(VALUE(J2959),'Site Info'!$A:$G,5,FALSE),"")</f>
        <v>TX</v>
      </c>
      <c r="N2959" t="str">
        <f>IFERROR(VLOOKUP(VALUE(J2959),'Site Info'!$A:$G,6,FALSE),"")</f>
        <v>76180-6035</v>
      </c>
      <c r="O2959">
        <f>IFERROR(VLOOKUP(VALUE(J2959),'Site Info'!$A:$G,7,FALSE),"")</f>
        <v>8174283700</v>
      </c>
    </row>
    <row r="2960" spans="1:15" x14ac:dyDescent="0.45">
      <c r="A2960" t="s">
        <v>17246</v>
      </c>
      <c r="B2960" t="s">
        <v>17247</v>
      </c>
      <c r="C2960" t="s">
        <v>17248</v>
      </c>
      <c r="D2960" t="s">
        <v>1067</v>
      </c>
      <c r="E2960" s="1">
        <v>46152.453969907408</v>
      </c>
      <c r="F2960">
        <v>1547</v>
      </c>
      <c r="G2960" t="s">
        <v>17249</v>
      </c>
      <c r="H2960" t="s">
        <v>15</v>
      </c>
      <c r="I2960" t="s">
        <v>1069</v>
      </c>
      <c r="J2960" t="str">
        <f>RIGHT(D2960,4)</f>
        <v>8268</v>
      </c>
      <c r="K2960" t="str">
        <f>IFERROR(VLOOKUP(VALUE(J2960),'Site Info'!$A:$G,3,FALSE),"")</f>
        <v>6375 NE LOOP 820</v>
      </c>
      <c r="L2960" t="str">
        <f>IFERROR(VLOOKUP(VALUE(J2960),'Site Info'!$A:$G,4,FALSE),"")</f>
        <v>NORTH RICHLAND HILLS</v>
      </c>
      <c r="M2960" t="str">
        <f>IFERROR(VLOOKUP(VALUE(J2960),'Site Info'!$A:$G,5,FALSE),"")</f>
        <v>TX</v>
      </c>
      <c r="N2960" t="str">
        <f>IFERROR(VLOOKUP(VALUE(J2960),'Site Info'!$A:$G,6,FALSE),"")</f>
        <v>76180-6035</v>
      </c>
      <c r="O2960">
        <f>IFERROR(VLOOKUP(VALUE(J2960),'Site Info'!$A:$G,7,FALSE),"")</f>
        <v>8174283700</v>
      </c>
    </row>
    <row r="2961" spans="1:15" x14ac:dyDescent="0.45">
      <c r="A2961" t="s">
        <v>12360</v>
      </c>
      <c r="B2961" t="s">
        <v>12361</v>
      </c>
      <c r="C2961" t="s">
        <v>12362</v>
      </c>
      <c r="D2961" t="s">
        <v>9354</v>
      </c>
      <c r="E2961" s="1">
        <v>46148.53833333333</v>
      </c>
      <c r="F2961">
        <v>1547</v>
      </c>
      <c r="G2961" t="s">
        <v>12363</v>
      </c>
      <c r="H2961" t="s">
        <v>15</v>
      </c>
      <c r="I2961" t="s">
        <v>9356</v>
      </c>
      <c r="J2961" t="str">
        <f>RIGHT(D2961,4)</f>
        <v>6650</v>
      </c>
      <c r="K2961" t="str">
        <f>IFERROR(VLOOKUP(VALUE(J2961),'Site Info'!$A:$G,3,FALSE),"")</f>
        <v>6410 PETRIE WAY</v>
      </c>
      <c r="L2961" t="str">
        <f>IFERROR(VLOOKUP(VALUE(J2961),'Site Info'!$A:$G,4,FALSE),"")</f>
        <v>BALTIMORE</v>
      </c>
      <c r="M2961" t="str">
        <f>IFERROR(VLOOKUP(VALUE(J2961),'Site Info'!$A:$G,5,FALSE),"")</f>
        <v>MD</v>
      </c>
      <c r="N2961" t="str">
        <f>IFERROR(VLOOKUP(VALUE(J2961),'Site Info'!$A:$G,6,FALSE),"")</f>
        <v>21237-3034</v>
      </c>
      <c r="O2961">
        <f>IFERROR(VLOOKUP(VALUE(J2961),'Site Info'!$A:$G,7,FALSE),"")</f>
        <v>4106862683</v>
      </c>
    </row>
    <row r="2962" spans="1:15" x14ac:dyDescent="0.45">
      <c r="A2962" t="s">
        <v>12806</v>
      </c>
      <c r="B2962" t="s">
        <v>12807</v>
      </c>
      <c r="C2962" t="s">
        <v>12808</v>
      </c>
      <c r="D2962" t="s">
        <v>9354</v>
      </c>
      <c r="E2962" s="1">
        <v>46151.375451388885</v>
      </c>
      <c r="F2962">
        <v>1547</v>
      </c>
      <c r="G2962" t="s">
        <v>12809</v>
      </c>
      <c r="H2962" t="s">
        <v>15</v>
      </c>
      <c r="I2962" t="s">
        <v>9356</v>
      </c>
      <c r="J2962" t="str">
        <f>RIGHT(D2962,4)</f>
        <v>6650</v>
      </c>
      <c r="K2962" t="str">
        <f>IFERROR(VLOOKUP(VALUE(J2962),'Site Info'!$A:$G,3,FALSE),"")</f>
        <v>6410 PETRIE WAY</v>
      </c>
      <c r="L2962" t="str">
        <f>IFERROR(VLOOKUP(VALUE(J2962),'Site Info'!$A:$G,4,FALSE),"")</f>
        <v>BALTIMORE</v>
      </c>
      <c r="M2962" t="str">
        <f>IFERROR(VLOOKUP(VALUE(J2962),'Site Info'!$A:$G,5,FALSE),"")</f>
        <v>MD</v>
      </c>
      <c r="N2962" t="str">
        <f>IFERROR(VLOOKUP(VALUE(J2962),'Site Info'!$A:$G,6,FALSE),"")</f>
        <v>21237-3034</v>
      </c>
      <c r="O2962">
        <f>IFERROR(VLOOKUP(VALUE(J2962),'Site Info'!$A:$G,7,FALSE),"")</f>
        <v>4106862683</v>
      </c>
    </row>
    <row r="2963" spans="1:15" x14ac:dyDescent="0.45">
      <c r="A2963" t="s">
        <v>12460</v>
      </c>
      <c r="B2963" t="s">
        <v>12461</v>
      </c>
      <c r="C2963" t="s">
        <v>12462</v>
      </c>
      <c r="D2963" t="s">
        <v>9354</v>
      </c>
      <c r="E2963" s="1">
        <v>46152.23715277778</v>
      </c>
      <c r="F2963">
        <v>1547</v>
      </c>
      <c r="G2963" t="s">
        <v>12463</v>
      </c>
      <c r="H2963" t="s">
        <v>15</v>
      </c>
      <c r="I2963" t="s">
        <v>9356</v>
      </c>
      <c r="J2963" t="str">
        <f>RIGHT(D2963,4)</f>
        <v>6650</v>
      </c>
      <c r="K2963" t="str">
        <f>IFERROR(VLOOKUP(VALUE(J2963),'Site Info'!$A:$G,3,FALSE),"")</f>
        <v>6410 PETRIE WAY</v>
      </c>
      <c r="L2963" t="str">
        <f>IFERROR(VLOOKUP(VALUE(J2963),'Site Info'!$A:$G,4,FALSE),"")</f>
        <v>BALTIMORE</v>
      </c>
      <c r="M2963" t="str">
        <f>IFERROR(VLOOKUP(VALUE(J2963),'Site Info'!$A:$G,5,FALSE),"")</f>
        <v>MD</v>
      </c>
      <c r="N2963" t="str">
        <f>IFERROR(VLOOKUP(VALUE(J2963),'Site Info'!$A:$G,6,FALSE),"")</f>
        <v>21237-3034</v>
      </c>
      <c r="O2963">
        <f>IFERROR(VLOOKUP(VALUE(J2963),'Site Info'!$A:$G,7,FALSE),"")</f>
        <v>4106862683</v>
      </c>
    </row>
    <row r="2964" spans="1:15" x14ac:dyDescent="0.45">
      <c r="A2964" t="s">
        <v>9351</v>
      </c>
      <c r="B2964" t="s">
        <v>9352</v>
      </c>
      <c r="C2964" t="s">
        <v>9353</v>
      </c>
      <c r="D2964" t="s">
        <v>9354</v>
      </c>
      <c r="E2964" s="1">
        <v>46152.536238425928</v>
      </c>
      <c r="F2964">
        <v>1547</v>
      </c>
      <c r="G2964" t="s">
        <v>9355</v>
      </c>
      <c r="H2964" t="s">
        <v>15</v>
      </c>
      <c r="I2964" t="s">
        <v>9356</v>
      </c>
      <c r="J2964" t="str">
        <f>RIGHT(D2964,4)</f>
        <v>6650</v>
      </c>
      <c r="K2964" t="str">
        <f>IFERROR(VLOOKUP(VALUE(J2964),'Site Info'!$A:$G,3,FALSE),"")</f>
        <v>6410 PETRIE WAY</v>
      </c>
      <c r="L2964" t="str">
        <f>IFERROR(VLOOKUP(VALUE(J2964),'Site Info'!$A:$G,4,FALSE),"")</f>
        <v>BALTIMORE</v>
      </c>
      <c r="M2964" t="str">
        <f>IFERROR(VLOOKUP(VALUE(J2964),'Site Info'!$A:$G,5,FALSE),"")</f>
        <v>MD</v>
      </c>
      <c r="N2964" t="str">
        <f>IFERROR(VLOOKUP(VALUE(J2964),'Site Info'!$A:$G,6,FALSE),"")</f>
        <v>21237-3034</v>
      </c>
      <c r="O2964">
        <f>IFERROR(VLOOKUP(VALUE(J2964),'Site Info'!$A:$G,7,FALSE),"")</f>
        <v>4106862683</v>
      </c>
    </row>
    <row r="2965" spans="1:15" x14ac:dyDescent="0.45">
      <c r="A2965" t="s">
        <v>9904</v>
      </c>
      <c r="B2965" t="s">
        <v>9905</v>
      </c>
      <c r="C2965" t="s">
        <v>9906</v>
      </c>
      <c r="D2965" t="s">
        <v>9354</v>
      </c>
      <c r="E2965" s="1">
        <v>46153.363379629627</v>
      </c>
      <c r="F2965">
        <v>1547</v>
      </c>
      <c r="G2965" t="s">
        <v>9907</v>
      </c>
      <c r="H2965" t="s">
        <v>15</v>
      </c>
      <c r="I2965" t="s">
        <v>9356</v>
      </c>
      <c r="J2965" t="str">
        <f>RIGHT(D2965,4)</f>
        <v>6650</v>
      </c>
      <c r="K2965" t="str">
        <f>IFERROR(VLOOKUP(VALUE(J2965),'Site Info'!$A:$G,3,FALSE),"")</f>
        <v>6410 PETRIE WAY</v>
      </c>
      <c r="L2965" t="str">
        <f>IFERROR(VLOOKUP(VALUE(J2965),'Site Info'!$A:$G,4,FALSE),"")</f>
        <v>BALTIMORE</v>
      </c>
      <c r="M2965" t="str">
        <f>IFERROR(VLOOKUP(VALUE(J2965),'Site Info'!$A:$G,5,FALSE),"")</f>
        <v>MD</v>
      </c>
      <c r="N2965" t="str">
        <f>IFERROR(VLOOKUP(VALUE(J2965),'Site Info'!$A:$G,6,FALSE),"")</f>
        <v>21237-3034</v>
      </c>
      <c r="O2965">
        <f>IFERROR(VLOOKUP(VALUE(J2965),'Site Info'!$A:$G,7,FALSE),"")</f>
        <v>4106862683</v>
      </c>
    </row>
    <row r="2966" spans="1:15" x14ac:dyDescent="0.45">
      <c r="A2966" t="s">
        <v>17011</v>
      </c>
      <c r="B2966" t="s">
        <v>17012</v>
      </c>
      <c r="C2966" t="s">
        <v>17013</v>
      </c>
      <c r="D2966" t="s">
        <v>9354</v>
      </c>
      <c r="E2966" s="1">
        <v>46153.328217592592</v>
      </c>
      <c r="F2966">
        <v>1547</v>
      </c>
      <c r="G2966" t="s">
        <v>17014</v>
      </c>
      <c r="H2966" t="s">
        <v>15</v>
      </c>
      <c r="I2966" t="s">
        <v>9356</v>
      </c>
      <c r="J2966" t="str">
        <f>RIGHT(D2966,4)</f>
        <v>6650</v>
      </c>
      <c r="K2966" t="str">
        <f>IFERROR(VLOOKUP(VALUE(J2966),'Site Info'!$A:$G,3,FALSE),"")</f>
        <v>6410 PETRIE WAY</v>
      </c>
      <c r="L2966" t="str">
        <f>IFERROR(VLOOKUP(VALUE(J2966),'Site Info'!$A:$G,4,FALSE),"")</f>
        <v>BALTIMORE</v>
      </c>
      <c r="M2966" t="str">
        <f>IFERROR(VLOOKUP(VALUE(J2966),'Site Info'!$A:$G,5,FALSE),"")</f>
        <v>MD</v>
      </c>
      <c r="N2966" t="str">
        <f>IFERROR(VLOOKUP(VALUE(J2966),'Site Info'!$A:$G,6,FALSE),"")</f>
        <v>21237-3034</v>
      </c>
      <c r="O2966">
        <f>IFERROR(VLOOKUP(VALUE(J2966),'Site Info'!$A:$G,7,FALSE),"")</f>
        <v>4106862683</v>
      </c>
    </row>
    <row r="2967" spans="1:15" x14ac:dyDescent="0.45">
      <c r="A2967" t="s">
        <v>10226</v>
      </c>
      <c r="B2967" t="s">
        <v>10227</v>
      </c>
      <c r="C2967" t="s">
        <v>10228</v>
      </c>
      <c r="D2967" t="s">
        <v>449</v>
      </c>
      <c r="E2967" s="1">
        <v>46140.516643518517</v>
      </c>
      <c r="F2967">
        <v>1547</v>
      </c>
      <c r="G2967" t="s">
        <v>10229</v>
      </c>
      <c r="H2967" t="s">
        <v>15</v>
      </c>
      <c r="I2967" t="s">
        <v>451</v>
      </c>
      <c r="J2967" t="str">
        <f>RIGHT(D2967,4)</f>
        <v>6452</v>
      </c>
      <c r="K2967" t="str">
        <f>IFERROR(VLOOKUP(VALUE(J2967),'Site Info'!$A:$G,3,FALSE),"")</f>
        <v>645 PATTON AVE</v>
      </c>
      <c r="L2967" t="str">
        <f>IFERROR(VLOOKUP(VALUE(J2967),'Site Info'!$A:$G,4,FALSE),"")</f>
        <v>ASHEVILLE</v>
      </c>
      <c r="M2967" t="str">
        <f>IFERROR(VLOOKUP(VALUE(J2967),'Site Info'!$A:$G,5,FALSE),"")</f>
        <v>NC</v>
      </c>
      <c r="N2967" t="str">
        <f>IFERROR(VLOOKUP(VALUE(J2967),'Site Info'!$A:$G,6,FALSE),"")</f>
        <v>28806-3834</v>
      </c>
      <c r="O2967">
        <f>IFERROR(VLOOKUP(VALUE(J2967),'Site Info'!$A:$G,7,FALSE),"")</f>
        <v>8282519791</v>
      </c>
    </row>
    <row r="2968" spans="1:15" x14ac:dyDescent="0.45">
      <c r="A2968" t="s">
        <v>10124</v>
      </c>
      <c r="B2968" t="s">
        <v>10125</v>
      </c>
      <c r="C2968" t="s">
        <v>10126</v>
      </c>
      <c r="D2968" t="s">
        <v>449</v>
      </c>
      <c r="E2968" s="1">
        <v>46153.369837962964</v>
      </c>
      <c r="F2968">
        <v>1547</v>
      </c>
      <c r="G2968" t="s">
        <v>10127</v>
      </c>
      <c r="H2968" t="s">
        <v>15</v>
      </c>
      <c r="I2968" t="s">
        <v>451</v>
      </c>
      <c r="J2968" t="str">
        <f>RIGHT(D2968,4)</f>
        <v>6452</v>
      </c>
      <c r="K2968" t="str">
        <f>IFERROR(VLOOKUP(VALUE(J2968),'Site Info'!$A:$G,3,FALSE),"")</f>
        <v>645 PATTON AVE</v>
      </c>
      <c r="L2968" t="str">
        <f>IFERROR(VLOOKUP(VALUE(J2968),'Site Info'!$A:$G,4,FALSE),"")</f>
        <v>ASHEVILLE</v>
      </c>
      <c r="M2968" t="str">
        <f>IFERROR(VLOOKUP(VALUE(J2968),'Site Info'!$A:$G,5,FALSE),"")</f>
        <v>NC</v>
      </c>
      <c r="N2968" t="str">
        <f>IFERROR(VLOOKUP(VALUE(J2968),'Site Info'!$A:$G,6,FALSE),"")</f>
        <v>28806-3834</v>
      </c>
      <c r="O2968">
        <f>IFERROR(VLOOKUP(VALUE(J2968),'Site Info'!$A:$G,7,FALSE),"")</f>
        <v>8282519791</v>
      </c>
    </row>
    <row r="2969" spans="1:15" x14ac:dyDescent="0.45">
      <c r="A2969" t="s">
        <v>10953</v>
      </c>
      <c r="B2969" t="s">
        <v>10954</v>
      </c>
      <c r="C2969" t="s">
        <v>10955</v>
      </c>
      <c r="D2969" t="s">
        <v>449</v>
      </c>
      <c r="E2969" s="1">
        <v>46153.370821759258</v>
      </c>
      <c r="F2969">
        <v>1547</v>
      </c>
      <c r="G2969" t="s">
        <v>10956</v>
      </c>
      <c r="H2969" t="s">
        <v>15</v>
      </c>
      <c r="I2969" t="s">
        <v>451</v>
      </c>
      <c r="J2969" t="str">
        <f>RIGHT(D2969,4)</f>
        <v>6452</v>
      </c>
      <c r="K2969" t="str">
        <f>IFERROR(VLOOKUP(VALUE(J2969),'Site Info'!$A:$G,3,FALSE),"")</f>
        <v>645 PATTON AVE</v>
      </c>
      <c r="L2969" t="str">
        <f>IFERROR(VLOOKUP(VALUE(J2969),'Site Info'!$A:$G,4,FALSE),"")</f>
        <v>ASHEVILLE</v>
      </c>
      <c r="M2969" t="str">
        <f>IFERROR(VLOOKUP(VALUE(J2969),'Site Info'!$A:$G,5,FALSE),"")</f>
        <v>NC</v>
      </c>
      <c r="N2969" t="str">
        <f>IFERROR(VLOOKUP(VALUE(J2969),'Site Info'!$A:$G,6,FALSE),"")</f>
        <v>28806-3834</v>
      </c>
      <c r="O2969">
        <f>IFERROR(VLOOKUP(VALUE(J2969),'Site Info'!$A:$G,7,FALSE),"")</f>
        <v>8282519791</v>
      </c>
    </row>
    <row r="2970" spans="1:15" x14ac:dyDescent="0.45">
      <c r="A2970" t="s">
        <v>10160</v>
      </c>
      <c r="B2970" t="s">
        <v>10161</v>
      </c>
      <c r="C2970" t="s">
        <v>10162</v>
      </c>
      <c r="D2970" t="s">
        <v>449</v>
      </c>
      <c r="E2970" s="1">
        <v>46153.371666666666</v>
      </c>
      <c r="F2970">
        <v>1547</v>
      </c>
      <c r="G2970" t="s">
        <v>10163</v>
      </c>
      <c r="H2970" t="s">
        <v>15</v>
      </c>
      <c r="I2970" t="s">
        <v>451</v>
      </c>
      <c r="J2970" t="str">
        <f>RIGHT(D2970,4)</f>
        <v>6452</v>
      </c>
      <c r="K2970" t="str">
        <f>IFERROR(VLOOKUP(VALUE(J2970),'Site Info'!$A:$G,3,FALSE),"")</f>
        <v>645 PATTON AVE</v>
      </c>
      <c r="L2970" t="str">
        <f>IFERROR(VLOOKUP(VALUE(J2970),'Site Info'!$A:$G,4,FALSE),"")</f>
        <v>ASHEVILLE</v>
      </c>
      <c r="M2970" t="str">
        <f>IFERROR(VLOOKUP(VALUE(J2970),'Site Info'!$A:$G,5,FALSE),"")</f>
        <v>NC</v>
      </c>
      <c r="N2970" t="str">
        <f>IFERROR(VLOOKUP(VALUE(J2970),'Site Info'!$A:$G,6,FALSE),"")</f>
        <v>28806-3834</v>
      </c>
      <c r="O2970">
        <f>IFERROR(VLOOKUP(VALUE(J2970),'Site Info'!$A:$G,7,FALSE),"")</f>
        <v>8282519791</v>
      </c>
    </row>
    <row r="2971" spans="1:15" x14ac:dyDescent="0.45">
      <c r="A2971" t="s">
        <v>720</v>
      </c>
      <c r="B2971" t="s">
        <v>721</v>
      </c>
      <c r="C2971" t="s">
        <v>722</v>
      </c>
      <c r="D2971" t="s">
        <v>449</v>
      </c>
      <c r="E2971" s="1">
        <v>46150.251574074071</v>
      </c>
      <c r="F2971">
        <v>1481</v>
      </c>
      <c r="G2971" t="s">
        <v>723</v>
      </c>
      <c r="H2971" t="s">
        <v>15</v>
      </c>
      <c r="I2971" t="s">
        <v>451</v>
      </c>
      <c r="J2971" t="str">
        <f>RIGHT(D2971,4)</f>
        <v>6452</v>
      </c>
      <c r="K2971" t="str">
        <f>IFERROR(VLOOKUP(VALUE(J2971),'Site Info'!$A:$G,3,FALSE),"")</f>
        <v>645 PATTON AVE</v>
      </c>
      <c r="L2971" t="str">
        <f>IFERROR(VLOOKUP(VALUE(J2971),'Site Info'!$A:$G,4,FALSE),"")</f>
        <v>ASHEVILLE</v>
      </c>
      <c r="M2971" t="str">
        <f>IFERROR(VLOOKUP(VALUE(J2971),'Site Info'!$A:$G,5,FALSE),"")</f>
        <v>NC</v>
      </c>
      <c r="N2971" t="str">
        <f>IFERROR(VLOOKUP(VALUE(J2971),'Site Info'!$A:$G,6,FALSE),"")</f>
        <v>28806-3834</v>
      </c>
      <c r="O2971">
        <f>IFERROR(VLOOKUP(VALUE(J2971),'Site Info'!$A:$G,7,FALSE),"")</f>
        <v>8282519791</v>
      </c>
    </row>
    <row r="2972" spans="1:15" x14ac:dyDescent="0.45">
      <c r="A2972" t="s">
        <v>446</v>
      </c>
      <c r="B2972" t="s">
        <v>447</v>
      </c>
      <c r="C2972" t="s">
        <v>448</v>
      </c>
      <c r="D2972" t="s">
        <v>449</v>
      </c>
      <c r="E2972" s="1">
        <v>46151.835150462961</v>
      </c>
      <c r="F2972">
        <v>1481</v>
      </c>
      <c r="G2972" t="s">
        <v>450</v>
      </c>
      <c r="H2972" t="s">
        <v>15</v>
      </c>
      <c r="I2972" t="s">
        <v>451</v>
      </c>
      <c r="J2972" t="str">
        <f>RIGHT(D2972,4)</f>
        <v>6452</v>
      </c>
      <c r="K2972" t="str">
        <f>IFERROR(VLOOKUP(VALUE(J2972),'Site Info'!$A:$G,3,FALSE),"")</f>
        <v>645 PATTON AVE</v>
      </c>
      <c r="L2972" t="str">
        <f>IFERROR(VLOOKUP(VALUE(J2972),'Site Info'!$A:$G,4,FALSE),"")</f>
        <v>ASHEVILLE</v>
      </c>
      <c r="M2972" t="str">
        <f>IFERROR(VLOOKUP(VALUE(J2972),'Site Info'!$A:$G,5,FALSE),"")</f>
        <v>NC</v>
      </c>
      <c r="N2972" t="str">
        <f>IFERROR(VLOOKUP(VALUE(J2972),'Site Info'!$A:$G,6,FALSE),"")</f>
        <v>28806-3834</v>
      </c>
      <c r="O2972">
        <f>IFERROR(VLOOKUP(VALUE(J2972),'Site Info'!$A:$G,7,FALSE),"")</f>
        <v>8282519791</v>
      </c>
    </row>
    <row r="2973" spans="1:15" x14ac:dyDescent="0.45">
      <c r="A2973" t="s">
        <v>16504</v>
      </c>
      <c r="B2973" t="s">
        <v>16889</v>
      </c>
      <c r="C2973" t="s">
        <v>16890</v>
      </c>
      <c r="D2973" t="s">
        <v>449</v>
      </c>
      <c r="E2973" s="1">
        <v>46153.378263888888</v>
      </c>
      <c r="F2973">
        <v>1628</v>
      </c>
      <c r="G2973" t="s">
        <v>16891</v>
      </c>
      <c r="H2973" t="s">
        <v>13988</v>
      </c>
      <c r="I2973" t="s">
        <v>451</v>
      </c>
      <c r="J2973" t="str">
        <f>RIGHT(D2973,4)</f>
        <v>6452</v>
      </c>
      <c r="K2973" t="str">
        <f>IFERROR(VLOOKUP(VALUE(J2973),'Site Info'!$A:$G,3,FALSE),"")</f>
        <v>645 PATTON AVE</v>
      </c>
      <c r="L2973" t="str">
        <f>IFERROR(VLOOKUP(VALUE(J2973),'Site Info'!$A:$G,4,FALSE),"")</f>
        <v>ASHEVILLE</v>
      </c>
      <c r="M2973" t="str">
        <f>IFERROR(VLOOKUP(VALUE(J2973),'Site Info'!$A:$G,5,FALSE),"")</f>
        <v>NC</v>
      </c>
      <c r="N2973" t="str">
        <f>IFERROR(VLOOKUP(VALUE(J2973),'Site Info'!$A:$G,6,FALSE),"")</f>
        <v>28806-3834</v>
      </c>
      <c r="O2973">
        <f>IFERROR(VLOOKUP(VALUE(J2973),'Site Info'!$A:$G,7,FALSE),"")</f>
        <v>8282519791</v>
      </c>
    </row>
    <row r="2974" spans="1:15" x14ac:dyDescent="0.45">
      <c r="A2974" t="s">
        <v>10849</v>
      </c>
      <c r="B2974" t="s">
        <v>10850</v>
      </c>
      <c r="C2974" t="s">
        <v>10851</v>
      </c>
      <c r="D2974" t="s">
        <v>1697</v>
      </c>
      <c r="E2974" s="1">
        <v>46151.555219907408</v>
      </c>
      <c r="F2974">
        <v>1547</v>
      </c>
      <c r="G2974" t="s">
        <v>10852</v>
      </c>
      <c r="H2974" t="s">
        <v>15</v>
      </c>
      <c r="I2974" t="s">
        <v>1699</v>
      </c>
      <c r="J2974" t="str">
        <f>RIGHT(D2974,4)</f>
        <v>4917</v>
      </c>
      <c r="K2974" t="str">
        <f>IFERROR(VLOOKUP(VALUE(J2974),'Site Info'!$A:$G,3,FALSE),"")</f>
        <v>646 RIVER HWY</v>
      </c>
      <c r="L2974" t="str">
        <f>IFERROR(VLOOKUP(VALUE(J2974),'Site Info'!$A:$G,4,FALSE),"")</f>
        <v>MOORESVILLE</v>
      </c>
      <c r="M2974" t="str">
        <f>IFERROR(VLOOKUP(VALUE(J2974),'Site Info'!$A:$G,5,FALSE),"")</f>
        <v>NC</v>
      </c>
      <c r="N2974" t="str">
        <f>IFERROR(VLOOKUP(VALUE(J2974),'Site Info'!$A:$G,6,FALSE),"")</f>
        <v>28117-0000</v>
      </c>
      <c r="O2974">
        <f>IFERROR(VLOOKUP(VALUE(J2974),'Site Info'!$A:$G,7,FALSE),"")</f>
        <v>7043606020</v>
      </c>
    </row>
    <row r="2975" spans="1:15" x14ac:dyDescent="0.45">
      <c r="A2975" t="s">
        <v>9101</v>
      </c>
      <c r="B2975" t="s">
        <v>9102</v>
      </c>
      <c r="C2975" t="s">
        <v>9103</v>
      </c>
      <c r="D2975" t="s">
        <v>1697</v>
      </c>
      <c r="E2975" s="1">
        <v>46153.282349537039</v>
      </c>
      <c r="F2975">
        <v>1547</v>
      </c>
      <c r="G2975" t="s">
        <v>9104</v>
      </c>
      <c r="H2975" t="s">
        <v>15</v>
      </c>
      <c r="I2975" t="s">
        <v>1699</v>
      </c>
      <c r="J2975" t="str">
        <f>RIGHT(D2975,4)</f>
        <v>4917</v>
      </c>
      <c r="K2975" t="str">
        <f>IFERROR(VLOOKUP(VALUE(J2975),'Site Info'!$A:$G,3,FALSE),"")</f>
        <v>646 RIVER HWY</v>
      </c>
      <c r="L2975" t="str">
        <f>IFERROR(VLOOKUP(VALUE(J2975),'Site Info'!$A:$G,4,FALSE),"")</f>
        <v>MOORESVILLE</v>
      </c>
      <c r="M2975" t="str">
        <f>IFERROR(VLOOKUP(VALUE(J2975),'Site Info'!$A:$G,5,FALSE),"")</f>
        <v>NC</v>
      </c>
      <c r="N2975" t="str">
        <f>IFERROR(VLOOKUP(VALUE(J2975),'Site Info'!$A:$G,6,FALSE),"")</f>
        <v>28117-0000</v>
      </c>
      <c r="O2975">
        <f>IFERROR(VLOOKUP(VALUE(J2975),'Site Info'!$A:$G,7,FALSE),"")</f>
        <v>7043606020</v>
      </c>
    </row>
    <row r="2976" spans="1:15" x14ac:dyDescent="0.45">
      <c r="A2976" t="s">
        <v>13695</v>
      </c>
      <c r="B2976" t="s">
        <v>13696</v>
      </c>
      <c r="C2976" t="s">
        <v>13697</v>
      </c>
      <c r="D2976" t="s">
        <v>1697</v>
      </c>
      <c r="E2976" s="1">
        <v>46153.354872685188</v>
      </c>
      <c r="F2976">
        <v>1547</v>
      </c>
      <c r="G2976" t="s">
        <v>13698</v>
      </c>
      <c r="H2976" t="s">
        <v>15</v>
      </c>
      <c r="I2976" t="s">
        <v>1699</v>
      </c>
      <c r="J2976" t="str">
        <f>RIGHT(D2976,4)</f>
        <v>4917</v>
      </c>
      <c r="K2976" t="str">
        <f>IFERROR(VLOOKUP(VALUE(J2976),'Site Info'!$A:$G,3,FALSE),"")</f>
        <v>646 RIVER HWY</v>
      </c>
      <c r="L2976" t="str">
        <f>IFERROR(VLOOKUP(VALUE(J2976),'Site Info'!$A:$G,4,FALSE),"")</f>
        <v>MOORESVILLE</v>
      </c>
      <c r="M2976" t="str">
        <f>IFERROR(VLOOKUP(VALUE(J2976),'Site Info'!$A:$G,5,FALSE),"")</f>
        <v>NC</v>
      </c>
      <c r="N2976" t="str">
        <f>IFERROR(VLOOKUP(VALUE(J2976),'Site Info'!$A:$G,6,FALSE),"")</f>
        <v>28117-0000</v>
      </c>
      <c r="O2976">
        <f>IFERROR(VLOOKUP(VALUE(J2976),'Site Info'!$A:$G,7,FALSE),"")</f>
        <v>7043606020</v>
      </c>
    </row>
    <row r="2977" spans="1:15" x14ac:dyDescent="0.45">
      <c r="A2977" t="s">
        <v>12284</v>
      </c>
      <c r="B2977" t="s">
        <v>12285</v>
      </c>
      <c r="C2977" t="s">
        <v>12286</v>
      </c>
      <c r="D2977" t="s">
        <v>1697</v>
      </c>
      <c r="E2977" s="1">
        <v>46153.370949074073</v>
      </c>
      <c r="F2977">
        <v>1547</v>
      </c>
      <c r="G2977" t="s">
        <v>12287</v>
      </c>
      <c r="H2977" t="s">
        <v>15</v>
      </c>
      <c r="I2977" t="s">
        <v>1699</v>
      </c>
      <c r="J2977" t="str">
        <f>RIGHT(D2977,4)</f>
        <v>4917</v>
      </c>
      <c r="K2977" t="str">
        <f>IFERROR(VLOOKUP(VALUE(J2977),'Site Info'!$A:$G,3,FALSE),"")</f>
        <v>646 RIVER HWY</v>
      </c>
      <c r="L2977" t="str">
        <f>IFERROR(VLOOKUP(VALUE(J2977),'Site Info'!$A:$G,4,FALSE),"")</f>
        <v>MOORESVILLE</v>
      </c>
      <c r="M2977" t="str">
        <f>IFERROR(VLOOKUP(VALUE(J2977),'Site Info'!$A:$G,5,FALSE),"")</f>
        <v>NC</v>
      </c>
      <c r="N2977" t="str">
        <f>IFERROR(VLOOKUP(VALUE(J2977),'Site Info'!$A:$G,6,FALSE),"")</f>
        <v>28117-0000</v>
      </c>
      <c r="O2977">
        <f>IFERROR(VLOOKUP(VALUE(J2977),'Site Info'!$A:$G,7,FALSE),"")</f>
        <v>7043606020</v>
      </c>
    </row>
    <row r="2978" spans="1:15" x14ac:dyDescent="0.45">
      <c r="A2978" t="s">
        <v>12432</v>
      </c>
      <c r="B2978" t="s">
        <v>12433</v>
      </c>
      <c r="C2978" t="s">
        <v>12434</v>
      </c>
      <c r="D2978" t="s">
        <v>1697</v>
      </c>
      <c r="E2978" s="1">
        <v>46153.373622685183</v>
      </c>
      <c r="F2978">
        <v>1547</v>
      </c>
      <c r="G2978" t="s">
        <v>12435</v>
      </c>
      <c r="H2978" t="s">
        <v>15</v>
      </c>
      <c r="I2978" t="s">
        <v>1699</v>
      </c>
      <c r="J2978" t="str">
        <f>RIGHT(D2978,4)</f>
        <v>4917</v>
      </c>
      <c r="K2978" t="str">
        <f>IFERROR(VLOOKUP(VALUE(J2978),'Site Info'!$A:$G,3,FALSE),"")</f>
        <v>646 RIVER HWY</v>
      </c>
      <c r="L2978" t="str">
        <f>IFERROR(VLOOKUP(VALUE(J2978),'Site Info'!$A:$G,4,FALSE),"")</f>
        <v>MOORESVILLE</v>
      </c>
      <c r="M2978" t="str">
        <f>IFERROR(VLOOKUP(VALUE(J2978),'Site Info'!$A:$G,5,FALSE),"")</f>
        <v>NC</v>
      </c>
      <c r="N2978" t="str">
        <f>IFERROR(VLOOKUP(VALUE(J2978),'Site Info'!$A:$G,6,FALSE),"")</f>
        <v>28117-0000</v>
      </c>
      <c r="O2978">
        <f>IFERROR(VLOOKUP(VALUE(J2978),'Site Info'!$A:$G,7,FALSE),"")</f>
        <v>7043606020</v>
      </c>
    </row>
    <row r="2979" spans="1:15" x14ac:dyDescent="0.45">
      <c r="A2979" t="s">
        <v>1694</v>
      </c>
      <c r="B2979" t="s">
        <v>1695</v>
      </c>
      <c r="C2979" t="s">
        <v>1696</v>
      </c>
      <c r="D2979" t="s">
        <v>1697</v>
      </c>
      <c r="E2979" s="1">
        <v>46153.283703703702</v>
      </c>
      <c r="F2979">
        <v>1481</v>
      </c>
      <c r="G2979" t="s">
        <v>1698</v>
      </c>
      <c r="H2979" t="s">
        <v>15</v>
      </c>
      <c r="I2979" t="s">
        <v>1699</v>
      </c>
      <c r="J2979" t="str">
        <f>RIGHT(D2979,4)</f>
        <v>4917</v>
      </c>
      <c r="K2979" t="str">
        <f>IFERROR(VLOOKUP(VALUE(J2979),'Site Info'!$A:$G,3,FALSE),"")</f>
        <v>646 RIVER HWY</v>
      </c>
      <c r="L2979" t="str">
        <f>IFERROR(VLOOKUP(VALUE(J2979),'Site Info'!$A:$G,4,FALSE),"")</f>
        <v>MOORESVILLE</v>
      </c>
      <c r="M2979" t="str">
        <f>IFERROR(VLOOKUP(VALUE(J2979),'Site Info'!$A:$G,5,FALSE),"")</f>
        <v>NC</v>
      </c>
      <c r="N2979" t="str">
        <f>IFERROR(VLOOKUP(VALUE(J2979),'Site Info'!$A:$G,6,FALSE),"")</f>
        <v>28117-0000</v>
      </c>
      <c r="O2979">
        <f>IFERROR(VLOOKUP(VALUE(J2979),'Site Info'!$A:$G,7,FALSE),"")</f>
        <v>7043606020</v>
      </c>
    </row>
    <row r="2980" spans="1:15" x14ac:dyDescent="0.45">
      <c r="A2980" t="s">
        <v>16532</v>
      </c>
      <c r="B2980" t="s">
        <v>16533</v>
      </c>
      <c r="C2980" t="s">
        <v>16534</v>
      </c>
      <c r="D2980" t="s">
        <v>1697</v>
      </c>
      <c r="E2980" s="1">
        <v>46151.340011574073</v>
      </c>
      <c r="F2980">
        <v>1547</v>
      </c>
      <c r="G2980" t="s">
        <v>16535</v>
      </c>
      <c r="H2980" t="s">
        <v>15</v>
      </c>
      <c r="I2980" t="s">
        <v>1699</v>
      </c>
      <c r="J2980" t="str">
        <f>RIGHT(D2980,4)</f>
        <v>4917</v>
      </c>
      <c r="K2980" t="str">
        <f>IFERROR(VLOOKUP(VALUE(J2980),'Site Info'!$A:$G,3,FALSE),"")</f>
        <v>646 RIVER HWY</v>
      </c>
      <c r="L2980" t="str">
        <f>IFERROR(VLOOKUP(VALUE(J2980),'Site Info'!$A:$G,4,FALSE),"")</f>
        <v>MOORESVILLE</v>
      </c>
      <c r="M2980" t="str">
        <f>IFERROR(VLOOKUP(VALUE(J2980),'Site Info'!$A:$G,5,FALSE),"")</f>
        <v>NC</v>
      </c>
      <c r="N2980" t="str">
        <f>IFERROR(VLOOKUP(VALUE(J2980),'Site Info'!$A:$G,6,FALSE),"")</f>
        <v>28117-0000</v>
      </c>
      <c r="O2980">
        <f>IFERROR(VLOOKUP(VALUE(J2980),'Site Info'!$A:$G,7,FALSE),"")</f>
        <v>7043606020</v>
      </c>
    </row>
    <row r="2981" spans="1:15" x14ac:dyDescent="0.45">
      <c r="A2981" t="s">
        <v>8845</v>
      </c>
      <c r="B2981" t="s">
        <v>8846</v>
      </c>
      <c r="C2981" t="s">
        <v>8847</v>
      </c>
      <c r="D2981" t="s">
        <v>2121</v>
      </c>
      <c r="E2981" s="1">
        <v>46151.775509259256</v>
      </c>
      <c r="F2981">
        <v>1547</v>
      </c>
      <c r="G2981" t="s">
        <v>8848</v>
      </c>
      <c r="H2981" t="s">
        <v>15</v>
      </c>
      <c r="I2981" t="s">
        <v>2123</v>
      </c>
      <c r="J2981" t="str">
        <f>RIGHT(D2981,4)</f>
        <v>4994</v>
      </c>
      <c r="K2981" t="str">
        <f>IFERROR(VLOOKUP(VALUE(J2981),'Site Info'!$A:$G,3,FALSE),"")</f>
        <v>6520 CARLISLE PIKE STE 250</v>
      </c>
      <c r="L2981" t="str">
        <f>IFERROR(VLOOKUP(VALUE(J2981),'Site Info'!$A:$G,4,FALSE),"")</f>
        <v>MECHANICSBURG</v>
      </c>
      <c r="M2981" t="str">
        <f>IFERROR(VLOOKUP(VALUE(J2981),'Site Info'!$A:$G,5,FALSE),"")</f>
        <v>PA</v>
      </c>
      <c r="N2981" t="str">
        <f>IFERROR(VLOOKUP(VALUE(J2981),'Site Info'!$A:$G,6,FALSE),"")</f>
        <v>17050-0000</v>
      </c>
      <c r="O2981">
        <f>IFERROR(VLOOKUP(VALUE(J2981),'Site Info'!$A:$G,7,FALSE),"")</f>
        <v>7175163041</v>
      </c>
    </row>
    <row r="2982" spans="1:15" x14ac:dyDescent="0.45">
      <c r="A2982" t="s">
        <v>7214</v>
      </c>
      <c r="B2982" t="s">
        <v>7215</v>
      </c>
      <c r="C2982" t="s">
        <v>7216</v>
      </c>
      <c r="D2982" t="s">
        <v>2121</v>
      </c>
      <c r="E2982" s="1">
        <v>46152.574444444443</v>
      </c>
      <c r="F2982">
        <v>1547</v>
      </c>
      <c r="G2982" t="s">
        <v>7217</v>
      </c>
      <c r="H2982" t="s">
        <v>15</v>
      </c>
      <c r="I2982" t="s">
        <v>2123</v>
      </c>
      <c r="J2982" t="str">
        <f>RIGHT(D2982,4)</f>
        <v>4994</v>
      </c>
      <c r="K2982" t="str">
        <f>IFERROR(VLOOKUP(VALUE(J2982),'Site Info'!$A:$G,3,FALSE),"")</f>
        <v>6520 CARLISLE PIKE STE 250</v>
      </c>
      <c r="L2982" t="str">
        <f>IFERROR(VLOOKUP(VALUE(J2982),'Site Info'!$A:$G,4,FALSE),"")</f>
        <v>MECHANICSBURG</v>
      </c>
      <c r="M2982" t="str">
        <f>IFERROR(VLOOKUP(VALUE(J2982),'Site Info'!$A:$G,5,FALSE),"")</f>
        <v>PA</v>
      </c>
      <c r="N2982" t="str">
        <f>IFERROR(VLOOKUP(VALUE(J2982),'Site Info'!$A:$G,6,FALSE),"")</f>
        <v>17050-0000</v>
      </c>
      <c r="O2982">
        <f>IFERROR(VLOOKUP(VALUE(J2982),'Site Info'!$A:$G,7,FALSE),"")</f>
        <v>7175163041</v>
      </c>
    </row>
    <row r="2983" spans="1:15" x14ac:dyDescent="0.45">
      <c r="A2983" t="s">
        <v>7121</v>
      </c>
      <c r="B2983" t="s">
        <v>7122</v>
      </c>
      <c r="C2983" t="s">
        <v>7123</v>
      </c>
      <c r="D2983" t="s">
        <v>2121</v>
      </c>
      <c r="E2983" s="1">
        <v>46153.321180555555</v>
      </c>
      <c r="F2983">
        <v>1547</v>
      </c>
      <c r="G2983" t="s">
        <v>7124</v>
      </c>
      <c r="H2983" t="s">
        <v>15</v>
      </c>
      <c r="I2983" t="s">
        <v>2123</v>
      </c>
      <c r="J2983" t="str">
        <f>RIGHT(D2983,4)</f>
        <v>4994</v>
      </c>
      <c r="K2983" t="str">
        <f>IFERROR(VLOOKUP(VALUE(J2983),'Site Info'!$A:$G,3,FALSE),"")</f>
        <v>6520 CARLISLE PIKE STE 250</v>
      </c>
      <c r="L2983" t="str">
        <f>IFERROR(VLOOKUP(VALUE(J2983),'Site Info'!$A:$G,4,FALSE),"")</f>
        <v>MECHANICSBURG</v>
      </c>
      <c r="M2983" t="str">
        <f>IFERROR(VLOOKUP(VALUE(J2983),'Site Info'!$A:$G,5,FALSE),"")</f>
        <v>PA</v>
      </c>
      <c r="N2983" t="str">
        <f>IFERROR(VLOOKUP(VALUE(J2983),'Site Info'!$A:$G,6,FALSE),"")</f>
        <v>17050-0000</v>
      </c>
      <c r="O2983">
        <f>IFERROR(VLOOKUP(VALUE(J2983),'Site Info'!$A:$G,7,FALSE),"")</f>
        <v>7175163041</v>
      </c>
    </row>
    <row r="2984" spans="1:15" x14ac:dyDescent="0.45">
      <c r="A2984" t="s">
        <v>7023</v>
      </c>
      <c r="B2984" t="s">
        <v>7024</v>
      </c>
      <c r="C2984" t="s">
        <v>7025</v>
      </c>
      <c r="D2984" t="s">
        <v>2121</v>
      </c>
      <c r="E2984" s="1">
        <v>46153.368402777778</v>
      </c>
      <c r="F2984">
        <v>1547</v>
      </c>
      <c r="G2984" t="s">
        <v>7026</v>
      </c>
      <c r="H2984" t="s">
        <v>15</v>
      </c>
      <c r="I2984" t="s">
        <v>2123</v>
      </c>
      <c r="J2984" t="str">
        <f>RIGHT(D2984,4)</f>
        <v>4994</v>
      </c>
      <c r="K2984" t="str">
        <f>IFERROR(VLOOKUP(VALUE(J2984),'Site Info'!$A:$G,3,FALSE),"")</f>
        <v>6520 CARLISLE PIKE STE 250</v>
      </c>
      <c r="L2984" t="str">
        <f>IFERROR(VLOOKUP(VALUE(J2984),'Site Info'!$A:$G,4,FALSE),"")</f>
        <v>MECHANICSBURG</v>
      </c>
      <c r="M2984" t="str">
        <f>IFERROR(VLOOKUP(VALUE(J2984),'Site Info'!$A:$G,5,FALSE),"")</f>
        <v>PA</v>
      </c>
      <c r="N2984" t="str">
        <f>IFERROR(VLOOKUP(VALUE(J2984),'Site Info'!$A:$G,6,FALSE),"")</f>
        <v>17050-0000</v>
      </c>
      <c r="O2984">
        <f>IFERROR(VLOOKUP(VALUE(J2984),'Site Info'!$A:$G,7,FALSE),"")</f>
        <v>7175163041</v>
      </c>
    </row>
    <row r="2985" spans="1:15" x14ac:dyDescent="0.45">
      <c r="A2985" t="s">
        <v>2118</v>
      </c>
      <c r="B2985" t="s">
        <v>2119</v>
      </c>
      <c r="C2985" t="s">
        <v>2120</v>
      </c>
      <c r="D2985" t="s">
        <v>2121</v>
      </c>
      <c r="E2985" s="1">
        <v>46151.395370370374</v>
      </c>
      <c r="F2985">
        <v>1481</v>
      </c>
      <c r="G2985" t="s">
        <v>2122</v>
      </c>
      <c r="H2985" t="s">
        <v>15</v>
      </c>
      <c r="I2985" t="s">
        <v>2123</v>
      </c>
      <c r="J2985" t="str">
        <f>RIGHT(D2985,4)</f>
        <v>4994</v>
      </c>
      <c r="K2985" t="str">
        <f>IFERROR(VLOOKUP(VALUE(J2985),'Site Info'!$A:$G,3,FALSE),"")</f>
        <v>6520 CARLISLE PIKE STE 250</v>
      </c>
      <c r="L2985" t="str">
        <f>IFERROR(VLOOKUP(VALUE(J2985),'Site Info'!$A:$G,4,FALSE),"")</f>
        <v>MECHANICSBURG</v>
      </c>
      <c r="M2985" t="str">
        <f>IFERROR(VLOOKUP(VALUE(J2985),'Site Info'!$A:$G,5,FALSE),"")</f>
        <v>PA</v>
      </c>
      <c r="N2985" t="str">
        <f>IFERROR(VLOOKUP(VALUE(J2985),'Site Info'!$A:$G,6,FALSE),"")</f>
        <v>17050-0000</v>
      </c>
      <c r="O2985">
        <f>IFERROR(VLOOKUP(VALUE(J2985),'Site Info'!$A:$G,7,FALSE),"")</f>
        <v>7175163041</v>
      </c>
    </row>
    <row r="2986" spans="1:15" x14ac:dyDescent="0.45">
      <c r="A2986" t="s">
        <v>2661</v>
      </c>
      <c r="B2986" t="s">
        <v>2662</v>
      </c>
      <c r="C2986" t="s">
        <v>2663</v>
      </c>
      <c r="D2986" t="s">
        <v>2121</v>
      </c>
      <c r="E2986" s="1">
        <v>46153.289826388886</v>
      </c>
      <c r="F2986">
        <v>1481</v>
      </c>
      <c r="G2986" t="s">
        <v>2664</v>
      </c>
      <c r="H2986" t="s">
        <v>15</v>
      </c>
      <c r="I2986" t="s">
        <v>2123</v>
      </c>
      <c r="J2986" t="str">
        <f>RIGHT(D2986,4)</f>
        <v>4994</v>
      </c>
      <c r="K2986" t="str">
        <f>IFERROR(VLOOKUP(VALUE(J2986),'Site Info'!$A:$G,3,FALSE),"")</f>
        <v>6520 CARLISLE PIKE STE 250</v>
      </c>
      <c r="L2986" t="str">
        <f>IFERROR(VLOOKUP(VALUE(J2986),'Site Info'!$A:$G,4,FALSE),"")</f>
        <v>MECHANICSBURG</v>
      </c>
      <c r="M2986" t="str">
        <f>IFERROR(VLOOKUP(VALUE(J2986),'Site Info'!$A:$G,5,FALSE),"")</f>
        <v>PA</v>
      </c>
      <c r="N2986" t="str">
        <f>IFERROR(VLOOKUP(VALUE(J2986),'Site Info'!$A:$G,6,FALSE),"")</f>
        <v>17050-0000</v>
      </c>
      <c r="O2986">
        <f>IFERROR(VLOOKUP(VALUE(J2986),'Site Info'!$A:$G,7,FALSE),"")</f>
        <v>7175163041</v>
      </c>
    </row>
    <row r="2987" spans="1:15" x14ac:dyDescent="0.45">
      <c r="A2987" t="s">
        <v>4814</v>
      </c>
      <c r="B2987" t="s">
        <v>4815</v>
      </c>
      <c r="C2987" t="s">
        <v>4816</v>
      </c>
      <c r="D2987" t="s">
        <v>2530</v>
      </c>
      <c r="E2987" s="1">
        <v>46152.504050925927</v>
      </c>
      <c r="F2987">
        <v>1547</v>
      </c>
      <c r="G2987" t="s">
        <v>4817</v>
      </c>
      <c r="H2987" t="s">
        <v>15</v>
      </c>
      <c r="I2987" t="s">
        <v>2532</v>
      </c>
      <c r="J2987" t="str">
        <f>RIGHT(D2987,4)</f>
        <v>8241</v>
      </c>
      <c r="K2987" t="str">
        <f>IFERROR(VLOOKUP(VALUE(J2987),'Site Info'!$A:$G,3,FALSE),"")</f>
        <v>6521 SE 29TH ST</v>
      </c>
      <c r="L2987" t="str">
        <f>IFERROR(VLOOKUP(VALUE(J2987),'Site Info'!$A:$G,4,FALSE),"")</f>
        <v>MIDWEST CITY</v>
      </c>
      <c r="M2987" t="str">
        <f>IFERROR(VLOOKUP(VALUE(J2987),'Site Info'!$A:$G,5,FALSE),"")</f>
        <v>OK</v>
      </c>
      <c r="N2987" t="str">
        <f>IFERROR(VLOOKUP(VALUE(J2987),'Site Info'!$A:$G,6,FALSE),"")</f>
        <v>73110-3001</v>
      </c>
      <c r="O2987">
        <f>IFERROR(VLOOKUP(VALUE(J2987),'Site Info'!$A:$G,7,FALSE),"")</f>
        <v>4057410012</v>
      </c>
    </row>
    <row r="2988" spans="1:15" x14ac:dyDescent="0.45">
      <c r="A2988" t="s">
        <v>4412</v>
      </c>
      <c r="B2988" t="s">
        <v>4413</v>
      </c>
      <c r="C2988" t="s">
        <v>4414</v>
      </c>
      <c r="D2988" t="s">
        <v>2530</v>
      </c>
      <c r="E2988" s="1">
        <v>46152.611377314817</v>
      </c>
      <c r="F2988">
        <v>1547</v>
      </c>
      <c r="G2988" t="s">
        <v>4415</v>
      </c>
      <c r="H2988" t="s">
        <v>15</v>
      </c>
      <c r="I2988" t="s">
        <v>2532</v>
      </c>
      <c r="J2988" t="str">
        <f>RIGHT(D2988,4)</f>
        <v>8241</v>
      </c>
      <c r="K2988" t="str">
        <f>IFERROR(VLOOKUP(VALUE(J2988),'Site Info'!$A:$G,3,FALSE),"")</f>
        <v>6521 SE 29TH ST</v>
      </c>
      <c r="L2988" t="str">
        <f>IFERROR(VLOOKUP(VALUE(J2988),'Site Info'!$A:$G,4,FALSE),"")</f>
        <v>MIDWEST CITY</v>
      </c>
      <c r="M2988" t="str">
        <f>IFERROR(VLOOKUP(VALUE(J2988),'Site Info'!$A:$G,5,FALSE),"")</f>
        <v>OK</v>
      </c>
      <c r="N2988" t="str">
        <f>IFERROR(VLOOKUP(VALUE(J2988),'Site Info'!$A:$G,6,FALSE),"")</f>
        <v>73110-3001</v>
      </c>
      <c r="O2988">
        <f>IFERROR(VLOOKUP(VALUE(J2988),'Site Info'!$A:$G,7,FALSE),"")</f>
        <v>4057410012</v>
      </c>
    </row>
    <row r="2989" spans="1:15" x14ac:dyDescent="0.45">
      <c r="A2989" t="s">
        <v>4400</v>
      </c>
      <c r="B2989" t="s">
        <v>4401</v>
      </c>
      <c r="C2989" t="s">
        <v>4402</v>
      </c>
      <c r="D2989" t="s">
        <v>2530</v>
      </c>
      <c r="E2989" s="1">
        <v>46152.759618055556</v>
      </c>
      <c r="F2989">
        <v>1547</v>
      </c>
      <c r="G2989" t="s">
        <v>4403</v>
      </c>
      <c r="H2989" t="s">
        <v>15</v>
      </c>
      <c r="I2989" t="s">
        <v>2532</v>
      </c>
      <c r="J2989" t="str">
        <f>RIGHT(D2989,4)</f>
        <v>8241</v>
      </c>
      <c r="K2989" t="str">
        <f>IFERROR(VLOOKUP(VALUE(J2989),'Site Info'!$A:$G,3,FALSE),"")</f>
        <v>6521 SE 29TH ST</v>
      </c>
      <c r="L2989" t="str">
        <f>IFERROR(VLOOKUP(VALUE(J2989),'Site Info'!$A:$G,4,FALSE),"")</f>
        <v>MIDWEST CITY</v>
      </c>
      <c r="M2989" t="str">
        <f>IFERROR(VLOOKUP(VALUE(J2989),'Site Info'!$A:$G,5,FALSE),"")</f>
        <v>OK</v>
      </c>
      <c r="N2989" t="str">
        <f>IFERROR(VLOOKUP(VALUE(J2989),'Site Info'!$A:$G,6,FALSE),"")</f>
        <v>73110-3001</v>
      </c>
      <c r="O2989">
        <f>IFERROR(VLOOKUP(VALUE(J2989),'Site Info'!$A:$G,7,FALSE),"")</f>
        <v>4057410012</v>
      </c>
    </row>
    <row r="2990" spans="1:15" x14ac:dyDescent="0.45">
      <c r="A2990" t="s">
        <v>2527</v>
      </c>
      <c r="B2990" t="s">
        <v>2528</v>
      </c>
      <c r="C2990" t="s">
        <v>2529</v>
      </c>
      <c r="D2990" t="s">
        <v>2530</v>
      </c>
      <c r="E2990" s="1">
        <v>46153.193333333336</v>
      </c>
      <c r="F2990">
        <v>1481</v>
      </c>
      <c r="G2990" t="s">
        <v>2531</v>
      </c>
      <c r="H2990" t="s">
        <v>15</v>
      </c>
      <c r="I2990" t="s">
        <v>2532</v>
      </c>
      <c r="J2990" t="str">
        <f>RIGHT(D2990,4)</f>
        <v>8241</v>
      </c>
      <c r="K2990" t="str">
        <f>IFERROR(VLOOKUP(VALUE(J2990),'Site Info'!$A:$G,3,FALSE),"")</f>
        <v>6521 SE 29TH ST</v>
      </c>
      <c r="L2990" t="str">
        <f>IFERROR(VLOOKUP(VALUE(J2990),'Site Info'!$A:$G,4,FALSE),"")</f>
        <v>MIDWEST CITY</v>
      </c>
      <c r="M2990" t="str">
        <f>IFERROR(VLOOKUP(VALUE(J2990),'Site Info'!$A:$G,5,FALSE),"")</f>
        <v>OK</v>
      </c>
      <c r="N2990" t="str">
        <f>IFERROR(VLOOKUP(VALUE(J2990),'Site Info'!$A:$G,6,FALSE),"")</f>
        <v>73110-3001</v>
      </c>
      <c r="O2990">
        <f>IFERROR(VLOOKUP(VALUE(J2990),'Site Info'!$A:$G,7,FALSE),"")</f>
        <v>4057410012</v>
      </c>
    </row>
    <row r="2991" spans="1:15" x14ac:dyDescent="0.45">
      <c r="A2991" t="s">
        <v>14632</v>
      </c>
      <c r="B2991" t="s">
        <v>17203</v>
      </c>
      <c r="C2991" t="s">
        <v>17204</v>
      </c>
      <c r="D2991" t="s">
        <v>2530</v>
      </c>
      <c r="E2991" s="1">
        <v>46151.726446759261</v>
      </c>
      <c r="F2991">
        <v>1863</v>
      </c>
      <c r="G2991" t="s">
        <v>17205</v>
      </c>
      <c r="H2991" t="s">
        <v>136</v>
      </c>
      <c r="I2991" t="s">
        <v>2532</v>
      </c>
      <c r="J2991" t="str">
        <f>RIGHT(D2991,4)</f>
        <v>8241</v>
      </c>
      <c r="K2991" t="str">
        <f>IFERROR(VLOOKUP(VALUE(J2991),'Site Info'!$A:$G,3,FALSE),"")</f>
        <v>6521 SE 29TH ST</v>
      </c>
      <c r="L2991" t="str">
        <f>IFERROR(VLOOKUP(VALUE(J2991),'Site Info'!$A:$G,4,FALSE),"")</f>
        <v>MIDWEST CITY</v>
      </c>
      <c r="M2991" t="str">
        <f>IFERROR(VLOOKUP(VALUE(J2991),'Site Info'!$A:$G,5,FALSE),"")</f>
        <v>OK</v>
      </c>
      <c r="N2991" t="str">
        <f>IFERROR(VLOOKUP(VALUE(J2991),'Site Info'!$A:$G,6,FALSE),"")</f>
        <v>73110-3001</v>
      </c>
      <c r="O2991">
        <f>IFERROR(VLOOKUP(VALUE(J2991),'Site Info'!$A:$G,7,FALSE),"")</f>
        <v>4057410012</v>
      </c>
    </row>
    <row r="2992" spans="1:15" x14ac:dyDescent="0.45">
      <c r="A2992" t="s">
        <v>16512</v>
      </c>
      <c r="B2992" t="s">
        <v>17206</v>
      </c>
      <c r="C2992" t="s">
        <v>17207</v>
      </c>
      <c r="D2992" t="s">
        <v>2530</v>
      </c>
      <c r="E2992" s="1">
        <v>46151.749166666668</v>
      </c>
      <c r="F2992">
        <v>1863</v>
      </c>
      <c r="G2992" t="s">
        <v>17208</v>
      </c>
      <c r="H2992" t="s">
        <v>136</v>
      </c>
      <c r="I2992" t="s">
        <v>2532</v>
      </c>
      <c r="J2992" t="str">
        <f>RIGHT(D2992,4)</f>
        <v>8241</v>
      </c>
      <c r="K2992" t="str">
        <f>IFERROR(VLOOKUP(VALUE(J2992),'Site Info'!$A:$G,3,FALSE),"")</f>
        <v>6521 SE 29TH ST</v>
      </c>
      <c r="L2992" t="str">
        <f>IFERROR(VLOOKUP(VALUE(J2992),'Site Info'!$A:$G,4,FALSE),"")</f>
        <v>MIDWEST CITY</v>
      </c>
      <c r="M2992" t="str">
        <f>IFERROR(VLOOKUP(VALUE(J2992),'Site Info'!$A:$G,5,FALSE),"")</f>
        <v>OK</v>
      </c>
      <c r="N2992" t="str">
        <f>IFERROR(VLOOKUP(VALUE(J2992),'Site Info'!$A:$G,6,FALSE),"")</f>
        <v>73110-3001</v>
      </c>
      <c r="O2992">
        <f>IFERROR(VLOOKUP(VALUE(J2992),'Site Info'!$A:$G,7,FALSE),"")</f>
        <v>4057410012</v>
      </c>
    </row>
    <row r="2993" spans="1:15" x14ac:dyDescent="0.45">
      <c r="A2993" t="s">
        <v>14245</v>
      </c>
      <c r="B2993" t="s">
        <v>14246</v>
      </c>
      <c r="C2993" t="s">
        <v>14247</v>
      </c>
      <c r="D2993" t="s">
        <v>4193</v>
      </c>
      <c r="E2993" s="1">
        <v>46153.350127314814</v>
      </c>
      <c r="F2993">
        <v>1863</v>
      </c>
      <c r="G2993" t="s">
        <v>14248</v>
      </c>
      <c r="H2993" t="s">
        <v>136</v>
      </c>
      <c r="I2993" t="s">
        <v>4195</v>
      </c>
      <c r="J2993" t="str">
        <f>RIGHT(D2993,4)</f>
        <v>6683</v>
      </c>
      <c r="K2993" t="str">
        <f>IFERROR(VLOOKUP(VALUE(J2993),'Site Info'!$A:$G,3,FALSE),"")</f>
        <v>6525 S STATE ST</v>
      </c>
      <c r="L2993" t="str">
        <f>IFERROR(VLOOKUP(VALUE(J2993),'Site Info'!$A:$G,4,FALSE),"")</f>
        <v>MURRAY</v>
      </c>
      <c r="M2993" t="str">
        <f>IFERROR(VLOOKUP(VALUE(J2993),'Site Info'!$A:$G,5,FALSE),"")</f>
        <v>UT</v>
      </c>
      <c r="N2993" t="str">
        <f>IFERROR(VLOOKUP(VALUE(J2993),'Site Info'!$A:$G,6,FALSE),"")</f>
        <v>84107-7218</v>
      </c>
      <c r="O2993">
        <f>IFERROR(VLOOKUP(VALUE(J2993),'Site Info'!$A:$G,7,FALSE),"")</f>
        <v>8012626444</v>
      </c>
    </row>
    <row r="2994" spans="1:15" x14ac:dyDescent="0.45">
      <c r="A2994" t="s">
        <v>4254</v>
      </c>
      <c r="B2994" t="s">
        <v>4255</v>
      </c>
      <c r="C2994" t="s">
        <v>4256</v>
      </c>
      <c r="D2994" t="s">
        <v>4193</v>
      </c>
      <c r="E2994" s="1">
        <v>46153.36928240741</v>
      </c>
      <c r="F2994">
        <v>1548</v>
      </c>
      <c r="G2994" t="s">
        <v>4257</v>
      </c>
      <c r="H2994" t="s">
        <v>15</v>
      </c>
      <c r="I2994" t="s">
        <v>4195</v>
      </c>
      <c r="J2994" t="str">
        <f>RIGHT(D2994,4)</f>
        <v>6683</v>
      </c>
      <c r="K2994" t="str">
        <f>IFERROR(VLOOKUP(VALUE(J2994),'Site Info'!$A:$G,3,FALSE),"")</f>
        <v>6525 S STATE ST</v>
      </c>
      <c r="L2994" t="str">
        <f>IFERROR(VLOOKUP(VALUE(J2994),'Site Info'!$A:$G,4,FALSE),"")</f>
        <v>MURRAY</v>
      </c>
      <c r="M2994" t="str">
        <f>IFERROR(VLOOKUP(VALUE(J2994),'Site Info'!$A:$G,5,FALSE),"")</f>
        <v>UT</v>
      </c>
      <c r="N2994" t="str">
        <f>IFERROR(VLOOKUP(VALUE(J2994),'Site Info'!$A:$G,6,FALSE),"")</f>
        <v>84107-7218</v>
      </c>
      <c r="O2994">
        <f>IFERROR(VLOOKUP(VALUE(J2994),'Site Info'!$A:$G,7,FALSE),"")</f>
        <v>8012626444</v>
      </c>
    </row>
    <row r="2995" spans="1:15" x14ac:dyDescent="0.45">
      <c r="A2995" t="s">
        <v>7312</v>
      </c>
      <c r="B2995" t="s">
        <v>7313</v>
      </c>
      <c r="C2995" t="s">
        <v>7314</v>
      </c>
      <c r="D2995" t="s">
        <v>4193</v>
      </c>
      <c r="E2995" s="1">
        <v>46147.71199074074</v>
      </c>
      <c r="F2995">
        <v>1547</v>
      </c>
      <c r="G2995" t="s">
        <v>7315</v>
      </c>
      <c r="H2995" t="s">
        <v>15</v>
      </c>
      <c r="I2995" t="s">
        <v>4195</v>
      </c>
      <c r="J2995" t="str">
        <f>RIGHT(D2995,4)</f>
        <v>6683</v>
      </c>
      <c r="K2995" t="str">
        <f>IFERROR(VLOOKUP(VALUE(J2995),'Site Info'!$A:$G,3,FALSE),"")</f>
        <v>6525 S STATE ST</v>
      </c>
      <c r="L2995" t="str">
        <f>IFERROR(VLOOKUP(VALUE(J2995),'Site Info'!$A:$G,4,FALSE),"")</f>
        <v>MURRAY</v>
      </c>
      <c r="M2995" t="str">
        <f>IFERROR(VLOOKUP(VALUE(J2995),'Site Info'!$A:$G,5,FALSE),"")</f>
        <v>UT</v>
      </c>
      <c r="N2995" t="str">
        <f>IFERROR(VLOOKUP(VALUE(J2995),'Site Info'!$A:$G,6,FALSE),"")</f>
        <v>84107-7218</v>
      </c>
      <c r="O2995">
        <f>IFERROR(VLOOKUP(VALUE(J2995),'Site Info'!$A:$G,7,FALSE),"")</f>
        <v>8012626444</v>
      </c>
    </row>
    <row r="2996" spans="1:15" x14ac:dyDescent="0.45">
      <c r="A2996" t="s">
        <v>4190</v>
      </c>
      <c r="B2996" t="s">
        <v>4191</v>
      </c>
      <c r="C2996" t="s">
        <v>4192</v>
      </c>
      <c r="D2996" t="s">
        <v>4193</v>
      </c>
      <c r="E2996" s="1">
        <v>46151.826111111113</v>
      </c>
      <c r="F2996">
        <v>1547</v>
      </c>
      <c r="G2996" t="s">
        <v>4194</v>
      </c>
      <c r="H2996" t="s">
        <v>15</v>
      </c>
      <c r="I2996" t="s">
        <v>4195</v>
      </c>
      <c r="J2996" t="str">
        <f>RIGHT(D2996,4)</f>
        <v>6683</v>
      </c>
      <c r="K2996" t="str">
        <f>IFERROR(VLOOKUP(VALUE(J2996),'Site Info'!$A:$G,3,FALSE),"")</f>
        <v>6525 S STATE ST</v>
      </c>
      <c r="L2996" t="str">
        <f>IFERROR(VLOOKUP(VALUE(J2996),'Site Info'!$A:$G,4,FALSE),"")</f>
        <v>MURRAY</v>
      </c>
      <c r="M2996" t="str">
        <f>IFERROR(VLOOKUP(VALUE(J2996),'Site Info'!$A:$G,5,FALSE),"")</f>
        <v>UT</v>
      </c>
      <c r="N2996" t="str">
        <f>IFERROR(VLOOKUP(VALUE(J2996),'Site Info'!$A:$G,6,FALSE),"")</f>
        <v>84107-7218</v>
      </c>
      <c r="O2996">
        <f>IFERROR(VLOOKUP(VALUE(J2996),'Site Info'!$A:$G,7,FALSE),"")</f>
        <v>8012626444</v>
      </c>
    </row>
    <row r="2997" spans="1:15" x14ac:dyDescent="0.45">
      <c r="A2997" t="s">
        <v>4292</v>
      </c>
      <c r="B2997" t="s">
        <v>4293</v>
      </c>
      <c r="C2997" t="s">
        <v>4294</v>
      </c>
      <c r="D2997" t="s">
        <v>4193</v>
      </c>
      <c r="E2997" s="1">
        <v>46152.938217592593</v>
      </c>
      <c r="F2997">
        <v>1547</v>
      </c>
      <c r="G2997" t="s">
        <v>4295</v>
      </c>
      <c r="H2997" t="s">
        <v>15</v>
      </c>
      <c r="I2997" t="s">
        <v>4195</v>
      </c>
      <c r="J2997" t="str">
        <f>RIGHT(D2997,4)</f>
        <v>6683</v>
      </c>
      <c r="K2997" t="str">
        <f>IFERROR(VLOOKUP(VALUE(J2997),'Site Info'!$A:$G,3,FALSE),"")</f>
        <v>6525 S STATE ST</v>
      </c>
      <c r="L2997" t="str">
        <f>IFERROR(VLOOKUP(VALUE(J2997),'Site Info'!$A:$G,4,FALSE),"")</f>
        <v>MURRAY</v>
      </c>
      <c r="M2997" t="str">
        <f>IFERROR(VLOOKUP(VALUE(J2997),'Site Info'!$A:$G,5,FALSE),"")</f>
        <v>UT</v>
      </c>
      <c r="N2997" t="str">
        <f>IFERROR(VLOOKUP(VALUE(J2997),'Site Info'!$A:$G,6,FALSE),"")</f>
        <v>84107-7218</v>
      </c>
      <c r="O2997">
        <f>IFERROR(VLOOKUP(VALUE(J2997),'Site Info'!$A:$G,7,FALSE),"")</f>
        <v>8012626444</v>
      </c>
    </row>
    <row r="2998" spans="1:15" x14ac:dyDescent="0.45">
      <c r="A2998" t="s">
        <v>7515</v>
      </c>
      <c r="B2998" t="s">
        <v>7516</v>
      </c>
      <c r="C2998" t="s">
        <v>7517</v>
      </c>
      <c r="D2998" t="s">
        <v>4193</v>
      </c>
      <c r="E2998" s="1">
        <v>46153.295092592591</v>
      </c>
      <c r="F2998">
        <v>1547</v>
      </c>
      <c r="G2998" t="s">
        <v>7518</v>
      </c>
      <c r="H2998" t="s">
        <v>15</v>
      </c>
      <c r="I2998" t="s">
        <v>4195</v>
      </c>
      <c r="J2998" t="str">
        <f>RIGHT(D2998,4)</f>
        <v>6683</v>
      </c>
      <c r="K2998" t="str">
        <f>IFERROR(VLOOKUP(VALUE(J2998),'Site Info'!$A:$G,3,FALSE),"")</f>
        <v>6525 S STATE ST</v>
      </c>
      <c r="L2998" t="str">
        <f>IFERROR(VLOOKUP(VALUE(J2998),'Site Info'!$A:$G,4,FALSE),"")</f>
        <v>MURRAY</v>
      </c>
      <c r="M2998" t="str">
        <f>IFERROR(VLOOKUP(VALUE(J2998),'Site Info'!$A:$G,5,FALSE),"")</f>
        <v>UT</v>
      </c>
      <c r="N2998" t="str">
        <f>IFERROR(VLOOKUP(VALUE(J2998),'Site Info'!$A:$G,6,FALSE),"")</f>
        <v>84107-7218</v>
      </c>
      <c r="O2998">
        <f>IFERROR(VLOOKUP(VALUE(J2998),'Site Info'!$A:$G,7,FALSE),"")</f>
        <v>8012626444</v>
      </c>
    </row>
    <row r="2999" spans="1:15" x14ac:dyDescent="0.45">
      <c r="A2999" t="s">
        <v>4284</v>
      </c>
      <c r="B2999" t="s">
        <v>4285</v>
      </c>
      <c r="C2999" t="s">
        <v>4286</v>
      </c>
      <c r="D2999" t="s">
        <v>4193</v>
      </c>
      <c r="E2999" s="1">
        <v>46153.370138888888</v>
      </c>
      <c r="F2999">
        <v>1547</v>
      </c>
      <c r="G2999" t="s">
        <v>4287</v>
      </c>
      <c r="H2999" t="s">
        <v>15</v>
      </c>
      <c r="I2999" t="s">
        <v>4195</v>
      </c>
      <c r="J2999" t="str">
        <f>RIGHT(D2999,4)</f>
        <v>6683</v>
      </c>
      <c r="K2999" t="str">
        <f>IFERROR(VLOOKUP(VALUE(J2999),'Site Info'!$A:$G,3,FALSE),"")</f>
        <v>6525 S STATE ST</v>
      </c>
      <c r="L2999" t="str">
        <f>IFERROR(VLOOKUP(VALUE(J2999),'Site Info'!$A:$G,4,FALSE),"")</f>
        <v>MURRAY</v>
      </c>
      <c r="M2999" t="str">
        <f>IFERROR(VLOOKUP(VALUE(J2999),'Site Info'!$A:$G,5,FALSE),"")</f>
        <v>UT</v>
      </c>
      <c r="N2999" t="str">
        <f>IFERROR(VLOOKUP(VALUE(J2999),'Site Info'!$A:$G,6,FALSE),"")</f>
        <v>84107-7218</v>
      </c>
      <c r="O2999">
        <f>IFERROR(VLOOKUP(VALUE(J2999),'Site Info'!$A:$G,7,FALSE),"")</f>
        <v>8012626444</v>
      </c>
    </row>
    <row r="3000" spans="1:15" x14ac:dyDescent="0.45">
      <c r="A3000" t="s">
        <v>13908</v>
      </c>
      <c r="B3000" t="s">
        <v>13909</v>
      </c>
      <c r="C3000" t="s">
        <v>13910</v>
      </c>
      <c r="D3000" t="s">
        <v>5687</v>
      </c>
      <c r="E3000" s="1">
        <v>46152.669664351852</v>
      </c>
      <c r="F3000">
        <v>1547</v>
      </c>
      <c r="G3000" t="s">
        <v>13911</v>
      </c>
      <c r="H3000" t="s">
        <v>15</v>
      </c>
      <c r="I3000" t="s">
        <v>5689</v>
      </c>
      <c r="J3000" t="str">
        <f>RIGHT(D3000,4)</f>
        <v>8184</v>
      </c>
      <c r="K3000" t="str">
        <f>IFERROR(VLOOKUP(VALUE(J3000),'Site Info'!$A:$G,3,FALSE),"")</f>
        <v>6570 GRAND AVE</v>
      </c>
      <c r="L3000" t="str">
        <f>IFERROR(VLOOKUP(VALUE(J3000),'Site Info'!$A:$G,4,FALSE),"")</f>
        <v>GURNEE</v>
      </c>
      <c r="M3000" t="str">
        <f>IFERROR(VLOOKUP(VALUE(J3000),'Site Info'!$A:$G,5,FALSE),"")</f>
        <v>IL</v>
      </c>
      <c r="N3000" t="str">
        <f>IFERROR(VLOOKUP(VALUE(J3000),'Site Info'!$A:$G,6,FALSE),"")</f>
        <v>60031-1621</v>
      </c>
      <c r="O3000">
        <f>IFERROR(VLOOKUP(VALUE(J3000),'Site Info'!$A:$G,7,FALSE),"")</f>
        <v>8478551130</v>
      </c>
    </row>
    <row r="3001" spans="1:15" x14ac:dyDescent="0.45">
      <c r="A3001" t="s">
        <v>10188</v>
      </c>
      <c r="B3001" t="s">
        <v>10189</v>
      </c>
      <c r="C3001" t="s">
        <v>10190</v>
      </c>
      <c r="D3001" t="s">
        <v>5687</v>
      </c>
      <c r="E3001" s="1">
        <v>46153.304236111115</v>
      </c>
      <c r="F3001">
        <v>1547</v>
      </c>
      <c r="G3001" t="s">
        <v>10191</v>
      </c>
      <c r="H3001" t="s">
        <v>15</v>
      </c>
      <c r="I3001" t="s">
        <v>5689</v>
      </c>
      <c r="J3001" t="str">
        <f>RIGHT(D3001,4)</f>
        <v>8184</v>
      </c>
      <c r="K3001" t="str">
        <f>IFERROR(VLOOKUP(VALUE(J3001),'Site Info'!$A:$G,3,FALSE),"")</f>
        <v>6570 GRAND AVE</v>
      </c>
      <c r="L3001" t="str">
        <f>IFERROR(VLOOKUP(VALUE(J3001),'Site Info'!$A:$G,4,FALSE),"")</f>
        <v>GURNEE</v>
      </c>
      <c r="M3001" t="str">
        <f>IFERROR(VLOOKUP(VALUE(J3001),'Site Info'!$A:$G,5,FALSE),"")</f>
        <v>IL</v>
      </c>
      <c r="N3001" t="str">
        <f>IFERROR(VLOOKUP(VALUE(J3001),'Site Info'!$A:$G,6,FALSE),"")</f>
        <v>60031-1621</v>
      </c>
      <c r="O3001">
        <f>IFERROR(VLOOKUP(VALUE(J3001),'Site Info'!$A:$G,7,FALSE),"")</f>
        <v>8478551130</v>
      </c>
    </row>
    <row r="3002" spans="1:15" x14ac:dyDescent="0.45">
      <c r="A3002" t="s">
        <v>5684</v>
      </c>
      <c r="B3002" t="s">
        <v>5685</v>
      </c>
      <c r="C3002" t="s">
        <v>5686</v>
      </c>
      <c r="D3002" t="s">
        <v>5687</v>
      </c>
      <c r="E3002" s="1">
        <v>46153.37190972222</v>
      </c>
      <c r="F3002">
        <v>1547</v>
      </c>
      <c r="G3002" t="s">
        <v>5688</v>
      </c>
      <c r="H3002" t="s">
        <v>15</v>
      </c>
      <c r="I3002" t="s">
        <v>5689</v>
      </c>
      <c r="J3002" t="str">
        <f>RIGHT(D3002,4)</f>
        <v>8184</v>
      </c>
      <c r="K3002" t="str">
        <f>IFERROR(VLOOKUP(VALUE(J3002),'Site Info'!$A:$G,3,FALSE),"")</f>
        <v>6570 GRAND AVE</v>
      </c>
      <c r="L3002" t="str">
        <f>IFERROR(VLOOKUP(VALUE(J3002),'Site Info'!$A:$G,4,FALSE),"")</f>
        <v>GURNEE</v>
      </c>
      <c r="M3002" t="str">
        <f>IFERROR(VLOOKUP(VALUE(J3002),'Site Info'!$A:$G,5,FALSE),"")</f>
        <v>IL</v>
      </c>
      <c r="N3002" t="str">
        <f>IFERROR(VLOOKUP(VALUE(J3002),'Site Info'!$A:$G,6,FALSE),"")</f>
        <v>60031-1621</v>
      </c>
      <c r="O3002">
        <f>IFERROR(VLOOKUP(VALUE(J3002),'Site Info'!$A:$G,7,FALSE),"")</f>
        <v>8478551130</v>
      </c>
    </row>
    <row r="3003" spans="1:15" x14ac:dyDescent="0.45">
      <c r="A3003" t="s">
        <v>9551</v>
      </c>
      <c r="B3003" t="s">
        <v>9552</v>
      </c>
      <c r="C3003" t="s">
        <v>9553</v>
      </c>
      <c r="D3003" t="s">
        <v>5687</v>
      </c>
      <c r="E3003" s="1">
        <v>46153.373599537037</v>
      </c>
      <c r="F3003">
        <v>1547</v>
      </c>
      <c r="G3003" t="s">
        <v>9554</v>
      </c>
      <c r="H3003" t="s">
        <v>15</v>
      </c>
      <c r="I3003" t="s">
        <v>5689</v>
      </c>
      <c r="J3003" t="str">
        <f>RIGHT(D3003,4)</f>
        <v>8184</v>
      </c>
      <c r="K3003" t="str">
        <f>IFERROR(VLOOKUP(VALUE(J3003),'Site Info'!$A:$G,3,FALSE),"")</f>
        <v>6570 GRAND AVE</v>
      </c>
      <c r="L3003" t="str">
        <f>IFERROR(VLOOKUP(VALUE(J3003),'Site Info'!$A:$G,4,FALSE),"")</f>
        <v>GURNEE</v>
      </c>
      <c r="M3003" t="str">
        <f>IFERROR(VLOOKUP(VALUE(J3003),'Site Info'!$A:$G,5,FALSE),"")</f>
        <v>IL</v>
      </c>
      <c r="N3003" t="str">
        <f>IFERROR(VLOOKUP(VALUE(J3003),'Site Info'!$A:$G,6,FALSE),"")</f>
        <v>60031-1621</v>
      </c>
      <c r="O3003">
        <f>IFERROR(VLOOKUP(VALUE(J3003),'Site Info'!$A:$G,7,FALSE),"")</f>
        <v>8478551130</v>
      </c>
    </row>
    <row r="3004" spans="1:15" x14ac:dyDescent="0.45">
      <c r="A3004" t="s">
        <v>6160</v>
      </c>
      <c r="B3004" t="s">
        <v>6161</v>
      </c>
      <c r="C3004" t="s">
        <v>6162</v>
      </c>
      <c r="D3004" t="s">
        <v>5949</v>
      </c>
      <c r="E3004" s="1">
        <v>46152.293842592589</v>
      </c>
      <c r="F3004">
        <v>1547</v>
      </c>
      <c r="G3004" t="s">
        <v>6163</v>
      </c>
      <c r="H3004" t="s">
        <v>15</v>
      </c>
      <c r="I3004" t="s">
        <v>5951</v>
      </c>
      <c r="J3004" t="str">
        <f>RIGHT(D3004,4)</f>
        <v>8190</v>
      </c>
      <c r="K3004" t="str">
        <f>IFERROR(VLOOKUP(VALUE(J3004),'Site Info'!$A:$G,3,FALSE),"")</f>
        <v>6614 GULF FREEWAY</v>
      </c>
      <c r="L3004" t="str">
        <f>IFERROR(VLOOKUP(VALUE(J3004),'Site Info'!$A:$G,4,FALSE),"")</f>
        <v>LA MARQUE</v>
      </c>
      <c r="M3004" t="str">
        <f>IFERROR(VLOOKUP(VALUE(J3004),'Site Info'!$A:$G,5,FALSE),"")</f>
        <v>TX</v>
      </c>
      <c r="N3004" t="str">
        <f>IFERROR(VLOOKUP(VALUE(J3004),'Site Info'!$A:$G,6,FALSE),"")</f>
        <v>77568-3096</v>
      </c>
      <c r="O3004">
        <f>IFERROR(VLOOKUP(VALUE(J3004),'Site Info'!$A:$G,7,FALSE),"")</f>
        <v>4099869100</v>
      </c>
    </row>
    <row r="3005" spans="1:15" x14ac:dyDescent="0.45">
      <c r="A3005" t="s">
        <v>6314</v>
      </c>
      <c r="B3005" t="s">
        <v>6315</v>
      </c>
      <c r="C3005" t="s">
        <v>6316</v>
      </c>
      <c r="D3005" t="s">
        <v>5949</v>
      </c>
      <c r="E3005" s="1">
        <v>46152.667094907411</v>
      </c>
      <c r="F3005">
        <v>1547</v>
      </c>
      <c r="G3005" t="s">
        <v>6317</v>
      </c>
      <c r="H3005" t="s">
        <v>15</v>
      </c>
      <c r="I3005" t="s">
        <v>5951</v>
      </c>
      <c r="J3005" t="str">
        <f>RIGHT(D3005,4)</f>
        <v>8190</v>
      </c>
      <c r="K3005" t="str">
        <f>IFERROR(VLOOKUP(VALUE(J3005),'Site Info'!$A:$G,3,FALSE),"")</f>
        <v>6614 GULF FREEWAY</v>
      </c>
      <c r="L3005" t="str">
        <f>IFERROR(VLOOKUP(VALUE(J3005),'Site Info'!$A:$G,4,FALSE),"")</f>
        <v>LA MARQUE</v>
      </c>
      <c r="M3005" t="str">
        <f>IFERROR(VLOOKUP(VALUE(J3005),'Site Info'!$A:$G,5,FALSE),"")</f>
        <v>TX</v>
      </c>
      <c r="N3005" t="str">
        <f>IFERROR(VLOOKUP(VALUE(J3005),'Site Info'!$A:$G,6,FALSE),"")</f>
        <v>77568-3096</v>
      </c>
      <c r="O3005">
        <f>IFERROR(VLOOKUP(VALUE(J3005),'Site Info'!$A:$G,7,FALSE),"")</f>
        <v>4099869100</v>
      </c>
    </row>
    <row r="3006" spans="1:15" x14ac:dyDescent="0.45">
      <c r="A3006" t="s">
        <v>5946</v>
      </c>
      <c r="B3006" t="s">
        <v>5947</v>
      </c>
      <c r="C3006" t="s">
        <v>5948</v>
      </c>
      <c r="D3006" t="s">
        <v>5949</v>
      </c>
      <c r="E3006" s="1">
        <v>46152.667858796296</v>
      </c>
      <c r="F3006">
        <v>1547</v>
      </c>
      <c r="G3006" t="s">
        <v>5950</v>
      </c>
      <c r="H3006" t="s">
        <v>15</v>
      </c>
      <c r="I3006" t="s">
        <v>5951</v>
      </c>
      <c r="J3006" t="str">
        <f>RIGHT(D3006,4)</f>
        <v>8190</v>
      </c>
      <c r="K3006" t="str">
        <f>IFERROR(VLOOKUP(VALUE(J3006),'Site Info'!$A:$G,3,FALSE),"")</f>
        <v>6614 GULF FREEWAY</v>
      </c>
      <c r="L3006" t="str">
        <f>IFERROR(VLOOKUP(VALUE(J3006),'Site Info'!$A:$G,4,FALSE),"")</f>
        <v>LA MARQUE</v>
      </c>
      <c r="M3006" t="str">
        <f>IFERROR(VLOOKUP(VALUE(J3006),'Site Info'!$A:$G,5,FALSE),"")</f>
        <v>TX</v>
      </c>
      <c r="N3006" t="str">
        <f>IFERROR(VLOOKUP(VALUE(J3006),'Site Info'!$A:$G,6,FALSE),"")</f>
        <v>77568-3096</v>
      </c>
      <c r="O3006">
        <f>IFERROR(VLOOKUP(VALUE(J3006),'Site Info'!$A:$G,7,FALSE),"")</f>
        <v>4099869100</v>
      </c>
    </row>
    <row r="3007" spans="1:15" x14ac:dyDescent="0.45">
      <c r="A3007" t="s">
        <v>5994</v>
      </c>
      <c r="B3007" t="s">
        <v>5995</v>
      </c>
      <c r="C3007" t="s">
        <v>5996</v>
      </c>
      <c r="D3007" t="s">
        <v>5949</v>
      </c>
      <c r="E3007" s="1">
        <v>46152.757175925923</v>
      </c>
      <c r="F3007">
        <v>1547</v>
      </c>
      <c r="G3007" t="s">
        <v>5997</v>
      </c>
      <c r="H3007" t="s">
        <v>15</v>
      </c>
      <c r="I3007" t="s">
        <v>5951</v>
      </c>
      <c r="J3007" t="str">
        <f>RIGHT(D3007,4)</f>
        <v>8190</v>
      </c>
      <c r="K3007" t="str">
        <f>IFERROR(VLOOKUP(VALUE(J3007),'Site Info'!$A:$G,3,FALSE),"")</f>
        <v>6614 GULF FREEWAY</v>
      </c>
      <c r="L3007" t="str">
        <f>IFERROR(VLOOKUP(VALUE(J3007),'Site Info'!$A:$G,4,FALSE),"")</f>
        <v>LA MARQUE</v>
      </c>
      <c r="M3007" t="str">
        <f>IFERROR(VLOOKUP(VALUE(J3007),'Site Info'!$A:$G,5,FALSE),"")</f>
        <v>TX</v>
      </c>
      <c r="N3007" t="str">
        <f>IFERROR(VLOOKUP(VALUE(J3007),'Site Info'!$A:$G,6,FALSE),"")</f>
        <v>77568-3096</v>
      </c>
      <c r="O3007">
        <f>IFERROR(VLOOKUP(VALUE(J3007),'Site Info'!$A:$G,7,FALSE),"")</f>
        <v>4099869100</v>
      </c>
    </row>
    <row r="3008" spans="1:15" x14ac:dyDescent="0.45">
      <c r="A3008" t="s">
        <v>6493</v>
      </c>
      <c r="B3008" t="s">
        <v>6494</v>
      </c>
      <c r="C3008" t="s">
        <v>6495</v>
      </c>
      <c r="D3008" t="s">
        <v>5949</v>
      </c>
      <c r="E3008" s="1">
        <v>46153.357754629629</v>
      </c>
      <c r="F3008">
        <v>1547</v>
      </c>
      <c r="G3008" t="s">
        <v>6496</v>
      </c>
      <c r="H3008" t="s">
        <v>15</v>
      </c>
      <c r="I3008" t="s">
        <v>5951</v>
      </c>
      <c r="J3008" t="str">
        <f>RIGHT(D3008,4)</f>
        <v>8190</v>
      </c>
      <c r="K3008" t="str">
        <f>IFERROR(VLOOKUP(VALUE(J3008),'Site Info'!$A:$G,3,FALSE),"")</f>
        <v>6614 GULF FREEWAY</v>
      </c>
      <c r="L3008" t="str">
        <f>IFERROR(VLOOKUP(VALUE(J3008),'Site Info'!$A:$G,4,FALSE),"")</f>
        <v>LA MARQUE</v>
      </c>
      <c r="M3008" t="str">
        <f>IFERROR(VLOOKUP(VALUE(J3008),'Site Info'!$A:$G,5,FALSE),"")</f>
        <v>TX</v>
      </c>
      <c r="N3008" t="str">
        <f>IFERROR(VLOOKUP(VALUE(J3008),'Site Info'!$A:$G,6,FALSE),"")</f>
        <v>77568-3096</v>
      </c>
      <c r="O3008">
        <f>IFERROR(VLOOKUP(VALUE(J3008),'Site Info'!$A:$G,7,FALSE),"")</f>
        <v>4099869100</v>
      </c>
    </row>
    <row r="3009" spans="1:15" x14ac:dyDescent="0.45">
      <c r="A3009" t="s">
        <v>9772</v>
      </c>
      <c r="B3009" t="s">
        <v>9773</v>
      </c>
      <c r="C3009" t="s">
        <v>9774</v>
      </c>
      <c r="D3009" t="s">
        <v>3526</v>
      </c>
      <c r="E3009" s="1">
        <v>46153.021597222221</v>
      </c>
      <c r="F3009">
        <v>1548</v>
      </c>
      <c r="G3009" t="s">
        <v>9775</v>
      </c>
      <c r="H3009" t="s">
        <v>15</v>
      </c>
      <c r="I3009" t="s">
        <v>3528</v>
      </c>
      <c r="J3009" t="str">
        <f>RIGHT(D3009,4)</f>
        <v>8276</v>
      </c>
      <c r="K3009" t="str">
        <f>IFERROR(VLOOKUP(VALUE(J3009),'Site Info'!$A:$G,3,FALSE),"")</f>
        <v>6622 PRESTON HWY</v>
      </c>
      <c r="L3009" t="str">
        <f>IFERROR(VLOOKUP(VALUE(J3009),'Site Info'!$A:$G,4,FALSE),"")</f>
        <v>LOUISVILLE</v>
      </c>
      <c r="M3009" t="str">
        <f>IFERROR(VLOOKUP(VALUE(J3009),'Site Info'!$A:$G,5,FALSE),"")</f>
        <v>KY</v>
      </c>
      <c r="N3009" t="str">
        <f>IFERROR(VLOOKUP(VALUE(J3009),'Site Info'!$A:$G,6,FALSE),"")</f>
        <v>40219-1822</v>
      </c>
      <c r="O3009">
        <f>IFERROR(VLOOKUP(VALUE(J3009),'Site Info'!$A:$G,7,FALSE),"")</f>
        <v>5029640379</v>
      </c>
    </row>
    <row r="3010" spans="1:15" x14ac:dyDescent="0.45">
      <c r="A3010" t="s">
        <v>9673</v>
      </c>
      <c r="B3010" t="s">
        <v>9674</v>
      </c>
      <c r="C3010" t="s">
        <v>9675</v>
      </c>
      <c r="D3010" t="s">
        <v>3526</v>
      </c>
      <c r="E3010" s="1">
        <v>46150.640787037039</v>
      </c>
      <c r="F3010">
        <v>1547</v>
      </c>
      <c r="G3010" t="s">
        <v>9676</v>
      </c>
      <c r="H3010" t="s">
        <v>15</v>
      </c>
      <c r="I3010" t="s">
        <v>3528</v>
      </c>
      <c r="J3010" t="str">
        <f>RIGHT(D3010,4)</f>
        <v>8276</v>
      </c>
      <c r="K3010" t="str">
        <f>IFERROR(VLOOKUP(VALUE(J3010),'Site Info'!$A:$G,3,FALSE),"")</f>
        <v>6622 PRESTON HWY</v>
      </c>
      <c r="L3010" t="str">
        <f>IFERROR(VLOOKUP(VALUE(J3010),'Site Info'!$A:$G,4,FALSE),"")</f>
        <v>LOUISVILLE</v>
      </c>
      <c r="M3010" t="str">
        <f>IFERROR(VLOOKUP(VALUE(J3010),'Site Info'!$A:$G,5,FALSE),"")</f>
        <v>KY</v>
      </c>
      <c r="N3010" t="str">
        <f>IFERROR(VLOOKUP(VALUE(J3010),'Site Info'!$A:$G,6,FALSE),"")</f>
        <v>40219-1822</v>
      </c>
      <c r="O3010">
        <f>IFERROR(VLOOKUP(VALUE(J3010),'Site Info'!$A:$G,7,FALSE),"")</f>
        <v>5029640379</v>
      </c>
    </row>
    <row r="3011" spans="1:15" x14ac:dyDescent="0.45">
      <c r="A3011" t="s">
        <v>12052</v>
      </c>
      <c r="B3011" t="s">
        <v>12053</v>
      </c>
      <c r="C3011" t="s">
        <v>12054</v>
      </c>
      <c r="D3011" t="s">
        <v>3526</v>
      </c>
      <c r="E3011" s="1">
        <v>46151.751076388886</v>
      </c>
      <c r="F3011">
        <v>1547</v>
      </c>
      <c r="G3011" t="s">
        <v>12055</v>
      </c>
      <c r="H3011" t="s">
        <v>15</v>
      </c>
      <c r="I3011" t="s">
        <v>3528</v>
      </c>
      <c r="J3011" t="str">
        <f>RIGHT(D3011,4)</f>
        <v>8276</v>
      </c>
      <c r="K3011" t="str">
        <f>IFERROR(VLOOKUP(VALUE(J3011),'Site Info'!$A:$G,3,FALSE),"")</f>
        <v>6622 PRESTON HWY</v>
      </c>
      <c r="L3011" t="str">
        <f>IFERROR(VLOOKUP(VALUE(J3011),'Site Info'!$A:$G,4,FALSE),"")</f>
        <v>LOUISVILLE</v>
      </c>
      <c r="M3011" t="str">
        <f>IFERROR(VLOOKUP(VALUE(J3011),'Site Info'!$A:$G,5,FALSE),"")</f>
        <v>KY</v>
      </c>
      <c r="N3011" t="str">
        <f>IFERROR(VLOOKUP(VALUE(J3011),'Site Info'!$A:$G,6,FALSE),"")</f>
        <v>40219-1822</v>
      </c>
      <c r="O3011">
        <f>IFERROR(VLOOKUP(VALUE(J3011),'Site Info'!$A:$G,7,FALSE),"")</f>
        <v>5029640379</v>
      </c>
    </row>
    <row r="3012" spans="1:15" x14ac:dyDescent="0.45">
      <c r="A3012" t="s">
        <v>11788</v>
      </c>
      <c r="B3012" t="s">
        <v>11789</v>
      </c>
      <c r="C3012" t="s">
        <v>11790</v>
      </c>
      <c r="D3012" t="s">
        <v>3526</v>
      </c>
      <c r="E3012" s="1">
        <v>46153.377245370371</v>
      </c>
      <c r="F3012">
        <v>1547</v>
      </c>
      <c r="G3012" t="s">
        <v>11791</v>
      </c>
      <c r="H3012" t="s">
        <v>15</v>
      </c>
      <c r="I3012" t="s">
        <v>3528</v>
      </c>
      <c r="J3012" t="str">
        <f>RIGHT(D3012,4)</f>
        <v>8276</v>
      </c>
      <c r="K3012" t="str">
        <f>IFERROR(VLOOKUP(VALUE(J3012),'Site Info'!$A:$G,3,FALSE),"")</f>
        <v>6622 PRESTON HWY</v>
      </c>
      <c r="L3012" t="str">
        <f>IFERROR(VLOOKUP(VALUE(J3012),'Site Info'!$A:$G,4,FALSE),"")</f>
        <v>LOUISVILLE</v>
      </c>
      <c r="M3012" t="str">
        <f>IFERROR(VLOOKUP(VALUE(J3012),'Site Info'!$A:$G,5,FALSE),"")</f>
        <v>KY</v>
      </c>
      <c r="N3012" t="str">
        <f>IFERROR(VLOOKUP(VALUE(J3012),'Site Info'!$A:$G,6,FALSE),"")</f>
        <v>40219-1822</v>
      </c>
      <c r="O3012">
        <f>IFERROR(VLOOKUP(VALUE(J3012),'Site Info'!$A:$G,7,FALSE),"")</f>
        <v>5029640379</v>
      </c>
    </row>
    <row r="3013" spans="1:15" x14ac:dyDescent="0.45">
      <c r="A3013" t="s">
        <v>3523</v>
      </c>
      <c r="B3013" t="s">
        <v>3524</v>
      </c>
      <c r="C3013" t="s">
        <v>3525</v>
      </c>
      <c r="D3013" t="s">
        <v>3526</v>
      </c>
      <c r="E3013" s="1">
        <v>46152.14707175926</v>
      </c>
      <c r="F3013">
        <v>1481</v>
      </c>
      <c r="G3013" t="s">
        <v>3527</v>
      </c>
      <c r="H3013" t="s">
        <v>15</v>
      </c>
      <c r="I3013" t="s">
        <v>3528</v>
      </c>
      <c r="J3013" t="str">
        <f>RIGHT(D3013,4)</f>
        <v>8276</v>
      </c>
      <c r="K3013" t="str">
        <f>IFERROR(VLOOKUP(VALUE(J3013),'Site Info'!$A:$G,3,FALSE),"")</f>
        <v>6622 PRESTON HWY</v>
      </c>
      <c r="L3013" t="str">
        <f>IFERROR(VLOOKUP(VALUE(J3013),'Site Info'!$A:$G,4,FALSE),"")</f>
        <v>LOUISVILLE</v>
      </c>
      <c r="M3013" t="str">
        <f>IFERROR(VLOOKUP(VALUE(J3013),'Site Info'!$A:$G,5,FALSE),"")</f>
        <v>KY</v>
      </c>
      <c r="N3013" t="str">
        <f>IFERROR(VLOOKUP(VALUE(J3013),'Site Info'!$A:$G,6,FALSE),"")</f>
        <v>40219-1822</v>
      </c>
      <c r="O3013">
        <f>IFERROR(VLOOKUP(VALUE(J3013),'Site Info'!$A:$G,7,FALSE),"")</f>
        <v>5029640379</v>
      </c>
    </row>
    <row r="3014" spans="1:15" x14ac:dyDescent="0.45">
      <c r="A3014" t="s">
        <v>7463</v>
      </c>
      <c r="B3014" t="s">
        <v>7464</v>
      </c>
      <c r="C3014" t="s">
        <v>7465</v>
      </c>
      <c r="D3014" t="s">
        <v>1027</v>
      </c>
      <c r="E3014" s="1">
        <v>46151.693344907406</v>
      </c>
      <c r="F3014">
        <v>1547</v>
      </c>
      <c r="G3014" t="s">
        <v>7466</v>
      </c>
      <c r="H3014" t="s">
        <v>15</v>
      </c>
      <c r="I3014" t="s">
        <v>1029</v>
      </c>
      <c r="J3014" t="str">
        <f>RIGHT(D3014,4)</f>
        <v>8123</v>
      </c>
      <c r="K3014" t="str">
        <f>IFERROR(VLOOKUP(VALUE(J3014),'Site Info'!$A:$G,3,FALSE),"")</f>
        <v>6700 E VIRGINIA ST</v>
      </c>
      <c r="L3014" t="str">
        <f>IFERROR(VLOOKUP(VALUE(J3014),'Site Info'!$A:$G,4,FALSE),"")</f>
        <v>EVANSVILLE</v>
      </c>
      <c r="M3014" t="str">
        <f>IFERROR(VLOOKUP(VALUE(J3014),'Site Info'!$A:$G,5,FALSE),"")</f>
        <v>IN</v>
      </c>
      <c r="N3014" t="str">
        <f>IFERROR(VLOOKUP(VALUE(J3014),'Site Info'!$A:$G,6,FALSE),"")</f>
        <v>47715-4034</v>
      </c>
      <c r="O3014">
        <f>IFERROR(VLOOKUP(VALUE(J3014),'Site Info'!$A:$G,7,FALSE),"")</f>
        <v>8124732518</v>
      </c>
    </row>
    <row r="3015" spans="1:15" x14ac:dyDescent="0.45">
      <c r="A3015" t="s">
        <v>8497</v>
      </c>
      <c r="B3015" t="s">
        <v>8498</v>
      </c>
      <c r="C3015" t="s">
        <v>8499</v>
      </c>
      <c r="D3015" t="s">
        <v>1027</v>
      </c>
      <c r="E3015" s="1">
        <v>46152.366736111115</v>
      </c>
      <c r="F3015">
        <v>1547</v>
      </c>
      <c r="G3015" t="s">
        <v>8500</v>
      </c>
      <c r="H3015" t="s">
        <v>15</v>
      </c>
      <c r="I3015" t="s">
        <v>1029</v>
      </c>
      <c r="J3015" t="str">
        <f>RIGHT(D3015,4)</f>
        <v>8123</v>
      </c>
      <c r="K3015" t="str">
        <f>IFERROR(VLOOKUP(VALUE(J3015),'Site Info'!$A:$G,3,FALSE),"")</f>
        <v>6700 E VIRGINIA ST</v>
      </c>
      <c r="L3015" t="str">
        <f>IFERROR(VLOOKUP(VALUE(J3015),'Site Info'!$A:$G,4,FALSE),"")</f>
        <v>EVANSVILLE</v>
      </c>
      <c r="M3015" t="str">
        <f>IFERROR(VLOOKUP(VALUE(J3015),'Site Info'!$A:$G,5,FALSE),"")</f>
        <v>IN</v>
      </c>
      <c r="N3015" t="str">
        <f>IFERROR(VLOOKUP(VALUE(J3015),'Site Info'!$A:$G,6,FALSE),"")</f>
        <v>47715-4034</v>
      </c>
      <c r="O3015">
        <f>IFERROR(VLOOKUP(VALUE(J3015),'Site Info'!$A:$G,7,FALSE),"")</f>
        <v>8124732518</v>
      </c>
    </row>
    <row r="3016" spans="1:15" x14ac:dyDescent="0.45">
      <c r="A3016" t="s">
        <v>7411</v>
      </c>
      <c r="B3016" t="s">
        <v>7412</v>
      </c>
      <c r="C3016" t="s">
        <v>7413</v>
      </c>
      <c r="D3016" t="s">
        <v>1027</v>
      </c>
      <c r="E3016" s="1">
        <v>46152.585428240738</v>
      </c>
      <c r="F3016">
        <v>1547</v>
      </c>
      <c r="G3016" t="s">
        <v>7414</v>
      </c>
      <c r="H3016" t="s">
        <v>15</v>
      </c>
      <c r="I3016" t="s">
        <v>1029</v>
      </c>
      <c r="J3016" t="str">
        <f>RIGHT(D3016,4)</f>
        <v>8123</v>
      </c>
      <c r="K3016" t="str">
        <f>IFERROR(VLOOKUP(VALUE(J3016),'Site Info'!$A:$G,3,FALSE),"")</f>
        <v>6700 E VIRGINIA ST</v>
      </c>
      <c r="L3016" t="str">
        <f>IFERROR(VLOOKUP(VALUE(J3016),'Site Info'!$A:$G,4,FALSE),"")</f>
        <v>EVANSVILLE</v>
      </c>
      <c r="M3016" t="str">
        <f>IFERROR(VLOOKUP(VALUE(J3016),'Site Info'!$A:$G,5,FALSE),"")</f>
        <v>IN</v>
      </c>
      <c r="N3016" t="str">
        <f>IFERROR(VLOOKUP(VALUE(J3016),'Site Info'!$A:$G,6,FALSE),"")</f>
        <v>47715-4034</v>
      </c>
      <c r="O3016">
        <f>IFERROR(VLOOKUP(VALUE(J3016),'Site Info'!$A:$G,7,FALSE),"")</f>
        <v>8124732518</v>
      </c>
    </row>
    <row r="3017" spans="1:15" x14ac:dyDescent="0.45">
      <c r="A3017" t="s">
        <v>1024</v>
      </c>
      <c r="B3017" t="s">
        <v>1025</v>
      </c>
      <c r="C3017" t="s">
        <v>1026</v>
      </c>
      <c r="D3017" t="s">
        <v>1027</v>
      </c>
      <c r="E3017" s="1">
        <v>46153.282546296294</v>
      </c>
      <c r="F3017">
        <v>1481</v>
      </c>
      <c r="G3017" t="s">
        <v>1028</v>
      </c>
      <c r="H3017" t="s">
        <v>15</v>
      </c>
      <c r="I3017" t="s">
        <v>1029</v>
      </c>
      <c r="J3017" t="str">
        <f>RIGHT(D3017,4)</f>
        <v>8123</v>
      </c>
      <c r="K3017" t="str">
        <f>IFERROR(VLOOKUP(VALUE(J3017),'Site Info'!$A:$G,3,FALSE),"")</f>
        <v>6700 E VIRGINIA ST</v>
      </c>
      <c r="L3017" t="str">
        <f>IFERROR(VLOOKUP(VALUE(J3017),'Site Info'!$A:$G,4,FALSE),"")</f>
        <v>EVANSVILLE</v>
      </c>
      <c r="M3017" t="str">
        <f>IFERROR(VLOOKUP(VALUE(J3017),'Site Info'!$A:$G,5,FALSE),"")</f>
        <v>IN</v>
      </c>
      <c r="N3017" t="str">
        <f>IFERROR(VLOOKUP(VALUE(J3017),'Site Info'!$A:$G,6,FALSE),"")</f>
        <v>47715-4034</v>
      </c>
      <c r="O3017">
        <f>IFERROR(VLOOKUP(VALUE(J3017),'Site Info'!$A:$G,7,FALSE),"")</f>
        <v>8124732518</v>
      </c>
    </row>
    <row r="3018" spans="1:15" x14ac:dyDescent="0.45">
      <c r="A3018" t="s">
        <v>14195</v>
      </c>
      <c r="B3018" t="s">
        <v>14196</v>
      </c>
      <c r="C3018" t="s">
        <v>14197</v>
      </c>
      <c r="D3018" t="s">
        <v>4981</v>
      </c>
      <c r="E3018" s="1">
        <v>46148.669039351851</v>
      </c>
      <c r="F3018">
        <v>1863</v>
      </c>
      <c r="G3018" t="s">
        <v>14198</v>
      </c>
      <c r="H3018" t="s">
        <v>136</v>
      </c>
      <c r="I3018" t="s">
        <v>4983</v>
      </c>
      <c r="J3018" t="str">
        <f>RIGHT(D3018,4)</f>
        <v>8167</v>
      </c>
      <c r="K3018" t="str">
        <f>IFERROR(VLOOKUP(VALUE(J3018),'Site Info'!$A:$G,3,FALSE),"")</f>
        <v>6705 S 27TH ST</v>
      </c>
      <c r="L3018" t="str">
        <f>IFERROR(VLOOKUP(VALUE(J3018),'Site Info'!$A:$G,4,FALSE),"")</f>
        <v>FRANKLIN</v>
      </c>
      <c r="M3018" t="str">
        <f>IFERROR(VLOOKUP(VALUE(J3018),'Site Info'!$A:$G,5,FALSE),"")</f>
        <v>WI</v>
      </c>
      <c r="N3018" t="str">
        <f>IFERROR(VLOOKUP(VALUE(J3018),'Site Info'!$A:$G,6,FALSE),"")</f>
        <v>53132-9430</v>
      </c>
      <c r="O3018">
        <f>IFERROR(VLOOKUP(VALUE(J3018),'Site Info'!$A:$G,7,FALSE),"")</f>
        <v>4147610088</v>
      </c>
    </row>
    <row r="3019" spans="1:15" x14ac:dyDescent="0.45">
      <c r="A3019" t="s">
        <v>14375</v>
      </c>
      <c r="B3019" t="s">
        <v>14376</v>
      </c>
      <c r="C3019" t="s">
        <v>14377</v>
      </c>
      <c r="D3019" t="s">
        <v>4981</v>
      </c>
      <c r="E3019" s="1">
        <v>46151.746504629627</v>
      </c>
      <c r="F3019">
        <v>1547</v>
      </c>
      <c r="G3019" t="s">
        <v>14378</v>
      </c>
      <c r="H3019" t="s">
        <v>15</v>
      </c>
      <c r="I3019" t="s">
        <v>4983</v>
      </c>
      <c r="J3019" t="str">
        <f>RIGHT(D3019,4)</f>
        <v>8167</v>
      </c>
      <c r="K3019" t="str">
        <f>IFERROR(VLOOKUP(VALUE(J3019),'Site Info'!$A:$G,3,FALSE),"")</f>
        <v>6705 S 27TH ST</v>
      </c>
      <c r="L3019" t="str">
        <f>IFERROR(VLOOKUP(VALUE(J3019),'Site Info'!$A:$G,4,FALSE),"")</f>
        <v>FRANKLIN</v>
      </c>
      <c r="M3019" t="str">
        <f>IFERROR(VLOOKUP(VALUE(J3019),'Site Info'!$A:$G,5,FALSE),"")</f>
        <v>WI</v>
      </c>
      <c r="N3019" t="str">
        <f>IFERROR(VLOOKUP(VALUE(J3019),'Site Info'!$A:$G,6,FALSE),"")</f>
        <v>53132-9430</v>
      </c>
      <c r="O3019">
        <f>IFERROR(VLOOKUP(VALUE(J3019),'Site Info'!$A:$G,7,FALSE),"")</f>
        <v>4147610088</v>
      </c>
    </row>
    <row r="3020" spans="1:15" x14ac:dyDescent="0.45">
      <c r="A3020" t="s">
        <v>4978</v>
      </c>
      <c r="B3020" t="s">
        <v>4979</v>
      </c>
      <c r="C3020" t="s">
        <v>4980</v>
      </c>
      <c r="D3020" t="s">
        <v>4981</v>
      </c>
      <c r="E3020" s="1">
        <v>46152.672523148147</v>
      </c>
      <c r="F3020">
        <v>1547</v>
      </c>
      <c r="G3020" t="s">
        <v>4982</v>
      </c>
      <c r="H3020" t="s">
        <v>15</v>
      </c>
      <c r="I3020" t="s">
        <v>4983</v>
      </c>
      <c r="J3020" t="str">
        <f>RIGHT(D3020,4)</f>
        <v>8167</v>
      </c>
      <c r="K3020" t="str">
        <f>IFERROR(VLOOKUP(VALUE(J3020),'Site Info'!$A:$G,3,FALSE),"")</f>
        <v>6705 S 27TH ST</v>
      </c>
      <c r="L3020" t="str">
        <f>IFERROR(VLOOKUP(VALUE(J3020),'Site Info'!$A:$G,4,FALSE),"")</f>
        <v>FRANKLIN</v>
      </c>
      <c r="M3020" t="str">
        <f>IFERROR(VLOOKUP(VALUE(J3020),'Site Info'!$A:$G,5,FALSE),"")</f>
        <v>WI</v>
      </c>
      <c r="N3020" t="str">
        <f>IFERROR(VLOOKUP(VALUE(J3020),'Site Info'!$A:$G,6,FALSE),"")</f>
        <v>53132-9430</v>
      </c>
      <c r="O3020">
        <f>IFERROR(VLOOKUP(VALUE(J3020),'Site Info'!$A:$G,7,FALSE),"")</f>
        <v>4147610088</v>
      </c>
    </row>
    <row r="3021" spans="1:15" x14ac:dyDescent="0.45">
      <c r="A3021" t="s">
        <v>8237</v>
      </c>
      <c r="B3021" t="s">
        <v>8238</v>
      </c>
      <c r="C3021" t="s">
        <v>8239</v>
      </c>
      <c r="D3021" t="s">
        <v>4981</v>
      </c>
      <c r="E3021" s="1">
        <v>46153.344189814816</v>
      </c>
      <c r="F3021">
        <v>1547</v>
      </c>
      <c r="G3021" t="s">
        <v>8240</v>
      </c>
      <c r="H3021" t="s">
        <v>15</v>
      </c>
      <c r="I3021" t="s">
        <v>4983</v>
      </c>
      <c r="J3021" t="str">
        <f>RIGHT(D3021,4)</f>
        <v>8167</v>
      </c>
      <c r="K3021" t="str">
        <f>IFERROR(VLOOKUP(VALUE(J3021),'Site Info'!$A:$G,3,FALSE),"")</f>
        <v>6705 S 27TH ST</v>
      </c>
      <c r="L3021" t="str">
        <f>IFERROR(VLOOKUP(VALUE(J3021),'Site Info'!$A:$G,4,FALSE),"")</f>
        <v>FRANKLIN</v>
      </c>
      <c r="M3021" t="str">
        <f>IFERROR(VLOOKUP(VALUE(J3021),'Site Info'!$A:$G,5,FALSE),"")</f>
        <v>WI</v>
      </c>
      <c r="N3021" t="str">
        <f>IFERROR(VLOOKUP(VALUE(J3021),'Site Info'!$A:$G,6,FALSE),"")</f>
        <v>53132-9430</v>
      </c>
      <c r="O3021">
        <f>IFERROR(VLOOKUP(VALUE(J3021),'Site Info'!$A:$G,7,FALSE),"")</f>
        <v>4147610088</v>
      </c>
    </row>
    <row r="3022" spans="1:15" x14ac:dyDescent="0.45">
      <c r="A3022" t="s">
        <v>96</v>
      </c>
      <c r="B3022" t="s">
        <v>173</v>
      </c>
      <c r="C3022" t="s">
        <v>174</v>
      </c>
      <c r="D3022" t="s">
        <v>175</v>
      </c>
      <c r="E3022" s="1">
        <v>46108.525694444441</v>
      </c>
      <c r="F3022">
        <v>1547</v>
      </c>
      <c r="G3022" t="s">
        <v>176</v>
      </c>
      <c r="H3022" t="s">
        <v>15</v>
      </c>
      <c r="I3022" t="s">
        <v>177</v>
      </c>
      <c r="J3022" t="str">
        <f>RIGHT(D3022,4)</f>
        <v>6313</v>
      </c>
      <c r="K3022" t="str">
        <f>IFERROR(VLOOKUP(VALUE(J3022),'Site Info'!$A:$G,3,FALSE),"")</f>
        <v>6736 LIMA RD</v>
      </c>
      <c r="L3022" t="str">
        <f>IFERROR(VLOOKUP(VALUE(J3022),'Site Info'!$A:$G,4,FALSE),"")</f>
        <v>FORT WAYNE</v>
      </c>
      <c r="M3022" t="str">
        <f>IFERROR(VLOOKUP(VALUE(J3022),'Site Info'!$A:$G,5,FALSE),"")</f>
        <v>IN</v>
      </c>
      <c r="N3022" t="str">
        <f>IFERROR(VLOOKUP(VALUE(J3022),'Site Info'!$A:$G,6,FALSE),"")</f>
        <v>46818-1118</v>
      </c>
      <c r="O3022">
        <f>IFERROR(VLOOKUP(VALUE(J3022),'Site Info'!$A:$G,7,FALSE),"")</f>
        <v>2604900626</v>
      </c>
    </row>
    <row r="3023" spans="1:15" x14ac:dyDescent="0.45">
      <c r="A3023" t="s">
        <v>4242</v>
      </c>
      <c r="B3023" t="s">
        <v>4243</v>
      </c>
      <c r="C3023" t="s">
        <v>4244</v>
      </c>
      <c r="D3023" t="s">
        <v>175</v>
      </c>
      <c r="E3023" s="1">
        <v>46152.610833333332</v>
      </c>
      <c r="F3023">
        <v>1547</v>
      </c>
      <c r="G3023" t="s">
        <v>4245</v>
      </c>
      <c r="H3023" t="s">
        <v>15</v>
      </c>
      <c r="I3023" t="s">
        <v>177</v>
      </c>
      <c r="J3023" t="str">
        <f>RIGHT(D3023,4)</f>
        <v>6313</v>
      </c>
      <c r="K3023" t="str">
        <f>IFERROR(VLOOKUP(VALUE(J3023),'Site Info'!$A:$G,3,FALSE),"")</f>
        <v>6736 LIMA RD</v>
      </c>
      <c r="L3023" t="str">
        <f>IFERROR(VLOOKUP(VALUE(J3023),'Site Info'!$A:$G,4,FALSE),"")</f>
        <v>FORT WAYNE</v>
      </c>
      <c r="M3023" t="str">
        <f>IFERROR(VLOOKUP(VALUE(J3023),'Site Info'!$A:$G,5,FALSE),"")</f>
        <v>IN</v>
      </c>
      <c r="N3023" t="str">
        <f>IFERROR(VLOOKUP(VALUE(J3023),'Site Info'!$A:$G,6,FALSE),"")</f>
        <v>46818-1118</v>
      </c>
      <c r="O3023">
        <f>IFERROR(VLOOKUP(VALUE(J3023),'Site Info'!$A:$G,7,FALSE),"")</f>
        <v>2604900626</v>
      </c>
    </row>
    <row r="3024" spans="1:15" x14ac:dyDescent="0.45">
      <c r="A3024" t="s">
        <v>4162</v>
      </c>
      <c r="B3024" t="s">
        <v>4163</v>
      </c>
      <c r="C3024" t="s">
        <v>4164</v>
      </c>
      <c r="D3024" t="s">
        <v>175</v>
      </c>
      <c r="E3024" s="1">
        <v>46153.344930555555</v>
      </c>
      <c r="F3024">
        <v>1547</v>
      </c>
      <c r="G3024" t="s">
        <v>4165</v>
      </c>
      <c r="H3024" t="s">
        <v>15</v>
      </c>
      <c r="I3024" t="s">
        <v>177</v>
      </c>
      <c r="J3024" t="str">
        <f>RIGHT(D3024,4)</f>
        <v>6313</v>
      </c>
      <c r="K3024" t="str">
        <f>IFERROR(VLOOKUP(VALUE(J3024),'Site Info'!$A:$G,3,FALSE),"")</f>
        <v>6736 LIMA RD</v>
      </c>
      <c r="L3024" t="str">
        <f>IFERROR(VLOOKUP(VALUE(J3024),'Site Info'!$A:$G,4,FALSE),"")</f>
        <v>FORT WAYNE</v>
      </c>
      <c r="M3024" t="str">
        <f>IFERROR(VLOOKUP(VALUE(J3024),'Site Info'!$A:$G,5,FALSE),"")</f>
        <v>IN</v>
      </c>
      <c r="N3024" t="str">
        <f>IFERROR(VLOOKUP(VALUE(J3024),'Site Info'!$A:$G,6,FALSE),"")</f>
        <v>46818-1118</v>
      </c>
      <c r="O3024">
        <f>IFERROR(VLOOKUP(VALUE(J3024),'Site Info'!$A:$G,7,FALSE),"")</f>
        <v>2604900626</v>
      </c>
    </row>
    <row r="3025" spans="1:15" x14ac:dyDescent="0.45">
      <c r="A3025" t="s">
        <v>6054</v>
      </c>
      <c r="B3025" t="s">
        <v>6055</v>
      </c>
      <c r="C3025" t="s">
        <v>6056</v>
      </c>
      <c r="D3025" t="s">
        <v>175</v>
      </c>
      <c r="E3025" s="1">
        <v>46153.36042824074</v>
      </c>
      <c r="F3025">
        <v>1547</v>
      </c>
      <c r="G3025" t="s">
        <v>6057</v>
      </c>
      <c r="H3025" t="s">
        <v>15</v>
      </c>
      <c r="I3025" t="s">
        <v>177</v>
      </c>
      <c r="J3025" t="str">
        <f>RIGHT(D3025,4)</f>
        <v>6313</v>
      </c>
      <c r="K3025" t="str">
        <f>IFERROR(VLOOKUP(VALUE(J3025),'Site Info'!$A:$G,3,FALSE),"")</f>
        <v>6736 LIMA RD</v>
      </c>
      <c r="L3025" t="str">
        <f>IFERROR(VLOOKUP(VALUE(J3025),'Site Info'!$A:$G,4,FALSE),"")</f>
        <v>FORT WAYNE</v>
      </c>
      <c r="M3025" t="str">
        <f>IFERROR(VLOOKUP(VALUE(J3025),'Site Info'!$A:$G,5,FALSE),"")</f>
        <v>IN</v>
      </c>
      <c r="N3025" t="str">
        <f>IFERROR(VLOOKUP(VALUE(J3025),'Site Info'!$A:$G,6,FALSE),"")</f>
        <v>46818-1118</v>
      </c>
      <c r="O3025">
        <f>IFERROR(VLOOKUP(VALUE(J3025),'Site Info'!$A:$G,7,FALSE),"")</f>
        <v>2604900626</v>
      </c>
    </row>
    <row r="3026" spans="1:15" x14ac:dyDescent="0.45">
      <c r="A3026" t="s">
        <v>4220</v>
      </c>
      <c r="B3026" t="s">
        <v>4221</v>
      </c>
      <c r="C3026" t="s">
        <v>4222</v>
      </c>
      <c r="D3026" t="s">
        <v>175</v>
      </c>
      <c r="E3026" s="1">
        <v>46153.363668981481</v>
      </c>
      <c r="F3026">
        <v>1547</v>
      </c>
      <c r="G3026" t="s">
        <v>4223</v>
      </c>
      <c r="H3026" t="s">
        <v>15</v>
      </c>
      <c r="I3026" t="s">
        <v>177</v>
      </c>
      <c r="J3026" t="str">
        <f>RIGHT(D3026,4)</f>
        <v>6313</v>
      </c>
      <c r="K3026" t="str">
        <f>IFERROR(VLOOKUP(VALUE(J3026),'Site Info'!$A:$G,3,FALSE),"")</f>
        <v>6736 LIMA RD</v>
      </c>
      <c r="L3026" t="str">
        <f>IFERROR(VLOOKUP(VALUE(J3026),'Site Info'!$A:$G,4,FALSE),"")</f>
        <v>FORT WAYNE</v>
      </c>
      <c r="M3026" t="str">
        <f>IFERROR(VLOOKUP(VALUE(J3026),'Site Info'!$A:$G,5,FALSE),"")</f>
        <v>IN</v>
      </c>
      <c r="N3026" t="str">
        <f>IFERROR(VLOOKUP(VALUE(J3026),'Site Info'!$A:$G,6,FALSE),"")</f>
        <v>46818-1118</v>
      </c>
      <c r="O3026">
        <f>IFERROR(VLOOKUP(VALUE(J3026),'Site Info'!$A:$G,7,FALSE),"")</f>
        <v>2604900626</v>
      </c>
    </row>
    <row r="3027" spans="1:15" x14ac:dyDescent="0.45">
      <c r="A3027" t="s">
        <v>4326</v>
      </c>
      <c r="B3027" t="s">
        <v>4327</v>
      </c>
      <c r="C3027" t="s">
        <v>4328</v>
      </c>
      <c r="D3027" t="s">
        <v>175</v>
      </c>
      <c r="E3027" s="1">
        <v>46153.371701388889</v>
      </c>
      <c r="F3027">
        <v>1547</v>
      </c>
      <c r="G3027" t="s">
        <v>4329</v>
      </c>
      <c r="H3027" t="s">
        <v>15</v>
      </c>
      <c r="I3027" t="s">
        <v>177</v>
      </c>
      <c r="J3027" t="str">
        <f>RIGHT(D3027,4)</f>
        <v>6313</v>
      </c>
      <c r="K3027" t="str">
        <f>IFERROR(VLOOKUP(VALUE(J3027),'Site Info'!$A:$G,3,FALSE),"")</f>
        <v>6736 LIMA RD</v>
      </c>
      <c r="L3027" t="str">
        <f>IFERROR(VLOOKUP(VALUE(J3027),'Site Info'!$A:$G,4,FALSE),"")</f>
        <v>FORT WAYNE</v>
      </c>
      <c r="M3027" t="str">
        <f>IFERROR(VLOOKUP(VALUE(J3027),'Site Info'!$A:$G,5,FALSE),"")</f>
        <v>IN</v>
      </c>
      <c r="N3027" t="str">
        <f>IFERROR(VLOOKUP(VALUE(J3027),'Site Info'!$A:$G,6,FALSE),"")</f>
        <v>46818-1118</v>
      </c>
      <c r="O3027">
        <f>IFERROR(VLOOKUP(VALUE(J3027),'Site Info'!$A:$G,7,FALSE),"")</f>
        <v>2604900626</v>
      </c>
    </row>
    <row r="3028" spans="1:15" x14ac:dyDescent="0.45">
      <c r="A3028" t="s">
        <v>3669</v>
      </c>
      <c r="B3028" t="s">
        <v>3670</v>
      </c>
      <c r="C3028" t="s">
        <v>3671</v>
      </c>
      <c r="D3028" t="s">
        <v>175</v>
      </c>
      <c r="E3028" s="1">
        <v>46152.489039351851</v>
      </c>
      <c r="F3028">
        <v>1481</v>
      </c>
      <c r="G3028" t="s">
        <v>3672</v>
      </c>
      <c r="H3028" t="s">
        <v>15</v>
      </c>
      <c r="I3028" t="s">
        <v>177</v>
      </c>
      <c r="J3028" t="str">
        <f>RIGHT(D3028,4)</f>
        <v>6313</v>
      </c>
      <c r="K3028" t="str">
        <f>IFERROR(VLOOKUP(VALUE(J3028),'Site Info'!$A:$G,3,FALSE),"")</f>
        <v>6736 LIMA RD</v>
      </c>
      <c r="L3028" t="str">
        <f>IFERROR(VLOOKUP(VALUE(J3028),'Site Info'!$A:$G,4,FALSE),"")</f>
        <v>FORT WAYNE</v>
      </c>
      <c r="M3028" t="str">
        <f>IFERROR(VLOOKUP(VALUE(J3028),'Site Info'!$A:$G,5,FALSE),"")</f>
        <v>IN</v>
      </c>
      <c r="N3028" t="str">
        <f>IFERROR(VLOOKUP(VALUE(J3028),'Site Info'!$A:$G,6,FALSE),"")</f>
        <v>46818-1118</v>
      </c>
      <c r="O3028">
        <f>IFERROR(VLOOKUP(VALUE(J3028),'Site Info'!$A:$G,7,FALSE),"")</f>
        <v>2604900626</v>
      </c>
    </row>
    <row r="3029" spans="1:15" x14ac:dyDescent="0.45">
      <c r="A3029" t="s">
        <v>3019</v>
      </c>
      <c r="B3029" t="s">
        <v>3020</v>
      </c>
      <c r="C3029" t="s">
        <v>3021</v>
      </c>
      <c r="D3029" t="s">
        <v>175</v>
      </c>
      <c r="E3029" s="1">
        <v>46153.364710648151</v>
      </c>
      <c r="F3029">
        <v>1481</v>
      </c>
      <c r="G3029" t="s">
        <v>3022</v>
      </c>
      <c r="H3029" t="s">
        <v>15</v>
      </c>
      <c r="I3029" t="s">
        <v>177</v>
      </c>
      <c r="J3029" t="str">
        <f>RIGHT(D3029,4)</f>
        <v>6313</v>
      </c>
      <c r="K3029" t="str">
        <f>IFERROR(VLOOKUP(VALUE(J3029),'Site Info'!$A:$G,3,FALSE),"")</f>
        <v>6736 LIMA RD</v>
      </c>
      <c r="L3029" t="str">
        <f>IFERROR(VLOOKUP(VALUE(J3029),'Site Info'!$A:$G,4,FALSE),"")</f>
        <v>FORT WAYNE</v>
      </c>
      <c r="M3029" t="str">
        <f>IFERROR(VLOOKUP(VALUE(J3029),'Site Info'!$A:$G,5,FALSE),"")</f>
        <v>IN</v>
      </c>
      <c r="N3029" t="str">
        <f>IFERROR(VLOOKUP(VALUE(J3029),'Site Info'!$A:$G,6,FALSE),"")</f>
        <v>46818-1118</v>
      </c>
      <c r="O3029">
        <f>IFERROR(VLOOKUP(VALUE(J3029),'Site Info'!$A:$G,7,FALSE),"")</f>
        <v>2604900626</v>
      </c>
    </row>
    <row r="3030" spans="1:15" x14ac:dyDescent="0.45">
      <c r="A3030" t="s">
        <v>10612</v>
      </c>
      <c r="B3030" t="s">
        <v>10613</v>
      </c>
      <c r="C3030" t="s">
        <v>10614</v>
      </c>
      <c r="D3030" t="s">
        <v>5455</v>
      </c>
      <c r="E3030" s="1">
        <v>46152.239710648151</v>
      </c>
      <c r="F3030">
        <v>1547</v>
      </c>
      <c r="G3030" t="s">
        <v>10615</v>
      </c>
      <c r="H3030" t="s">
        <v>15</v>
      </c>
      <c r="I3030" t="s">
        <v>5457</v>
      </c>
      <c r="J3030" t="str">
        <f>RIGHT(D3030,4)</f>
        <v>8277</v>
      </c>
      <c r="K3030" t="str">
        <f>IFERROR(VLOOKUP(VALUE(J3030),'Site Info'!$A:$G,3,FALSE),"")</f>
        <v>6760 WESTWORTH BLVD</v>
      </c>
      <c r="L3030" t="str">
        <f>IFERROR(VLOOKUP(VALUE(J3030),'Site Info'!$A:$G,4,FALSE),"")</f>
        <v>WESTWORTH VILLAGE</v>
      </c>
      <c r="M3030" t="str">
        <f>IFERROR(VLOOKUP(VALUE(J3030),'Site Info'!$A:$G,5,FALSE),"")</f>
        <v>TX</v>
      </c>
      <c r="N3030" t="str">
        <f>IFERROR(VLOOKUP(VALUE(J3030),'Site Info'!$A:$G,6,FALSE),"")</f>
        <v>76114-4002</v>
      </c>
      <c r="O3030">
        <f>IFERROR(VLOOKUP(VALUE(J3030),'Site Info'!$A:$G,7,FALSE),"")</f>
        <v>8177639621</v>
      </c>
    </row>
    <row r="3031" spans="1:15" x14ac:dyDescent="0.45">
      <c r="A3031" t="s">
        <v>5452</v>
      </c>
      <c r="B3031" t="s">
        <v>5453</v>
      </c>
      <c r="C3031" t="s">
        <v>5454</v>
      </c>
      <c r="D3031" t="s">
        <v>5455</v>
      </c>
      <c r="E3031" s="1">
        <v>46153.181134259263</v>
      </c>
      <c r="F3031">
        <v>1547</v>
      </c>
      <c r="G3031" t="s">
        <v>5456</v>
      </c>
      <c r="H3031" t="s">
        <v>15</v>
      </c>
      <c r="I3031" t="s">
        <v>5457</v>
      </c>
      <c r="J3031" t="str">
        <f>RIGHT(D3031,4)</f>
        <v>8277</v>
      </c>
      <c r="K3031" t="str">
        <f>IFERROR(VLOOKUP(VALUE(J3031),'Site Info'!$A:$G,3,FALSE),"")</f>
        <v>6760 WESTWORTH BLVD</v>
      </c>
      <c r="L3031" t="str">
        <f>IFERROR(VLOOKUP(VALUE(J3031),'Site Info'!$A:$G,4,FALSE),"")</f>
        <v>WESTWORTH VILLAGE</v>
      </c>
      <c r="M3031" t="str">
        <f>IFERROR(VLOOKUP(VALUE(J3031),'Site Info'!$A:$G,5,FALSE),"")</f>
        <v>TX</v>
      </c>
      <c r="N3031" t="str">
        <f>IFERROR(VLOOKUP(VALUE(J3031),'Site Info'!$A:$G,6,FALSE),"")</f>
        <v>76114-4002</v>
      </c>
      <c r="O3031">
        <f>IFERROR(VLOOKUP(VALUE(J3031),'Site Info'!$A:$G,7,FALSE),"")</f>
        <v>8177639621</v>
      </c>
    </row>
    <row r="3032" spans="1:15" x14ac:dyDescent="0.45">
      <c r="A3032" t="s">
        <v>9788</v>
      </c>
      <c r="B3032" t="s">
        <v>9789</v>
      </c>
      <c r="C3032" t="s">
        <v>9790</v>
      </c>
      <c r="D3032" t="s">
        <v>5455</v>
      </c>
      <c r="E3032" s="1">
        <v>46153.216157407405</v>
      </c>
      <c r="F3032">
        <v>1547</v>
      </c>
      <c r="G3032" t="s">
        <v>9791</v>
      </c>
      <c r="H3032" t="s">
        <v>15</v>
      </c>
      <c r="I3032" t="s">
        <v>5457</v>
      </c>
      <c r="J3032" t="str">
        <f>RIGHT(D3032,4)</f>
        <v>8277</v>
      </c>
      <c r="K3032" t="str">
        <f>IFERROR(VLOOKUP(VALUE(J3032),'Site Info'!$A:$G,3,FALSE),"")</f>
        <v>6760 WESTWORTH BLVD</v>
      </c>
      <c r="L3032" t="str">
        <f>IFERROR(VLOOKUP(VALUE(J3032),'Site Info'!$A:$G,4,FALSE),"")</f>
        <v>WESTWORTH VILLAGE</v>
      </c>
      <c r="M3032" t="str">
        <f>IFERROR(VLOOKUP(VALUE(J3032),'Site Info'!$A:$G,5,FALSE),"")</f>
        <v>TX</v>
      </c>
      <c r="N3032" t="str">
        <f>IFERROR(VLOOKUP(VALUE(J3032),'Site Info'!$A:$G,6,FALSE),"")</f>
        <v>76114-4002</v>
      </c>
      <c r="O3032">
        <f>IFERROR(VLOOKUP(VALUE(J3032),'Site Info'!$A:$G,7,FALSE),"")</f>
        <v>8177639621</v>
      </c>
    </row>
    <row r="3033" spans="1:15" x14ac:dyDescent="0.45">
      <c r="A3033" t="s">
        <v>10640</v>
      </c>
      <c r="B3033" t="s">
        <v>10641</v>
      </c>
      <c r="C3033" t="s">
        <v>10642</v>
      </c>
      <c r="D3033" t="s">
        <v>5455</v>
      </c>
      <c r="E3033" s="1">
        <v>46122.38994212963</v>
      </c>
      <c r="F3033">
        <v>1556</v>
      </c>
      <c r="G3033" t="s">
        <v>10643</v>
      </c>
      <c r="H3033" t="s">
        <v>15</v>
      </c>
      <c r="I3033" t="s">
        <v>5457</v>
      </c>
      <c r="J3033" t="str">
        <f>RIGHT(D3033,4)</f>
        <v>8277</v>
      </c>
      <c r="K3033" t="str">
        <f>IFERROR(VLOOKUP(VALUE(J3033),'Site Info'!$A:$G,3,FALSE),"")</f>
        <v>6760 WESTWORTH BLVD</v>
      </c>
      <c r="L3033" t="str">
        <f>IFERROR(VLOOKUP(VALUE(J3033),'Site Info'!$A:$G,4,FALSE),"")</f>
        <v>WESTWORTH VILLAGE</v>
      </c>
      <c r="M3033" t="str">
        <f>IFERROR(VLOOKUP(VALUE(J3033),'Site Info'!$A:$G,5,FALSE),"")</f>
        <v>TX</v>
      </c>
      <c r="N3033" t="str">
        <f>IFERROR(VLOOKUP(VALUE(J3033),'Site Info'!$A:$G,6,FALSE),"")</f>
        <v>76114-4002</v>
      </c>
      <c r="O3033">
        <f>IFERROR(VLOOKUP(VALUE(J3033),'Site Info'!$A:$G,7,FALSE),"")</f>
        <v>8177639621</v>
      </c>
    </row>
    <row r="3034" spans="1:15" x14ac:dyDescent="0.45">
      <c r="A3034" t="s">
        <v>16493</v>
      </c>
      <c r="B3034" t="s">
        <v>17261</v>
      </c>
      <c r="C3034" t="s">
        <v>17262</v>
      </c>
      <c r="D3034" t="s">
        <v>5455</v>
      </c>
      <c r="E3034" s="1">
        <v>46153.353368055556</v>
      </c>
      <c r="F3034">
        <v>1628</v>
      </c>
      <c r="G3034" t="s">
        <v>17263</v>
      </c>
      <c r="H3034" t="s">
        <v>13988</v>
      </c>
      <c r="I3034" t="s">
        <v>5457</v>
      </c>
      <c r="J3034" t="str">
        <f>RIGHT(D3034,4)</f>
        <v>8277</v>
      </c>
      <c r="K3034" t="str">
        <f>IFERROR(VLOOKUP(VALUE(J3034),'Site Info'!$A:$G,3,FALSE),"")</f>
        <v>6760 WESTWORTH BLVD</v>
      </c>
      <c r="L3034" t="str">
        <f>IFERROR(VLOOKUP(VALUE(J3034),'Site Info'!$A:$G,4,FALSE),"")</f>
        <v>WESTWORTH VILLAGE</v>
      </c>
      <c r="M3034" t="str">
        <f>IFERROR(VLOOKUP(VALUE(J3034),'Site Info'!$A:$G,5,FALSE),"")</f>
        <v>TX</v>
      </c>
      <c r="N3034" t="str">
        <f>IFERROR(VLOOKUP(VALUE(J3034),'Site Info'!$A:$G,6,FALSE),"")</f>
        <v>76114-4002</v>
      </c>
      <c r="O3034">
        <f>IFERROR(VLOOKUP(VALUE(J3034),'Site Info'!$A:$G,7,FALSE),"")</f>
        <v>8177639621</v>
      </c>
    </row>
    <row r="3035" spans="1:15" x14ac:dyDescent="0.45">
      <c r="A3035" t="s">
        <v>7789</v>
      </c>
      <c r="B3035" t="s">
        <v>7790</v>
      </c>
      <c r="C3035" t="s">
        <v>7791</v>
      </c>
      <c r="D3035" t="s">
        <v>1315</v>
      </c>
      <c r="E3035" s="1">
        <v>46153.073414351849</v>
      </c>
      <c r="F3035">
        <v>1548</v>
      </c>
      <c r="G3035" t="s">
        <v>7792</v>
      </c>
      <c r="H3035" t="s">
        <v>15</v>
      </c>
      <c r="I3035" t="s">
        <v>1317</v>
      </c>
      <c r="J3035" t="str">
        <f>RIGHT(D3035,4)</f>
        <v>8175</v>
      </c>
      <c r="K3035" t="str">
        <f>IFERROR(VLOOKUP(VALUE(J3035),'Site Info'!$A:$G,3,FALSE),"")</f>
        <v>6781 GRAYSON RD</v>
      </c>
      <c r="L3035" t="str">
        <f>IFERROR(VLOOKUP(VALUE(J3035),'Site Info'!$A:$G,4,FALSE),"")</f>
        <v>HARRISBURG</v>
      </c>
      <c r="M3035" t="str">
        <f>IFERROR(VLOOKUP(VALUE(J3035),'Site Info'!$A:$G,5,FALSE),"")</f>
        <v>PA</v>
      </c>
      <c r="N3035" t="str">
        <f>IFERROR(VLOOKUP(VALUE(J3035),'Site Info'!$A:$G,6,FALSE),"")</f>
        <v>17111-5138</v>
      </c>
      <c r="O3035">
        <f>IFERROR(VLOOKUP(VALUE(J3035),'Site Info'!$A:$G,7,FALSE),"")</f>
        <v>7175584200</v>
      </c>
    </row>
    <row r="3036" spans="1:15" x14ac:dyDescent="0.45">
      <c r="A3036" t="s">
        <v>11432</v>
      </c>
      <c r="B3036" t="s">
        <v>11433</v>
      </c>
      <c r="C3036" t="s">
        <v>11434</v>
      </c>
      <c r="D3036" t="s">
        <v>1315</v>
      </c>
      <c r="E3036" s="1">
        <v>46151.226284722223</v>
      </c>
      <c r="F3036">
        <v>1547</v>
      </c>
      <c r="G3036" t="s">
        <v>11435</v>
      </c>
      <c r="H3036" t="s">
        <v>15</v>
      </c>
      <c r="I3036" t="s">
        <v>1317</v>
      </c>
      <c r="J3036" t="str">
        <f>RIGHT(D3036,4)</f>
        <v>8175</v>
      </c>
      <c r="K3036" t="str">
        <f>IFERROR(VLOOKUP(VALUE(J3036),'Site Info'!$A:$G,3,FALSE),"")</f>
        <v>6781 GRAYSON RD</v>
      </c>
      <c r="L3036" t="str">
        <f>IFERROR(VLOOKUP(VALUE(J3036),'Site Info'!$A:$G,4,FALSE),"")</f>
        <v>HARRISBURG</v>
      </c>
      <c r="M3036" t="str">
        <f>IFERROR(VLOOKUP(VALUE(J3036),'Site Info'!$A:$G,5,FALSE),"")</f>
        <v>PA</v>
      </c>
      <c r="N3036" t="str">
        <f>IFERROR(VLOOKUP(VALUE(J3036),'Site Info'!$A:$G,6,FALSE),"")</f>
        <v>17111-5138</v>
      </c>
      <c r="O3036">
        <f>IFERROR(VLOOKUP(VALUE(J3036),'Site Info'!$A:$G,7,FALSE),"")</f>
        <v>7175584200</v>
      </c>
    </row>
    <row r="3037" spans="1:15" x14ac:dyDescent="0.45">
      <c r="A3037" t="s">
        <v>7997</v>
      </c>
      <c r="B3037" t="s">
        <v>7998</v>
      </c>
      <c r="C3037" t="s">
        <v>7999</v>
      </c>
      <c r="D3037" t="s">
        <v>1315</v>
      </c>
      <c r="E3037" s="1">
        <v>46152.65556712963</v>
      </c>
      <c r="F3037">
        <v>1547</v>
      </c>
      <c r="G3037" t="s">
        <v>8000</v>
      </c>
      <c r="H3037" t="s">
        <v>15</v>
      </c>
      <c r="I3037" t="s">
        <v>1317</v>
      </c>
      <c r="J3037" t="str">
        <f>RIGHT(D3037,4)</f>
        <v>8175</v>
      </c>
      <c r="K3037" t="str">
        <f>IFERROR(VLOOKUP(VALUE(J3037),'Site Info'!$A:$G,3,FALSE),"")</f>
        <v>6781 GRAYSON RD</v>
      </c>
      <c r="L3037" t="str">
        <f>IFERROR(VLOOKUP(VALUE(J3037),'Site Info'!$A:$G,4,FALSE),"")</f>
        <v>HARRISBURG</v>
      </c>
      <c r="M3037" t="str">
        <f>IFERROR(VLOOKUP(VALUE(J3037),'Site Info'!$A:$G,5,FALSE),"")</f>
        <v>PA</v>
      </c>
      <c r="N3037" t="str">
        <f>IFERROR(VLOOKUP(VALUE(J3037),'Site Info'!$A:$G,6,FALSE),"")</f>
        <v>17111-5138</v>
      </c>
      <c r="O3037">
        <f>IFERROR(VLOOKUP(VALUE(J3037),'Site Info'!$A:$G,7,FALSE),"")</f>
        <v>7175584200</v>
      </c>
    </row>
    <row r="3038" spans="1:15" x14ac:dyDescent="0.45">
      <c r="A3038" t="s">
        <v>11516</v>
      </c>
      <c r="B3038" t="s">
        <v>11517</v>
      </c>
      <c r="C3038" t="s">
        <v>11518</v>
      </c>
      <c r="D3038" t="s">
        <v>1315</v>
      </c>
      <c r="E3038" s="1">
        <v>46153.351863425924</v>
      </c>
      <c r="F3038">
        <v>1547</v>
      </c>
      <c r="G3038" t="s">
        <v>11519</v>
      </c>
      <c r="H3038" t="s">
        <v>15</v>
      </c>
      <c r="I3038" t="s">
        <v>1317</v>
      </c>
      <c r="J3038" t="str">
        <f>RIGHT(D3038,4)</f>
        <v>8175</v>
      </c>
      <c r="K3038" t="str">
        <f>IFERROR(VLOOKUP(VALUE(J3038),'Site Info'!$A:$G,3,FALSE),"")</f>
        <v>6781 GRAYSON RD</v>
      </c>
      <c r="L3038" t="str">
        <f>IFERROR(VLOOKUP(VALUE(J3038),'Site Info'!$A:$G,4,FALSE),"")</f>
        <v>HARRISBURG</v>
      </c>
      <c r="M3038" t="str">
        <f>IFERROR(VLOOKUP(VALUE(J3038),'Site Info'!$A:$G,5,FALSE),"")</f>
        <v>PA</v>
      </c>
      <c r="N3038" t="str">
        <f>IFERROR(VLOOKUP(VALUE(J3038),'Site Info'!$A:$G,6,FALSE),"")</f>
        <v>17111-5138</v>
      </c>
      <c r="O3038">
        <f>IFERROR(VLOOKUP(VALUE(J3038),'Site Info'!$A:$G,7,FALSE),"")</f>
        <v>7175584200</v>
      </c>
    </row>
    <row r="3039" spans="1:15" x14ac:dyDescent="0.45">
      <c r="A3039" t="s">
        <v>3437</v>
      </c>
      <c r="B3039" t="s">
        <v>3438</v>
      </c>
      <c r="C3039" t="s">
        <v>3439</v>
      </c>
      <c r="D3039" t="s">
        <v>1315</v>
      </c>
      <c r="E3039" s="1">
        <v>46150.474247685182</v>
      </c>
      <c r="F3039">
        <v>1481</v>
      </c>
      <c r="G3039" t="s">
        <v>3440</v>
      </c>
      <c r="H3039" t="s">
        <v>15</v>
      </c>
      <c r="I3039" t="s">
        <v>1317</v>
      </c>
      <c r="J3039" t="str">
        <f>RIGHT(D3039,4)</f>
        <v>8175</v>
      </c>
      <c r="K3039" t="str">
        <f>IFERROR(VLOOKUP(VALUE(J3039),'Site Info'!$A:$G,3,FALSE),"")</f>
        <v>6781 GRAYSON RD</v>
      </c>
      <c r="L3039" t="str">
        <f>IFERROR(VLOOKUP(VALUE(J3039),'Site Info'!$A:$G,4,FALSE),"")</f>
        <v>HARRISBURG</v>
      </c>
      <c r="M3039" t="str">
        <f>IFERROR(VLOOKUP(VALUE(J3039),'Site Info'!$A:$G,5,FALSE),"")</f>
        <v>PA</v>
      </c>
      <c r="N3039" t="str">
        <f>IFERROR(VLOOKUP(VALUE(J3039),'Site Info'!$A:$G,6,FALSE),"")</f>
        <v>17111-5138</v>
      </c>
      <c r="O3039">
        <f>IFERROR(VLOOKUP(VALUE(J3039),'Site Info'!$A:$G,7,FALSE),"")</f>
        <v>7175584200</v>
      </c>
    </row>
    <row r="3040" spans="1:15" x14ac:dyDescent="0.45">
      <c r="A3040" t="s">
        <v>1312</v>
      </c>
      <c r="B3040" t="s">
        <v>1313</v>
      </c>
      <c r="C3040" t="s">
        <v>1314</v>
      </c>
      <c r="D3040" t="s">
        <v>1315</v>
      </c>
      <c r="E3040" s="1">
        <v>46153.317291666666</v>
      </c>
      <c r="F3040">
        <v>1481</v>
      </c>
      <c r="G3040" t="s">
        <v>1316</v>
      </c>
      <c r="H3040" t="s">
        <v>15</v>
      </c>
      <c r="I3040" t="s">
        <v>1317</v>
      </c>
      <c r="J3040" t="str">
        <f>RIGHT(D3040,4)</f>
        <v>8175</v>
      </c>
      <c r="K3040" t="str">
        <f>IFERROR(VLOOKUP(VALUE(J3040),'Site Info'!$A:$G,3,FALSE),"")</f>
        <v>6781 GRAYSON RD</v>
      </c>
      <c r="L3040" t="str">
        <f>IFERROR(VLOOKUP(VALUE(J3040),'Site Info'!$A:$G,4,FALSE),"")</f>
        <v>HARRISBURG</v>
      </c>
      <c r="M3040" t="str">
        <f>IFERROR(VLOOKUP(VALUE(J3040),'Site Info'!$A:$G,5,FALSE),"")</f>
        <v>PA</v>
      </c>
      <c r="N3040" t="str">
        <f>IFERROR(VLOOKUP(VALUE(J3040),'Site Info'!$A:$G,6,FALSE),"")</f>
        <v>17111-5138</v>
      </c>
      <c r="O3040">
        <f>IFERROR(VLOOKUP(VALUE(J3040),'Site Info'!$A:$G,7,FALSE),"")</f>
        <v>7175584200</v>
      </c>
    </row>
    <row r="3041" spans="1:15" x14ac:dyDescent="0.45">
      <c r="A3041" t="s">
        <v>14632</v>
      </c>
      <c r="B3041" t="s">
        <v>14633</v>
      </c>
      <c r="C3041" t="s">
        <v>14634</v>
      </c>
      <c r="D3041" t="s">
        <v>461</v>
      </c>
      <c r="E3041" s="1">
        <v>46151.71539351852</v>
      </c>
      <c r="F3041">
        <v>1863</v>
      </c>
      <c r="G3041" t="s">
        <v>14635</v>
      </c>
      <c r="H3041" t="s">
        <v>136</v>
      </c>
      <c r="I3041" t="s">
        <v>463</v>
      </c>
      <c r="J3041" t="str">
        <f>RIGHT(D3041,4)</f>
        <v>6342</v>
      </c>
      <c r="K3041" t="str">
        <f>IFERROR(VLOOKUP(VALUE(J3041),'Site Info'!$A:$G,3,FALSE),"")</f>
        <v>6922 S MINGO RD</v>
      </c>
      <c r="L3041" t="str">
        <f>IFERROR(VLOOKUP(VALUE(J3041),'Site Info'!$A:$G,4,FALSE),"")</f>
        <v>TULSA</v>
      </c>
      <c r="M3041" t="str">
        <f>IFERROR(VLOOKUP(VALUE(J3041),'Site Info'!$A:$G,5,FALSE),"")</f>
        <v>OK</v>
      </c>
      <c r="N3041" t="str">
        <f>IFERROR(VLOOKUP(VALUE(J3041),'Site Info'!$A:$G,6,FALSE),"")</f>
        <v>74133-3216</v>
      </c>
      <c r="O3041">
        <f>IFERROR(VLOOKUP(VALUE(J3041),'Site Info'!$A:$G,7,FALSE),"")</f>
        <v>9182529503</v>
      </c>
    </row>
    <row r="3042" spans="1:15" x14ac:dyDescent="0.45">
      <c r="A3042" t="s">
        <v>14576</v>
      </c>
      <c r="B3042" t="s">
        <v>14577</v>
      </c>
      <c r="C3042" t="s">
        <v>14578</v>
      </c>
      <c r="D3042" t="s">
        <v>461</v>
      </c>
      <c r="E3042" s="1">
        <v>46152.675381944442</v>
      </c>
      <c r="F3042">
        <v>1863</v>
      </c>
      <c r="G3042" t="s">
        <v>14579</v>
      </c>
      <c r="H3042" t="s">
        <v>136</v>
      </c>
      <c r="I3042" t="s">
        <v>463</v>
      </c>
      <c r="J3042" t="str">
        <f>RIGHT(D3042,4)</f>
        <v>6342</v>
      </c>
      <c r="K3042" t="str">
        <f>IFERROR(VLOOKUP(VALUE(J3042),'Site Info'!$A:$G,3,FALSE),"")</f>
        <v>6922 S MINGO RD</v>
      </c>
      <c r="L3042" t="str">
        <f>IFERROR(VLOOKUP(VALUE(J3042),'Site Info'!$A:$G,4,FALSE),"")</f>
        <v>TULSA</v>
      </c>
      <c r="M3042" t="str">
        <f>IFERROR(VLOOKUP(VALUE(J3042),'Site Info'!$A:$G,5,FALSE),"")</f>
        <v>OK</v>
      </c>
      <c r="N3042" t="str">
        <f>IFERROR(VLOOKUP(VALUE(J3042),'Site Info'!$A:$G,6,FALSE),"")</f>
        <v>74133-3216</v>
      </c>
      <c r="O3042">
        <f>IFERROR(VLOOKUP(VALUE(J3042),'Site Info'!$A:$G,7,FALSE),"")</f>
        <v>9182529503</v>
      </c>
    </row>
    <row r="3043" spans="1:15" x14ac:dyDescent="0.45">
      <c r="A3043" t="s">
        <v>14159</v>
      </c>
      <c r="B3043" t="s">
        <v>14160</v>
      </c>
      <c r="C3043" t="s">
        <v>14161</v>
      </c>
      <c r="D3043" t="s">
        <v>461</v>
      </c>
      <c r="E3043" s="1">
        <v>46152.703379629631</v>
      </c>
      <c r="F3043">
        <v>1863</v>
      </c>
      <c r="G3043" t="s">
        <v>14162</v>
      </c>
      <c r="H3043" t="s">
        <v>136</v>
      </c>
      <c r="I3043" t="s">
        <v>463</v>
      </c>
      <c r="J3043" t="str">
        <f>RIGHT(D3043,4)</f>
        <v>6342</v>
      </c>
      <c r="K3043" t="str">
        <f>IFERROR(VLOOKUP(VALUE(J3043),'Site Info'!$A:$G,3,FALSE),"")</f>
        <v>6922 S MINGO RD</v>
      </c>
      <c r="L3043" t="str">
        <f>IFERROR(VLOOKUP(VALUE(J3043),'Site Info'!$A:$G,4,FALSE),"")</f>
        <v>TULSA</v>
      </c>
      <c r="M3043" t="str">
        <f>IFERROR(VLOOKUP(VALUE(J3043),'Site Info'!$A:$G,5,FALSE),"")</f>
        <v>OK</v>
      </c>
      <c r="N3043" t="str">
        <f>IFERROR(VLOOKUP(VALUE(J3043),'Site Info'!$A:$G,6,FALSE),"")</f>
        <v>74133-3216</v>
      </c>
      <c r="O3043">
        <f>IFERROR(VLOOKUP(VALUE(J3043),'Site Info'!$A:$G,7,FALSE),"")</f>
        <v>9182529503</v>
      </c>
    </row>
    <row r="3044" spans="1:15" x14ac:dyDescent="0.45">
      <c r="A3044" t="s">
        <v>12092</v>
      </c>
      <c r="B3044" t="s">
        <v>12093</v>
      </c>
      <c r="C3044" t="s">
        <v>12094</v>
      </c>
      <c r="D3044" t="s">
        <v>461</v>
      </c>
      <c r="E3044" s="1">
        <v>46096.628576388888</v>
      </c>
      <c r="F3044">
        <v>1548</v>
      </c>
      <c r="G3044" t="s">
        <v>12095</v>
      </c>
      <c r="H3044" t="s">
        <v>15</v>
      </c>
      <c r="I3044" t="s">
        <v>463</v>
      </c>
      <c r="J3044" t="str">
        <f>RIGHT(D3044,4)</f>
        <v>6342</v>
      </c>
      <c r="K3044" t="str">
        <f>IFERROR(VLOOKUP(VALUE(J3044),'Site Info'!$A:$G,3,FALSE),"")</f>
        <v>6922 S MINGO RD</v>
      </c>
      <c r="L3044" t="str">
        <f>IFERROR(VLOOKUP(VALUE(J3044),'Site Info'!$A:$G,4,FALSE),"")</f>
        <v>TULSA</v>
      </c>
      <c r="M3044" t="str">
        <f>IFERROR(VLOOKUP(VALUE(J3044),'Site Info'!$A:$G,5,FALSE),"")</f>
        <v>OK</v>
      </c>
      <c r="N3044" t="str">
        <f>IFERROR(VLOOKUP(VALUE(J3044),'Site Info'!$A:$G,6,FALSE),"")</f>
        <v>74133-3216</v>
      </c>
      <c r="O3044">
        <f>IFERROR(VLOOKUP(VALUE(J3044),'Site Info'!$A:$G,7,FALSE),"")</f>
        <v>9182529503</v>
      </c>
    </row>
    <row r="3045" spans="1:15" x14ac:dyDescent="0.45">
      <c r="A3045" t="s">
        <v>12204</v>
      </c>
      <c r="B3045" t="s">
        <v>12205</v>
      </c>
      <c r="C3045" t="s">
        <v>12206</v>
      </c>
      <c r="D3045" t="s">
        <v>461</v>
      </c>
      <c r="E3045" s="1">
        <v>46152.175520833334</v>
      </c>
      <c r="F3045">
        <v>1547</v>
      </c>
      <c r="G3045" t="s">
        <v>12207</v>
      </c>
      <c r="H3045" t="s">
        <v>15</v>
      </c>
      <c r="I3045" t="s">
        <v>463</v>
      </c>
      <c r="J3045" t="str">
        <f>RIGHT(D3045,4)</f>
        <v>6342</v>
      </c>
      <c r="K3045" t="str">
        <f>IFERROR(VLOOKUP(VALUE(J3045),'Site Info'!$A:$G,3,FALSE),"")</f>
        <v>6922 S MINGO RD</v>
      </c>
      <c r="L3045" t="str">
        <f>IFERROR(VLOOKUP(VALUE(J3045),'Site Info'!$A:$G,4,FALSE),"")</f>
        <v>TULSA</v>
      </c>
      <c r="M3045" t="str">
        <f>IFERROR(VLOOKUP(VALUE(J3045),'Site Info'!$A:$G,5,FALSE),"")</f>
        <v>OK</v>
      </c>
      <c r="N3045" t="str">
        <f>IFERROR(VLOOKUP(VALUE(J3045),'Site Info'!$A:$G,6,FALSE),"")</f>
        <v>74133-3216</v>
      </c>
      <c r="O3045">
        <f>IFERROR(VLOOKUP(VALUE(J3045),'Site Info'!$A:$G,7,FALSE),"")</f>
        <v>9182529503</v>
      </c>
    </row>
    <row r="3046" spans="1:15" x14ac:dyDescent="0.45">
      <c r="A3046" t="s">
        <v>12108</v>
      </c>
      <c r="B3046" t="s">
        <v>12109</v>
      </c>
      <c r="C3046" t="s">
        <v>12110</v>
      </c>
      <c r="D3046" t="s">
        <v>461</v>
      </c>
      <c r="E3046" s="1">
        <v>46153.364386574074</v>
      </c>
      <c r="F3046">
        <v>1547</v>
      </c>
      <c r="G3046" t="s">
        <v>12111</v>
      </c>
      <c r="H3046" t="s">
        <v>15</v>
      </c>
      <c r="I3046" t="s">
        <v>463</v>
      </c>
      <c r="J3046" t="str">
        <f>RIGHT(D3046,4)</f>
        <v>6342</v>
      </c>
      <c r="K3046" t="str">
        <f>IFERROR(VLOOKUP(VALUE(J3046),'Site Info'!$A:$G,3,FALSE),"")</f>
        <v>6922 S MINGO RD</v>
      </c>
      <c r="L3046" t="str">
        <f>IFERROR(VLOOKUP(VALUE(J3046),'Site Info'!$A:$G,4,FALSE),"")</f>
        <v>TULSA</v>
      </c>
      <c r="M3046" t="str">
        <f>IFERROR(VLOOKUP(VALUE(J3046),'Site Info'!$A:$G,5,FALSE),"")</f>
        <v>OK</v>
      </c>
      <c r="N3046" t="str">
        <f>IFERROR(VLOOKUP(VALUE(J3046),'Site Info'!$A:$G,6,FALSE),"")</f>
        <v>74133-3216</v>
      </c>
      <c r="O3046">
        <f>IFERROR(VLOOKUP(VALUE(J3046),'Site Info'!$A:$G,7,FALSE),"")</f>
        <v>9182529503</v>
      </c>
    </row>
    <row r="3047" spans="1:15" x14ac:dyDescent="0.45">
      <c r="A3047" t="s">
        <v>458</v>
      </c>
      <c r="B3047" t="s">
        <v>459</v>
      </c>
      <c r="C3047" t="s">
        <v>460</v>
      </c>
      <c r="D3047" t="s">
        <v>461</v>
      </c>
      <c r="E3047" s="1">
        <v>46152.17701388889</v>
      </c>
      <c r="F3047">
        <v>1481</v>
      </c>
      <c r="G3047" t="s">
        <v>462</v>
      </c>
      <c r="H3047" t="s">
        <v>15</v>
      </c>
      <c r="I3047" t="s">
        <v>463</v>
      </c>
      <c r="J3047" t="str">
        <f>RIGHT(D3047,4)</f>
        <v>6342</v>
      </c>
      <c r="K3047" t="str">
        <f>IFERROR(VLOOKUP(VALUE(J3047),'Site Info'!$A:$G,3,FALSE),"")</f>
        <v>6922 S MINGO RD</v>
      </c>
      <c r="L3047" t="str">
        <f>IFERROR(VLOOKUP(VALUE(J3047),'Site Info'!$A:$G,4,FALSE),"")</f>
        <v>TULSA</v>
      </c>
      <c r="M3047" t="str">
        <f>IFERROR(VLOOKUP(VALUE(J3047),'Site Info'!$A:$G,5,FALSE),"")</f>
        <v>OK</v>
      </c>
      <c r="N3047" t="str">
        <f>IFERROR(VLOOKUP(VALUE(J3047),'Site Info'!$A:$G,6,FALSE),"")</f>
        <v>74133-3216</v>
      </c>
      <c r="O3047">
        <f>IFERROR(VLOOKUP(VALUE(J3047),'Site Info'!$A:$G,7,FALSE),"")</f>
        <v>9182529503</v>
      </c>
    </row>
    <row r="3048" spans="1:15" x14ac:dyDescent="0.45">
      <c r="A3048" t="s">
        <v>1354</v>
      </c>
      <c r="B3048" t="s">
        <v>1355</v>
      </c>
      <c r="C3048" t="s">
        <v>1356</v>
      </c>
      <c r="D3048" t="s">
        <v>461</v>
      </c>
      <c r="E3048" s="1">
        <v>46152.387476851851</v>
      </c>
      <c r="F3048">
        <v>1481</v>
      </c>
      <c r="G3048" t="s">
        <v>1357</v>
      </c>
      <c r="H3048" t="s">
        <v>15</v>
      </c>
      <c r="I3048" t="s">
        <v>463</v>
      </c>
      <c r="J3048" t="str">
        <f>RIGHT(D3048,4)</f>
        <v>6342</v>
      </c>
      <c r="K3048" t="str">
        <f>IFERROR(VLOOKUP(VALUE(J3048),'Site Info'!$A:$G,3,FALSE),"")</f>
        <v>6922 S MINGO RD</v>
      </c>
      <c r="L3048" t="str">
        <f>IFERROR(VLOOKUP(VALUE(J3048),'Site Info'!$A:$G,4,FALSE),"")</f>
        <v>TULSA</v>
      </c>
      <c r="M3048" t="str">
        <f>IFERROR(VLOOKUP(VALUE(J3048),'Site Info'!$A:$G,5,FALSE),"")</f>
        <v>OK</v>
      </c>
      <c r="N3048" t="str">
        <f>IFERROR(VLOOKUP(VALUE(J3048),'Site Info'!$A:$G,6,FALSE),"")</f>
        <v>74133-3216</v>
      </c>
      <c r="O3048">
        <f>IFERROR(VLOOKUP(VALUE(J3048),'Site Info'!$A:$G,7,FALSE),"")</f>
        <v>9182529503</v>
      </c>
    </row>
    <row r="3049" spans="1:15" x14ac:dyDescent="0.45">
      <c r="A3049" t="s">
        <v>828</v>
      </c>
      <c r="B3049" t="s">
        <v>829</v>
      </c>
      <c r="C3049" t="s">
        <v>830</v>
      </c>
      <c r="D3049" t="s">
        <v>461</v>
      </c>
      <c r="E3049" s="1">
        <v>46152.911180555559</v>
      </c>
      <c r="F3049">
        <v>1481</v>
      </c>
      <c r="G3049" t="s">
        <v>831</v>
      </c>
      <c r="H3049" t="s">
        <v>15</v>
      </c>
      <c r="I3049" t="s">
        <v>463</v>
      </c>
      <c r="J3049" t="str">
        <f>RIGHT(D3049,4)</f>
        <v>6342</v>
      </c>
      <c r="K3049" t="str">
        <f>IFERROR(VLOOKUP(VALUE(J3049),'Site Info'!$A:$G,3,FALSE),"")</f>
        <v>6922 S MINGO RD</v>
      </c>
      <c r="L3049" t="str">
        <f>IFERROR(VLOOKUP(VALUE(J3049),'Site Info'!$A:$G,4,FALSE),"")</f>
        <v>TULSA</v>
      </c>
      <c r="M3049" t="str">
        <f>IFERROR(VLOOKUP(VALUE(J3049),'Site Info'!$A:$G,5,FALSE),"")</f>
        <v>OK</v>
      </c>
      <c r="N3049" t="str">
        <f>IFERROR(VLOOKUP(VALUE(J3049),'Site Info'!$A:$G,6,FALSE),"")</f>
        <v>74133-3216</v>
      </c>
      <c r="O3049">
        <f>IFERROR(VLOOKUP(VALUE(J3049),'Site Info'!$A:$G,7,FALSE),"")</f>
        <v>9182529503</v>
      </c>
    </row>
    <row r="3050" spans="1:15" x14ac:dyDescent="0.45">
      <c r="A3050" t="s">
        <v>8389</v>
      </c>
      <c r="B3050" t="s">
        <v>8390</v>
      </c>
      <c r="C3050" t="s">
        <v>8391</v>
      </c>
      <c r="D3050" t="s">
        <v>1173</v>
      </c>
      <c r="E3050" s="1">
        <v>46094.534247685187</v>
      </c>
      <c r="F3050">
        <v>1547</v>
      </c>
      <c r="G3050" t="s">
        <v>8392</v>
      </c>
      <c r="H3050" t="s">
        <v>15</v>
      </c>
      <c r="I3050" t="s">
        <v>1175</v>
      </c>
      <c r="J3050" t="str">
        <f>RIGHT(D3050,4)</f>
        <v>6380</v>
      </c>
      <c r="K3050" t="str">
        <f>IFERROR(VLOOKUP(VALUE(J3050),'Site Info'!$A:$G,3,FALSE),"")</f>
        <v>6955 MILLER LN</v>
      </c>
      <c r="L3050" t="str">
        <f>IFERROR(VLOOKUP(VALUE(J3050),'Site Info'!$A:$G,4,FALSE),"")</f>
        <v>DAYTON</v>
      </c>
      <c r="M3050" t="str">
        <f>IFERROR(VLOOKUP(VALUE(J3050),'Site Info'!$A:$G,5,FALSE),"")</f>
        <v>OH</v>
      </c>
      <c r="N3050" t="str">
        <f>IFERROR(VLOOKUP(VALUE(J3050),'Site Info'!$A:$G,6,FALSE),"")</f>
        <v>45414-2658</v>
      </c>
      <c r="O3050">
        <f>IFERROR(VLOOKUP(VALUE(J3050),'Site Info'!$A:$G,7,FALSE),"")</f>
        <v>9374546200</v>
      </c>
    </row>
    <row r="3051" spans="1:15" x14ac:dyDescent="0.45">
      <c r="A3051" t="s">
        <v>8793</v>
      </c>
      <c r="B3051" t="s">
        <v>8794</v>
      </c>
      <c r="C3051" t="s">
        <v>8795</v>
      </c>
      <c r="D3051" t="s">
        <v>1173</v>
      </c>
      <c r="E3051" s="1">
        <v>46149.205358796295</v>
      </c>
      <c r="F3051">
        <v>1547</v>
      </c>
      <c r="G3051" t="s">
        <v>8796</v>
      </c>
      <c r="H3051" t="s">
        <v>15</v>
      </c>
      <c r="I3051" t="s">
        <v>1175</v>
      </c>
      <c r="J3051" t="str">
        <f>RIGHT(D3051,4)</f>
        <v>6380</v>
      </c>
      <c r="K3051" t="str">
        <f>IFERROR(VLOOKUP(VALUE(J3051),'Site Info'!$A:$G,3,FALSE),"")</f>
        <v>6955 MILLER LN</v>
      </c>
      <c r="L3051" t="str">
        <f>IFERROR(VLOOKUP(VALUE(J3051),'Site Info'!$A:$G,4,FALSE),"")</f>
        <v>DAYTON</v>
      </c>
      <c r="M3051" t="str">
        <f>IFERROR(VLOOKUP(VALUE(J3051),'Site Info'!$A:$G,5,FALSE),"")</f>
        <v>OH</v>
      </c>
      <c r="N3051" t="str">
        <f>IFERROR(VLOOKUP(VALUE(J3051),'Site Info'!$A:$G,6,FALSE),"")</f>
        <v>45414-2658</v>
      </c>
      <c r="O3051">
        <f>IFERROR(VLOOKUP(VALUE(J3051),'Site Info'!$A:$G,7,FALSE),"")</f>
        <v>9374546200</v>
      </c>
    </row>
    <row r="3052" spans="1:15" x14ac:dyDescent="0.45">
      <c r="A3052" t="s">
        <v>9021</v>
      </c>
      <c r="B3052" t="s">
        <v>9022</v>
      </c>
      <c r="C3052" t="s">
        <v>9023</v>
      </c>
      <c r="D3052" t="s">
        <v>1173</v>
      </c>
      <c r="E3052" s="1">
        <v>46151.671666666669</v>
      </c>
      <c r="F3052">
        <v>1547</v>
      </c>
      <c r="G3052" t="s">
        <v>9024</v>
      </c>
      <c r="H3052" t="s">
        <v>15</v>
      </c>
      <c r="I3052" t="s">
        <v>1175</v>
      </c>
      <c r="J3052" t="str">
        <f>RIGHT(D3052,4)</f>
        <v>6380</v>
      </c>
      <c r="K3052" t="str">
        <f>IFERROR(VLOOKUP(VALUE(J3052),'Site Info'!$A:$G,3,FALSE),"")</f>
        <v>6955 MILLER LN</v>
      </c>
      <c r="L3052" t="str">
        <f>IFERROR(VLOOKUP(VALUE(J3052),'Site Info'!$A:$G,4,FALSE),"")</f>
        <v>DAYTON</v>
      </c>
      <c r="M3052" t="str">
        <f>IFERROR(VLOOKUP(VALUE(J3052),'Site Info'!$A:$G,5,FALSE),"")</f>
        <v>OH</v>
      </c>
      <c r="N3052" t="str">
        <f>IFERROR(VLOOKUP(VALUE(J3052),'Site Info'!$A:$G,6,FALSE),"")</f>
        <v>45414-2658</v>
      </c>
      <c r="O3052">
        <f>IFERROR(VLOOKUP(VALUE(J3052),'Site Info'!$A:$G,7,FALSE),"")</f>
        <v>9374546200</v>
      </c>
    </row>
    <row r="3053" spans="1:15" x14ac:dyDescent="0.45">
      <c r="A3053" t="s">
        <v>6855</v>
      </c>
      <c r="B3053" t="s">
        <v>6856</v>
      </c>
      <c r="C3053" t="s">
        <v>6857</v>
      </c>
      <c r="D3053" t="s">
        <v>1173</v>
      </c>
      <c r="E3053" s="1">
        <v>46152.513923611114</v>
      </c>
      <c r="F3053">
        <v>1547</v>
      </c>
      <c r="G3053" t="s">
        <v>6858</v>
      </c>
      <c r="H3053" t="s">
        <v>15</v>
      </c>
      <c r="I3053" t="s">
        <v>1175</v>
      </c>
      <c r="J3053" t="str">
        <f>RIGHT(D3053,4)</f>
        <v>6380</v>
      </c>
      <c r="K3053" t="str">
        <f>IFERROR(VLOOKUP(VALUE(J3053),'Site Info'!$A:$G,3,FALSE),"")</f>
        <v>6955 MILLER LN</v>
      </c>
      <c r="L3053" t="str">
        <f>IFERROR(VLOOKUP(VALUE(J3053),'Site Info'!$A:$G,4,FALSE),"")</f>
        <v>DAYTON</v>
      </c>
      <c r="M3053" t="str">
        <f>IFERROR(VLOOKUP(VALUE(J3053),'Site Info'!$A:$G,5,FALSE),"")</f>
        <v>OH</v>
      </c>
      <c r="N3053" t="str">
        <f>IFERROR(VLOOKUP(VALUE(J3053),'Site Info'!$A:$G,6,FALSE),"")</f>
        <v>45414-2658</v>
      </c>
      <c r="O3053">
        <f>IFERROR(VLOOKUP(VALUE(J3053),'Site Info'!$A:$G,7,FALSE),"")</f>
        <v>9374546200</v>
      </c>
    </row>
    <row r="3054" spans="1:15" x14ac:dyDescent="0.45">
      <c r="A3054" t="s">
        <v>8937</v>
      </c>
      <c r="B3054" t="s">
        <v>8938</v>
      </c>
      <c r="C3054" t="s">
        <v>8939</v>
      </c>
      <c r="D3054" t="s">
        <v>1173</v>
      </c>
      <c r="E3054" s="1">
        <v>46152.625115740739</v>
      </c>
      <c r="F3054">
        <v>1547</v>
      </c>
      <c r="G3054" t="s">
        <v>8940</v>
      </c>
      <c r="H3054" t="s">
        <v>15</v>
      </c>
      <c r="I3054" t="s">
        <v>1175</v>
      </c>
      <c r="J3054" t="str">
        <f>RIGHT(D3054,4)</f>
        <v>6380</v>
      </c>
      <c r="K3054" t="str">
        <f>IFERROR(VLOOKUP(VALUE(J3054),'Site Info'!$A:$G,3,FALSE),"")</f>
        <v>6955 MILLER LN</v>
      </c>
      <c r="L3054" t="str">
        <f>IFERROR(VLOOKUP(VALUE(J3054),'Site Info'!$A:$G,4,FALSE),"")</f>
        <v>DAYTON</v>
      </c>
      <c r="M3054" t="str">
        <f>IFERROR(VLOOKUP(VALUE(J3054),'Site Info'!$A:$G,5,FALSE),"")</f>
        <v>OH</v>
      </c>
      <c r="N3054" t="str">
        <f>IFERROR(VLOOKUP(VALUE(J3054),'Site Info'!$A:$G,6,FALSE),"")</f>
        <v>45414-2658</v>
      </c>
      <c r="O3054">
        <f>IFERROR(VLOOKUP(VALUE(J3054),'Site Info'!$A:$G,7,FALSE),"")</f>
        <v>9374546200</v>
      </c>
    </row>
    <row r="3055" spans="1:15" x14ac:dyDescent="0.45">
      <c r="A3055" t="s">
        <v>1170</v>
      </c>
      <c r="B3055" t="s">
        <v>1171</v>
      </c>
      <c r="C3055" t="s">
        <v>1172</v>
      </c>
      <c r="D3055" t="s">
        <v>1173</v>
      </c>
      <c r="E3055" s="1">
        <v>46153.195370370369</v>
      </c>
      <c r="F3055">
        <v>1481</v>
      </c>
      <c r="G3055" t="s">
        <v>1174</v>
      </c>
      <c r="H3055" t="s">
        <v>15</v>
      </c>
      <c r="I3055" t="s">
        <v>1175</v>
      </c>
      <c r="J3055" t="str">
        <f>RIGHT(D3055,4)</f>
        <v>6380</v>
      </c>
      <c r="K3055" t="str">
        <f>IFERROR(VLOOKUP(VALUE(J3055),'Site Info'!$A:$G,3,FALSE),"")</f>
        <v>6955 MILLER LN</v>
      </c>
      <c r="L3055" t="str">
        <f>IFERROR(VLOOKUP(VALUE(J3055),'Site Info'!$A:$G,4,FALSE),"")</f>
        <v>DAYTON</v>
      </c>
      <c r="M3055" t="str">
        <f>IFERROR(VLOOKUP(VALUE(J3055),'Site Info'!$A:$G,5,FALSE),"")</f>
        <v>OH</v>
      </c>
      <c r="N3055" t="str">
        <f>IFERROR(VLOOKUP(VALUE(J3055),'Site Info'!$A:$G,6,FALSE),"")</f>
        <v>45414-2658</v>
      </c>
      <c r="O3055">
        <f>IFERROR(VLOOKUP(VALUE(J3055),'Site Info'!$A:$G,7,FALSE),"")</f>
        <v>9374546200</v>
      </c>
    </row>
    <row r="3056" spans="1:15" x14ac:dyDescent="0.45">
      <c r="A3056" t="s">
        <v>2377</v>
      </c>
      <c r="B3056" t="s">
        <v>2378</v>
      </c>
      <c r="C3056" t="s">
        <v>2379</v>
      </c>
      <c r="D3056" t="s">
        <v>1173</v>
      </c>
      <c r="E3056" s="1">
        <v>46153.336550925924</v>
      </c>
      <c r="F3056">
        <v>1481</v>
      </c>
      <c r="G3056" t="s">
        <v>2380</v>
      </c>
      <c r="H3056" t="s">
        <v>15</v>
      </c>
      <c r="I3056" t="s">
        <v>1175</v>
      </c>
      <c r="J3056" t="str">
        <f>RIGHT(D3056,4)</f>
        <v>6380</v>
      </c>
      <c r="K3056" t="str">
        <f>IFERROR(VLOOKUP(VALUE(J3056),'Site Info'!$A:$G,3,FALSE),"")</f>
        <v>6955 MILLER LN</v>
      </c>
      <c r="L3056" t="str">
        <f>IFERROR(VLOOKUP(VALUE(J3056),'Site Info'!$A:$G,4,FALSE),"")</f>
        <v>DAYTON</v>
      </c>
      <c r="M3056" t="str">
        <f>IFERROR(VLOOKUP(VALUE(J3056),'Site Info'!$A:$G,5,FALSE),"")</f>
        <v>OH</v>
      </c>
      <c r="N3056" t="str">
        <f>IFERROR(VLOOKUP(VALUE(J3056),'Site Info'!$A:$G,6,FALSE),"")</f>
        <v>45414-2658</v>
      </c>
      <c r="O3056">
        <f>IFERROR(VLOOKUP(VALUE(J3056),'Site Info'!$A:$G,7,FALSE),"")</f>
        <v>9374546200</v>
      </c>
    </row>
    <row r="3057" spans="1:15" x14ac:dyDescent="0.45">
      <c r="A3057" t="s">
        <v>16489</v>
      </c>
      <c r="B3057" t="s">
        <v>16814</v>
      </c>
      <c r="C3057" t="s">
        <v>16815</v>
      </c>
      <c r="D3057" t="s">
        <v>1173</v>
      </c>
      <c r="E3057" s="1">
        <v>46153.307569444441</v>
      </c>
      <c r="F3057">
        <v>1628</v>
      </c>
      <c r="G3057" t="s">
        <v>16816</v>
      </c>
      <c r="H3057" t="s">
        <v>13988</v>
      </c>
      <c r="I3057" t="s">
        <v>1175</v>
      </c>
      <c r="J3057" t="str">
        <f>RIGHT(D3057,4)</f>
        <v>6380</v>
      </c>
      <c r="K3057" t="str">
        <f>IFERROR(VLOOKUP(VALUE(J3057),'Site Info'!$A:$G,3,FALSE),"")</f>
        <v>6955 MILLER LN</v>
      </c>
      <c r="L3057" t="str">
        <f>IFERROR(VLOOKUP(VALUE(J3057),'Site Info'!$A:$G,4,FALSE),"")</f>
        <v>DAYTON</v>
      </c>
      <c r="M3057" t="str">
        <f>IFERROR(VLOOKUP(VALUE(J3057),'Site Info'!$A:$G,5,FALSE),"")</f>
        <v>OH</v>
      </c>
      <c r="N3057" t="str">
        <f>IFERROR(VLOOKUP(VALUE(J3057),'Site Info'!$A:$G,6,FALSE),"")</f>
        <v>45414-2658</v>
      </c>
      <c r="O3057">
        <f>IFERROR(VLOOKUP(VALUE(J3057),'Site Info'!$A:$G,7,FALSE),"")</f>
        <v>9374546200</v>
      </c>
    </row>
    <row r="3058" spans="1:15" x14ac:dyDescent="0.45">
      <c r="A3058" t="s">
        <v>13143</v>
      </c>
      <c r="B3058" t="s">
        <v>13144</v>
      </c>
      <c r="C3058" t="s">
        <v>13145</v>
      </c>
      <c r="D3058" t="s">
        <v>205</v>
      </c>
      <c r="E3058" s="1">
        <v>46152.460335648146</v>
      </c>
      <c r="F3058">
        <v>1547</v>
      </c>
      <c r="G3058" t="s">
        <v>13146</v>
      </c>
      <c r="H3058" t="s">
        <v>15</v>
      </c>
      <c r="I3058" t="s">
        <v>206</v>
      </c>
      <c r="J3058" t="str">
        <f>RIGHT(D3058,4)</f>
        <v>4874</v>
      </c>
      <c r="K3058" t="str">
        <f>IFERROR(VLOOKUP(VALUE(J3058),'Site Info'!$A:$G,3,FALSE),"")</f>
        <v>69630 STIRLING BLVD</v>
      </c>
      <c r="L3058" t="str">
        <f>IFERROR(VLOOKUP(VALUE(J3058),'Site Info'!$A:$G,4,FALSE),"")</f>
        <v>COVINGTON</v>
      </c>
      <c r="M3058" t="str">
        <f>IFERROR(VLOOKUP(VALUE(J3058),'Site Info'!$A:$G,5,FALSE),"")</f>
        <v>LA</v>
      </c>
      <c r="N3058" t="str">
        <f>IFERROR(VLOOKUP(VALUE(J3058),'Site Info'!$A:$G,6,FALSE),"")</f>
        <v>70433-0000</v>
      </c>
      <c r="O3058">
        <f>IFERROR(VLOOKUP(VALUE(J3058),'Site Info'!$A:$G,7,FALSE),"")</f>
        <v>9853276254</v>
      </c>
    </row>
    <row r="3059" spans="1:15" x14ac:dyDescent="0.45">
      <c r="A3059" t="s">
        <v>9962</v>
      </c>
      <c r="B3059" t="s">
        <v>9963</v>
      </c>
      <c r="C3059" t="s">
        <v>9964</v>
      </c>
      <c r="D3059" t="s">
        <v>205</v>
      </c>
      <c r="E3059" s="1">
        <v>46152.634930555556</v>
      </c>
      <c r="F3059">
        <v>1547</v>
      </c>
      <c r="G3059" t="s">
        <v>9965</v>
      </c>
      <c r="H3059" t="s">
        <v>15</v>
      </c>
      <c r="I3059" t="s">
        <v>206</v>
      </c>
      <c r="J3059" t="str">
        <f>RIGHT(D3059,4)</f>
        <v>4874</v>
      </c>
      <c r="K3059" t="str">
        <f>IFERROR(VLOOKUP(VALUE(J3059),'Site Info'!$A:$G,3,FALSE),"")</f>
        <v>69630 STIRLING BLVD</v>
      </c>
      <c r="L3059" t="str">
        <f>IFERROR(VLOOKUP(VALUE(J3059),'Site Info'!$A:$G,4,FALSE),"")</f>
        <v>COVINGTON</v>
      </c>
      <c r="M3059" t="str">
        <f>IFERROR(VLOOKUP(VALUE(J3059),'Site Info'!$A:$G,5,FALSE),"")</f>
        <v>LA</v>
      </c>
      <c r="N3059" t="str">
        <f>IFERROR(VLOOKUP(VALUE(J3059),'Site Info'!$A:$G,6,FALSE),"")</f>
        <v>70433-0000</v>
      </c>
      <c r="O3059">
        <f>IFERROR(VLOOKUP(VALUE(J3059),'Site Info'!$A:$G,7,FALSE),"")</f>
        <v>9853276254</v>
      </c>
    </row>
    <row r="3060" spans="1:15" x14ac:dyDescent="0.45">
      <c r="A3060" t="s">
        <v>13319</v>
      </c>
      <c r="B3060" t="s">
        <v>13320</v>
      </c>
      <c r="C3060" t="s">
        <v>13321</v>
      </c>
      <c r="D3060" t="s">
        <v>205</v>
      </c>
      <c r="E3060" s="1">
        <v>46152.747812499998</v>
      </c>
      <c r="F3060">
        <v>1547</v>
      </c>
      <c r="G3060" t="s">
        <v>13322</v>
      </c>
      <c r="H3060" t="s">
        <v>15</v>
      </c>
      <c r="I3060" t="s">
        <v>206</v>
      </c>
      <c r="J3060" t="str">
        <f>RIGHT(D3060,4)</f>
        <v>4874</v>
      </c>
      <c r="K3060" t="str">
        <f>IFERROR(VLOOKUP(VALUE(J3060),'Site Info'!$A:$G,3,FALSE),"")</f>
        <v>69630 STIRLING BLVD</v>
      </c>
      <c r="L3060" t="str">
        <f>IFERROR(VLOOKUP(VALUE(J3060),'Site Info'!$A:$G,4,FALSE),"")</f>
        <v>COVINGTON</v>
      </c>
      <c r="M3060" t="str">
        <f>IFERROR(VLOOKUP(VALUE(J3060),'Site Info'!$A:$G,5,FALSE),"")</f>
        <v>LA</v>
      </c>
      <c r="N3060" t="str">
        <f>IFERROR(VLOOKUP(VALUE(J3060),'Site Info'!$A:$G,6,FALSE),"")</f>
        <v>70433-0000</v>
      </c>
      <c r="O3060">
        <f>IFERROR(VLOOKUP(VALUE(J3060),'Site Info'!$A:$G,7,FALSE),"")</f>
        <v>9853276254</v>
      </c>
    </row>
    <row r="3061" spans="1:15" x14ac:dyDescent="0.45">
      <c r="A3061" t="s">
        <v>11622</v>
      </c>
      <c r="B3061" t="s">
        <v>11623</v>
      </c>
      <c r="C3061" t="s">
        <v>11624</v>
      </c>
      <c r="D3061" t="s">
        <v>205</v>
      </c>
      <c r="E3061" s="1">
        <v>46153.361493055556</v>
      </c>
      <c r="F3061">
        <v>1547</v>
      </c>
      <c r="G3061" t="s">
        <v>11625</v>
      </c>
      <c r="H3061" t="s">
        <v>15</v>
      </c>
      <c r="I3061" t="s">
        <v>206</v>
      </c>
      <c r="J3061" t="str">
        <f>RIGHT(D3061,4)</f>
        <v>4874</v>
      </c>
      <c r="K3061" t="str">
        <f>IFERROR(VLOOKUP(VALUE(J3061),'Site Info'!$A:$G,3,FALSE),"")</f>
        <v>69630 STIRLING BLVD</v>
      </c>
      <c r="L3061" t="str">
        <f>IFERROR(VLOOKUP(VALUE(J3061),'Site Info'!$A:$G,4,FALSE),"")</f>
        <v>COVINGTON</v>
      </c>
      <c r="M3061" t="str">
        <f>IFERROR(VLOOKUP(VALUE(J3061),'Site Info'!$A:$G,5,FALSE),"")</f>
        <v>LA</v>
      </c>
      <c r="N3061" t="str">
        <f>IFERROR(VLOOKUP(VALUE(J3061),'Site Info'!$A:$G,6,FALSE),"")</f>
        <v>70433-0000</v>
      </c>
      <c r="O3061">
        <f>IFERROR(VLOOKUP(VALUE(J3061),'Site Info'!$A:$G,7,FALSE),"")</f>
        <v>9853276254</v>
      </c>
    </row>
    <row r="3062" spans="1:15" x14ac:dyDescent="0.45">
      <c r="A3062" t="s">
        <v>386</v>
      </c>
      <c r="B3062" t="s">
        <v>387</v>
      </c>
      <c r="C3062" t="s">
        <v>388</v>
      </c>
      <c r="D3062" t="s">
        <v>205</v>
      </c>
      <c r="E3062" s="1">
        <v>46151.860266203701</v>
      </c>
      <c r="F3062">
        <v>1481</v>
      </c>
      <c r="G3062" t="s">
        <v>389</v>
      </c>
      <c r="H3062" t="s">
        <v>15</v>
      </c>
      <c r="I3062" t="s">
        <v>206</v>
      </c>
      <c r="J3062" t="str">
        <f>RIGHT(D3062,4)</f>
        <v>4874</v>
      </c>
      <c r="K3062" t="str">
        <f>IFERROR(VLOOKUP(VALUE(J3062),'Site Info'!$A:$G,3,FALSE),"")</f>
        <v>69630 STIRLING BLVD</v>
      </c>
      <c r="L3062" t="str">
        <f>IFERROR(VLOOKUP(VALUE(J3062),'Site Info'!$A:$G,4,FALSE),"")</f>
        <v>COVINGTON</v>
      </c>
      <c r="M3062" t="str">
        <f>IFERROR(VLOOKUP(VALUE(J3062),'Site Info'!$A:$G,5,FALSE),"")</f>
        <v>LA</v>
      </c>
      <c r="N3062" t="str">
        <f>IFERROR(VLOOKUP(VALUE(J3062),'Site Info'!$A:$G,6,FALSE),"")</f>
        <v>70433-0000</v>
      </c>
      <c r="O3062">
        <f>IFERROR(VLOOKUP(VALUE(J3062),'Site Info'!$A:$G,7,FALSE),"")</f>
        <v>9853276254</v>
      </c>
    </row>
    <row r="3063" spans="1:15" x14ac:dyDescent="0.45">
      <c r="A3063" t="s">
        <v>686</v>
      </c>
      <c r="B3063" t="s">
        <v>687</v>
      </c>
      <c r="C3063" t="s">
        <v>688</v>
      </c>
      <c r="D3063" t="s">
        <v>205</v>
      </c>
      <c r="E3063" s="1">
        <v>46153.353877314818</v>
      </c>
      <c r="F3063">
        <v>1481</v>
      </c>
      <c r="G3063" t="s">
        <v>689</v>
      </c>
      <c r="H3063" t="s">
        <v>15</v>
      </c>
      <c r="I3063" t="s">
        <v>206</v>
      </c>
      <c r="J3063" t="str">
        <f>RIGHT(D3063,4)</f>
        <v>4874</v>
      </c>
      <c r="K3063" t="str">
        <f>IFERROR(VLOOKUP(VALUE(J3063),'Site Info'!$A:$G,3,FALSE),"")</f>
        <v>69630 STIRLING BLVD</v>
      </c>
      <c r="L3063" t="str">
        <f>IFERROR(VLOOKUP(VALUE(J3063),'Site Info'!$A:$G,4,FALSE),"")</f>
        <v>COVINGTON</v>
      </c>
      <c r="M3063" t="str">
        <f>IFERROR(VLOOKUP(VALUE(J3063),'Site Info'!$A:$G,5,FALSE),"")</f>
        <v>LA</v>
      </c>
      <c r="N3063" t="str">
        <f>IFERROR(VLOOKUP(VALUE(J3063),'Site Info'!$A:$G,6,FALSE),"")</f>
        <v>70433-0000</v>
      </c>
      <c r="O3063">
        <f>IFERROR(VLOOKUP(VALUE(J3063),'Site Info'!$A:$G,7,FALSE),"")</f>
        <v>9853276254</v>
      </c>
    </row>
    <row r="3064" spans="1:15" x14ac:dyDescent="0.45">
      <c r="A3064" t="s">
        <v>16516</v>
      </c>
      <c r="B3064" t="s">
        <v>16517</v>
      </c>
      <c r="C3064" t="s">
        <v>16518</v>
      </c>
      <c r="D3064" t="s">
        <v>205</v>
      </c>
      <c r="E3064" s="1">
        <v>46153.379016203704</v>
      </c>
      <c r="F3064">
        <v>1547</v>
      </c>
      <c r="G3064" t="s">
        <v>16519</v>
      </c>
      <c r="H3064" t="s">
        <v>15</v>
      </c>
      <c r="I3064" t="s">
        <v>206</v>
      </c>
      <c r="J3064" t="str">
        <f>RIGHT(D3064,4)</f>
        <v>4874</v>
      </c>
      <c r="K3064" t="str">
        <f>IFERROR(VLOOKUP(VALUE(J3064),'Site Info'!$A:$G,3,FALSE),"")</f>
        <v>69630 STIRLING BLVD</v>
      </c>
      <c r="L3064" t="str">
        <f>IFERROR(VLOOKUP(VALUE(J3064),'Site Info'!$A:$G,4,FALSE),"")</f>
        <v>COVINGTON</v>
      </c>
      <c r="M3064" t="str">
        <f>IFERROR(VLOOKUP(VALUE(J3064),'Site Info'!$A:$G,5,FALSE),"")</f>
        <v>LA</v>
      </c>
      <c r="N3064" t="str">
        <f>IFERROR(VLOOKUP(VALUE(J3064),'Site Info'!$A:$G,6,FALSE),"")</f>
        <v>70433-0000</v>
      </c>
      <c r="O3064">
        <f>IFERROR(VLOOKUP(VALUE(J3064),'Site Info'!$A:$G,7,FALSE),"")</f>
        <v>9853276254</v>
      </c>
    </row>
    <row r="3065" spans="1:15" x14ac:dyDescent="0.45">
      <c r="A3065" t="s">
        <v>5508</v>
      </c>
      <c r="B3065" t="s">
        <v>5509</v>
      </c>
      <c r="C3065" t="s">
        <v>5510</v>
      </c>
      <c r="D3065" t="s">
        <v>305</v>
      </c>
      <c r="E3065" s="1">
        <v>46151.622997685183</v>
      </c>
      <c r="F3065">
        <v>1547</v>
      </c>
      <c r="G3065" t="s">
        <v>5511</v>
      </c>
      <c r="H3065" t="s">
        <v>15</v>
      </c>
      <c r="I3065" t="s">
        <v>307</v>
      </c>
      <c r="J3065" t="str">
        <f>RIGHT(D3065,4)</f>
        <v>8211</v>
      </c>
      <c r="K3065" t="str">
        <f>IFERROR(VLOOKUP(VALUE(J3065),'Site Info'!$A:$G,3,FALSE),"")</f>
        <v>6995 CONCOURSE PKWY</v>
      </c>
      <c r="L3065" t="str">
        <f>IFERROR(VLOOKUP(VALUE(J3065),'Site Info'!$A:$G,4,FALSE),"")</f>
        <v>DOUGLASVILLE</v>
      </c>
      <c r="M3065" t="str">
        <f>IFERROR(VLOOKUP(VALUE(J3065),'Site Info'!$A:$G,5,FALSE),"")</f>
        <v>GA</v>
      </c>
      <c r="N3065" t="str">
        <f>IFERROR(VLOOKUP(VALUE(J3065),'Site Info'!$A:$G,6,FALSE),"")</f>
        <v>30134-4551</v>
      </c>
      <c r="O3065">
        <f>IFERROR(VLOOKUP(VALUE(J3065),'Site Info'!$A:$G,7,FALSE),"")</f>
        <v>7704896167</v>
      </c>
    </row>
    <row r="3066" spans="1:15" x14ac:dyDescent="0.45">
      <c r="A3066" t="s">
        <v>6002</v>
      </c>
      <c r="B3066" t="s">
        <v>6003</v>
      </c>
      <c r="C3066" t="s">
        <v>6004</v>
      </c>
      <c r="D3066" t="s">
        <v>305</v>
      </c>
      <c r="E3066" s="1">
        <v>46151.751238425924</v>
      </c>
      <c r="F3066">
        <v>1547</v>
      </c>
      <c r="G3066" t="s">
        <v>6005</v>
      </c>
      <c r="H3066" t="s">
        <v>15</v>
      </c>
      <c r="I3066" t="s">
        <v>307</v>
      </c>
      <c r="J3066" t="str">
        <f>RIGHT(D3066,4)</f>
        <v>8211</v>
      </c>
      <c r="K3066" t="str">
        <f>IFERROR(VLOOKUP(VALUE(J3066),'Site Info'!$A:$G,3,FALSE),"")</f>
        <v>6995 CONCOURSE PKWY</v>
      </c>
      <c r="L3066" t="str">
        <f>IFERROR(VLOOKUP(VALUE(J3066),'Site Info'!$A:$G,4,FALSE),"")</f>
        <v>DOUGLASVILLE</v>
      </c>
      <c r="M3066" t="str">
        <f>IFERROR(VLOOKUP(VALUE(J3066),'Site Info'!$A:$G,5,FALSE),"")</f>
        <v>GA</v>
      </c>
      <c r="N3066" t="str">
        <f>IFERROR(VLOOKUP(VALUE(J3066),'Site Info'!$A:$G,6,FALSE),"")</f>
        <v>30134-4551</v>
      </c>
      <c r="O3066">
        <f>IFERROR(VLOOKUP(VALUE(J3066),'Site Info'!$A:$G,7,FALSE),"")</f>
        <v>7704896167</v>
      </c>
    </row>
    <row r="3067" spans="1:15" x14ac:dyDescent="0.45">
      <c r="A3067" t="s">
        <v>5528</v>
      </c>
      <c r="B3067" t="s">
        <v>5529</v>
      </c>
      <c r="C3067" t="s">
        <v>5530</v>
      </c>
      <c r="D3067" t="s">
        <v>305</v>
      </c>
      <c r="E3067" s="1">
        <v>46153.355381944442</v>
      </c>
      <c r="F3067">
        <v>1547</v>
      </c>
      <c r="G3067" t="s">
        <v>5531</v>
      </c>
      <c r="H3067" t="s">
        <v>15</v>
      </c>
      <c r="I3067" t="s">
        <v>307</v>
      </c>
      <c r="J3067" t="str">
        <f>RIGHT(D3067,4)</f>
        <v>8211</v>
      </c>
      <c r="K3067" t="str">
        <f>IFERROR(VLOOKUP(VALUE(J3067),'Site Info'!$A:$G,3,FALSE),"")</f>
        <v>6995 CONCOURSE PKWY</v>
      </c>
      <c r="L3067" t="str">
        <f>IFERROR(VLOOKUP(VALUE(J3067),'Site Info'!$A:$G,4,FALSE),"")</f>
        <v>DOUGLASVILLE</v>
      </c>
      <c r="M3067" t="str">
        <f>IFERROR(VLOOKUP(VALUE(J3067),'Site Info'!$A:$G,5,FALSE),"")</f>
        <v>GA</v>
      </c>
      <c r="N3067" t="str">
        <f>IFERROR(VLOOKUP(VALUE(J3067),'Site Info'!$A:$G,6,FALSE),"")</f>
        <v>30134-4551</v>
      </c>
      <c r="O3067">
        <f>IFERROR(VLOOKUP(VALUE(J3067),'Site Info'!$A:$G,7,FALSE),"")</f>
        <v>7704896167</v>
      </c>
    </row>
    <row r="3068" spans="1:15" x14ac:dyDescent="0.45">
      <c r="A3068" t="s">
        <v>3993</v>
      </c>
      <c r="B3068" t="s">
        <v>3994</v>
      </c>
      <c r="C3068" t="s">
        <v>3995</v>
      </c>
      <c r="D3068" t="s">
        <v>305</v>
      </c>
      <c r="E3068" s="1">
        <v>46152.990439814814</v>
      </c>
      <c r="F3068">
        <v>1481</v>
      </c>
      <c r="G3068" t="s">
        <v>3996</v>
      </c>
      <c r="H3068" t="s">
        <v>15</v>
      </c>
      <c r="I3068" t="s">
        <v>307</v>
      </c>
      <c r="J3068" t="str">
        <f>RIGHT(D3068,4)</f>
        <v>8211</v>
      </c>
      <c r="K3068" t="str">
        <f>IFERROR(VLOOKUP(VALUE(J3068),'Site Info'!$A:$G,3,FALSE),"")</f>
        <v>6995 CONCOURSE PKWY</v>
      </c>
      <c r="L3068" t="str">
        <f>IFERROR(VLOOKUP(VALUE(J3068),'Site Info'!$A:$G,4,FALSE),"")</f>
        <v>DOUGLASVILLE</v>
      </c>
      <c r="M3068" t="str">
        <f>IFERROR(VLOOKUP(VALUE(J3068),'Site Info'!$A:$G,5,FALSE),"")</f>
        <v>GA</v>
      </c>
      <c r="N3068" t="str">
        <f>IFERROR(VLOOKUP(VALUE(J3068),'Site Info'!$A:$G,6,FALSE),"")</f>
        <v>30134-4551</v>
      </c>
      <c r="O3068">
        <f>IFERROR(VLOOKUP(VALUE(J3068),'Site Info'!$A:$G,7,FALSE),"")</f>
        <v>7704896167</v>
      </c>
    </row>
    <row r="3069" spans="1:15" x14ac:dyDescent="0.45">
      <c r="A3069" t="s">
        <v>302</v>
      </c>
      <c r="B3069" t="s">
        <v>303</v>
      </c>
      <c r="C3069" t="s">
        <v>304</v>
      </c>
      <c r="D3069" t="s">
        <v>305</v>
      </c>
      <c r="E3069" s="1">
        <v>46153.274745370371</v>
      </c>
      <c r="F3069">
        <v>1481</v>
      </c>
      <c r="G3069" t="s">
        <v>306</v>
      </c>
      <c r="H3069" t="s">
        <v>15</v>
      </c>
      <c r="I3069" t="s">
        <v>307</v>
      </c>
      <c r="J3069" t="str">
        <f>RIGHT(D3069,4)</f>
        <v>8211</v>
      </c>
      <c r="K3069" t="str">
        <f>IFERROR(VLOOKUP(VALUE(J3069),'Site Info'!$A:$G,3,FALSE),"")</f>
        <v>6995 CONCOURSE PKWY</v>
      </c>
      <c r="L3069" t="str">
        <f>IFERROR(VLOOKUP(VALUE(J3069),'Site Info'!$A:$G,4,FALSE),"")</f>
        <v>DOUGLASVILLE</v>
      </c>
      <c r="M3069" t="str">
        <f>IFERROR(VLOOKUP(VALUE(J3069),'Site Info'!$A:$G,5,FALSE),"")</f>
        <v>GA</v>
      </c>
      <c r="N3069" t="str">
        <f>IFERROR(VLOOKUP(VALUE(J3069),'Site Info'!$A:$G,6,FALSE),"")</f>
        <v>30134-4551</v>
      </c>
      <c r="O3069">
        <f>IFERROR(VLOOKUP(VALUE(J3069),'Site Info'!$A:$G,7,FALSE),"")</f>
        <v>7704896167</v>
      </c>
    </row>
    <row r="3070" spans="1:15" x14ac:dyDescent="0.45">
      <c r="A3070" t="s">
        <v>3755</v>
      </c>
      <c r="B3070" t="s">
        <v>3756</v>
      </c>
      <c r="C3070" t="s">
        <v>3757</v>
      </c>
      <c r="D3070" t="s">
        <v>305</v>
      </c>
      <c r="E3070" s="1">
        <v>46153.324548611112</v>
      </c>
      <c r="F3070">
        <v>1481</v>
      </c>
      <c r="G3070" t="s">
        <v>3758</v>
      </c>
      <c r="H3070" t="s">
        <v>15</v>
      </c>
      <c r="I3070" t="s">
        <v>307</v>
      </c>
      <c r="J3070" t="str">
        <f>RIGHT(D3070,4)</f>
        <v>8211</v>
      </c>
      <c r="K3070" t="str">
        <f>IFERROR(VLOOKUP(VALUE(J3070),'Site Info'!$A:$G,3,FALSE),"")</f>
        <v>6995 CONCOURSE PKWY</v>
      </c>
      <c r="L3070" t="str">
        <f>IFERROR(VLOOKUP(VALUE(J3070),'Site Info'!$A:$G,4,FALSE),"")</f>
        <v>DOUGLASVILLE</v>
      </c>
      <c r="M3070" t="str">
        <f>IFERROR(VLOOKUP(VALUE(J3070),'Site Info'!$A:$G,5,FALSE),"")</f>
        <v>GA</v>
      </c>
      <c r="N3070" t="str">
        <f>IFERROR(VLOOKUP(VALUE(J3070),'Site Info'!$A:$G,6,FALSE),"")</f>
        <v>30134-4551</v>
      </c>
      <c r="O3070">
        <f>IFERROR(VLOOKUP(VALUE(J3070),'Site Info'!$A:$G,7,FALSE),"")</f>
        <v>7704896167</v>
      </c>
    </row>
    <row r="3071" spans="1:15" x14ac:dyDescent="0.45">
      <c r="A3071" t="s">
        <v>442</v>
      </c>
      <c r="B3071" t="s">
        <v>443</v>
      </c>
      <c r="C3071" t="s">
        <v>444</v>
      </c>
      <c r="D3071" t="s">
        <v>305</v>
      </c>
      <c r="E3071" s="1">
        <v>46153.347048611111</v>
      </c>
      <c r="F3071">
        <v>1481</v>
      </c>
      <c r="G3071" t="s">
        <v>445</v>
      </c>
      <c r="H3071" t="s">
        <v>15</v>
      </c>
      <c r="I3071" t="s">
        <v>307</v>
      </c>
      <c r="J3071" t="str">
        <f>RIGHT(D3071,4)</f>
        <v>8211</v>
      </c>
      <c r="K3071" t="str">
        <f>IFERROR(VLOOKUP(VALUE(J3071),'Site Info'!$A:$G,3,FALSE),"")</f>
        <v>6995 CONCOURSE PKWY</v>
      </c>
      <c r="L3071" t="str">
        <f>IFERROR(VLOOKUP(VALUE(J3071),'Site Info'!$A:$G,4,FALSE),"")</f>
        <v>DOUGLASVILLE</v>
      </c>
      <c r="M3071" t="str">
        <f>IFERROR(VLOOKUP(VALUE(J3071),'Site Info'!$A:$G,5,FALSE),"")</f>
        <v>GA</v>
      </c>
      <c r="N3071" t="str">
        <f>IFERROR(VLOOKUP(VALUE(J3071),'Site Info'!$A:$G,6,FALSE),"")</f>
        <v>30134-4551</v>
      </c>
      <c r="O3071">
        <f>IFERROR(VLOOKUP(VALUE(J3071),'Site Info'!$A:$G,7,FALSE),"")</f>
        <v>7704896167</v>
      </c>
    </row>
    <row r="3072" spans="1:15" x14ac:dyDescent="0.45">
      <c r="A3072" t="s">
        <v>7234</v>
      </c>
      <c r="B3072" t="s">
        <v>7235</v>
      </c>
      <c r="C3072" t="s">
        <v>7236</v>
      </c>
      <c r="D3072" t="s">
        <v>4049</v>
      </c>
      <c r="E3072" s="1">
        <v>46153.219768518517</v>
      </c>
      <c r="F3072">
        <v>1547</v>
      </c>
      <c r="G3072" t="s">
        <v>7237</v>
      </c>
      <c r="H3072" t="s">
        <v>15</v>
      </c>
      <c r="I3072" t="s">
        <v>7141</v>
      </c>
      <c r="J3072" t="str">
        <f>RIGHT(D3072,4)</f>
        <v>6456</v>
      </c>
      <c r="K3072" t="str">
        <f>IFERROR(VLOOKUP(VALUE(J3072),'Site Info'!$A:$G,3,FALSE),"")</f>
        <v>7 CONSUMER SQ</v>
      </c>
      <c r="L3072" t="str">
        <f>IFERROR(VLOOKUP(VALUE(J3072),'Site Info'!$A:$G,4,FALSE),"")</f>
        <v>PLATTSBURGH</v>
      </c>
      <c r="M3072" t="str">
        <f>IFERROR(VLOOKUP(VALUE(J3072),'Site Info'!$A:$G,5,FALSE),"")</f>
        <v>NY</v>
      </c>
      <c r="N3072" t="str">
        <f>IFERROR(VLOOKUP(VALUE(J3072),'Site Info'!$A:$G,6,FALSE),"")</f>
        <v>12901-6508</v>
      </c>
      <c r="O3072">
        <f>IFERROR(VLOOKUP(VALUE(J3072),'Site Info'!$A:$G,7,FALSE),"")</f>
        <v>5185667769</v>
      </c>
    </row>
    <row r="3073" spans="1:15" x14ac:dyDescent="0.45">
      <c r="A3073" t="s">
        <v>7178</v>
      </c>
      <c r="B3073" t="s">
        <v>7179</v>
      </c>
      <c r="C3073" t="s">
        <v>7180</v>
      </c>
      <c r="D3073" t="s">
        <v>4049</v>
      </c>
      <c r="E3073" s="1">
        <v>46153.329282407409</v>
      </c>
      <c r="F3073">
        <v>1547</v>
      </c>
      <c r="G3073" t="s">
        <v>7181</v>
      </c>
      <c r="H3073" t="s">
        <v>15</v>
      </c>
      <c r="I3073" t="s">
        <v>7141</v>
      </c>
      <c r="J3073" t="str">
        <f>RIGHT(D3073,4)</f>
        <v>6456</v>
      </c>
      <c r="K3073" t="str">
        <f>IFERROR(VLOOKUP(VALUE(J3073),'Site Info'!$A:$G,3,FALSE),"")</f>
        <v>7 CONSUMER SQ</v>
      </c>
      <c r="L3073" t="str">
        <f>IFERROR(VLOOKUP(VALUE(J3073),'Site Info'!$A:$G,4,FALSE),"")</f>
        <v>PLATTSBURGH</v>
      </c>
      <c r="M3073" t="str">
        <f>IFERROR(VLOOKUP(VALUE(J3073),'Site Info'!$A:$G,5,FALSE),"")</f>
        <v>NY</v>
      </c>
      <c r="N3073" t="str">
        <f>IFERROR(VLOOKUP(VALUE(J3073),'Site Info'!$A:$G,6,FALSE),"")</f>
        <v>12901-6508</v>
      </c>
      <c r="O3073">
        <f>IFERROR(VLOOKUP(VALUE(J3073),'Site Info'!$A:$G,7,FALSE),"")</f>
        <v>5185667769</v>
      </c>
    </row>
    <row r="3074" spans="1:15" x14ac:dyDescent="0.45">
      <c r="A3074" t="s">
        <v>7137</v>
      </c>
      <c r="B3074" t="s">
        <v>7138</v>
      </c>
      <c r="C3074" t="s">
        <v>7139</v>
      </c>
      <c r="D3074" t="s">
        <v>4049</v>
      </c>
      <c r="E3074" s="1">
        <v>46153.364710648151</v>
      </c>
      <c r="F3074">
        <v>1547</v>
      </c>
      <c r="G3074" t="s">
        <v>7140</v>
      </c>
      <c r="H3074" t="s">
        <v>15</v>
      </c>
      <c r="I3074" t="s">
        <v>7141</v>
      </c>
      <c r="J3074" t="str">
        <f>RIGHT(D3074,4)</f>
        <v>6456</v>
      </c>
      <c r="K3074" t="str">
        <f>IFERROR(VLOOKUP(VALUE(J3074),'Site Info'!$A:$G,3,FALSE),"")</f>
        <v>7 CONSUMER SQ</v>
      </c>
      <c r="L3074" t="str">
        <f>IFERROR(VLOOKUP(VALUE(J3074),'Site Info'!$A:$G,4,FALSE),"")</f>
        <v>PLATTSBURGH</v>
      </c>
      <c r="M3074" t="str">
        <f>IFERROR(VLOOKUP(VALUE(J3074),'Site Info'!$A:$G,5,FALSE),"")</f>
        <v>NY</v>
      </c>
      <c r="N3074" t="str">
        <f>IFERROR(VLOOKUP(VALUE(J3074),'Site Info'!$A:$G,6,FALSE),"")</f>
        <v>12901-6508</v>
      </c>
      <c r="O3074">
        <f>IFERROR(VLOOKUP(VALUE(J3074),'Site Info'!$A:$G,7,FALSE),"")</f>
        <v>5185667769</v>
      </c>
    </row>
    <row r="3075" spans="1:15" x14ac:dyDescent="0.45">
      <c r="A3075" t="s">
        <v>6981</v>
      </c>
      <c r="B3075" t="s">
        <v>6982</v>
      </c>
      <c r="C3075" t="s">
        <v>6983</v>
      </c>
      <c r="D3075" t="s">
        <v>234</v>
      </c>
      <c r="E3075" s="1">
        <v>46151.253472222219</v>
      </c>
      <c r="F3075">
        <v>1547</v>
      </c>
      <c r="G3075" t="s">
        <v>6984</v>
      </c>
      <c r="H3075" t="s">
        <v>15</v>
      </c>
      <c r="I3075" t="s">
        <v>235</v>
      </c>
      <c r="J3075" t="str">
        <f>RIGHT(D3075,4)</f>
        <v>6352</v>
      </c>
      <c r="K3075" t="str">
        <f>IFERROR(VLOOKUP(VALUE(J3075),'Site Info'!$A:$G,3,FALSE),"")</f>
        <v>7 WALMART BLVD</v>
      </c>
      <c r="L3075" t="str">
        <f>IFERROR(VLOOKUP(VALUE(J3075),'Site Info'!$A:$G,4,FALSE),"")</f>
        <v>HUDSON</v>
      </c>
      <c r="M3075" t="str">
        <f>IFERROR(VLOOKUP(VALUE(J3075),'Site Info'!$A:$G,5,FALSE),"")</f>
        <v>NH</v>
      </c>
      <c r="N3075" t="str">
        <f>IFERROR(VLOOKUP(VALUE(J3075),'Site Info'!$A:$G,6,FALSE),"")</f>
        <v>03051-5248</v>
      </c>
      <c r="O3075">
        <f>IFERROR(VLOOKUP(VALUE(J3075),'Site Info'!$A:$G,7,FALSE),"")</f>
        <v>6038824600</v>
      </c>
    </row>
    <row r="3076" spans="1:15" x14ac:dyDescent="0.45">
      <c r="A3076" t="s">
        <v>7001</v>
      </c>
      <c r="B3076" t="s">
        <v>7002</v>
      </c>
      <c r="C3076" t="s">
        <v>7003</v>
      </c>
      <c r="D3076" t="s">
        <v>234</v>
      </c>
      <c r="E3076" s="1">
        <v>46151.683518518519</v>
      </c>
      <c r="F3076">
        <v>1547</v>
      </c>
      <c r="G3076" t="s">
        <v>7004</v>
      </c>
      <c r="H3076" t="s">
        <v>15</v>
      </c>
      <c r="I3076" t="s">
        <v>235</v>
      </c>
      <c r="J3076" t="str">
        <f>RIGHT(D3076,4)</f>
        <v>6352</v>
      </c>
      <c r="K3076" t="str">
        <f>IFERROR(VLOOKUP(VALUE(J3076),'Site Info'!$A:$G,3,FALSE),"")</f>
        <v>7 WALMART BLVD</v>
      </c>
      <c r="L3076" t="str">
        <f>IFERROR(VLOOKUP(VALUE(J3076),'Site Info'!$A:$G,4,FALSE),"")</f>
        <v>HUDSON</v>
      </c>
      <c r="M3076" t="str">
        <f>IFERROR(VLOOKUP(VALUE(J3076),'Site Info'!$A:$G,5,FALSE),"")</f>
        <v>NH</v>
      </c>
      <c r="N3076" t="str">
        <f>IFERROR(VLOOKUP(VALUE(J3076),'Site Info'!$A:$G,6,FALSE),"")</f>
        <v>03051-5248</v>
      </c>
      <c r="O3076">
        <f>IFERROR(VLOOKUP(VALUE(J3076),'Site Info'!$A:$G,7,FALSE),"")</f>
        <v>6038824600</v>
      </c>
    </row>
    <row r="3077" spans="1:15" x14ac:dyDescent="0.45">
      <c r="A3077" t="s">
        <v>7129</v>
      </c>
      <c r="B3077" t="s">
        <v>7130</v>
      </c>
      <c r="C3077" t="s">
        <v>7131</v>
      </c>
      <c r="D3077" t="s">
        <v>234</v>
      </c>
      <c r="E3077" s="1">
        <v>46152.638807870368</v>
      </c>
      <c r="F3077">
        <v>1547</v>
      </c>
      <c r="G3077" t="s">
        <v>7132</v>
      </c>
      <c r="H3077" t="s">
        <v>15</v>
      </c>
      <c r="I3077" t="s">
        <v>235</v>
      </c>
      <c r="J3077" t="str">
        <f>RIGHT(D3077,4)</f>
        <v>6352</v>
      </c>
      <c r="K3077" t="str">
        <f>IFERROR(VLOOKUP(VALUE(J3077),'Site Info'!$A:$G,3,FALSE),"")</f>
        <v>7 WALMART BLVD</v>
      </c>
      <c r="L3077" t="str">
        <f>IFERROR(VLOOKUP(VALUE(J3077),'Site Info'!$A:$G,4,FALSE),"")</f>
        <v>HUDSON</v>
      </c>
      <c r="M3077" t="str">
        <f>IFERROR(VLOOKUP(VALUE(J3077),'Site Info'!$A:$G,5,FALSE),"")</f>
        <v>NH</v>
      </c>
      <c r="N3077" t="str">
        <f>IFERROR(VLOOKUP(VALUE(J3077),'Site Info'!$A:$G,6,FALSE),"")</f>
        <v>03051-5248</v>
      </c>
      <c r="O3077">
        <f>IFERROR(VLOOKUP(VALUE(J3077),'Site Info'!$A:$G,7,FALSE),"")</f>
        <v>6038824600</v>
      </c>
    </row>
    <row r="3078" spans="1:15" x14ac:dyDescent="0.45">
      <c r="A3078" t="s">
        <v>9017</v>
      </c>
      <c r="B3078" t="s">
        <v>9018</v>
      </c>
      <c r="C3078" t="s">
        <v>9019</v>
      </c>
      <c r="D3078" t="s">
        <v>234</v>
      </c>
      <c r="E3078" s="1">
        <v>46152.791076388887</v>
      </c>
      <c r="F3078">
        <v>1547</v>
      </c>
      <c r="G3078" t="s">
        <v>9020</v>
      </c>
      <c r="H3078" t="s">
        <v>15</v>
      </c>
      <c r="I3078" t="s">
        <v>235</v>
      </c>
      <c r="J3078" t="str">
        <f>RIGHT(D3078,4)</f>
        <v>6352</v>
      </c>
      <c r="K3078" t="str">
        <f>IFERROR(VLOOKUP(VALUE(J3078),'Site Info'!$A:$G,3,FALSE),"")</f>
        <v>7 WALMART BLVD</v>
      </c>
      <c r="L3078" t="str">
        <f>IFERROR(VLOOKUP(VALUE(J3078),'Site Info'!$A:$G,4,FALSE),"")</f>
        <v>HUDSON</v>
      </c>
      <c r="M3078" t="str">
        <f>IFERROR(VLOOKUP(VALUE(J3078),'Site Info'!$A:$G,5,FALSE),"")</f>
        <v>NH</v>
      </c>
      <c r="N3078" t="str">
        <f>IFERROR(VLOOKUP(VALUE(J3078),'Site Info'!$A:$G,6,FALSE),"")</f>
        <v>03051-5248</v>
      </c>
      <c r="O3078">
        <f>IFERROR(VLOOKUP(VALUE(J3078),'Site Info'!$A:$G,7,FALSE),"")</f>
        <v>6038824600</v>
      </c>
    </row>
    <row r="3079" spans="1:15" x14ac:dyDescent="0.45">
      <c r="A3079" t="s">
        <v>6785</v>
      </c>
      <c r="B3079" t="s">
        <v>6786</v>
      </c>
      <c r="C3079" t="s">
        <v>6787</v>
      </c>
      <c r="D3079" t="s">
        <v>234</v>
      </c>
      <c r="E3079" s="1">
        <v>46152.838252314818</v>
      </c>
      <c r="F3079">
        <v>1547</v>
      </c>
      <c r="G3079" t="s">
        <v>6788</v>
      </c>
      <c r="H3079" t="s">
        <v>15</v>
      </c>
      <c r="I3079" t="s">
        <v>235</v>
      </c>
      <c r="J3079" t="str">
        <f>RIGHT(D3079,4)</f>
        <v>6352</v>
      </c>
      <c r="K3079" t="str">
        <f>IFERROR(VLOOKUP(VALUE(J3079),'Site Info'!$A:$G,3,FALSE),"")</f>
        <v>7 WALMART BLVD</v>
      </c>
      <c r="L3079" t="str">
        <f>IFERROR(VLOOKUP(VALUE(J3079),'Site Info'!$A:$G,4,FALSE),"")</f>
        <v>HUDSON</v>
      </c>
      <c r="M3079" t="str">
        <f>IFERROR(VLOOKUP(VALUE(J3079),'Site Info'!$A:$G,5,FALSE),"")</f>
        <v>NH</v>
      </c>
      <c r="N3079" t="str">
        <f>IFERROR(VLOOKUP(VALUE(J3079),'Site Info'!$A:$G,6,FALSE),"")</f>
        <v>03051-5248</v>
      </c>
      <c r="O3079">
        <f>IFERROR(VLOOKUP(VALUE(J3079),'Site Info'!$A:$G,7,FALSE),"")</f>
        <v>6038824600</v>
      </c>
    </row>
    <row r="3080" spans="1:15" x14ac:dyDescent="0.45">
      <c r="A3080" t="s">
        <v>1736</v>
      </c>
      <c r="B3080" t="s">
        <v>1737</v>
      </c>
      <c r="C3080" t="s">
        <v>1738</v>
      </c>
      <c r="D3080" t="s">
        <v>234</v>
      </c>
      <c r="E3080" s="1">
        <v>46153.370219907411</v>
      </c>
      <c r="F3080">
        <v>1481</v>
      </c>
      <c r="G3080" t="s">
        <v>1739</v>
      </c>
      <c r="H3080" t="s">
        <v>15</v>
      </c>
      <c r="I3080" t="s">
        <v>235</v>
      </c>
      <c r="J3080" t="str">
        <f>RIGHT(D3080,4)</f>
        <v>6352</v>
      </c>
      <c r="K3080" t="str">
        <f>IFERROR(VLOOKUP(VALUE(J3080),'Site Info'!$A:$G,3,FALSE),"")</f>
        <v>7 WALMART BLVD</v>
      </c>
      <c r="L3080" t="str">
        <f>IFERROR(VLOOKUP(VALUE(J3080),'Site Info'!$A:$G,4,FALSE),"")</f>
        <v>HUDSON</v>
      </c>
      <c r="M3080" t="str">
        <f>IFERROR(VLOOKUP(VALUE(J3080),'Site Info'!$A:$G,5,FALSE),"")</f>
        <v>NH</v>
      </c>
      <c r="N3080" t="str">
        <f>IFERROR(VLOOKUP(VALUE(J3080),'Site Info'!$A:$G,6,FALSE),"")</f>
        <v>03051-5248</v>
      </c>
      <c r="O3080">
        <f>IFERROR(VLOOKUP(VALUE(J3080),'Site Info'!$A:$G,7,FALSE),"")</f>
        <v>6038824600</v>
      </c>
    </row>
    <row r="3081" spans="1:15" x14ac:dyDescent="0.45">
      <c r="A3081" t="s">
        <v>13595</v>
      </c>
      <c r="B3081" t="s">
        <v>13596</v>
      </c>
      <c r="C3081" t="s">
        <v>13597</v>
      </c>
      <c r="D3081" t="s">
        <v>7189</v>
      </c>
      <c r="E3081" s="1">
        <v>46129.450821759259</v>
      </c>
      <c r="F3081">
        <v>1547</v>
      </c>
      <c r="G3081" t="s">
        <v>13598</v>
      </c>
      <c r="H3081" t="s">
        <v>15</v>
      </c>
      <c r="I3081" t="s">
        <v>7191</v>
      </c>
      <c r="J3081" t="str">
        <f>RIGHT(D3081,4)</f>
        <v>6345</v>
      </c>
      <c r="K3081" t="str">
        <f>IFERROR(VLOOKUP(VALUE(J3081),'Site Info'!$A:$G,3,FALSE),"")</f>
        <v>700 E 17TH ST</v>
      </c>
      <c r="L3081" t="str">
        <f>IFERROR(VLOOKUP(VALUE(J3081),'Site Info'!$A:$G,4,FALSE),"")</f>
        <v>IDAHO FALLS</v>
      </c>
      <c r="M3081" t="str">
        <f>IFERROR(VLOOKUP(VALUE(J3081),'Site Info'!$A:$G,5,FALSE),"")</f>
        <v>ID</v>
      </c>
      <c r="N3081" t="str">
        <f>IFERROR(VLOOKUP(VALUE(J3081),'Site Info'!$A:$G,6,FALSE),"")</f>
        <v>83404-6152</v>
      </c>
      <c r="O3081">
        <f>IFERROR(VLOOKUP(VALUE(J3081),'Site Info'!$A:$G,7,FALSE),"")</f>
        <v>2085292300</v>
      </c>
    </row>
    <row r="3082" spans="1:15" x14ac:dyDescent="0.45">
      <c r="A3082" t="s">
        <v>7186</v>
      </c>
      <c r="B3082" t="s">
        <v>7187</v>
      </c>
      <c r="C3082" t="s">
        <v>7188</v>
      </c>
      <c r="D3082" t="s">
        <v>7189</v>
      </c>
      <c r="E3082" s="1">
        <v>46150.6719212963</v>
      </c>
      <c r="F3082">
        <v>1547</v>
      </c>
      <c r="G3082" t="s">
        <v>7190</v>
      </c>
      <c r="H3082" t="s">
        <v>15</v>
      </c>
      <c r="I3082" t="s">
        <v>7191</v>
      </c>
      <c r="J3082" t="str">
        <f>RIGHT(D3082,4)</f>
        <v>6345</v>
      </c>
      <c r="K3082" t="str">
        <f>IFERROR(VLOOKUP(VALUE(J3082),'Site Info'!$A:$G,3,FALSE),"")</f>
        <v>700 E 17TH ST</v>
      </c>
      <c r="L3082" t="str">
        <f>IFERROR(VLOOKUP(VALUE(J3082),'Site Info'!$A:$G,4,FALSE),"")</f>
        <v>IDAHO FALLS</v>
      </c>
      <c r="M3082" t="str">
        <f>IFERROR(VLOOKUP(VALUE(J3082),'Site Info'!$A:$G,5,FALSE),"")</f>
        <v>ID</v>
      </c>
      <c r="N3082" t="str">
        <f>IFERROR(VLOOKUP(VALUE(J3082),'Site Info'!$A:$G,6,FALSE),"")</f>
        <v>83404-6152</v>
      </c>
      <c r="O3082">
        <f>IFERROR(VLOOKUP(VALUE(J3082),'Site Info'!$A:$G,7,FALSE),"")</f>
        <v>2085292300</v>
      </c>
    </row>
    <row r="3083" spans="1:15" x14ac:dyDescent="0.45">
      <c r="A3083" t="s">
        <v>10879</v>
      </c>
      <c r="B3083" t="s">
        <v>10880</v>
      </c>
      <c r="C3083" t="s">
        <v>10881</v>
      </c>
      <c r="D3083" t="s">
        <v>7189</v>
      </c>
      <c r="E3083" s="1">
        <v>46152.515092592592</v>
      </c>
      <c r="F3083">
        <v>1547</v>
      </c>
      <c r="G3083" t="s">
        <v>10882</v>
      </c>
      <c r="H3083" t="s">
        <v>15</v>
      </c>
      <c r="I3083" t="s">
        <v>7191</v>
      </c>
      <c r="J3083" t="str">
        <f>RIGHT(D3083,4)</f>
        <v>6345</v>
      </c>
      <c r="K3083" t="str">
        <f>IFERROR(VLOOKUP(VALUE(J3083),'Site Info'!$A:$G,3,FALSE),"")</f>
        <v>700 E 17TH ST</v>
      </c>
      <c r="L3083" t="str">
        <f>IFERROR(VLOOKUP(VALUE(J3083),'Site Info'!$A:$G,4,FALSE),"")</f>
        <v>IDAHO FALLS</v>
      </c>
      <c r="M3083" t="str">
        <f>IFERROR(VLOOKUP(VALUE(J3083),'Site Info'!$A:$G,5,FALSE),"")</f>
        <v>ID</v>
      </c>
      <c r="N3083" t="str">
        <f>IFERROR(VLOOKUP(VALUE(J3083),'Site Info'!$A:$G,6,FALSE),"")</f>
        <v>83404-6152</v>
      </c>
      <c r="O3083">
        <f>IFERROR(VLOOKUP(VALUE(J3083),'Site Info'!$A:$G,7,FALSE),"")</f>
        <v>2085292300</v>
      </c>
    </row>
    <row r="3084" spans="1:15" x14ac:dyDescent="0.45">
      <c r="A3084" t="s">
        <v>8579</v>
      </c>
      <c r="B3084" t="s">
        <v>8580</v>
      </c>
      <c r="C3084" t="s">
        <v>8581</v>
      </c>
      <c r="D3084" t="s">
        <v>7189</v>
      </c>
      <c r="E3084" s="1">
        <v>46152.620266203703</v>
      </c>
      <c r="F3084">
        <v>1547</v>
      </c>
      <c r="G3084" t="s">
        <v>8582</v>
      </c>
      <c r="H3084" t="s">
        <v>15</v>
      </c>
      <c r="I3084" t="s">
        <v>7191</v>
      </c>
      <c r="J3084" t="str">
        <f>RIGHT(D3084,4)</f>
        <v>6345</v>
      </c>
      <c r="K3084" t="str">
        <f>IFERROR(VLOOKUP(VALUE(J3084),'Site Info'!$A:$G,3,FALSE),"")</f>
        <v>700 E 17TH ST</v>
      </c>
      <c r="L3084" t="str">
        <f>IFERROR(VLOOKUP(VALUE(J3084),'Site Info'!$A:$G,4,FALSE),"")</f>
        <v>IDAHO FALLS</v>
      </c>
      <c r="M3084" t="str">
        <f>IFERROR(VLOOKUP(VALUE(J3084),'Site Info'!$A:$G,5,FALSE),"")</f>
        <v>ID</v>
      </c>
      <c r="N3084" t="str">
        <f>IFERROR(VLOOKUP(VALUE(J3084),'Site Info'!$A:$G,6,FALSE),"")</f>
        <v>83404-6152</v>
      </c>
      <c r="O3084">
        <f>IFERROR(VLOOKUP(VALUE(J3084),'Site Info'!$A:$G,7,FALSE),"")</f>
        <v>2085292300</v>
      </c>
    </row>
    <row r="3085" spans="1:15" x14ac:dyDescent="0.45">
      <c r="A3085" t="s">
        <v>16764</v>
      </c>
      <c r="B3085" t="s">
        <v>16765</v>
      </c>
      <c r="C3085" t="s">
        <v>16766</v>
      </c>
      <c r="D3085" t="s">
        <v>7189</v>
      </c>
      <c r="E3085" s="1">
        <v>46152.592905092592</v>
      </c>
      <c r="F3085">
        <v>1547</v>
      </c>
      <c r="G3085" t="s">
        <v>16767</v>
      </c>
      <c r="H3085" t="s">
        <v>15</v>
      </c>
      <c r="I3085" t="s">
        <v>7191</v>
      </c>
      <c r="J3085" t="str">
        <f>RIGHT(D3085,4)</f>
        <v>6345</v>
      </c>
      <c r="K3085" t="str">
        <f>IFERROR(VLOOKUP(VALUE(J3085),'Site Info'!$A:$G,3,FALSE),"")</f>
        <v>700 E 17TH ST</v>
      </c>
      <c r="L3085" t="str">
        <f>IFERROR(VLOOKUP(VALUE(J3085),'Site Info'!$A:$G,4,FALSE),"")</f>
        <v>IDAHO FALLS</v>
      </c>
      <c r="M3085" t="str">
        <f>IFERROR(VLOOKUP(VALUE(J3085),'Site Info'!$A:$G,5,FALSE),"")</f>
        <v>ID</v>
      </c>
      <c r="N3085" t="str">
        <f>IFERROR(VLOOKUP(VALUE(J3085),'Site Info'!$A:$G,6,FALSE),"")</f>
        <v>83404-6152</v>
      </c>
      <c r="O3085">
        <f>IFERROR(VLOOKUP(VALUE(J3085),'Site Info'!$A:$G,7,FALSE),"")</f>
        <v>2085292300</v>
      </c>
    </row>
    <row r="3086" spans="1:15" x14ac:dyDescent="0.45">
      <c r="A3086" t="s">
        <v>11722</v>
      </c>
      <c r="B3086" t="s">
        <v>11723</v>
      </c>
      <c r="C3086" t="s">
        <v>11724</v>
      </c>
      <c r="D3086" t="s">
        <v>10195</v>
      </c>
      <c r="E3086" s="1">
        <v>46153.292951388888</v>
      </c>
      <c r="F3086">
        <v>1547</v>
      </c>
      <c r="G3086" t="s">
        <v>11725</v>
      </c>
      <c r="H3086" t="s">
        <v>15</v>
      </c>
      <c r="I3086" t="s">
        <v>10197</v>
      </c>
      <c r="J3086" t="str">
        <f>RIGHT(D3086,4)</f>
        <v>4999</v>
      </c>
      <c r="K3086" t="str">
        <f>IFERROR(VLOOKUP(VALUE(J3086),'Site Info'!$A:$G,3,FALSE),"")</f>
        <v>700 N 54TH ST</v>
      </c>
      <c r="L3086" t="str">
        <f>IFERROR(VLOOKUP(VALUE(J3086),'Site Info'!$A:$G,4,FALSE),"")</f>
        <v>QUINCY</v>
      </c>
      <c r="M3086" t="str">
        <f>IFERROR(VLOOKUP(VALUE(J3086),'Site Info'!$A:$G,5,FALSE),"")</f>
        <v>IL</v>
      </c>
      <c r="N3086" t="str">
        <f>IFERROR(VLOOKUP(VALUE(J3086),'Site Info'!$A:$G,6,FALSE),"")</f>
        <v>62305-7909</v>
      </c>
      <c r="O3086">
        <f>IFERROR(VLOOKUP(VALUE(J3086),'Site Info'!$A:$G,7,FALSE),"")</f>
        <v>2172226682</v>
      </c>
    </row>
    <row r="3087" spans="1:15" x14ac:dyDescent="0.45">
      <c r="A3087" t="s">
        <v>10192</v>
      </c>
      <c r="B3087" t="s">
        <v>10193</v>
      </c>
      <c r="C3087" t="s">
        <v>10194</v>
      </c>
      <c r="D3087" t="s">
        <v>10195</v>
      </c>
      <c r="E3087" s="1">
        <v>46153.369699074072</v>
      </c>
      <c r="F3087">
        <v>1547</v>
      </c>
      <c r="G3087" t="s">
        <v>10196</v>
      </c>
      <c r="H3087" t="s">
        <v>15</v>
      </c>
      <c r="I3087" t="s">
        <v>10197</v>
      </c>
      <c r="J3087" t="str">
        <f>RIGHT(D3087,4)</f>
        <v>4999</v>
      </c>
      <c r="K3087" t="str">
        <f>IFERROR(VLOOKUP(VALUE(J3087),'Site Info'!$A:$G,3,FALSE),"")</f>
        <v>700 N 54TH ST</v>
      </c>
      <c r="L3087" t="str">
        <f>IFERROR(VLOOKUP(VALUE(J3087),'Site Info'!$A:$G,4,FALSE),"")</f>
        <v>QUINCY</v>
      </c>
      <c r="M3087" t="str">
        <f>IFERROR(VLOOKUP(VALUE(J3087),'Site Info'!$A:$G,5,FALSE),"")</f>
        <v>IL</v>
      </c>
      <c r="N3087" t="str">
        <f>IFERROR(VLOOKUP(VALUE(J3087),'Site Info'!$A:$G,6,FALSE),"")</f>
        <v>62305-7909</v>
      </c>
      <c r="O3087">
        <f>IFERROR(VLOOKUP(VALUE(J3087),'Site Info'!$A:$G,7,FALSE),"")</f>
        <v>2172226682</v>
      </c>
    </row>
    <row r="3088" spans="1:15" x14ac:dyDescent="0.45">
      <c r="A3088" t="s">
        <v>4732</v>
      </c>
      <c r="B3088" t="s">
        <v>4733</v>
      </c>
      <c r="C3088" t="s">
        <v>4734</v>
      </c>
      <c r="D3088" t="s">
        <v>2754</v>
      </c>
      <c r="E3088" s="1">
        <v>46151.771932870368</v>
      </c>
      <c r="F3088">
        <v>1548</v>
      </c>
      <c r="G3088" t="s">
        <v>4735</v>
      </c>
      <c r="H3088" t="s">
        <v>15</v>
      </c>
      <c r="I3088" t="s">
        <v>2756</v>
      </c>
      <c r="J3088" t="str">
        <f>RIGHT(D3088,4)</f>
        <v>6213</v>
      </c>
      <c r="K3088" t="str">
        <f>IFERROR(VLOOKUP(VALUE(J3088),'Site Info'!$A:$G,3,FALSE),"")</f>
        <v>700 N 54TH ST</v>
      </c>
      <c r="L3088" t="str">
        <f>IFERROR(VLOOKUP(VALUE(J3088),'Site Info'!$A:$G,4,FALSE),"")</f>
        <v>CHANDLER</v>
      </c>
      <c r="M3088" t="str">
        <f>IFERROR(VLOOKUP(VALUE(J3088),'Site Info'!$A:$G,5,FALSE),"")</f>
        <v>AZ</v>
      </c>
      <c r="N3088" t="str">
        <f>IFERROR(VLOOKUP(VALUE(J3088),'Site Info'!$A:$G,6,FALSE),"")</f>
        <v>85226-1502</v>
      </c>
      <c r="O3088">
        <f>IFERROR(VLOOKUP(VALUE(J3088),'Site Info'!$A:$G,7,FALSE),"")</f>
        <v>4808931555</v>
      </c>
    </row>
    <row r="3089" spans="1:15" x14ac:dyDescent="0.45">
      <c r="A3089" t="s">
        <v>4900</v>
      </c>
      <c r="B3089" t="s">
        <v>4901</v>
      </c>
      <c r="C3089" t="s">
        <v>4902</v>
      </c>
      <c r="D3089" t="s">
        <v>2754</v>
      </c>
      <c r="E3089" s="1">
        <v>46150.7809837963</v>
      </c>
      <c r="F3089">
        <v>1547</v>
      </c>
      <c r="G3089" t="s">
        <v>4903</v>
      </c>
      <c r="H3089" t="s">
        <v>15</v>
      </c>
      <c r="I3089" t="s">
        <v>2756</v>
      </c>
      <c r="J3089" t="str">
        <f>RIGHT(D3089,4)</f>
        <v>6213</v>
      </c>
      <c r="K3089" t="str">
        <f>IFERROR(VLOOKUP(VALUE(J3089),'Site Info'!$A:$G,3,FALSE),"")</f>
        <v>700 N 54TH ST</v>
      </c>
      <c r="L3089" t="str">
        <f>IFERROR(VLOOKUP(VALUE(J3089),'Site Info'!$A:$G,4,FALSE),"")</f>
        <v>CHANDLER</v>
      </c>
      <c r="M3089" t="str">
        <f>IFERROR(VLOOKUP(VALUE(J3089),'Site Info'!$A:$G,5,FALSE),"")</f>
        <v>AZ</v>
      </c>
      <c r="N3089" t="str">
        <f>IFERROR(VLOOKUP(VALUE(J3089),'Site Info'!$A:$G,6,FALSE),"")</f>
        <v>85226-1502</v>
      </c>
      <c r="O3089">
        <f>IFERROR(VLOOKUP(VALUE(J3089),'Site Info'!$A:$G,7,FALSE),"")</f>
        <v>4808931555</v>
      </c>
    </row>
    <row r="3090" spans="1:15" x14ac:dyDescent="0.45">
      <c r="A3090" t="s">
        <v>6613</v>
      </c>
      <c r="B3090" t="s">
        <v>6614</v>
      </c>
      <c r="C3090" t="s">
        <v>6615</v>
      </c>
      <c r="D3090" t="s">
        <v>2754</v>
      </c>
      <c r="E3090" s="1">
        <v>46151.774814814817</v>
      </c>
      <c r="F3090">
        <v>1547</v>
      </c>
      <c r="G3090" t="s">
        <v>6616</v>
      </c>
      <c r="H3090" t="s">
        <v>15</v>
      </c>
      <c r="I3090" t="s">
        <v>2756</v>
      </c>
      <c r="J3090" t="str">
        <f>RIGHT(D3090,4)</f>
        <v>6213</v>
      </c>
      <c r="K3090" t="str">
        <f>IFERROR(VLOOKUP(VALUE(J3090),'Site Info'!$A:$G,3,FALSE),"")</f>
        <v>700 N 54TH ST</v>
      </c>
      <c r="L3090" t="str">
        <f>IFERROR(VLOOKUP(VALUE(J3090),'Site Info'!$A:$G,4,FALSE),"")</f>
        <v>CHANDLER</v>
      </c>
      <c r="M3090" t="str">
        <f>IFERROR(VLOOKUP(VALUE(J3090),'Site Info'!$A:$G,5,FALSE),"")</f>
        <v>AZ</v>
      </c>
      <c r="N3090" t="str">
        <f>IFERROR(VLOOKUP(VALUE(J3090),'Site Info'!$A:$G,6,FALSE),"")</f>
        <v>85226-1502</v>
      </c>
      <c r="O3090">
        <f>IFERROR(VLOOKUP(VALUE(J3090),'Site Info'!$A:$G,7,FALSE),"")</f>
        <v>4808931555</v>
      </c>
    </row>
    <row r="3091" spans="1:15" x14ac:dyDescent="0.45">
      <c r="A3091" t="s">
        <v>6597</v>
      </c>
      <c r="B3091" t="s">
        <v>6598</v>
      </c>
      <c r="C3091" t="s">
        <v>6599</v>
      </c>
      <c r="D3091" t="s">
        <v>2754</v>
      </c>
      <c r="E3091" s="1">
        <v>46151.820115740738</v>
      </c>
      <c r="F3091">
        <v>1547</v>
      </c>
      <c r="G3091" t="s">
        <v>6600</v>
      </c>
      <c r="H3091" t="s">
        <v>15</v>
      </c>
      <c r="I3091" t="s">
        <v>2756</v>
      </c>
      <c r="J3091" t="str">
        <f>RIGHT(D3091,4)</f>
        <v>6213</v>
      </c>
      <c r="K3091" t="str">
        <f>IFERROR(VLOOKUP(VALUE(J3091),'Site Info'!$A:$G,3,FALSE),"")</f>
        <v>700 N 54TH ST</v>
      </c>
      <c r="L3091" t="str">
        <f>IFERROR(VLOOKUP(VALUE(J3091),'Site Info'!$A:$G,4,FALSE),"")</f>
        <v>CHANDLER</v>
      </c>
      <c r="M3091" t="str">
        <f>IFERROR(VLOOKUP(VALUE(J3091),'Site Info'!$A:$G,5,FALSE),"")</f>
        <v>AZ</v>
      </c>
      <c r="N3091" t="str">
        <f>IFERROR(VLOOKUP(VALUE(J3091),'Site Info'!$A:$G,6,FALSE),"")</f>
        <v>85226-1502</v>
      </c>
      <c r="O3091">
        <f>IFERROR(VLOOKUP(VALUE(J3091),'Site Info'!$A:$G,7,FALSE),"")</f>
        <v>4808931555</v>
      </c>
    </row>
    <row r="3092" spans="1:15" x14ac:dyDescent="0.45">
      <c r="A3092" t="s">
        <v>4754</v>
      </c>
      <c r="B3092" t="s">
        <v>4755</v>
      </c>
      <c r="C3092" t="s">
        <v>4756</v>
      </c>
      <c r="D3092" t="s">
        <v>2754</v>
      </c>
      <c r="E3092" s="1">
        <v>46152.677141203705</v>
      </c>
      <c r="F3092">
        <v>1547</v>
      </c>
      <c r="G3092" t="s">
        <v>4757</v>
      </c>
      <c r="H3092" t="s">
        <v>15</v>
      </c>
      <c r="I3092" t="s">
        <v>2756</v>
      </c>
      <c r="J3092" t="str">
        <f>RIGHT(D3092,4)</f>
        <v>6213</v>
      </c>
      <c r="K3092" t="str">
        <f>IFERROR(VLOOKUP(VALUE(J3092),'Site Info'!$A:$G,3,FALSE),"")</f>
        <v>700 N 54TH ST</v>
      </c>
      <c r="L3092" t="str">
        <f>IFERROR(VLOOKUP(VALUE(J3092),'Site Info'!$A:$G,4,FALSE),"")</f>
        <v>CHANDLER</v>
      </c>
      <c r="M3092" t="str">
        <f>IFERROR(VLOOKUP(VALUE(J3092),'Site Info'!$A:$G,5,FALSE),"")</f>
        <v>AZ</v>
      </c>
      <c r="N3092" t="str">
        <f>IFERROR(VLOOKUP(VALUE(J3092),'Site Info'!$A:$G,6,FALSE),"")</f>
        <v>85226-1502</v>
      </c>
      <c r="O3092">
        <f>IFERROR(VLOOKUP(VALUE(J3092),'Site Info'!$A:$G,7,FALSE),"")</f>
        <v>4808931555</v>
      </c>
    </row>
    <row r="3093" spans="1:15" x14ac:dyDescent="0.45">
      <c r="A3093" t="s">
        <v>4688</v>
      </c>
      <c r="B3093" t="s">
        <v>4689</v>
      </c>
      <c r="C3093" t="s">
        <v>4690</v>
      </c>
      <c r="D3093" t="s">
        <v>2754</v>
      </c>
      <c r="E3093" s="1">
        <v>46152.726354166669</v>
      </c>
      <c r="F3093">
        <v>1547</v>
      </c>
      <c r="G3093" t="s">
        <v>4691</v>
      </c>
      <c r="H3093" t="s">
        <v>15</v>
      </c>
      <c r="I3093" t="s">
        <v>2756</v>
      </c>
      <c r="J3093" t="str">
        <f>RIGHT(D3093,4)</f>
        <v>6213</v>
      </c>
      <c r="K3093" t="str">
        <f>IFERROR(VLOOKUP(VALUE(J3093),'Site Info'!$A:$G,3,FALSE),"")</f>
        <v>700 N 54TH ST</v>
      </c>
      <c r="L3093" t="str">
        <f>IFERROR(VLOOKUP(VALUE(J3093),'Site Info'!$A:$G,4,FALSE),"")</f>
        <v>CHANDLER</v>
      </c>
      <c r="M3093" t="str">
        <f>IFERROR(VLOOKUP(VALUE(J3093),'Site Info'!$A:$G,5,FALSE),"")</f>
        <v>AZ</v>
      </c>
      <c r="N3093" t="str">
        <f>IFERROR(VLOOKUP(VALUE(J3093),'Site Info'!$A:$G,6,FALSE),"")</f>
        <v>85226-1502</v>
      </c>
      <c r="O3093">
        <f>IFERROR(VLOOKUP(VALUE(J3093),'Site Info'!$A:$G,7,FALSE),"")</f>
        <v>4808931555</v>
      </c>
    </row>
    <row r="3094" spans="1:15" x14ac:dyDescent="0.45">
      <c r="A3094" t="s">
        <v>2751</v>
      </c>
      <c r="B3094" t="s">
        <v>2752</v>
      </c>
      <c r="C3094" t="s">
        <v>2753</v>
      </c>
      <c r="D3094" t="s">
        <v>2754</v>
      </c>
      <c r="E3094" s="1">
        <v>46152.723217592589</v>
      </c>
      <c r="F3094">
        <v>1481</v>
      </c>
      <c r="G3094" t="s">
        <v>2755</v>
      </c>
      <c r="H3094" t="s">
        <v>15</v>
      </c>
      <c r="I3094" t="s">
        <v>2756</v>
      </c>
      <c r="J3094" t="str">
        <f>RIGHT(D3094,4)</f>
        <v>6213</v>
      </c>
      <c r="K3094" t="str">
        <f>IFERROR(VLOOKUP(VALUE(J3094),'Site Info'!$A:$G,3,FALSE),"")</f>
        <v>700 N 54TH ST</v>
      </c>
      <c r="L3094" t="str">
        <f>IFERROR(VLOOKUP(VALUE(J3094),'Site Info'!$A:$G,4,FALSE),"")</f>
        <v>CHANDLER</v>
      </c>
      <c r="M3094" t="str">
        <f>IFERROR(VLOOKUP(VALUE(J3094),'Site Info'!$A:$G,5,FALSE),"")</f>
        <v>AZ</v>
      </c>
      <c r="N3094" t="str">
        <f>IFERROR(VLOOKUP(VALUE(J3094),'Site Info'!$A:$G,6,FALSE),"")</f>
        <v>85226-1502</v>
      </c>
      <c r="O3094">
        <f>IFERROR(VLOOKUP(VALUE(J3094),'Site Info'!$A:$G,7,FALSE),"")</f>
        <v>4808931555</v>
      </c>
    </row>
    <row r="3095" spans="1:15" x14ac:dyDescent="0.45">
      <c r="A3095" t="s">
        <v>3063</v>
      </c>
      <c r="B3095" t="s">
        <v>3064</v>
      </c>
      <c r="C3095" t="s">
        <v>3065</v>
      </c>
      <c r="D3095" t="s">
        <v>2754</v>
      </c>
      <c r="E3095" s="1">
        <v>46152.866747685184</v>
      </c>
      <c r="F3095">
        <v>1481</v>
      </c>
      <c r="G3095" t="s">
        <v>3066</v>
      </c>
      <c r="H3095" t="s">
        <v>15</v>
      </c>
      <c r="I3095" t="s">
        <v>2756</v>
      </c>
      <c r="J3095" t="str">
        <f>RIGHT(D3095,4)</f>
        <v>6213</v>
      </c>
      <c r="K3095" t="str">
        <f>IFERROR(VLOOKUP(VALUE(J3095),'Site Info'!$A:$G,3,FALSE),"")</f>
        <v>700 N 54TH ST</v>
      </c>
      <c r="L3095" t="str">
        <f>IFERROR(VLOOKUP(VALUE(J3095),'Site Info'!$A:$G,4,FALSE),"")</f>
        <v>CHANDLER</v>
      </c>
      <c r="M3095" t="str">
        <f>IFERROR(VLOOKUP(VALUE(J3095),'Site Info'!$A:$G,5,FALSE),"")</f>
        <v>AZ</v>
      </c>
      <c r="N3095" t="str">
        <f>IFERROR(VLOOKUP(VALUE(J3095),'Site Info'!$A:$G,6,FALSE),"")</f>
        <v>85226-1502</v>
      </c>
      <c r="O3095">
        <f>IFERROR(VLOOKUP(VALUE(J3095),'Site Info'!$A:$G,7,FALSE),"")</f>
        <v>4808931555</v>
      </c>
    </row>
    <row r="3096" spans="1:15" x14ac:dyDescent="0.45">
      <c r="A3096" t="s">
        <v>16595</v>
      </c>
      <c r="B3096" t="s">
        <v>16596</v>
      </c>
      <c r="C3096" t="s">
        <v>16597</v>
      </c>
      <c r="D3096" t="s">
        <v>10195</v>
      </c>
      <c r="E3096" s="1">
        <v>46153.373935185184</v>
      </c>
      <c r="F3096">
        <v>1481</v>
      </c>
      <c r="G3096" t="s">
        <v>16598</v>
      </c>
      <c r="H3096" t="s">
        <v>15</v>
      </c>
      <c r="I3096" t="s">
        <v>10197</v>
      </c>
      <c r="J3096" t="str">
        <f>RIGHT(D3096,4)</f>
        <v>4999</v>
      </c>
      <c r="K3096" t="str">
        <f>IFERROR(VLOOKUP(VALUE(J3096),'Site Info'!$A:$G,3,FALSE),"")</f>
        <v>700 N 54TH ST</v>
      </c>
      <c r="L3096" t="str">
        <f>IFERROR(VLOOKUP(VALUE(J3096),'Site Info'!$A:$G,4,FALSE),"")</f>
        <v>QUINCY</v>
      </c>
      <c r="M3096" t="str">
        <f>IFERROR(VLOOKUP(VALUE(J3096),'Site Info'!$A:$G,5,FALSE),"")</f>
        <v>IL</v>
      </c>
      <c r="N3096" t="str">
        <f>IFERROR(VLOOKUP(VALUE(J3096),'Site Info'!$A:$G,6,FALSE),"")</f>
        <v>62305-7909</v>
      </c>
      <c r="O3096">
        <f>IFERROR(VLOOKUP(VALUE(J3096),'Site Info'!$A:$G,7,FALSE),"")</f>
        <v>2172226682</v>
      </c>
    </row>
    <row r="3097" spans="1:15" x14ac:dyDescent="0.45">
      <c r="A3097" t="s">
        <v>6188</v>
      </c>
      <c r="B3097" t="s">
        <v>6189</v>
      </c>
      <c r="C3097" t="s">
        <v>6190</v>
      </c>
      <c r="D3097" t="s">
        <v>935</v>
      </c>
      <c r="E3097" s="1">
        <v>46151.943715277775</v>
      </c>
      <c r="F3097">
        <v>1547</v>
      </c>
      <c r="G3097" t="s">
        <v>6191</v>
      </c>
      <c r="H3097" t="s">
        <v>15</v>
      </c>
      <c r="I3097" t="s">
        <v>937</v>
      </c>
      <c r="J3097" t="str">
        <f>RIGHT(D3097,4)</f>
        <v>6502</v>
      </c>
      <c r="K3097" t="str">
        <f>IFERROR(VLOOKUP(VALUE(J3097),'Site Info'!$A:$G,3,FALSE),"")</f>
        <v>7001 GATEWAY BLVD W</v>
      </c>
      <c r="L3097" t="str">
        <f>IFERROR(VLOOKUP(VALUE(J3097),'Site Info'!$A:$G,4,FALSE),"")</f>
        <v>EL PASO</v>
      </c>
      <c r="M3097" t="str">
        <f>IFERROR(VLOOKUP(VALUE(J3097),'Site Info'!$A:$G,5,FALSE),"")</f>
        <v>TX</v>
      </c>
      <c r="N3097" t="str">
        <f>IFERROR(VLOOKUP(VALUE(J3097),'Site Info'!$A:$G,6,FALSE),"")</f>
        <v>79925-5603</v>
      </c>
      <c r="O3097">
        <f>IFERROR(VLOOKUP(VALUE(J3097),'Site Info'!$A:$G,7,FALSE),"")</f>
        <v>9157710004</v>
      </c>
    </row>
    <row r="3098" spans="1:15" x14ac:dyDescent="0.45">
      <c r="A3098" t="s">
        <v>6356</v>
      </c>
      <c r="B3098" t="s">
        <v>6357</v>
      </c>
      <c r="C3098" t="s">
        <v>6358</v>
      </c>
      <c r="D3098" t="s">
        <v>935</v>
      </c>
      <c r="E3098" s="1">
        <v>46152.896435185183</v>
      </c>
      <c r="F3098">
        <v>1547</v>
      </c>
      <c r="G3098" t="s">
        <v>6359</v>
      </c>
      <c r="H3098" t="s">
        <v>15</v>
      </c>
      <c r="I3098" t="s">
        <v>937</v>
      </c>
      <c r="J3098" t="str">
        <f>RIGHT(D3098,4)</f>
        <v>6502</v>
      </c>
      <c r="K3098" t="str">
        <f>IFERROR(VLOOKUP(VALUE(J3098),'Site Info'!$A:$G,3,FALSE),"")</f>
        <v>7001 GATEWAY BLVD W</v>
      </c>
      <c r="L3098" t="str">
        <f>IFERROR(VLOOKUP(VALUE(J3098),'Site Info'!$A:$G,4,FALSE),"")</f>
        <v>EL PASO</v>
      </c>
      <c r="M3098" t="str">
        <f>IFERROR(VLOOKUP(VALUE(J3098),'Site Info'!$A:$G,5,FALSE),"")</f>
        <v>TX</v>
      </c>
      <c r="N3098" t="str">
        <f>IFERROR(VLOOKUP(VALUE(J3098),'Site Info'!$A:$G,6,FALSE),"")</f>
        <v>79925-5603</v>
      </c>
      <c r="O3098">
        <f>IFERROR(VLOOKUP(VALUE(J3098),'Site Info'!$A:$G,7,FALSE),"")</f>
        <v>9157710004</v>
      </c>
    </row>
    <row r="3099" spans="1:15" x14ac:dyDescent="0.45">
      <c r="A3099" t="s">
        <v>6376</v>
      </c>
      <c r="B3099" t="s">
        <v>6377</v>
      </c>
      <c r="C3099" t="s">
        <v>6378</v>
      </c>
      <c r="D3099" t="s">
        <v>935</v>
      </c>
      <c r="E3099" s="1">
        <v>46153.119652777779</v>
      </c>
      <c r="F3099">
        <v>1547</v>
      </c>
      <c r="G3099" t="s">
        <v>6379</v>
      </c>
      <c r="H3099" t="s">
        <v>15</v>
      </c>
      <c r="I3099" t="s">
        <v>937</v>
      </c>
      <c r="J3099" t="str">
        <f>RIGHT(D3099,4)</f>
        <v>6502</v>
      </c>
      <c r="K3099" t="str">
        <f>IFERROR(VLOOKUP(VALUE(J3099),'Site Info'!$A:$G,3,FALSE),"")</f>
        <v>7001 GATEWAY BLVD W</v>
      </c>
      <c r="L3099" t="str">
        <f>IFERROR(VLOOKUP(VALUE(J3099),'Site Info'!$A:$G,4,FALSE),"")</f>
        <v>EL PASO</v>
      </c>
      <c r="M3099" t="str">
        <f>IFERROR(VLOOKUP(VALUE(J3099),'Site Info'!$A:$G,5,FALSE),"")</f>
        <v>TX</v>
      </c>
      <c r="N3099" t="str">
        <f>IFERROR(VLOOKUP(VALUE(J3099),'Site Info'!$A:$G,6,FALSE),"")</f>
        <v>79925-5603</v>
      </c>
      <c r="O3099">
        <f>IFERROR(VLOOKUP(VALUE(J3099),'Site Info'!$A:$G,7,FALSE),"")</f>
        <v>9157710004</v>
      </c>
    </row>
    <row r="3100" spans="1:15" x14ac:dyDescent="0.45">
      <c r="A3100" t="s">
        <v>2475</v>
      </c>
      <c r="B3100" t="s">
        <v>2476</v>
      </c>
      <c r="C3100" t="s">
        <v>2477</v>
      </c>
      <c r="D3100" t="s">
        <v>935</v>
      </c>
      <c r="E3100" s="1">
        <v>46153.305138888885</v>
      </c>
      <c r="F3100">
        <v>1481</v>
      </c>
      <c r="G3100" t="s">
        <v>2478</v>
      </c>
      <c r="H3100" t="s">
        <v>15</v>
      </c>
      <c r="I3100" t="s">
        <v>937</v>
      </c>
      <c r="J3100" t="str">
        <f>RIGHT(D3100,4)</f>
        <v>6502</v>
      </c>
      <c r="K3100" t="str">
        <f>IFERROR(VLOOKUP(VALUE(J3100),'Site Info'!$A:$G,3,FALSE),"")</f>
        <v>7001 GATEWAY BLVD W</v>
      </c>
      <c r="L3100" t="str">
        <f>IFERROR(VLOOKUP(VALUE(J3100),'Site Info'!$A:$G,4,FALSE),"")</f>
        <v>EL PASO</v>
      </c>
      <c r="M3100" t="str">
        <f>IFERROR(VLOOKUP(VALUE(J3100),'Site Info'!$A:$G,5,FALSE),"")</f>
        <v>TX</v>
      </c>
      <c r="N3100" t="str">
        <f>IFERROR(VLOOKUP(VALUE(J3100),'Site Info'!$A:$G,6,FALSE),"")</f>
        <v>79925-5603</v>
      </c>
      <c r="O3100">
        <f>IFERROR(VLOOKUP(VALUE(J3100),'Site Info'!$A:$G,7,FALSE),"")</f>
        <v>9157710004</v>
      </c>
    </row>
    <row r="3101" spans="1:15" x14ac:dyDescent="0.45">
      <c r="A3101" t="s">
        <v>932</v>
      </c>
      <c r="B3101" t="s">
        <v>933</v>
      </c>
      <c r="C3101" t="s">
        <v>934</v>
      </c>
      <c r="D3101" t="s">
        <v>935</v>
      </c>
      <c r="E3101" s="1">
        <v>46153.370509259257</v>
      </c>
      <c r="F3101">
        <v>1481</v>
      </c>
      <c r="G3101" t="s">
        <v>936</v>
      </c>
      <c r="H3101" t="s">
        <v>15</v>
      </c>
      <c r="I3101" t="s">
        <v>937</v>
      </c>
      <c r="J3101" t="str">
        <f>RIGHT(D3101,4)</f>
        <v>6502</v>
      </c>
      <c r="K3101" t="str">
        <f>IFERROR(VLOOKUP(VALUE(J3101),'Site Info'!$A:$G,3,FALSE),"")</f>
        <v>7001 GATEWAY BLVD W</v>
      </c>
      <c r="L3101" t="str">
        <f>IFERROR(VLOOKUP(VALUE(J3101),'Site Info'!$A:$G,4,FALSE),"")</f>
        <v>EL PASO</v>
      </c>
      <c r="M3101" t="str">
        <f>IFERROR(VLOOKUP(VALUE(J3101),'Site Info'!$A:$G,5,FALSE),"")</f>
        <v>TX</v>
      </c>
      <c r="N3101" t="str">
        <f>IFERROR(VLOOKUP(VALUE(J3101),'Site Info'!$A:$G,6,FALSE),"")</f>
        <v>79925-5603</v>
      </c>
      <c r="O3101">
        <f>IFERROR(VLOOKUP(VALUE(J3101),'Site Info'!$A:$G,7,FALSE),"")</f>
        <v>9157710004</v>
      </c>
    </row>
    <row r="3102" spans="1:15" x14ac:dyDescent="0.45">
      <c r="A3102" t="s">
        <v>1346</v>
      </c>
      <c r="B3102" t="s">
        <v>1347</v>
      </c>
      <c r="C3102" t="s">
        <v>1348</v>
      </c>
      <c r="D3102" t="s">
        <v>935</v>
      </c>
      <c r="E3102" s="1">
        <v>46153.373576388891</v>
      </c>
      <c r="F3102">
        <v>1481</v>
      </c>
      <c r="G3102" t="s">
        <v>1349</v>
      </c>
      <c r="H3102" t="s">
        <v>15</v>
      </c>
      <c r="I3102" t="s">
        <v>937</v>
      </c>
      <c r="J3102" t="str">
        <f>RIGHT(D3102,4)</f>
        <v>6502</v>
      </c>
      <c r="K3102" t="str">
        <f>IFERROR(VLOOKUP(VALUE(J3102),'Site Info'!$A:$G,3,FALSE),"")</f>
        <v>7001 GATEWAY BLVD W</v>
      </c>
      <c r="L3102" t="str">
        <f>IFERROR(VLOOKUP(VALUE(J3102),'Site Info'!$A:$G,4,FALSE),"")</f>
        <v>EL PASO</v>
      </c>
      <c r="M3102" t="str">
        <f>IFERROR(VLOOKUP(VALUE(J3102),'Site Info'!$A:$G,5,FALSE),"")</f>
        <v>TX</v>
      </c>
      <c r="N3102" t="str">
        <f>IFERROR(VLOOKUP(VALUE(J3102),'Site Info'!$A:$G,6,FALSE),"")</f>
        <v>79925-5603</v>
      </c>
      <c r="O3102">
        <f>IFERROR(VLOOKUP(VALUE(J3102),'Site Info'!$A:$G,7,FALSE),"")</f>
        <v>9157710004</v>
      </c>
    </row>
    <row r="3103" spans="1:15" x14ac:dyDescent="0.45">
      <c r="A3103" t="s">
        <v>6336</v>
      </c>
      <c r="B3103" t="s">
        <v>6337</v>
      </c>
      <c r="C3103" t="s">
        <v>6338</v>
      </c>
      <c r="D3103" t="s">
        <v>2039</v>
      </c>
      <c r="E3103" s="1">
        <v>46151.64199074074</v>
      </c>
      <c r="F3103">
        <v>1547</v>
      </c>
      <c r="G3103" t="s">
        <v>6339</v>
      </c>
      <c r="H3103" t="s">
        <v>15</v>
      </c>
      <c r="I3103" t="s">
        <v>2041</v>
      </c>
      <c r="J3103" t="str">
        <f>RIGHT(D3103,4)</f>
        <v>6387</v>
      </c>
      <c r="K3103" t="str">
        <f>IFERROR(VLOOKUP(VALUE(J3103),'Site Info'!$A:$G,3,FALSE),"")</f>
        <v>7001 PARK BLVD</v>
      </c>
      <c r="L3103" t="str">
        <f>IFERROR(VLOOKUP(VALUE(J3103),'Site Info'!$A:$G,4,FALSE),"")</f>
        <v>PINELLAS PARK</v>
      </c>
      <c r="M3103" t="str">
        <f>IFERROR(VLOOKUP(VALUE(J3103),'Site Info'!$A:$G,5,FALSE),"")</f>
        <v>FL</v>
      </c>
      <c r="N3103" t="str">
        <f>IFERROR(VLOOKUP(VALUE(J3103),'Site Info'!$A:$G,6,FALSE),"")</f>
        <v>33781-3032</v>
      </c>
      <c r="O3103">
        <f>IFERROR(VLOOKUP(VALUE(J3103),'Site Info'!$A:$G,7,FALSE),"")</f>
        <v>7275478955</v>
      </c>
    </row>
    <row r="3104" spans="1:15" x14ac:dyDescent="0.45">
      <c r="A3104" t="s">
        <v>4166</v>
      </c>
      <c r="B3104" t="s">
        <v>4167</v>
      </c>
      <c r="C3104" t="s">
        <v>4168</v>
      </c>
      <c r="D3104" t="s">
        <v>2039</v>
      </c>
      <c r="E3104" s="1">
        <v>46153.366724537038</v>
      </c>
      <c r="F3104">
        <v>1547</v>
      </c>
      <c r="G3104" t="s">
        <v>4169</v>
      </c>
      <c r="H3104" t="s">
        <v>15</v>
      </c>
      <c r="I3104" t="s">
        <v>2041</v>
      </c>
      <c r="J3104" t="str">
        <f>RIGHT(D3104,4)</f>
        <v>6387</v>
      </c>
      <c r="K3104" t="str">
        <f>IFERROR(VLOOKUP(VALUE(J3104),'Site Info'!$A:$G,3,FALSE),"")</f>
        <v>7001 PARK BLVD</v>
      </c>
      <c r="L3104" t="str">
        <f>IFERROR(VLOOKUP(VALUE(J3104),'Site Info'!$A:$G,4,FALSE),"")</f>
        <v>PINELLAS PARK</v>
      </c>
      <c r="M3104" t="str">
        <f>IFERROR(VLOOKUP(VALUE(J3104),'Site Info'!$A:$G,5,FALSE),"")</f>
        <v>FL</v>
      </c>
      <c r="N3104" t="str">
        <f>IFERROR(VLOOKUP(VALUE(J3104),'Site Info'!$A:$G,6,FALSE),"")</f>
        <v>33781-3032</v>
      </c>
      <c r="O3104">
        <f>IFERROR(VLOOKUP(VALUE(J3104),'Site Info'!$A:$G,7,FALSE),"")</f>
        <v>7275478955</v>
      </c>
    </row>
    <row r="3105" spans="1:15" x14ac:dyDescent="0.45">
      <c r="A3105" t="s">
        <v>10132</v>
      </c>
      <c r="B3105" t="s">
        <v>10133</v>
      </c>
      <c r="C3105" t="s">
        <v>10134</v>
      </c>
      <c r="D3105" t="s">
        <v>2039</v>
      </c>
      <c r="E3105" s="1">
        <v>46153.368368055555</v>
      </c>
      <c r="F3105">
        <v>1547</v>
      </c>
      <c r="G3105" t="s">
        <v>10135</v>
      </c>
      <c r="H3105" t="s">
        <v>15</v>
      </c>
      <c r="I3105" t="s">
        <v>2041</v>
      </c>
      <c r="J3105" t="str">
        <f>RIGHT(D3105,4)</f>
        <v>6387</v>
      </c>
      <c r="K3105" t="str">
        <f>IFERROR(VLOOKUP(VALUE(J3105),'Site Info'!$A:$G,3,FALSE),"")</f>
        <v>7001 PARK BLVD</v>
      </c>
      <c r="L3105" t="str">
        <f>IFERROR(VLOOKUP(VALUE(J3105),'Site Info'!$A:$G,4,FALSE),"")</f>
        <v>PINELLAS PARK</v>
      </c>
      <c r="M3105" t="str">
        <f>IFERROR(VLOOKUP(VALUE(J3105),'Site Info'!$A:$G,5,FALSE),"")</f>
        <v>FL</v>
      </c>
      <c r="N3105" t="str">
        <f>IFERROR(VLOOKUP(VALUE(J3105),'Site Info'!$A:$G,6,FALSE),"")</f>
        <v>33781-3032</v>
      </c>
      <c r="O3105">
        <f>IFERROR(VLOOKUP(VALUE(J3105),'Site Info'!$A:$G,7,FALSE),"")</f>
        <v>7275478955</v>
      </c>
    </row>
    <row r="3106" spans="1:15" x14ac:dyDescent="0.45">
      <c r="A3106" t="s">
        <v>6340</v>
      </c>
      <c r="B3106" t="s">
        <v>6341</v>
      </c>
      <c r="C3106" t="s">
        <v>6342</v>
      </c>
      <c r="D3106" t="s">
        <v>2039</v>
      </c>
      <c r="E3106" s="1">
        <v>46153.373576388891</v>
      </c>
      <c r="F3106">
        <v>1547</v>
      </c>
      <c r="G3106" t="s">
        <v>6343</v>
      </c>
      <c r="H3106" t="s">
        <v>15</v>
      </c>
      <c r="I3106" t="s">
        <v>2041</v>
      </c>
      <c r="J3106" t="str">
        <f>RIGHT(D3106,4)</f>
        <v>6387</v>
      </c>
      <c r="K3106" t="str">
        <f>IFERROR(VLOOKUP(VALUE(J3106),'Site Info'!$A:$G,3,FALSE),"")</f>
        <v>7001 PARK BLVD</v>
      </c>
      <c r="L3106" t="str">
        <f>IFERROR(VLOOKUP(VALUE(J3106),'Site Info'!$A:$G,4,FALSE),"")</f>
        <v>PINELLAS PARK</v>
      </c>
      <c r="M3106" t="str">
        <f>IFERROR(VLOOKUP(VALUE(J3106),'Site Info'!$A:$G,5,FALSE),"")</f>
        <v>FL</v>
      </c>
      <c r="N3106" t="str">
        <f>IFERROR(VLOOKUP(VALUE(J3106),'Site Info'!$A:$G,6,FALSE),"")</f>
        <v>33781-3032</v>
      </c>
      <c r="O3106">
        <f>IFERROR(VLOOKUP(VALUE(J3106),'Site Info'!$A:$G,7,FALSE),"")</f>
        <v>7275478955</v>
      </c>
    </row>
    <row r="3107" spans="1:15" x14ac:dyDescent="0.45">
      <c r="A3107" t="s">
        <v>2887</v>
      </c>
      <c r="B3107" t="s">
        <v>2888</v>
      </c>
      <c r="C3107" t="s">
        <v>2889</v>
      </c>
      <c r="D3107" t="s">
        <v>2039</v>
      </c>
      <c r="E3107" s="1">
        <v>46153.155231481483</v>
      </c>
      <c r="F3107">
        <v>1481</v>
      </c>
      <c r="G3107" t="s">
        <v>2890</v>
      </c>
      <c r="H3107" t="s">
        <v>15</v>
      </c>
      <c r="I3107" t="s">
        <v>2041</v>
      </c>
      <c r="J3107" t="str">
        <f>RIGHT(D3107,4)</f>
        <v>6387</v>
      </c>
      <c r="K3107" t="str">
        <f>IFERROR(VLOOKUP(VALUE(J3107),'Site Info'!$A:$G,3,FALSE),"")</f>
        <v>7001 PARK BLVD</v>
      </c>
      <c r="L3107" t="str">
        <f>IFERROR(VLOOKUP(VALUE(J3107),'Site Info'!$A:$G,4,FALSE),"")</f>
        <v>PINELLAS PARK</v>
      </c>
      <c r="M3107" t="str">
        <f>IFERROR(VLOOKUP(VALUE(J3107),'Site Info'!$A:$G,5,FALSE),"")</f>
        <v>FL</v>
      </c>
      <c r="N3107" t="str">
        <f>IFERROR(VLOOKUP(VALUE(J3107),'Site Info'!$A:$G,6,FALSE),"")</f>
        <v>33781-3032</v>
      </c>
      <c r="O3107">
        <f>IFERROR(VLOOKUP(VALUE(J3107),'Site Info'!$A:$G,7,FALSE),"")</f>
        <v>7275478955</v>
      </c>
    </row>
    <row r="3108" spans="1:15" x14ac:dyDescent="0.45">
      <c r="A3108" t="s">
        <v>2036</v>
      </c>
      <c r="B3108" t="s">
        <v>2037</v>
      </c>
      <c r="C3108" t="s">
        <v>2038</v>
      </c>
      <c r="D3108" t="s">
        <v>2039</v>
      </c>
      <c r="E3108" s="1">
        <v>46153.268287037034</v>
      </c>
      <c r="F3108">
        <v>1481</v>
      </c>
      <c r="G3108" t="s">
        <v>2040</v>
      </c>
      <c r="H3108" t="s">
        <v>15</v>
      </c>
      <c r="I3108" t="s">
        <v>2041</v>
      </c>
      <c r="J3108" t="str">
        <f>RIGHT(D3108,4)</f>
        <v>6387</v>
      </c>
      <c r="K3108" t="str">
        <f>IFERROR(VLOOKUP(VALUE(J3108),'Site Info'!$A:$G,3,FALSE),"")</f>
        <v>7001 PARK BLVD</v>
      </c>
      <c r="L3108" t="str">
        <f>IFERROR(VLOOKUP(VALUE(J3108),'Site Info'!$A:$G,4,FALSE),"")</f>
        <v>PINELLAS PARK</v>
      </c>
      <c r="M3108" t="str">
        <f>IFERROR(VLOOKUP(VALUE(J3108),'Site Info'!$A:$G,5,FALSE),"")</f>
        <v>FL</v>
      </c>
      <c r="N3108" t="str">
        <f>IFERROR(VLOOKUP(VALUE(J3108),'Site Info'!$A:$G,6,FALSE),"")</f>
        <v>33781-3032</v>
      </c>
      <c r="O3108">
        <f>IFERROR(VLOOKUP(VALUE(J3108),'Site Info'!$A:$G,7,FALSE),"")</f>
        <v>7275478955</v>
      </c>
    </row>
    <row r="3109" spans="1:15" x14ac:dyDescent="0.45">
      <c r="A3109" t="s">
        <v>14297</v>
      </c>
      <c r="B3109" t="s">
        <v>14298</v>
      </c>
      <c r="C3109" t="s">
        <v>14299</v>
      </c>
      <c r="D3109" t="s">
        <v>2039</v>
      </c>
      <c r="E3109" s="1">
        <v>46153.270208333335</v>
      </c>
      <c r="F3109">
        <v>1481</v>
      </c>
      <c r="G3109" t="s">
        <v>14300</v>
      </c>
      <c r="H3109" t="s">
        <v>15</v>
      </c>
      <c r="I3109" t="s">
        <v>2041</v>
      </c>
      <c r="J3109" t="str">
        <f>RIGHT(D3109,4)</f>
        <v>6387</v>
      </c>
      <c r="K3109" t="str">
        <f>IFERROR(VLOOKUP(VALUE(J3109),'Site Info'!$A:$G,3,FALSE),"")</f>
        <v>7001 PARK BLVD</v>
      </c>
      <c r="L3109" t="str">
        <f>IFERROR(VLOOKUP(VALUE(J3109),'Site Info'!$A:$G,4,FALSE),"")</f>
        <v>PINELLAS PARK</v>
      </c>
      <c r="M3109" t="str">
        <f>IFERROR(VLOOKUP(VALUE(J3109),'Site Info'!$A:$G,5,FALSE),"")</f>
        <v>FL</v>
      </c>
      <c r="N3109" t="str">
        <f>IFERROR(VLOOKUP(VALUE(J3109),'Site Info'!$A:$G,6,FALSE),"")</f>
        <v>33781-3032</v>
      </c>
      <c r="O3109">
        <f>IFERROR(VLOOKUP(VALUE(J3109),'Site Info'!$A:$G,7,FALSE),"")</f>
        <v>7275478955</v>
      </c>
    </row>
    <row r="3110" spans="1:15" x14ac:dyDescent="0.45">
      <c r="A3110" t="s">
        <v>10706</v>
      </c>
      <c r="B3110" t="s">
        <v>10707</v>
      </c>
      <c r="C3110" t="s">
        <v>10708</v>
      </c>
      <c r="D3110" t="s">
        <v>138</v>
      </c>
      <c r="E3110" s="1">
        <v>46151.750486111108</v>
      </c>
      <c r="F3110">
        <v>1547</v>
      </c>
      <c r="G3110" t="s">
        <v>10709</v>
      </c>
      <c r="H3110" t="s">
        <v>15</v>
      </c>
      <c r="I3110" t="s">
        <v>139</v>
      </c>
      <c r="J3110" t="str">
        <f>RIGHT(D3110,4)</f>
        <v>6661</v>
      </c>
      <c r="K3110" t="str">
        <f>IFERROR(VLOOKUP(VALUE(J3110),'Site Info'!$A:$G,3,FALSE),"")</f>
        <v>7021 S WESTNEDGE AVE</v>
      </c>
      <c r="L3110" t="str">
        <f>IFERROR(VLOOKUP(VALUE(J3110),'Site Info'!$A:$G,4,FALSE),"")</f>
        <v>PORTAGE</v>
      </c>
      <c r="M3110" t="str">
        <f>IFERROR(VLOOKUP(VALUE(J3110),'Site Info'!$A:$G,5,FALSE),"")</f>
        <v>MI</v>
      </c>
      <c r="N3110" t="str">
        <f>IFERROR(VLOOKUP(VALUE(J3110),'Site Info'!$A:$G,6,FALSE),"")</f>
        <v>49002-4206</v>
      </c>
      <c r="O3110">
        <f>IFERROR(VLOOKUP(VALUE(J3110),'Site Info'!$A:$G,7,FALSE),"")</f>
        <v>2693270534</v>
      </c>
    </row>
    <row r="3111" spans="1:15" x14ac:dyDescent="0.45">
      <c r="A3111" t="s">
        <v>11812</v>
      </c>
      <c r="B3111" t="s">
        <v>11813</v>
      </c>
      <c r="C3111" t="s">
        <v>11814</v>
      </c>
      <c r="D3111" t="s">
        <v>138</v>
      </c>
      <c r="E3111" s="1">
        <v>46152.622939814813</v>
      </c>
      <c r="F3111">
        <v>1547</v>
      </c>
      <c r="G3111" t="s">
        <v>11815</v>
      </c>
      <c r="H3111" t="s">
        <v>15</v>
      </c>
      <c r="I3111" t="s">
        <v>139</v>
      </c>
      <c r="J3111" t="str">
        <f>RIGHT(D3111,4)</f>
        <v>6661</v>
      </c>
      <c r="K3111" t="str">
        <f>IFERROR(VLOOKUP(VALUE(J3111),'Site Info'!$A:$G,3,FALSE),"")</f>
        <v>7021 S WESTNEDGE AVE</v>
      </c>
      <c r="L3111" t="str">
        <f>IFERROR(VLOOKUP(VALUE(J3111),'Site Info'!$A:$G,4,FALSE),"")</f>
        <v>PORTAGE</v>
      </c>
      <c r="M3111" t="str">
        <f>IFERROR(VLOOKUP(VALUE(J3111),'Site Info'!$A:$G,5,FALSE),"")</f>
        <v>MI</v>
      </c>
      <c r="N3111" t="str">
        <f>IFERROR(VLOOKUP(VALUE(J3111),'Site Info'!$A:$G,6,FALSE),"")</f>
        <v>49002-4206</v>
      </c>
      <c r="O3111">
        <f>IFERROR(VLOOKUP(VALUE(J3111),'Site Info'!$A:$G,7,FALSE),"")</f>
        <v>2693270534</v>
      </c>
    </row>
    <row r="3112" spans="1:15" x14ac:dyDescent="0.45">
      <c r="A3112" t="s">
        <v>8187</v>
      </c>
      <c r="B3112" t="s">
        <v>8188</v>
      </c>
      <c r="C3112" t="s">
        <v>8189</v>
      </c>
      <c r="D3112" t="s">
        <v>138</v>
      </c>
      <c r="E3112" s="1">
        <v>46153.335486111115</v>
      </c>
      <c r="F3112">
        <v>1547</v>
      </c>
      <c r="G3112" t="s">
        <v>8190</v>
      </c>
      <c r="H3112" t="s">
        <v>15</v>
      </c>
      <c r="I3112" t="s">
        <v>139</v>
      </c>
      <c r="J3112" t="str">
        <f>RIGHT(D3112,4)</f>
        <v>6661</v>
      </c>
      <c r="K3112" t="str">
        <f>IFERROR(VLOOKUP(VALUE(J3112),'Site Info'!$A:$G,3,FALSE),"")</f>
        <v>7021 S WESTNEDGE AVE</v>
      </c>
      <c r="L3112" t="str">
        <f>IFERROR(VLOOKUP(VALUE(J3112),'Site Info'!$A:$G,4,FALSE),"")</f>
        <v>PORTAGE</v>
      </c>
      <c r="M3112" t="str">
        <f>IFERROR(VLOOKUP(VALUE(J3112),'Site Info'!$A:$G,5,FALSE),"")</f>
        <v>MI</v>
      </c>
      <c r="N3112" t="str">
        <f>IFERROR(VLOOKUP(VALUE(J3112),'Site Info'!$A:$G,6,FALSE),"")</f>
        <v>49002-4206</v>
      </c>
      <c r="O3112">
        <f>IFERROR(VLOOKUP(VALUE(J3112),'Site Info'!$A:$G,7,FALSE),"")</f>
        <v>2693270534</v>
      </c>
    </row>
    <row r="3113" spans="1:15" x14ac:dyDescent="0.45">
      <c r="A3113" t="s">
        <v>9685</v>
      </c>
      <c r="B3113" t="s">
        <v>9686</v>
      </c>
      <c r="C3113" t="s">
        <v>9687</v>
      </c>
      <c r="D3113" t="s">
        <v>138</v>
      </c>
      <c r="E3113" s="1">
        <v>46153.337141203701</v>
      </c>
      <c r="F3113">
        <v>1547</v>
      </c>
      <c r="G3113" t="s">
        <v>9688</v>
      </c>
      <c r="H3113" t="s">
        <v>15</v>
      </c>
      <c r="I3113" t="s">
        <v>139</v>
      </c>
      <c r="J3113" t="str">
        <f>RIGHT(D3113,4)</f>
        <v>6661</v>
      </c>
      <c r="K3113" t="str">
        <f>IFERROR(VLOOKUP(VALUE(J3113),'Site Info'!$A:$G,3,FALSE),"")</f>
        <v>7021 S WESTNEDGE AVE</v>
      </c>
      <c r="L3113" t="str">
        <f>IFERROR(VLOOKUP(VALUE(J3113),'Site Info'!$A:$G,4,FALSE),"")</f>
        <v>PORTAGE</v>
      </c>
      <c r="M3113" t="str">
        <f>IFERROR(VLOOKUP(VALUE(J3113),'Site Info'!$A:$G,5,FALSE),"")</f>
        <v>MI</v>
      </c>
      <c r="N3113" t="str">
        <f>IFERROR(VLOOKUP(VALUE(J3113),'Site Info'!$A:$G,6,FALSE),"")</f>
        <v>49002-4206</v>
      </c>
      <c r="O3113">
        <f>IFERROR(VLOOKUP(VALUE(J3113),'Site Info'!$A:$G,7,FALSE),"")</f>
        <v>2693270534</v>
      </c>
    </row>
    <row r="3114" spans="1:15" x14ac:dyDescent="0.45">
      <c r="A3114" t="s">
        <v>1890</v>
      </c>
      <c r="B3114" t="s">
        <v>1891</v>
      </c>
      <c r="C3114" t="s">
        <v>1892</v>
      </c>
      <c r="D3114" t="s">
        <v>138</v>
      </c>
      <c r="E3114" s="1">
        <v>46151.733263888891</v>
      </c>
      <c r="F3114">
        <v>1481</v>
      </c>
      <c r="G3114" t="s">
        <v>1893</v>
      </c>
      <c r="H3114" t="s">
        <v>15</v>
      </c>
      <c r="I3114" t="s">
        <v>139</v>
      </c>
      <c r="J3114" t="str">
        <f>RIGHT(D3114,4)</f>
        <v>6661</v>
      </c>
      <c r="K3114" t="str">
        <f>IFERROR(VLOOKUP(VALUE(J3114),'Site Info'!$A:$G,3,FALSE),"")</f>
        <v>7021 S WESTNEDGE AVE</v>
      </c>
      <c r="L3114" t="str">
        <f>IFERROR(VLOOKUP(VALUE(J3114),'Site Info'!$A:$G,4,FALSE),"")</f>
        <v>PORTAGE</v>
      </c>
      <c r="M3114" t="str">
        <f>IFERROR(VLOOKUP(VALUE(J3114),'Site Info'!$A:$G,5,FALSE),"")</f>
        <v>MI</v>
      </c>
      <c r="N3114" t="str">
        <f>IFERROR(VLOOKUP(VALUE(J3114),'Site Info'!$A:$G,6,FALSE),"")</f>
        <v>49002-4206</v>
      </c>
      <c r="O3114">
        <f>IFERROR(VLOOKUP(VALUE(J3114),'Site Info'!$A:$G,7,FALSE),"")</f>
        <v>2693270534</v>
      </c>
    </row>
    <row r="3115" spans="1:15" x14ac:dyDescent="0.45">
      <c r="A3115" t="s">
        <v>17028</v>
      </c>
      <c r="B3115" t="s">
        <v>17029</v>
      </c>
      <c r="C3115" t="s">
        <v>17030</v>
      </c>
      <c r="D3115" t="s">
        <v>138</v>
      </c>
      <c r="E3115" s="1">
        <v>46105.973668981482</v>
      </c>
      <c r="F3115">
        <v>1514</v>
      </c>
      <c r="G3115" t="s">
        <v>17031</v>
      </c>
      <c r="H3115" t="s">
        <v>13</v>
      </c>
      <c r="I3115" t="s">
        <v>139</v>
      </c>
      <c r="J3115" t="str">
        <f>RIGHT(D3115,4)</f>
        <v>6661</v>
      </c>
      <c r="K3115" t="str">
        <f>IFERROR(VLOOKUP(VALUE(J3115),'Site Info'!$A:$G,3,FALSE),"")</f>
        <v>7021 S WESTNEDGE AVE</v>
      </c>
      <c r="L3115" t="str">
        <f>IFERROR(VLOOKUP(VALUE(J3115),'Site Info'!$A:$G,4,FALSE),"")</f>
        <v>PORTAGE</v>
      </c>
      <c r="M3115" t="str">
        <f>IFERROR(VLOOKUP(VALUE(J3115),'Site Info'!$A:$G,5,FALSE),"")</f>
        <v>MI</v>
      </c>
      <c r="N3115" t="str">
        <f>IFERROR(VLOOKUP(VALUE(J3115),'Site Info'!$A:$G,6,FALSE),"")</f>
        <v>49002-4206</v>
      </c>
      <c r="O3115">
        <f>IFERROR(VLOOKUP(VALUE(J3115),'Site Info'!$A:$G,7,FALSE),"")</f>
        <v>2693270534</v>
      </c>
    </row>
    <row r="3116" spans="1:15" x14ac:dyDescent="0.45">
      <c r="A3116" t="s">
        <v>4656</v>
      </c>
      <c r="B3116" t="s">
        <v>4657</v>
      </c>
      <c r="C3116" t="s">
        <v>4658</v>
      </c>
      <c r="D3116" t="s">
        <v>4551</v>
      </c>
      <c r="E3116" s="1">
        <v>46152.036458333336</v>
      </c>
      <c r="F3116">
        <v>1547</v>
      </c>
      <c r="G3116" t="s">
        <v>4659</v>
      </c>
      <c r="H3116" t="s">
        <v>15</v>
      </c>
      <c r="I3116" t="s">
        <v>4553</v>
      </c>
      <c r="J3116" t="str">
        <f>RIGHT(D3116,4)</f>
        <v>4983</v>
      </c>
      <c r="K3116" t="str">
        <f>IFERROR(VLOOKUP(VALUE(J3116),'Site Info'!$A:$G,3,FALSE),"")</f>
        <v>7100 ARROYO CROSSING PKWY</v>
      </c>
      <c r="L3116" t="str">
        <f>IFERROR(VLOOKUP(VALUE(J3116),'Site Info'!$A:$G,4,FALSE),"")</f>
        <v>LAS VEGAS</v>
      </c>
      <c r="M3116" t="str">
        <f>IFERROR(VLOOKUP(VALUE(J3116),'Site Info'!$A:$G,5,FALSE),"")</f>
        <v>NV</v>
      </c>
      <c r="N3116" t="str">
        <f>IFERROR(VLOOKUP(VALUE(J3116),'Site Info'!$A:$G,6,FALSE),"")</f>
        <v>89113-4057</v>
      </c>
      <c r="O3116">
        <f>IFERROR(VLOOKUP(VALUE(J3116),'Site Info'!$A:$G,7,FALSE),"")</f>
        <v>7022609003</v>
      </c>
    </row>
    <row r="3117" spans="1:15" x14ac:dyDescent="0.45">
      <c r="A3117" t="s">
        <v>11037</v>
      </c>
      <c r="B3117" t="s">
        <v>11038</v>
      </c>
      <c r="C3117" t="s">
        <v>11039</v>
      </c>
      <c r="D3117" t="s">
        <v>4551</v>
      </c>
      <c r="E3117" s="1">
        <v>46152.855729166666</v>
      </c>
      <c r="F3117">
        <v>1547</v>
      </c>
      <c r="G3117" t="s">
        <v>11040</v>
      </c>
      <c r="H3117" t="s">
        <v>15</v>
      </c>
      <c r="I3117" t="s">
        <v>4553</v>
      </c>
      <c r="J3117" t="str">
        <f>RIGHT(D3117,4)</f>
        <v>4983</v>
      </c>
      <c r="K3117" t="str">
        <f>IFERROR(VLOOKUP(VALUE(J3117),'Site Info'!$A:$G,3,FALSE),"")</f>
        <v>7100 ARROYO CROSSING PKWY</v>
      </c>
      <c r="L3117" t="str">
        <f>IFERROR(VLOOKUP(VALUE(J3117),'Site Info'!$A:$G,4,FALSE),"")</f>
        <v>LAS VEGAS</v>
      </c>
      <c r="M3117" t="str">
        <f>IFERROR(VLOOKUP(VALUE(J3117),'Site Info'!$A:$G,5,FALSE),"")</f>
        <v>NV</v>
      </c>
      <c r="N3117" t="str">
        <f>IFERROR(VLOOKUP(VALUE(J3117),'Site Info'!$A:$G,6,FALSE),"")</f>
        <v>89113-4057</v>
      </c>
      <c r="O3117">
        <f>IFERROR(VLOOKUP(VALUE(J3117),'Site Info'!$A:$G,7,FALSE),"")</f>
        <v>7022609003</v>
      </c>
    </row>
    <row r="3118" spans="1:15" x14ac:dyDescent="0.45">
      <c r="A3118" t="s">
        <v>5440</v>
      </c>
      <c r="B3118" t="s">
        <v>5441</v>
      </c>
      <c r="C3118" t="s">
        <v>5442</v>
      </c>
      <c r="D3118" t="s">
        <v>4551</v>
      </c>
      <c r="E3118" s="1">
        <v>46153.117604166669</v>
      </c>
      <c r="F3118">
        <v>1547</v>
      </c>
      <c r="G3118" t="s">
        <v>5443</v>
      </c>
      <c r="H3118" t="s">
        <v>15</v>
      </c>
      <c r="I3118" t="s">
        <v>4553</v>
      </c>
      <c r="J3118" t="str">
        <f>RIGHT(D3118,4)</f>
        <v>4983</v>
      </c>
      <c r="K3118" t="str">
        <f>IFERROR(VLOOKUP(VALUE(J3118),'Site Info'!$A:$G,3,FALSE),"")</f>
        <v>7100 ARROYO CROSSING PKWY</v>
      </c>
      <c r="L3118" t="str">
        <f>IFERROR(VLOOKUP(VALUE(J3118),'Site Info'!$A:$G,4,FALSE),"")</f>
        <v>LAS VEGAS</v>
      </c>
      <c r="M3118" t="str">
        <f>IFERROR(VLOOKUP(VALUE(J3118),'Site Info'!$A:$G,5,FALSE),"")</f>
        <v>NV</v>
      </c>
      <c r="N3118" t="str">
        <f>IFERROR(VLOOKUP(VALUE(J3118),'Site Info'!$A:$G,6,FALSE),"")</f>
        <v>89113-4057</v>
      </c>
      <c r="O3118">
        <f>IFERROR(VLOOKUP(VALUE(J3118),'Site Info'!$A:$G,7,FALSE),"")</f>
        <v>7022609003</v>
      </c>
    </row>
    <row r="3119" spans="1:15" x14ac:dyDescent="0.45">
      <c r="A3119" t="s">
        <v>4672</v>
      </c>
      <c r="B3119" t="s">
        <v>4673</v>
      </c>
      <c r="C3119" t="s">
        <v>4674</v>
      </c>
      <c r="D3119" t="s">
        <v>4551</v>
      </c>
      <c r="E3119" s="1">
        <v>46153.282118055555</v>
      </c>
      <c r="F3119">
        <v>1547</v>
      </c>
      <c r="G3119" t="s">
        <v>4675</v>
      </c>
      <c r="H3119" t="s">
        <v>15</v>
      </c>
      <c r="I3119" t="s">
        <v>4553</v>
      </c>
      <c r="J3119" t="str">
        <f>RIGHT(D3119,4)</f>
        <v>4983</v>
      </c>
      <c r="K3119" t="str">
        <f>IFERROR(VLOOKUP(VALUE(J3119),'Site Info'!$A:$G,3,FALSE),"")</f>
        <v>7100 ARROYO CROSSING PKWY</v>
      </c>
      <c r="L3119" t="str">
        <f>IFERROR(VLOOKUP(VALUE(J3119),'Site Info'!$A:$G,4,FALSE),"")</f>
        <v>LAS VEGAS</v>
      </c>
      <c r="M3119" t="str">
        <f>IFERROR(VLOOKUP(VALUE(J3119),'Site Info'!$A:$G,5,FALSE),"")</f>
        <v>NV</v>
      </c>
      <c r="N3119" t="str">
        <f>IFERROR(VLOOKUP(VALUE(J3119),'Site Info'!$A:$G,6,FALSE),"")</f>
        <v>89113-4057</v>
      </c>
      <c r="O3119">
        <f>IFERROR(VLOOKUP(VALUE(J3119),'Site Info'!$A:$G,7,FALSE),"")</f>
        <v>7022609003</v>
      </c>
    </row>
    <row r="3120" spans="1:15" x14ac:dyDescent="0.45">
      <c r="A3120" t="s">
        <v>4548</v>
      </c>
      <c r="B3120" t="s">
        <v>4549</v>
      </c>
      <c r="C3120" t="s">
        <v>4550</v>
      </c>
      <c r="D3120" t="s">
        <v>4551</v>
      </c>
      <c r="E3120" s="1">
        <v>46153.311759259261</v>
      </c>
      <c r="F3120">
        <v>1547</v>
      </c>
      <c r="G3120" t="s">
        <v>4552</v>
      </c>
      <c r="H3120" t="s">
        <v>15</v>
      </c>
      <c r="I3120" t="s">
        <v>4553</v>
      </c>
      <c r="J3120" t="str">
        <f>RIGHT(D3120,4)</f>
        <v>4983</v>
      </c>
      <c r="K3120" t="str">
        <f>IFERROR(VLOOKUP(VALUE(J3120),'Site Info'!$A:$G,3,FALSE),"")</f>
        <v>7100 ARROYO CROSSING PKWY</v>
      </c>
      <c r="L3120" t="str">
        <f>IFERROR(VLOOKUP(VALUE(J3120),'Site Info'!$A:$G,4,FALSE),"")</f>
        <v>LAS VEGAS</v>
      </c>
      <c r="M3120" t="str">
        <f>IFERROR(VLOOKUP(VALUE(J3120),'Site Info'!$A:$G,5,FALSE),"")</f>
        <v>NV</v>
      </c>
      <c r="N3120" t="str">
        <f>IFERROR(VLOOKUP(VALUE(J3120),'Site Info'!$A:$G,6,FALSE),"")</f>
        <v>89113-4057</v>
      </c>
      <c r="O3120">
        <f>IFERROR(VLOOKUP(VALUE(J3120),'Site Info'!$A:$G,7,FALSE),"")</f>
        <v>7022609003</v>
      </c>
    </row>
    <row r="3121" spans="1:15" x14ac:dyDescent="0.45">
      <c r="A3121" t="s">
        <v>5706</v>
      </c>
      <c r="B3121" t="s">
        <v>5707</v>
      </c>
      <c r="C3121" t="s">
        <v>5708</v>
      </c>
      <c r="D3121" t="s">
        <v>3104</v>
      </c>
      <c r="E3121" s="1">
        <v>46118.223726851851</v>
      </c>
      <c r="F3121">
        <v>1547</v>
      </c>
      <c r="G3121" t="s">
        <v>5709</v>
      </c>
      <c r="H3121" t="s">
        <v>15</v>
      </c>
      <c r="I3121" t="s">
        <v>3106</v>
      </c>
      <c r="J3121" t="str">
        <f>RIGHT(D3121,4)</f>
        <v>4799</v>
      </c>
      <c r="K3121" t="str">
        <f>IFERROR(VLOOKUP(VALUE(J3121),'Site Info'!$A:$G,3,FALSE),"")</f>
        <v>7147 GREENBACK LN</v>
      </c>
      <c r="L3121" t="str">
        <f>IFERROR(VLOOKUP(VALUE(J3121),'Site Info'!$A:$G,4,FALSE),"")</f>
        <v>CITRUS HEIGHTS</v>
      </c>
      <c r="M3121" t="str">
        <f>IFERROR(VLOOKUP(VALUE(J3121),'Site Info'!$A:$G,5,FALSE),"")</f>
        <v>CA</v>
      </c>
      <c r="N3121" t="str">
        <f>IFERROR(VLOOKUP(VALUE(J3121),'Site Info'!$A:$G,6,FALSE),"")</f>
        <v>95621-5526</v>
      </c>
      <c r="O3121">
        <f>IFERROR(VLOOKUP(VALUE(J3121),'Site Info'!$A:$G,7,FALSE),"")</f>
        <v>9167216499</v>
      </c>
    </row>
    <row r="3122" spans="1:15" x14ac:dyDescent="0.45">
      <c r="A3122" t="s">
        <v>5166</v>
      </c>
      <c r="B3122" t="s">
        <v>5167</v>
      </c>
      <c r="C3122" t="s">
        <v>5168</v>
      </c>
      <c r="D3122" t="s">
        <v>3104</v>
      </c>
      <c r="E3122" s="1">
        <v>46151.772129629629</v>
      </c>
      <c r="F3122">
        <v>1547</v>
      </c>
      <c r="G3122" t="s">
        <v>5169</v>
      </c>
      <c r="H3122" t="s">
        <v>15</v>
      </c>
      <c r="I3122" t="s">
        <v>3106</v>
      </c>
      <c r="J3122" t="str">
        <f>RIGHT(D3122,4)</f>
        <v>4799</v>
      </c>
      <c r="K3122" t="str">
        <f>IFERROR(VLOOKUP(VALUE(J3122),'Site Info'!$A:$G,3,FALSE),"")</f>
        <v>7147 GREENBACK LN</v>
      </c>
      <c r="L3122" t="str">
        <f>IFERROR(VLOOKUP(VALUE(J3122),'Site Info'!$A:$G,4,FALSE),"")</f>
        <v>CITRUS HEIGHTS</v>
      </c>
      <c r="M3122" t="str">
        <f>IFERROR(VLOOKUP(VALUE(J3122),'Site Info'!$A:$G,5,FALSE),"")</f>
        <v>CA</v>
      </c>
      <c r="N3122" t="str">
        <f>IFERROR(VLOOKUP(VALUE(J3122),'Site Info'!$A:$G,6,FALSE),"")</f>
        <v>95621-5526</v>
      </c>
      <c r="O3122">
        <f>IFERROR(VLOOKUP(VALUE(J3122),'Site Info'!$A:$G,7,FALSE),"")</f>
        <v>9167216499</v>
      </c>
    </row>
    <row r="3123" spans="1:15" x14ac:dyDescent="0.45">
      <c r="A3123" t="s">
        <v>5600</v>
      </c>
      <c r="B3123" t="s">
        <v>5601</v>
      </c>
      <c r="C3123" t="s">
        <v>5602</v>
      </c>
      <c r="D3123" t="s">
        <v>3104</v>
      </c>
      <c r="E3123" s="1">
        <v>46152.791979166665</v>
      </c>
      <c r="F3123">
        <v>1547</v>
      </c>
      <c r="G3123" t="s">
        <v>5603</v>
      </c>
      <c r="H3123" t="s">
        <v>15</v>
      </c>
      <c r="I3123" t="s">
        <v>3106</v>
      </c>
      <c r="J3123" t="str">
        <f>RIGHT(D3123,4)</f>
        <v>4799</v>
      </c>
      <c r="K3123" t="str">
        <f>IFERROR(VLOOKUP(VALUE(J3123),'Site Info'!$A:$G,3,FALSE),"")</f>
        <v>7147 GREENBACK LN</v>
      </c>
      <c r="L3123" t="str">
        <f>IFERROR(VLOOKUP(VALUE(J3123),'Site Info'!$A:$G,4,FALSE),"")</f>
        <v>CITRUS HEIGHTS</v>
      </c>
      <c r="M3123" t="str">
        <f>IFERROR(VLOOKUP(VALUE(J3123),'Site Info'!$A:$G,5,FALSE),"")</f>
        <v>CA</v>
      </c>
      <c r="N3123" t="str">
        <f>IFERROR(VLOOKUP(VALUE(J3123),'Site Info'!$A:$G,6,FALSE),"")</f>
        <v>95621-5526</v>
      </c>
      <c r="O3123">
        <f>IFERROR(VLOOKUP(VALUE(J3123),'Site Info'!$A:$G,7,FALSE),"")</f>
        <v>9167216499</v>
      </c>
    </row>
    <row r="3124" spans="1:15" x14ac:dyDescent="0.45">
      <c r="A3124" t="s">
        <v>5690</v>
      </c>
      <c r="B3124" t="s">
        <v>5691</v>
      </c>
      <c r="C3124" t="s">
        <v>5692</v>
      </c>
      <c r="D3124" t="s">
        <v>3104</v>
      </c>
      <c r="E3124" s="1">
        <v>46152.885300925926</v>
      </c>
      <c r="F3124">
        <v>1547</v>
      </c>
      <c r="G3124" t="s">
        <v>5693</v>
      </c>
      <c r="H3124" t="s">
        <v>15</v>
      </c>
      <c r="I3124" t="s">
        <v>3106</v>
      </c>
      <c r="J3124" t="str">
        <f>RIGHT(D3124,4)</f>
        <v>4799</v>
      </c>
      <c r="K3124" t="str">
        <f>IFERROR(VLOOKUP(VALUE(J3124),'Site Info'!$A:$G,3,FALSE),"")</f>
        <v>7147 GREENBACK LN</v>
      </c>
      <c r="L3124" t="str">
        <f>IFERROR(VLOOKUP(VALUE(J3124),'Site Info'!$A:$G,4,FALSE),"")</f>
        <v>CITRUS HEIGHTS</v>
      </c>
      <c r="M3124" t="str">
        <f>IFERROR(VLOOKUP(VALUE(J3124),'Site Info'!$A:$G,5,FALSE),"")</f>
        <v>CA</v>
      </c>
      <c r="N3124" t="str">
        <f>IFERROR(VLOOKUP(VALUE(J3124),'Site Info'!$A:$G,6,FALSE),"")</f>
        <v>95621-5526</v>
      </c>
      <c r="O3124">
        <f>IFERROR(VLOOKUP(VALUE(J3124),'Site Info'!$A:$G,7,FALSE),"")</f>
        <v>9167216499</v>
      </c>
    </row>
    <row r="3125" spans="1:15" x14ac:dyDescent="0.45">
      <c r="A3125" t="s">
        <v>5070</v>
      </c>
      <c r="B3125" t="s">
        <v>5071</v>
      </c>
      <c r="C3125" t="s">
        <v>5072</v>
      </c>
      <c r="D3125" t="s">
        <v>3104</v>
      </c>
      <c r="E3125" s="1">
        <v>46153.264444444445</v>
      </c>
      <c r="F3125">
        <v>1547</v>
      </c>
      <c r="G3125" t="s">
        <v>5073</v>
      </c>
      <c r="H3125" t="s">
        <v>15</v>
      </c>
      <c r="I3125" t="s">
        <v>3106</v>
      </c>
      <c r="J3125" t="str">
        <f>RIGHT(D3125,4)</f>
        <v>4799</v>
      </c>
      <c r="K3125" t="str">
        <f>IFERROR(VLOOKUP(VALUE(J3125),'Site Info'!$A:$G,3,FALSE),"")</f>
        <v>7147 GREENBACK LN</v>
      </c>
      <c r="L3125" t="str">
        <f>IFERROR(VLOOKUP(VALUE(J3125),'Site Info'!$A:$G,4,FALSE),"")</f>
        <v>CITRUS HEIGHTS</v>
      </c>
      <c r="M3125" t="str">
        <f>IFERROR(VLOOKUP(VALUE(J3125),'Site Info'!$A:$G,5,FALSE),"")</f>
        <v>CA</v>
      </c>
      <c r="N3125" t="str">
        <f>IFERROR(VLOOKUP(VALUE(J3125),'Site Info'!$A:$G,6,FALSE),"")</f>
        <v>95621-5526</v>
      </c>
      <c r="O3125">
        <f>IFERROR(VLOOKUP(VALUE(J3125),'Site Info'!$A:$G,7,FALSE),"")</f>
        <v>9167216499</v>
      </c>
    </row>
    <row r="3126" spans="1:15" x14ac:dyDescent="0.45">
      <c r="A3126" t="s">
        <v>5078</v>
      </c>
      <c r="B3126" t="s">
        <v>5079</v>
      </c>
      <c r="C3126" t="s">
        <v>5080</v>
      </c>
      <c r="D3126" t="s">
        <v>3104</v>
      </c>
      <c r="E3126" s="1">
        <v>46153.308275462965</v>
      </c>
      <c r="F3126">
        <v>1547</v>
      </c>
      <c r="G3126" t="s">
        <v>5081</v>
      </c>
      <c r="H3126" t="s">
        <v>15</v>
      </c>
      <c r="I3126" t="s">
        <v>3106</v>
      </c>
      <c r="J3126" t="str">
        <f>RIGHT(D3126,4)</f>
        <v>4799</v>
      </c>
      <c r="K3126" t="str">
        <f>IFERROR(VLOOKUP(VALUE(J3126),'Site Info'!$A:$G,3,FALSE),"")</f>
        <v>7147 GREENBACK LN</v>
      </c>
      <c r="L3126" t="str">
        <f>IFERROR(VLOOKUP(VALUE(J3126),'Site Info'!$A:$G,4,FALSE),"")</f>
        <v>CITRUS HEIGHTS</v>
      </c>
      <c r="M3126" t="str">
        <f>IFERROR(VLOOKUP(VALUE(J3126),'Site Info'!$A:$G,5,FALSE),"")</f>
        <v>CA</v>
      </c>
      <c r="N3126" t="str">
        <f>IFERROR(VLOOKUP(VALUE(J3126),'Site Info'!$A:$G,6,FALSE),"")</f>
        <v>95621-5526</v>
      </c>
      <c r="O3126">
        <f>IFERROR(VLOOKUP(VALUE(J3126),'Site Info'!$A:$G,7,FALSE),"")</f>
        <v>9167216499</v>
      </c>
    </row>
    <row r="3127" spans="1:15" x14ac:dyDescent="0.45">
      <c r="A3127" t="s">
        <v>5412</v>
      </c>
      <c r="B3127" t="s">
        <v>5413</v>
      </c>
      <c r="C3127" t="s">
        <v>5414</v>
      </c>
      <c r="D3127" t="s">
        <v>3104</v>
      </c>
      <c r="E3127" s="1">
        <v>46153.358854166669</v>
      </c>
      <c r="F3127">
        <v>1547</v>
      </c>
      <c r="G3127" t="s">
        <v>5415</v>
      </c>
      <c r="H3127" t="s">
        <v>15</v>
      </c>
      <c r="I3127" t="s">
        <v>3106</v>
      </c>
      <c r="J3127" t="str">
        <f>RIGHT(D3127,4)</f>
        <v>4799</v>
      </c>
      <c r="K3127" t="str">
        <f>IFERROR(VLOOKUP(VALUE(J3127),'Site Info'!$A:$G,3,FALSE),"")</f>
        <v>7147 GREENBACK LN</v>
      </c>
      <c r="L3127" t="str">
        <f>IFERROR(VLOOKUP(VALUE(J3127),'Site Info'!$A:$G,4,FALSE),"")</f>
        <v>CITRUS HEIGHTS</v>
      </c>
      <c r="M3127" t="str">
        <f>IFERROR(VLOOKUP(VALUE(J3127),'Site Info'!$A:$G,5,FALSE),"")</f>
        <v>CA</v>
      </c>
      <c r="N3127" t="str">
        <f>IFERROR(VLOOKUP(VALUE(J3127),'Site Info'!$A:$G,6,FALSE),"")</f>
        <v>95621-5526</v>
      </c>
      <c r="O3127">
        <f>IFERROR(VLOOKUP(VALUE(J3127),'Site Info'!$A:$G,7,FALSE),"")</f>
        <v>9167216499</v>
      </c>
    </row>
    <row r="3128" spans="1:15" x14ac:dyDescent="0.45">
      <c r="A3128" t="s">
        <v>3389</v>
      </c>
      <c r="B3128" t="s">
        <v>3390</v>
      </c>
      <c r="C3128" t="s">
        <v>3391</v>
      </c>
      <c r="D3128" t="s">
        <v>3104</v>
      </c>
      <c r="E3128" s="1">
        <v>46151.781898148147</v>
      </c>
      <c r="F3128">
        <v>1481</v>
      </c>
      <c r="G3128" t="s">
        <v>3392</v>
      </c>
      <c r="H3128" t="s">
        <v>15</v>
      </c>
      <c r="I3128" t="s">
        <v>3106</v>
      </c>
      <c r="J3128" t="str">
        <f>RIGHT(D3128,4)</f>
        <v>4799</v>
      </c>
      <c r="K3128" t="str">
        <f>IFERROR(VLOOKUP(VALUE(J3128),'Site Info'!$A:$G,3,FALSE),"")</f>
        <v>7147 GREENBACK LN</v>
      </c>
      <c r="L3128" t="str">
        <f>IFERROR(VLOOKUP(VALUE(J3128),'Site Info'!$A:$G,4,FALSE),"")</f>
        <v>CITRUS HEIGHTS</v>
      </c>
      <c r="M3128" t="str">
        <f>IFERROR(VLOOKUP(VALUE(J3128),'Site Info'!$A:$G,5,FALSE),"")</f>
        <v>CA</v>
      </c>
      <c r="N3128" t="str">
        <f>IFERROR(VLOOKUP(VALUE(J3128),'Site Info'!$A:$G,6,FALSE),"")</f>
        <v>95621-5526</v>
      </c>
      <c r="O3128">
        <f>IFERROR(VLOOKUP(VALUE(J3128),'Site Info'!$A:$G,7,FALSE),"")</f>
        <v>9167216499</v>
      </c>
    </row>
    <row r="3129" spans="1:15" x14ac:dyDescent="0.45">
      <c r="A3129" t="s">
        <v>3101</v>
      </c>
      <c r="B3129" t="s">
        <v>3102</v>
      </c>
      <c r="C3129" t="s">
        <v>3103</v>
      </c>
      <c r="D3129" t="s">
        <v>3104</v>
      </c>
      <c r="E3129" s="1">
        <v>46152.717881944445</v>
      </c>
      <c r="F3129">
        <v>1481</v>
      </c>
      <c r="G3129" t="s">
        <v>3105</v>
      </c>
      <c r="H3129" t="s">
        <v>15</v>
      </c>
      <c r="I3129" t="s">
        <v>3106</v>
      </c>
      <c r="J3129" t="str">
        <f>RIGHT(D3129,4)</f>
        <v>4799</v>
      </c>
      <c r="K3129" t="str">
        <f>IFERROR(VLOOKUP(VALUE(J3129),'Site Info'!$A:$G,3,FALSE),"")</f>
        <v>7147 GREENBACK LN</v>
      </c>
      <c r="L3129" t="str">
        <f>IFERROR(VLOOKUP(VALUE(J3129),'Site Info'!$A:$G,4,FALSE),"")</f>
        <v>CITRUS HEIGHTS</v>
      </c>
      <c r="M3129" t="str">
        <f>IFERROR(VLOOKUP(VALUE(J3129),'Site Info'!$A:$G,5,FALSE),"")</f>
        <v>CA</v>
      </c>
      <c r="N3129" t="str">
        <f>IFERROR(VLOOKUP(VALUE(J3129),'Site Info'!$A:$G,6,FALSE),"")</f>
        <v>95621-5526</v>
      </c>
      <c r="O3129">
        <f>IFERROR(VLOOKUP(VALUE(J3129),'Site Info'!$A:$G,7,FALSE),"")</f>
        <v>9167216499</v>
      </c>
    </row>
    <row r="3130" spans="1:15" x14ac:dyDescent="0.45">
      <c r="A3130" t="s">
        <v>6705</v>
      </c>
      <c r="B3130" t="s">
        <v>6706</v>
      </c>
      <c r="C3130" t="s">
        <v>6707</v>
      </c>
      <c r="D3130" t="s">
        <v>6708</v>
      </c>
      <c r="E3130" s="1">
        <v>46140.677604166667</v>
      </c>
      <c r="F3130">
        <v>1547</v>
      </c>
      <c r="G3130" t="s">
        <v>6709</v>
      </c>
      <c r="H3130" t="s">
        <v>15</v>
      </c>
      <c r="I3130" t="s">
        <v>6710</v>
      </c>
      <c r="J3130" t="str">
        <f>RIGHT(D3130,4)</f>
        <v>4871</v>
      </c>
      <c r="K3130" t="str">
        <f>IFERROR(VLOOKUP(VALUE(J3130),'Site Info'!$A:$G,3,FALSE),"")</f>
        <v>715 BONITA DR</v>
      </c>
      <c r="L3130" t="str">
        <f>IFERROR(VLOOKUP(VALUE(J3130),'Site Info'!$A:$G,4,FALSE),"")</f>
        <v>MERIDIAN</v>
      </c>
      <c r="M3130" t="str">
        <f>IFERROR(VLOOKUP(VALUE(J3130),'Site Info'!$A:$G,5,FALSE),"")</f>
        <v>MS</v>
      </c>
      <c r="N3130" t="str">
        <f>IFERROR(VLOOKUP(VALUE(J3130),'Site Info'!$A:$G,6,FALSE),"")</f>
        <v>39301-4603</v>
      </c>
      <c r="O3130">
        <f>IFERROR(VLOOKUP(VALUE(J3130),'Site Info'!$A:$G,7,FALSE),"")</f>
        <v>6014824833</v>
      </c>
    </row>
    <row r="3131" spans="1:15" x14ac:dyDescent="0.45">
      <c r="A3131" t="s">
        <v>7697</v>
      </c>
      <c r="B3131" t="s">
        <v>7698</v>
      </c>
      <c r="C3131" t="s">
        <v>7699</v>
      </c>
      <c r="D3131" t="s">
        <v>6708</v>
      </c>
      <c r="E3131" s="1">
        <v>46152.465092592596</v>
      </c>
      <c r="F3131">
        <v>1547</v>
      </c>
      <c r="G3131" t="s">
        <v>7700</v>
      </c>
      <c r="H3131" t="s">
        <v>15</v>
      </c>
      <c r="I3131" t="s">
        <v>6710</v>
      </c>
      <c r="J3131" t="str">
        <f>RIGHT(D3131,4)</f>
        <v>4871</v>
      </c>
      <c r="K3131" t="str">
        <f>IFERROR(VLOOKUP(VALUE(J3131),'Site Info'!$A:$G,3,FALSE),"")</f>
        <v>715 BONITA DR</v>
      </c>
      <c r="L3131" t="str">
        <f>IFERROR(VLOOKUP(VALUE(J3131),'Site Info'!$A:$G,4,FALSE),"")</f>
        <v>MERIDIAN</v>
      </c>
      <c r="M3131" t="str">
        <f>IFERROR(VLOOKUP(VALUE(J3131),'Site Info'!$A:$G,5,FALSE),"")</f>
        <v>MS</v>
      </c>
      <c r="N3131" t="str">
        <f>IFERROR(VLOOKUP(VALUE(J3131),'Site Info'!$A:$G,6,FALSE),"")</f>
        <v>39301-4603</v>
      </c>
      <c r="O3131">
        <f>IFERROR(VLOOKUP(VALUE(J3131),'Site Info'!$A:$G,7,FALSE),"")</f>
        <v>6014824833</v>
      </c>
    </row>
    <row r="3132" spans="1:15" x14ac:dyDescent="0.45">
      <c r="A3132" t="s">
        <v>7371</v>
      </c>
      <c r="B3132" t="s">
        <v>7372</v>
      </c>
      <c r="C3132" t="s">
        <v>7373</v>
      </c>
      <c r="D3132" t="s">
        <v>6708</v>
      </c>
      <c r="E3132" s="1">
        <v>46153.182939814818</v>
      </c>
      <c r="F3132">
        <v>1547</v>
      </c>
      <c r="G3132" t="s">
        <v>7374</v>
      </c>
      <c r="H3132" t="s">
        <v>15</v>
      </c>
      <c r="I3132" t="s">
        <v>6710</v>
      </c>
      <c r="J3132" t="str">
        <f>RIGHT(D3132,4)</f>
        <v>4871</v>
      </c>
      <c r="K3132" t="str">
        <f>IFERROR(VLOOKUP(VALUE(J3132),'Site Info'!$A:$G,3,FALSE),"")</f>
        <v>715 BONITA DR</v>
      </c>
      <c r="L3132" t="str">
        <f>IFERROR(VLOOKUP(VALUE(J3132),'Site Info'!$A:$G,4,FALSE),"")</f>
        <v>MERIDIAN</v>
      </c>
      <c r="M3132" t="str">
        <f>IFERROR(VLOOKUP(VALUE(J3132),'Site Info'!$A:$G,5,FALSE),"")</f>
        <v>MS</v>
      </c>
      <c r="N3132" t="str">
        <f>IFERROR(VLOOKUP(VALUE(J3132),'Site Info'!$A:$G,6,FALSE),"")</f>
        <v>39301-4603</v>
      </c>
      <c r="O3132">
        <f>IFERROR(VLOOKUP(VALUE(J3132),'Site Info'!$A:$G,7,FALSE),"")</f>
        <v>6014824833</v>
      </c>
    </row>
    <row r="3133" spans="1:15" x14ac:dyDescent="0.45">
      <c r="A3133" t="s">
        <v>16512</v>
      </c>
      <c r="B3133" t="s">
        <v>16513</v>
      </c>
      <c r="C3133" t="s">
        <v>16514</v>
      </c>
      <c r="D3133" t="s">
        <v>6708</v>
      </c>
      <c r="E3133" s="1">
        <v>46153.343124999999</v>
      </c>
      <c r="F3133">
        <v>1547</v>
      </c>
      <c r="G3133" t="s">
        <v>16515</v>
      </c>
      <c r="H3133" t="s">
        <v>15</v>
      </c>
      <c r="I3133" t="s">
        <v>6710</v>
      </c>
      <c r="J3133" t="str">
        <f>RIGHT(D3133,4)</f>
        <v>4871</v>
      </c>
      <c r="K3133" t="str">
        <f>IFERROR(VLOOKUP(VALUE(J3133),'Site Info'!$A:$G,3,FALSE),"")</f>
        <v>715 BONITA DR</v>
      </c>
      <c r="L3133" t="str">
        <f>IFERROR(VLOOKUP(VALUE(J3133),'Site Info'!$A:$G,4,FALSE),"")</f>
        <v>MERIDIAN</v>
      </c>
      <c r="M3133" t="str">
        <f>IFERROR(VLOOKUP(VALUE(J3133),'Site Info'!$A:$G,5,FALSE),"")</f>
        <v>MS</v>
      </c>
      <c r="N3133" t="str">
        <f>IFERROR(VLOOKUP(VALUE(J3133),'Site Info'!$A:$G,6,FALSE),"")</f>
        <v>39301-4603</v>
      </c>
      <c r="O3133">
        <f>IFERROR(VLOOKUP(VALUE(J3133),'Site Info'!$A:$G,7,FALSE),"")</f>
        <v>6014824833</v>
      </c>
    </row>
    <row r="3134" spans="1:15" x14ac:dyDescent="0.45">
      <c r="A3134" t="s">
        <v>12004</v>
      </c>
      <c r="B3134" t="s">
        <v>12005</v>
      </c>
      <c r="C3134" t="s">
        <v>12006</v>
      </c>
      <c r="D3134" t="s">
        <v>1401</v>
      </c>
      <c r="E3134" s="1">
        <v>46149.564212962963</v>
      </c>
      <c r="F3134">
        <v>1547</v>
      </c>
      <c r="G3134" t="s">
        <v>12007</v>
      </c>
      <c r="H3134" t="s">
        <v>15</v>
      </c>
      <c r="I3134" t="s">
        <v>1403</v>
      </c>
      <c r="J3134" t="str">
        <f>RIGHT(D3134,4)</f>
        <v>8297</v>
      </c>
      <c r="K3134" t="str">
        <f>IFERROR(VLOOKUP(VALUE(J3134),'Site Info'!$A:$G,3,FALSE),"")</f>
        <v>7151 WALTON ST</v>
      </c>
      <c r="L3134" t="str">
        <f>IFERROR(VLOOKUP(VALUE(J3134),'Site Info'!$A:$G,4,FALSE),"")</f>
        <v>ROCKFORD</v>
      </c>
      <c r="M3134" t="str">
        <f>IFERROR(VLOOKUP(VALUE(J3134),'Site Info'!$A:$G,5,FALSE),"")</f>
        <v>IL</v>
      </c>
      <c r="N3134" t="str">
        <f>IFERROR(VLOOKUP(VALUE(J3134),'Site Info'!$A:$G,6,FALSE),"")</f>
        <v>61108-2600</v>
      </c>
      <c r="O3134">
        <f>IFERROR(VLOOKUP(VALUE(J3134),'Site Info'!$A:$G,7,FALSE),"")</f>
        <v>8153941212</v>
      </c>
    </row>
    <row r="3135" spans="1:15" x14ac:dyDescent="0.45">
      <c r="A3135" t="s">
        <v>13070</v>
      </c>
      <c r="B3135" t="s">
        <v>13071</v>
      </c>
      <c r="C3135" t="s">
        <v>13072</v>
      </c>
      <c r="D3135" t="s">
        <v>1401</v>
      </c>
      <c r="E3135" s="1">
        <v>46152.37023148148</v>
      </c>
      <c r="F3135">
        <v>1547</v>
      </c>
      <c r="G3135" t="s">
        <v>13073</v>
      </c>
      <c r="H3135" t="s">
        <v>15</v>
      </c>
      <c r="I3135" t="s">
        <v>1403</v>
      </c>
      <c r="J3135" t="str">
        <f>RIGHT(D3135,4)</f>
        <v>8297</v>
      </c>
      <c r="K3135" t="str">
        <f>IFERROR(VLOOKUP(VALUE(J3135),'Site Info'!$A:$G,3,FALSE),"")</f>
        <v>7151 WALTON ST</v>
      </c>
      <c r="L3135" t="str">
        <f>IFERROR(VLOOKUP(VALUE(J3135),'Site Info'!$A:$G,4,FALSE),"")</f>
        <v>ROCKFORD</v>
      </c>
      <c r="M3135" t="str">
        <f>IFERROR(VLOOKUP(VALUE(J3135),'Site Info'!$A:$G,5,FALSE),"")</f>
        <v>IL</v>
      </c>
      <c r="N3135" t="str">
        <f>IFERROR(VLOOKUP(VALUE(J3135),'Site Info'!$A:$G,6,FALSE),"")</f>
        <v>61108-2600</v>
      </c>
      <c r="O3135">
        <f>IFERROR(VLOOKUP(VALUE(J3135),'Site Info'!$A:$G,7,FALSE),"")</f>
        <v>8153941212</v>
      </c>
    </row>
    <row r="3136" spans="1:15" x14ac:dyDescent="0.45">
      <c r="A3136" t="s">
        <v>11908</v>
      </c>
      <c r="B3136" t="s">
        <v>11909</v>
      </c>
      <c r="C3136" t="s">
        <v>11910</v>
      </c>
      <c r="D3136" t="s">
        <v>1401</v>
      </c>
      <c r="E3136" s="1">
        <v>46153.243217592593</v>
      </c>
      <c r="F3136">
        <v>1547</v>
      </c>
      <c r="G3136" t="s">
        <v>11911</v>
      </c>
      <c r="H3136" t="s">
        <v>15</v>
      </c>
      <c r="I3136" t="s">
        <v>1403</v>
      </c>
      <c r="J3136" t="str">
        <f>RIGHT(D3136,4)</f>
        <v>8297</v>
      </c>
      <c r="K3136" t="str">
        <f>IFERROR(VLOOKUP(VALUE(J3136),'Site Info'!$A:$G,3,FALSE),"")</f>
        <v>7151 WALTON ST</v>
      </c>
      <c r="L3136" t="str">
        <f>IFERROR(VLOOKUP(VALUE(J3136),'Site Info'!$A:$G,4,FALSE),"")</f>
        <v>ROCKFORD</v>
      </c>
      <c r="M3136" t="str">
        <f>IFERROR(VLOOKUP(VALUE(J3136),'Site Info'!$A:$G,5,FALSE),"")</f>
        <v>IL</v>
      </c>
      <c r="N3136" t="str">
        <f>IFERROR(VLOOKUP(VALUE(J3136),'Site Info'!$A:$G,6,FALSE),"")</f>
        <v>61108-2600</v>
      </c>
      <c r="O3136">
        <f>IFERROR(VLOOKUP(VALUE(J3136),'Site Info'!$A:$G,7,FALSE),"")</f>
        <v>8153941212</v>
      </c>
    </row>
    <row r="3137" spans="1:15" x14ac:dyDescent="0.45">
      <c r="A3137" t="s">
        <v>13006</v>
      </c>
      <c r="B3137" t="s">
        <v>13007</v>
      </c>
      <c r="C3137" t="s">
        <v>13008</v>
      </c>
      <c r="D3137" t="s">
        <v>1401</v>
      </c>
      <c r="E3137" s="1">
        <v>46153.335381944446</v>
      </c>
      <c r="F3137">
        <v>1547</v>
      </c>
      <c r="G3137" t="s">
        <v>13009</v>
      </c>
      <c r="H3137" t="s">
        <v>15</v>
      </c>
      <c r="I3137" t="s">
        <v>1403</v>
      </c>
      <c r="J3137" t="str">
        <f>RIGHT(D3137,4)</f>
        <v>8297</v>
      </c>
      <c r="K3137" t="str">
        <f>IFERROR(VLOOKUP(VALUE(J3137),'Site Info'!$A:$G,3,FALSE),"")</f>
        <v>7151 WALTON ST</v>
      </c>
      <c r="L3137" t="str">
        <f>IFERROR(VLOOKUP(VALUE(J3137),'Site Info'!$A:$G,4,FALSE),"")</f>
        <v>ROCKFORD</v>
      </c>
      <c r="M3137" t="str">
        <f>IFERROR(VLOOKUP(VALUE(J3137),'Site Info'!$A:$G,5,FALSE),"")</f>
        <v>IL</v>
      </c>
      <c r="N3137" t="str">
        <f>IFERROR(VLOOKUP(VALUE(J3137),'Site Info'!$A:$G,6,FALSE),"")</f>
        <v>61108-2600</v>
      </c>
      <c r="O3137">
        <f>IFERROR(VLOOKUP(VALUE(J3137),'Site Info'!$A:$G,7,FALSE),"")</f>
        <v>8153941212</v>
      </c>
    </row>
    <row r="3138" spans="1:15" x14ac:dyDescent="0.45">
      <c r="A3138" t="s">
        <v>13022</v>
      </c>
      <c r="B3138" t="s">
        <v>13023</v>
      </c>
      <c r="C3138" t="s">
        <v>13024</v>
      </c>
      <c r="D3138" t="s">
        <v>1401</v>
      </c>
      <c r="E3138" s="1">
        <v>46153.363981481481</v>
      </c>
      <c r="F3138">
        <v>1547</v>
      </c>
      <c r="G3138" t="s">
        <v>13025</v>
      </c>
      <c r="H3138" t="s">
        <v>15</v>
      </c>
      <c r="I3138" t="s">
        <v>1403</v>
      </c>
      <c r="J3138" t="str">
        <f>RIGHT(D3138,4)</f>
        <v>8297</v>
      </c>
      <c r="K3138" t="str">
        <f>IFERROR(VLOOKUP(VALUE(J3138),'Site Info'!$A:$G,3,FALSE),"")</f>
        <v>7151 WALTON ST</v>
      </c>
      <c r="L3138" t="str">
        <f>IFERROR(VLOOKUP(VALUE(J3138),'Site Info'!$A:$G,4,FALSE),"")</f>
        <v>ROCKFORD</v>
      </c>
      <c r="M3138" t="str">
        <f>IFERROR(VLOOKUP(VALUE(J3138),'Site Info'!$A:$G,5,FALSE),"")</f>
        <v>IL</v>
      </c>
      <c r="N3138" t="str">
        <f>IFERROR(VLOOKUP(VALUE(J3138),'Site Info'!$A:$G,6,FALSE),"")</f>
        <v>61108-2600</v>
      </c>
      <c r="O3138">
        <f>IFERROR(VLOOKUP(VALUE(J3138),'Site Info'!$A:$G,7,FALSE),"")</f>
        <v>8153941212</v>
      </c>
    </row>
    <row r="3139" spans="1:15" x14ac:dyDescent="0.45">
      <c r="A3139" t="s">
        <v>1398</v>
      </c>
      <c r="B3139" t="s">
        <v>1399</v>
      </c>
      <c r="C3139" t="s">
        <v>1400</v>
      </c>
      <c r="D3139" t="s">
        <v>1401</v>
      </c>
      <c r="E3139" s="1">
        <v>46153.369664351849</v>
      </c>
      <c r="F3139">
        <v>1481</v>
      </c>
      <c r="G3139" t="s">
        <v>1402</v>
      </c>
      <c r="H3139" t="s">
        <v>15</v>
      </c>
      <c r="I3139" t="s">
        <v>1403</v>
      </c>
      <c r="J3139" t="str">
        <f>RIGHT(D3139,4)</f>
        <v>8297</v>
      </c>
      <c r="K3139" t="str">
        <f>IFERROR(VLOOKUP(VALUE(J3139),'Site Info'!$A:$G,3,FALSE),"")</f>
        <v>7151 WALTON ST</v>
      </c>
      <c r="L3139" t="str">
        <f>IFERROR(VLOOKUP(VALUE(J3139),'Site Info'!$A:$G,4,FALSE),"")</f>
        <v>ROCKFORD</v>
      </c>
      <c r="M3139" t="str">
        <f>IFERROR(VLOOKUP(VALUE(J3139),'Site Info'!$A:$G,5,FALSE),"")</f>
        <v>IL</v>
      </c>
      <c r="N3139" t="str">
        <f>IFERROR(VLOOKUP(VALUE(J3139),'Site Info'!$A:$G,6,FALSE),"")</f>
        <v>61108-2600</v>
      </c>
      <c r="O3139">
        <f>IFERROR(VLOOKUP(VALUE(J3139),'Site Info'!$A:$G,7,FALSE),"")</f>
        <v>8153941212</v>
      </c>
    </row>
    <row r="3140" spans="1:15" x14ac:dyDescent="0.45">
      <c r="A3140" t="s">
        <v>96</v>
      </c>
      <c r="B3140" t="s">
        <v>178</v>
      </c>
      <c r="C3140" t="s">
        <v>179</v>
      </c>
      <c r="D3140" t="s">
        <v>180</v>
      </c>
      <c r="E3140" s="1">
        <v>46152.706018518518</v>
      </c>
      <c r="F3140">
        <v>1547</v>
      </c>
      <c r="G3140" t="s">
        <v>181</v>
      </c>
      <c r="H3140" t="s">
        <v>15</v>
      </c>
      <c r="I3140" t="s">
        <v>182</v>
      </c>
      <c r="J3140" t="str">
        <f>RIGHT(D3140,4)</f>
        <v>6382</v>
      </c>
      <c r="K3140" t="str">
        <f>IFERROR(VLOOKUP(VALUE(J3140),'Site Info'!$A:$G,3,FALSE),"")</f>
        <v>7175 SPRING MOUNTAIN RD</v>
      </c>
      <c r="L3140" t="str">
        <f>IFERROR(VLOOKUP(VALUE(J3140),'Site Info'!$A:$G,4,FALSE),"")</f>
        <v>LAS VEGAS</v>
      </c>
      <c r="M3140" t="str">
        <f>IFERROR(VLOOKUP(VALUE(J3140),'Site Info'!$A:$G,5,FALSE),"")</f>
        <v>NV</v>
      </c>
      <c r="N3140" t="str">
        <f>IFERROR(VLOOKUP(VALUE(J3140),'Site Info'!$A:$G,6,FALSE),"")</f>
        <v>89117-3819</v>
      </c>
      <c r="O3140">
        <f>IFERROR(VLOOKUP(VALUE(J3140),'Site Info'!$A:$G,7,FALSE),"")</f>
        <v>7022530072</v>
      </c>
    </row>
    <row r="3141" spans="1:15" x14ac:dyDescent="0.45">
      <c r="A3141" t="s">
        <v>12192</v>
      </c>
      <c r="B3141" t="s">
        <v>12193</v>
      </c>
      <c r="C3141" t="s">
        <v>12194</v>
      </c>
      <c r="D3141" t="s">
        <v>180</v>
      </c>
      <c r="E3141" s="1">
        <v>46152.750219907408</v>
      </c>
      <c r="F3141">
        <v>1547</v>
      </c>
      <c r="G3141" t="s">
        <v>12195</v>
      </c>
      <c r="H3141" t="s">
        <v>15</v>
      </c>
      <c r="I3141" t="s">
        <v>182</v>
      </c>
      <c r="J3141" t="str">
        <f>RIGHT(D3141,4)</f>
        <v>6382</v>
      </c>
      <c r="K3141" t="str">
        <f>IFERROR(VLOOKUP(VALUE(J3141),'Site Info'!$A:$G,3,FALSE),"")</f>
        <v>7175 SPRING MOUNTAIN RD</v>
      </c>
      <c r="L3141" t="str">
        <f>IFERROR(VLOOKUP(VALUE(J3141),'Site Info'!$A:$G,4,FALSE),"")</f>
        <v>LAS VEGAS</v>
      </c>
      <c r="M3141" t="str">
        <f>IFERROR(VLOOKUP(VALUE(J3141),'Site Info'!$A:$G,5,FALSE),"")</f>
        <v>NV</v>
      </c>
      <c r="N3141" t="str">
        <f>IFERROR(VLOOKUP(VALUE(J3141),'Site Info'!$A:$G,6,FALSE),"")</f>
        <v>89117-3819</v>
      </c>
      <c r="O3141">
        <f>IFERROR(VLOOKUP(VALUE(J3141),'Site Info'!$A:$G,7,FALSE),"")</f>
        <v>7022530072</v>
      </c>
    </row>
    <row r="3142" spans="1:15" x14ac:dyDescent="0.45">
      <c r="A3142" t="s">
        <v>9517</v>
      </c>
      <c r="B3142" t="s">
        <v>9518</v>
      </c>
      <c r="C3142" t="s">
        <v>9519</v>
      </c>
      <c r="D3142" t="s">
        <v>180</v>
      </c>
      <c r="E3142" s="1">
        <v>46152.963958333334</v>
      </c>
      <c r="F3142">
        <v>1547</v>
      </c>
      <c r="G3142" t="s">
        <v>9520</v>
      </c>
      <c r="H3142" t="s">
        <v>15</v>
      </c>
      <c r="I3142" t="s">
        <v>182</v>
      </c>
      <c r="J3142" t="str">
        <f>RIGHT(D3142,4)</f>
        <v>6382</v>
      </c>
      <c r="K3142" t="str">
        <f>IFERROR(VLOOKUP(VALUE(J3142),'Site Info'!$A:$G,3,FALSE),"")</f>
        <v>7175 SPRING MOUNTAIN RD</v>
      </c>
      <c r="L3142" t="str">
        <f>IFERROR(VLOOKUP(VALUE(J3142),'Site Info'!$A:$G,4,FALSE),"")</f>
        <v>LAS VEGAS</v>
      </c>
      <c r="M3142" t="str">
        <f>IFERROR(VLOOKUP(VALUE(J3142),'Site Info'!$A:$G,5,FALSE),"")</f>
        <v>NV</v>
      </c>
      <c r="N3142" t="str">
        <f>IFERROR(VLOOKUP(VALUE(J3142),'Site Info'!$A:$G,6,FALSE),"")</f>
        <v>89117-3819</v>
      </c>
      <c r="O3142">
        <f>IFERROR(VLOOKUP(VALUE(J3142),'Site Info'!$A:$G,7,FALSE),"")</f>
        <v>7022530072</v>
      </c>
    </row>
    <row r="3143" spans="1:15" x14ac:dyDescent="0.45">
      <c r="A3143" t="s">
        <v>13098</v>
      </c>
      <c r="B3143" t="s">
        <v>13099</v>
      </c>
      <c r="C3143" t="s">
        <v>13100</v>
      </c>
      <c r="D3143" t="s">
        <v>180</v>
      </c>
      <c r="E3143" s="1">
        <v>46153.357476851852</v>
      </c>
      <c r="F3143">
        <v>1547</v>
      </c>
      <c r="G3143" t="s">
        <v>13101</v>
      </c>
      <c r="H3143" t="s">
        <v>15</v>
      </c>
      <c r="I3143" t="s">
        <v>182</v>
      </c>
      <c r="J3143" t="str">
        <f>RIGHT(D3143,4)</f>
        <v>6382</v>
      </c>
      <c r="K3143" t="str">
        <f>IFERROR(VLOOKUP(VALUE(J3143),'Site Info'!$A:$G,3,FALSE),"")</f>
        <v>7175 SPRING MOUNTAIN RD</v>
      </c>
      <c r="L3143" t="str">
        <f>IFERROR(VLOOKUP(VALUE(J3143),'Site Info'!$A:$G,4,FALSE),"")</f>
        <v>LAS VEGAS</v>
      </c>
      <c r="M3143" t="str">
        <f>IFERROR(VLOOKUP(VALUE(J3143),'Site Info'!$A:$G,5,FALSE),"")</f>
        <v>NV</v>
      </c>
      <c r="N3143" t="str">
        <f>IFERROR(VLOOKUP(VALUE(J3143),'Site Info'!$A:$G,6,FALSE),"")</f>
        <v>89117-3819</v>
      </c>
      <c r="O3143">
        <f>IFERROR(VLOOKUP(VALUE(J3143),'Site Info'!$A:$G,7,FALSE),"")</f>
        <v>7022530072</v>
      </c>
    </row>
    <row r="3144" spans="1:15" x14ac:dyDescent="0.45">
      <c r="A3144" t="s">
        <v>1318</v>
      </c>
      <c r="B3144" t="s">
        <v>1319</v>
      </c>
      <c r="C3144" t="s">
        <v>1320</v>
      </c>
      <c r="D3144" t="s">
        <v>180</v>
      </c>
      <c r="E3144" s="1">
        <v>46153.280416666668</v>
      </c>
      <c r="F3144">
        <v>1481</v>
      </c>
      <c r="G3144" t="s">
        <v>1321</v>
      </c>
      <c r="H3144" t="s">
        <v>15</v>
      </c>
      <c r="I3144" t="s">
        <v>182</v>
      </c>
      <c r="J3144" t="str">
        <f>RIGHT(D3144,4)</f>
        <v>6382</v>
      </c>
      <c r="K3144" t="str">
        <f>IFERROR(VLOOKUP(VALUE(J3144),'Site Info'!$A:$G,3,FALSE),"")</f>
        <v>7175 SPRING MOUNTAIN RD</v>
      </c>
      <c r="L3144" t="str">
        <f>IFERROR(VLOOKUP(VALUE(J3144),'Site Info'!$A:$G,4,FALSE),"")</f>
        <v>LAS VEGAS</v>
      </c>
      <c r="M3144" t="str">
        <f>IFERROR(VLOOKUP(VALUE(J3144),'Site Info'!$A:$G,5,FALSE),"")</f>
        <v>NV</v>
      </c>
      <c r="N3144" t="str">
        <f>IFERROR(VLOOKUP(VALUE(J3144),'Site Info'!$A:$G,6,FALSE),"")</f>
        <v>89117-3819</v>
      </c>
      <c r="O3144">
        <f>IFERROR(VLOOKUP(VALUE(J3144),'Site Info'!$A:$G,7,FALSE),"")</f>
        <v>7022530072</v>
      </c>
    </row>
    <row r="3145" spans="1:15" x14ac:dyDescent="0.45">
      <c r="A3145" t="s">
        <v>6907</v>
      </c>
      <c r="B3145" t="s">
        <v>6908</v>
      </c>
      <c r="C3145" t="s">
        <v>6909</v>
      </c>
      <c r="D3145" t="s">
        <v>2396</v>
      </c>
      <c r="E3145" s="1">
        <v>46134.602731481478</v>
      </c>
      <c r="F3145">
        <v>1547</v>
      </c>
      <c r="G3145" t="s">
        <v>6910</v>
      </c>
      <c r="H3145" t="s">
        <v>15</v>
      </c>
      <c r="I3145" t="s">
        <v>2398</v>
      </c>
      <c r="J3145" t="str">
        <f>RIGHT(D3145,4)</f>
        <v>6675</v>
      </c>
      <c r="K3145" t="str">
        <f>IFERROR(VLOOKUP(VALUE(J3145),'Site Info'!$A:$G,3,FALSE),"")</f>
        <v>7200 PEACH ST</v>
      </c>
      <c r="L3145" t="str">
        <f>IFERROR(VLOOKUP(VALUE(J3145),'Site Info'!$A:$G,4,FALSE),"")</f>
        <v>ERIE</v>
      </c>
      <c r="M3145" t="str">
        <f>IFERROR(VLOOKUP(VALUE(J3145),'Site Info'!$A:$G,5,FALSE),"")</f>
        <v>PA</v>
      </c>
      <c r="N3145" t="str">
        <f>IFERROR(VLOOKUP(VALUE(J3145),'Site Info'!$A:$G,6,FALSE),"")</f>
        <v>16509-4754</v>
      </c>
      <c r="O3145">
        <f>IFERROR(VLOOKUP(VALUE(J3145),'Site Info'!$A:$G,7,FALSE),"")</f>
        <v>8148661074</v>
      </c>
    </row>
    <row r="3146" spans="1:15" x14ac:dyDescent="0.45">
      <c r="A3146" t="s">
        <v>8057</v>
      </c>
      <c r="B3146" t="s">
        <v>8058</v>
      </c>
      <c r="C3146" t="s">
        <v>8059</v>
      </c>
      <c r="D3146" t="s">
        <v>2396</v>
      </c>
      <c r="E3146" s="1">
        <v>46151.687754629631</v>
      </c>
      <c r="F3146">
        <v>1547</v>
      </c>
      <c r="G3146" t="s">
        <v>8060</v>
      </c>
      <c r="H3146" t="s">
        <v>15</v>
      </c>
      <c r="I3146" t="s">
        <v>2398</v>
      </c>
      <c r="J3146" t="str">
        <f>RIGHT(D3146,4)</f>
        <v>6675</v>
      </c>
      <c r="K3146" t="str">
        <f>IFERROR(VLOOKUP(VALUE(J3146),'Site Info'!$A:$G,3,FALSE),"")</f>
        <v>7200 PEACH ST</v>
      </c>
      <c r="L3146" t="str">
        <f>IFERROR(VLOOKUP(VALUE(J3146),'Site Info'!$A:$G,4,FALSE),"")</f>
        <v>ERIE</v>
      </c>
      <c r="M3146" t="str">
        <f>IFERROR(VLOOKUP(VALUE(J3146),'Site Info'!$A:$G,5,FALSE),"")</f>
        <v>PA</v>
      </c>
      <c r="N3146" t="str">
        <f>IFERROR(VLOOKUP(VALUE(J3146),'Site Info'!$A:$G,6,FALSE),"")</f>
        <v>16509-4754</v>
      </c>
      <c r="O3146">
        <f>IFERROR(VLOOKUP(VALUE(J3146),'Site Info'!$A:$G,7,FALSE),"")</f>
        <v>8148661074</v>
      </c>
    </row>
    <row r="3147" spans="1:15" x14ac:dyDescent="0.45">
      <c r="A3147" t="s">
        <v>6839</v>
      </c>
      <c r="B3147" t="s">
        <v>6840</v>
      </c>
      <c r="C3147" t="s">
        <v>6841</v>
      </c>
      <c r="D3147" t="s">
        <v>2396</v>
      </c>
      <c r="E3147" s="1">
        <v>46151.960532407407</v>
      </c>
      <c r="F3147">
        <v>1547</v>
      </c>
      <c r="G3147" t="s">
        <v>6842</v>
      </c>
      <c r="H3147" t="s">
        <v>15</v>
      </c>
      <c r="I3147" t="s">
        <v>2398</v>
      </c>
      <c r="J3147" t="str">
        <f>RIGHT(D3147,4)</f>
        <v>6675</v>
      </c>
      <c r="K3147" t="str">
        <f>IFERROR(VLOOKUP(VALUE(J3147),'Site Info'!$A:$G,3,FALSE),"")</f>
        <v>7200 PEACH ST</v>
      </c>
      <c r="L3147" t="str">
        <f>IFERROR(VLOOKUP(VALUE(J3147),'Site Info'!$A:$G,4,FALSE),"")</f>
        <v>ERIE</v>
      </c>
      <c r="M3147" t="str">
        <f>IFERROR(VLOOKUP(VALUE(J3147),'Site Info'!$A:$G,5,FALSE),"")</f>
        <v>PA</v>
      </c>
      <c r="N3147" t="str">
        <f>IFERROR(VLOOKUP(VALUE(J3147),'Site Info'!$A:$G,6,FALSE),"")</f>
        <v>16509-4754</v>
      </c>
      <c r="O3147">
        <f>IFERROR(VLOOKUP(VALUE(J3147),'Site Info'!$A:$G,7,FALSE),"")</f>
        <v>8148661074</v>
      </c>
    </row>
    <row r="3148" spans="1:15" x14ac:dyDescent="0.45">
      <c r="A3148" t="s">
        <v>6851</v>
      </c>
      <c r="B3148" t="s">
        <v>6852</v>
      </c>
      <c r="C3148" t="s">
        <v>6853</v>
      </c>
      <c r="D3148" t="s">
        <v>2396</v>
      </c>
      <c r="E3148" s="1">
        <v>46153.364560185182</v>
      </c>
      <c r="F3148">
        <v>1547</v>
      </c>
      <c r="G3148" t="s">
        <v>6854</v>
      </c>
      <c r="H3148" t="s">
        <v>15</v>
      </c>
      <c r="I3148" t="s">
        <v>2398</v>
      </c>
      <c r="J3148" t="str">
        <f>RIGHT(D3148,4)</f>
        <v>6675</v>
      </c>
      <c r="K3148" t="str">
        <f>IFERROR(VLOOKUP(VALUE(J3148),'Site Info'!$A:$G,3,FALSE),"")</f>
        <v>7200 PEACH ST</v>
      </c>
      <c r="L3148" t="str">
        <f>IFERROR(VLOOKUP(VALUE(J3148),'Site Info'!$A:$G,4,FALSE),"")</f>
        <v>ERIE</v>
      </c>
      <c r="M3148" t="str">
        <f>IFERROR(VLOOKUP(VALUE(J3148),'Site Info'!$A:$G,5,FALSE),"")</f>
        <v>PA</v>
      </c>
      <c r="N3148" t="str">
        <f>IFERROR(VLOOKUP(VALUE(J3148),'Site Info'!$A:$G,6,FALSE),"")</f>
        <v>16509-4754</v>
      </c>
      <c r="O3148">
        <f>IFERROR(VLOOKUP(VALUE(J3148),'Site Info'!$A:$G,7,FALSE),"")</f>
        <v>8148661074</v>
      </c>
    </row>
    <row r="3149" spans="1:15" x14ac:dyDescent="0.45">
      <c r="A3149" t="s">
        <v>2393</v>
      </c>
      <c r="B3149" t="s">
        <v>2394</v>
      </c>
      <c r="C3149" t="s">
        <v>2395</v>
      </c>
      <c r="D3149" t="s">
        <v>2396</v>
      </c>
      <c r="E3149" s="1">
        <v>46153.030486111114</v>
      </c>
      <c r="F3149">
        <v>1481</v>
      </c>
      <c r="G3149" t="s">
        <v>2397</v>
      </c>
      <c r="H3149" t="s">
        <v>15</v>
      </c>
      <c r="I3149" t="s">
        <v>2398</v>
      </c>
      <c r="J3149" t="str">
        <f>RIGHT(D3149,4)</f>
        <v>6675</v>
      </c>
      <c r="K3149" t="str">
        <f>IFERROR(VLOOKUP(VALUE(J3149),'Site Info'!$A:$G,3,FALSE),"")</f>
        <v>7200 PEACH ST</v>
      </c>
      <c r="L3149" t="str">
        <f>IFERROR(VLOOKUP(VALUE(J3149),'Site Info'!$A:$G,4,FALSE),"")</f>
        <v>ERIE</v>
      </c>
      <c r="M3149" t="str">
        <f>IFERROR(VLOOKUP(VALUE(J3149),'Site Info'!$A:$G,5,FALSE),"")</f>
        <v>PA</v>
      </c>
      <c r="N3149" t="str">
        <f>IFERROR(VLOOKUP(VALUE(J3149),'Site Info'!$A:$G,6,FALSE),"")</f>
        <v>16509-4754</v>
      </c>
      <c r="O3149">
        <f>IFERROR(VLOOKUP(VALUE(J3149),'Site Info'!$A:$G,7,FALSE),"")</f>
        <v>8148661074</v>
      </c>
    </row>
    <row r="3150" spans="1:15" x14ac:dyDescent="0.45">
      <c r="A3150" t="s">
        <v>17059</v>
      </c>
      <c r="B3150" t="s">
        <v>17060</v>
      </c>
      <c r="C3150" t="s">
        <v>17061</v>
      </c>
      <c r="D3150" t="s">
        <v>2396</v>
      </c>
      <c r="E3150" s="1">
        <v>46134.746967592589</v>
      </c>
      <c r="F3150">
        <v>1481</v>
      </c>
      <c r="G3150" t="s">
        <v>17062</v>
      </c>
      <c r="H3150" t="s">
        <v>15</v>
      </c>
      <c r="I3150" t="s">
        <v>2398</v>
      </c>
      <c r="J3150" t="str">
        <f>RIGHT(D3150,4)</f>
        <v>6675</v>
      </c>
      <c r="K3150" t="str">
        <f>IFERROR(VLOOKUP(VALUE(J3150),'Site Info'!$A:$G,3,FALSE),"")</f>
        <v>7200 PEACH ST</v>
      </c>
      <c r="L3150" t="str">
        <f>IFERROR(VLOOKUP(VALUE(J3150),'Site Info'!$A:$G,4,FALSE),"")</f>
        <v>ERIE</v>
      </c>
      <c r="M3150" t="str">
        <f>IFERROR(VLOOKUP(VALUE(J3150),'Site Info'!$A:$G,5,FALSE),"")</f>
        <v>PA</v>
      </c>
      <c r="N3150" t="str">
        <f>IFERROR(VLOOKUP(VALUE(J3150),'Site Info'!$A:$G,6,FALSE),"")</f>
        <v>16509-4754</v>
      </c>
      <c r="O3150">
        <f>IFERROR(VLOOKUP(VALUE(J3150),'Site Info'!$A:$G,7,FALSE),"")</f>
        <v>8148661074</v>
      </c>
    </row>
    <row r="3151" spans="1:15" x14ac:dyDescent="0.45">
      <c r="A3151" t="s">
        <v>14213</v>
      </c>
      <c r="B3151" t="s">
        <v>14214</v>
      </c>
      <c r="C3151" t="s">
        <v>14215</v>
      </c>
      <c r="D3151" t="s">
        <v>2101</v>
      </c>
      <c r="E3151" s="1">
        <v>46150.47142361111</v>
      </c>
      <c r="F3151">
        <v>1863</v>
      </c>
      <c r="G3151" t="s">
        <v>14216</v>
      </c>
      <c r="H3151" t="s">
        <v>136</v>
      </c>
      <c r="I3151" t="s">
        <v>2103</v>
      </c>
      <c r="J3151" t="str">
        <f>RIGHT(D3151,4)</f>
        <v>8168</v>
      </c>
      <c r="K3151" t="str">
        <f>IFERROR(VLOOKUP(VALUE(J3151),'Site Info'!$A:$G,3,FALSE),"")</f>
        <v>7245 E 96TH STREET</v>
      </c>
      <c r="L3151" t="str">
        <f>IFERROR(VLOOKUP(VALUE(J3151),'Site Info'!$A:$G,4,FALSE),"")</f>
        <v>INDIANAPOLIS</v>
      </c>
      <c r="M3151" t="str">
        <f>IFERROR(VLOOKUP(VALUE(J3151),'Site Info'!$A:$G,5,FALSE),"")</f>
        <v>IN</v>
      </c>
      <c r="N3151" t="str">
        <f>IFERROR(VLOOKUP(VALUE(J3151),'Site Info'!$A:$G,6,FALSE),"")</f>
        <v>46250-3308</v>
      </c>
      <c r="O3151">
        <f>IFERROR(VLOOKUP(VALUE(J3151),'Site Info'!$A:$G,7,FALSE),"")</f>
        <v>3175851619</v>
      </c>
    </row>
    <row r="3152" spans="1:15" x14ac:dyDescent="0.45">
      <c r="A3152" t="s">
        <v>5874</v>
      </c>
      <c r="B3152" t="s">
        <v>5875</v>
      </c>
      <c r="C3152" t="s">
        <v>5876</v>
      </c>
      <c r="D3152" t="s">
        <v>2101</v>
      </c>
      <c r="E3152" s="1">
        <v>46152.010995370372</v>
      </c>
      <c r="F3152">
        <v>1547</v>
      </c>
      <c r="G3152" t="s">
        <v>5877</v>
      </c>
      <c r="H3152" t="s">
        <v>15</v>
      </c>
      <c r="I3152" t="s">
        <v>2103</v>
      </c>
      <c r="J3152" t="str">
        <f>RIGHT(D3152,4)</f>
        <v>8168</v>
      </c>
      <c r="K3152" t="str">
        <f>IFERROR(VLOOKUP(VALUE(J3152),'Site Info'!$A:$G,3,FALSE),"")</f>
        <v>7245 E 96TH STREET</v>
      </c>
      <c r="L3152" t="str">
        <f>IFERROR(VLOOKUP(VALUE(J3152),'Site Info'!$A:$G,4,FALSE),"")</f>
        <v>INDIANAPOLIS</v>
      </c>
      <c r="M3152" t="str">
        <f>IFERROR(VLOOKUP(VALUE(J3152),'Site Info'!$A:$G,5,FALSE),"")</f>
        <v>IN</v>
      </c>
      <c r="N3152" t="str">
        <f>IFERROR(VLOOKUP(VALUE(J3152),'Site Info'!$A:$G,6,FALSE),"")</f>
        <v>46250-3308</v>
      </c>
      <c r="O3152">
        <f>IFERROR(VLOOKUP(VALUE(J3152),'Site Info'!$A:$G,7,FALSE),"")</f>
        <v>3175851619</v>
      </c>
    </row>
    <row r="3153" spans="1:15" x14ac:dyDescent="0.45">
      <c r="A3153" t="s">
        <v>5620</v>
      </c>
      <c r="B3153" t="s">
        <v>5621</v>
      </c>
      <c r="C3153" t="s">
        <v>5622</v>
      </c>
      <c r="D3153" t="s">
        <v>2101</v>
      </c>
      <c r="E3153" s="1">
        <v>46152.572384259256</v>
      </c>
      <c r="F3153">
        <v>1547</v>
      </c>
      <c r="G3153" t="s">
        <v>5623</v>
      </c>
      <c r="H3153" t="s">
        <v>15</v>
      </c>
      <c r="I3153" t="s">
        <v>2103</v>
      </c>
      <c r="J3153" t="str">
        <f>RIGHT(D3153,4)</f>
        <v>8168</v>
      </c>
      <c r="K3153" t="str">
        <f>IFERROR(VLOOKUP(VALUE(J3153),'Site Info'!$A:$G,3,FALSE),"")</f>
        <v>7245 E 96TH STREET</v>
      </c>
      <c r="L3153" t="str">
        <f>IFERROR(VLOOKUP(VALUE(J3153),'Site Info'!$A:$G,4,FALSE),"")</f>
        <v>INDIANAPOLIS</v>
      </c>
      <c r="M3153" t="str">
        <f>IFERROR(VLOOKUP(VALUE(J3153),'Site Info'!$A:$G,5,FALSE),"")</f>
        <v>IN</v>
      </c>
      <c r="N3153" t="str">
        <f>IFERROR(VLOOKUP(VALUE(J3153),'Site Info'!$A:$G,6,FALSE),"")</f>
        <v>46250-3308</v>
      </c>
      <c r="O3153">
        <f>IFERROR(VLOOKUP(VALUE(J3153),'Site Info'!$A:$G,7,FALSE),"")</f>
        <v>3175851619</v>
      </c>
    </row>
    <row r="3154" spans="1:15" x14ac:dyDescent="0.45">
      <c r="A3154" t="s">
        <v>5882</v>
      </c>
      <c r="B3154" t="s">
        <v>5883</v>
      </c>
      <c r="C3154" t="s">
        <v>5884</v>
      </c>
      <c r="D3154" t="s">
        <v>2101</v>
      </c>
      <c r="E3154" s="1">
        <v>46153.262395833335</v>
      </c>
      <c r="F3154">
        <v>1547</v>
      </c>
      <c r="G3154" t="s">
        <v>5885</v>
      </c>
      <c r="H3154" t="s">
        <v>15</v>
      </c>
      <c r="I3154" t="s">
        <v>2103</v>
      </c>
      <c r="J3154" t="str">
        <f>RIGHT(D3154,4)</f>
        <v>8168</v>
      </c>
      <c r="K3154" t="str">
        <f>IFERROR(VLOOKUP(VALUE(J3154),'Site Info'!$A:$G,3,FALSE),"")</f>
        <v>7245 E 96TH STREET</v>
      </c>
      <c r="L3154" t="str">
        <f>IFERROR(VLOOKUP(VALUE(J3154),'Site Info'!$A:$G,4,FALSE),"")</f>
        <v>INDIANAPOLIS</v>
      </c>
      <c r="M3154" t="str">
        <f>IFERROR(VLOOKUP(VALUE(J3154),'Site Info'!$A:$G,5,FALSE),"")</f>
        <v>IN</v>
      </c>
      <c r="N3154" t="str">
        <f>IFERROR(VLOOKUP(VALUE(J3154),'Site Info'!$A:$G,6,FALSE),"")</f>
        <v>46250-3308</v>
      </c>
      <c r="O3154">
        <f>IFERROR(VLOOKUP(VALUE(J3154),'Site Info'!$A:$G,7,FALSE),"")</f>
        <v>3175851619</v>
      </c>
    </row>
    <row r="3155" spans="1:15" x14ac:dyDescent="0.45">
      <c r="A3155" t="s">
        <v>2098</v>
      </c>
      <c r="B3155" t="s">
        <v>2099</v>
      </c>
      <c r="C3155" t="s">
        <v>2100</v>
      </c>
      <c r="D3155" t="s">
        <v>2101</v>
      </c>
      <c r="E3155" s="1">
        <v>46153.368564814817</v>
      </c>
      <c r="F3155">
        <v>1481</v>
      </c>
      <c r="G3155" t="s">
        <v>2102</v>
      </c>
      <c r="H3155" t="s">
        <v>15</v>
      </c>
      <c r="I3155" t="s">
        <v>2103</v>
      </c>
      <c r="J3155" t="str">
        <f>RIGHT(D3155,4)</f>
        <v>8168</v>
      </c>
      <c r="K3155" t="str">
        <f>IFERROR(VLOOKUP(VALUE(J3155),'Site Info'!$A:$G,3,FALSE),"")</f>
        <v>7245 E 96TH STREET</v>
      </c>
      <c r="L3155" t="str">
        <f>IFERROR(VLOOKUP(VALUE(J3155),'Site Info'!$A:$G,4,FALSE),"")</f>
        <v>INDIANAPOLIS</v>
      </c>
      <c r="M3155" t="str">
        <f>IFERROR(VLOOKUP(VALUE(J3155),'Site Info'!$A:$G,5,FALSE),"")</f>
        <v>IN</v>
      </c>
      <c r="N3155" t="str">
        <f>IFERROR(VLOOKUP(VALUE(J3155),'Site Info'!$A:$G,6,FALSE),"")</f>
        <v>46250-3308</v>
      </c>
      <c r="O3155">
        <f>IFERROR(VLOOKUP(VALUE(J3155),'Site Info'!$A:$G,7,FALSE),"")</f>
        <v>3175851619</v>
      </c>
    </row>
    <row r="3156" spans="1:15" x14ac:dyDescent="0.45">
      <c r="A3156" t="s">
        <v>14632</v>
      </c>
      <c r="B3156" t="s">
        <v>17135</v>
      </c>
      <c r="C3156" s="4" t="s">
        <v>17136</v>
      </c>
      <c r="D3156" t="s">
        <v>2101</v>
      </c>
      <c r="E3156" s="1">
        <v>46108.443506944444</v>
      </c>
      <c r="F3156">
        <v>1628</v>
      </c>
      <c r="G3156" t="s">
        <v>17137</v>
      </c>
      <c r="H3156" t="s">
        <v>13988</v>
      </c>
      <c r="I3156" t="s">
        <v>2103</v>
      </c>
      <c r="J3156" t="str">
        <f>RIGHT(D3156,4)</f>
        <v>8168</v>
      </c>
      <c r="K3156" t="str">
        <f>IFERROR(VLOOKUP(VALUE(J3156),'Site Info'!$A:$G,3,FALSE),"")</f>
        <v>7245 E 96TH STREET</v>
      </c>
      <c r="L3156" t="str">
        <f>IFERROR(VLOOKUP(VALUE(J3156),'Site Info'!$A:$G,4,FALSE),"")</f>
        <v>INDIANAPOLIS</v>
      </c>
      <c r="M3156" t="str">
        <f>IFERROR(VLOOKUP(VALUE(J3156),'Site Info'!$A:$G,5,FALSE),"")</f>
        <v>IN</v>
      </c>
      <c r="N3156" t="str">
        <f>IFERROR(VLOOKUP(VALUE(J3156),'Site Info'!$A:$G,6,FALSE),"")</f>
        <v>46250-3308</v>
      </c>
      <c r="O3156">
        <f>IFERROR(VLOOKUP(VALUE(J3156),'Site Info'!$A:$G,7,FALSE),"")</f>
        <v>3175851619</v>
      </c>
    </row>
    <row r="3157" spans="1:15" x14ac:dyDescent="0.45">
      <c r="A3157" t="s">
        <v>14187</v>
      </c>
      <c r="B3157" t="s">
        <v>14188</v>
      </c>
      <c r="C3157" t="s">
        <v>14189</v>
      </c>
      <c r="D3157" t="s">
        <v>2622</v>
      </c>
      <c r="E3157" s="1">
        <v>46153.304201388892</v>
      </c>
      <c r="F3157">
        <v>1863</v>
      </c>
      <c r="G3157" t="s">
        <v>14190</v>
      </c>
      <c r="H3157" t="s">
        <v>136</v>
      </c>
      <c r="I3157" t="s">
        <v>2624</v>
      </c>
      <c r="J3157" t="str">
        <f>RIGHT(D3157,4)</f>
        <v>8287</v>
      </c>
      <c r="K3157" t="str">
        <f>IFERROR(VLOOKUP(VALUE(J3157),'Site Info'!$A:$G,3,FALSE),"")</f>
        <v>7325 JONESBORO RD</v>
      </c>
      <c r="L3157" t="str">
        <f>IFERROR(VLOOKUP(VALUE(J3157),'Site Info'!$A:$G,4,FALSE),"")</f>
        <v>MORROW</v>
      </c>
      <c r="M3157" t="str">
        <f>IFERROR(VLOOKUP(VALUE(J3157),'Site Info'!$A:$G,5,FALSE),"")</f>
        <v>GA</v>
      </c>
      <c r="N3157" t="str">
        <f>IFERROR(VLOOKUP(VALUE(J3157),'Site Info'!$A:$G,6,FALSE),"")</f>
        <v>30260-2950</v>
      </c>
      <c r="O3157">
        <f>IFERROR(VLOOKUP(VALUE(J3157),'Site Info'!$A:$G,7,FALSE),"")</f>
        <v>7709608228</v>
      </c>
    </row>
    <row r="3158" spans="1:15" x14ac:dyDescent="0.45">
      <c r="A3158" t="s">
        <v>7575</v>
      </c>
      <c r="B3158" t="s">
        <v>7576</v>
      </c>
      <c r="C3158" t="s">
        <v>7577</v>
      </c>
      <c r="D3158" t="s">
        <v>2622</v>
      </c>
      <c r="E3158" s="1">
        <v>46151.005069444444</v>
      </c>
      <c r="F3158">
        <v>1548</v>
      </c>
      <c r="G3158" t="s">
        <v>7578</v>
      </c>
      <c r="H3158" t="s">
        <v>15</v>
      </c>
      <c r="I3158" t="s">
        <v>2624</v>
      </c>
      <c r="J3158" t="str">
        <f>RIGHT(D3158,4)</f>
        <v>8287</v>
      </c>
      <c r="K3158" t="str">
        <f>IFERROR(VLOOKUP(VALUE(J3158),'Site Info'!$A:$G,3,FALSE),"")</f>
        <v>7325 JONESBORO RD</v>
      </c>
      <c r="L3158" t="str">
        <f>IFERROR(VLOOKUP(VALUE(J3158),'Site Info'!$A:$G,4,FALSE),"")</f>
        <v>MORROW</v>
      </c>
      <c r="M3158" t="str">
        <f>IFERROR(VLOOKUP(VALUE(J3158),'Site Info'!$A:$G,5,FALSE),"")</f>
        <v>GA</v>
      </c>
      <c r="N3158" t="str">
        <f>IFERROR(VLOOKUP(VALUE(J3158),'Site Info'!$A:$G,6,FALSE),"")</f>
        <v>30260-2950</v>
      </c>
      <c r="O3158">
        <f>IFERROR(VLOOKUP(VALUE(J3158),'Site Info'!$A:$G,7,FALSE),"")</f>
        <v>7709608228</v>
      </c>
    </row>
    <row r="3159" spans="1:15" x14ac:dyDescent="0.45">
      <c r="A3159" t="s">
        <v>11754</v>
      </c>
      <c r="B3159" t="s">
        <v>11755</v>
      </c>
      <c r="C3159" t="s">
        <v>11756</v>
      </c>
      <c r="D3159" t="s">
        <v>2622</v>
      </c>
      <c r="E3159" s="1">
        <v>46151.718148148146</v>
      </c>
      <c r="F3159">
        <v>1547</v>
      </c>
      <c r="G3159" t="s">
        <v>11757</v>
      </c>
      <c r="H3159" t="s">
        <v>15</v>
      </c>
      <c r="I3159" t="s">
        <v>2624</v>
      </c>
      <c r="J3159" t="str">
        <f>RIGHT(D3159,4)</f>
        <v>8287</v>
      </c>
      <c r="K3159" t="str">
        <f>IFERROR(VLOOKUP(VALUE(J3159),'Site Info'!$A:$G,3,FALSE),"")</f>
        <v>7325 JONESBORO RD</v>
      </c>
      <c r="L3159" t="str">
        <f>IFERROR(VLOOKUP(VALUE(J3159),'Site Info'!$A:$G,4,FALSE),"")</f>
        <v>MORROW</v>
      </c>
      <c r="M3159" t="str">
        <f>IFERROR(VLOOKUP(VALUE(J3159),'Site Info'!$A:$G,5,FALSE),"")</f>
        <v>GA</v>
      </c>
      <c r="N3159" t="str">
        <f>IFERROR(VLOOKUP(VALUE(J3159),'Site Info'!$A:$G,6,FALSE),"")</f>
        <v>30260-2950</v>
      </c>
      <c r="O3159">
        <f>IFERROR(VLOOKUP(VALUE(J3159),'Site Info'!$A:$G,7,FALSE),"")</f>
        <v>7709608228</v>
      </c>
    </row>
    <row r="3160" spans="1:15" x14ac:dyDescent="0.45">
      <c r="A3160" t="s">
        <v>7895</v>
      </c>
      <c r="B3160" t="s">
        <v>7896</v>
      </c>
      <c r="C3160" t="s">
        <v>7897</v>
      </c>
      <c r="D3160" t="s">
        <v>2622</v>
      </c>
      <c r="E3160" s="1">
        <v>46152.6253125</v>
      </c>
      <c r="F3160">
        <v>1547</v>
      </c>
      <c r="G3160" t="s">
        <v>7898</v>
      </c>
      <c r="H3160" t="s">
        <v>15</v>
      </c>
      <c r="I3160" t="s">
        <v>2624</v>
      </c>
      <c r="J3160" t="str">
        <f>RIGHT(D3160,4)</f>
        <v>8287</v>
      </c>
      <c r="K3160" t="str">
        <f>IFERROR(VLOOKUP(VALUE(J3160),'Site Info'!$A:$G,3,FALSE),"")</f>
        <v>7325 JONESBORO RD</v>
      </c>
      <c r="L3160" t="str">
        <f>IFERROR(VLOOKUP(VALUE(J3160),'Site Info'!$A:$G,4,FALSE),"")</f>
        <v>MORROW</v>
      </c>
      <c r="M3160" t="str">
        <f>IFERROR(VLOOKUP(VALUE(J3160),'Site Info'!$A:$G,5,FALSE),"")</f>
        <v>GA</v>
      </c>
      <c r="N3160" t="str">
        <f>IFERROR(VLOOKUP(VALUE(J3160),'Site Info'!$A:$G,6,FALSE),"")</f>
        <v>30260-2950</v>
      </c>
      <c r="O3160">
        <f>IFERROR(VLOOKUP(VALUE(J3160),'Site Info'!$A:$G,7,FALSE),"")</f>
        <v>7709608228</v>
      </c>
    </row>
    <row r="3161" spans="1:15" x14ac:dyDescent="0.45">
      <c r="A3161" t="s">
        <v>9840</v>
      </c>
      <c r="B3161" t="s">
        <v>9841</v>
      </c>
      <c r="C3161" t="s">
        <v>9842</v>
      </c>
      <c r="D3161" t="s">
        <v>2622</v>
      </c>
      <c r="E3161" s="1">
        <v>46153.094907407409</v>
      </c>
      <c r="F3161">
        <v>1547</v>
      </c>
      <c r="G3161" t="s">
        <v>9843</v>
      </c>
      <c r="H3161" t="s">
        <v>15</v>
      </c>
      <c r="I3161" t="s">
        <v>2624</v>
      </c>
      <c r="J3161" t="str">
        <f>RIGHT(D3161,4)</f>
        <v>8287</v>
      </c>
      <c r="K3161" t="str">
        <f>IFERROR(VLOOKUP(VALUE(J3161),'Site Info'!$A:$G,3,FALSE),"")</f>
        <v>7325 JONESBORO RD</v>
      </c>
      <c r="L3161" t="str">
        <f>IFERROR(VLOOKUP(VALUE(J3161),'Site Info'!$A:$G,4,FALSE),"")</f>
        <v>MORROW</v>
      </c>
      <c r="M3161" t="str">
        <f>IFERROR(VLOOKUP(VALUE(J3161),'Site Info'!$A:$G,5,FALSE),"")</f>
        <v>GA</v>
      </c>
      <c r="N3161" t="str">
        <f>IFERROR(VLOOKUP(VALUE(J3161),'Site Info'!$A:$G,6,FALSE),"")</f>
        <v>30260-2950</v>
      </c>
      <c r="O3161">
        <f>IFERROR(VLOOKUP(VALUE(J3161),'Site Info'!$A:$G,7,FALSE),"")</f>
        <v>7709608228</v>
      </c>
    </row>
    <row r="3162" spans="1:15" x14ac:dyDescent="0.45">
      <c r="A3162" t="s">
        <v>8329</v>
      </c>
      <c r="B3162" t="s">
        <v>8330</v>
      </c>
      <c r="C3162" t="s">
        <v>8331</v>
      </c>
      <c r="D3162" t="s">
        <v>2622</v>
      </c>
      <c r="E3162" s="1">
        <v>46153.177708333336</v>
      </c>
      <c r="F3162">
        <v>1547</v>
      </c>
      <c r="G3162" t="s">
        <v>8332</v>
      </c>
      <c r="H3162" t="s">
        <v>15</v>
      </c>
      <c r="I3162" t="s">
        <v>2624</v>
      </c>
      <c r="J3162" t="str">
        <f>RIGHT(D3162,4)</f>
        <v>8287</v>
      </c>
      <c r="K3162" t="str">
        <f>IFERROR(VLOOKUP(VALUE(J3162),'Site Info'!$A:$G,3,FALSE),"")</f>
        <v>7325 JONESBORO RD</v>
      </c>
      <c r="L3162" t="str">
        <f>IFERROR(VLOOKUP(VALUE(J3162),'Site Info'!$A:$G,4,FALSE),"")</f>
        <v>MORROW</v>
      </c>
      <c r="M3162" t="str">
        <f>IFERROR(VLOOKUP(VALUE(J3162),'Site Info'!$A:$G,5,FALSE),"")</f>
        <v>GA</v>
      </c>
      <c r="N3162" t="str">
        <f>IFERROR(VLOOKUP(VALUE(J3162),'Site Info'!$A:$G,6,FALSE),"")</f>
        <v>30260-2950</v>
      </c>
      <c r="O3162">
        <f>IFERROR(VLOOKUP(VALUE(J3162),'Site Info'!$A:$G,7,FALSE),"")</f>
        <v>7709608228</v>
      </c>
    </row>
    <row r="3163" spans="1:15" x14ac:dyDescent="0.45">
      <c r="A3163" t="s">
        <v>3393</v>
      </c>
      <c r="B3163" t="s">
        <v>3394</v>
      </c>
      <c r="C3163" t="s">
        <v>3395</v>
      </c>
      <c r="D3163" t="s">
        <v>2622</v>
      </c>
      <c r="E3163" s="1">
        <v>46152.021516203706</v>
      </c>
      <c r="F3163">
        <v>1481</v>
      </c>
      <c r="G3163" t="s">
        <v>3396</v>
      </c>
      <c r="H3163" t="s">
        <v>15</v>
      </c>
      <c r="I3163" t="s">
        <v>2624</v>
      </c>
      <c r="J3163" t="str">
        <f>RIGHT(D3163,4)</f>
        <v>8287</v>
      </c>
      <c r="K3163" t="str">
        <f>IFERROR(VLOOKUP(VALUE(J3163),'Site Info'!$A:$G,3,FALSE),"")</f>
        <v>7325 JONESBORO RD</v>
      </c>
      <c r="L3163" t="str">
        <f>IFERROR(VLOOKUP(VALUE(J3163),'Site Info'!$A:$G,4,FALSE),"")</f>
        <v>MORROW</v>
      </c>
      <c r="M3163" t="str">
        <f>IFERROR(VLOOKUP(VALUE(J3163),'Site Info'!$A:$G,5,FALSE),"")</f>
        <v>GA</v>
      </c>
      <c r="N3163" t="str">
        <f>IFERROR(VLOOKUP(VALUE(J3163),'Site Info'!$A:$G,6,FALSE),"")</f>
        <v>30260-2950</v>
      </c>
      <c r="O3163">
        <f>IFERROR(VLOOKUP(VALUE(J3163),'Site Info'!$A:$G,7,FALSE),"")</f>
        <v>7709608228</v>
      </c>
    </row>
    <row r="3164" spans="1:15" x14ac:dyDescent="0.45">
      <c r="A3164" t="s">
        <v>2619</v>
      </c>
      <c r="B3164" t="s">
        <v>2620</v>
      </c>
      <c r="C3164" t="s">
        <v>2621</v>
      </c>
      <c r="D3164" t="s">
        <v>2622</v>
      </c>
      <c r="E3164" s="1">
        <v>46153.345312500001</v>
      </c>
      <c r="F3164">
        <v>1481</v>
      </c>
      <c r="G3164" t="s">
        <v>2623</v>
      </c>
      <c r="H3164" t="s">
        <v>15</v>
      </c>
      <c r="I3164" t="s">
        <v>2624</v>
      </c>
      <c r="J3164" t="str">
        <f>RIGHT(D3164,4)</f>
        <v>8287</v>
      </c>
      <c r="K3164" t="str">
        <f>IFERROR(VLOOKUP(VALUE(J3164),'Site Info'!$A:$G,3,FALSE),"")</f>
        <v>7325 JONESBORO RD</v>
      </c>
      <c r="L3164" t="str">
        <f>IFERROR(VLOOKUP(VALUE(J3164),'Site Info'!$A:$G,4,FALSE),"")</f>
        <v>MORROW</v>
      </c>
      <c r="M3164" t="str">
        <f>IFERROR(VLOOKUP(VALUE(J3164),'Site Info'!$A:$G,5,FALSE),"")</f>
        <v>GA</v>
      </c>
      <c r="N3164" t="str">
        <f>IFERROR(VLOOKUP(VALUE(J3164),'Site Info'!$A:$G,6,FALSE),"")</f>
        <v>30260-2950</v>
      </c>
      <c r="O3164">
        <f>IFERROR(VLOOKUP(VALUE(J3164),'Site Info'!$A:$G,7,FALSE),"")</f>
        <v>7709608228</v>
      </c>
    </row>
    <row r="3165" spans="1:15" x14ac:dyDescent="0.45">
      <c r="A3165" t="s">
        <v>5094</v>
      </c>
      <c r="B3165" t="s">
        <v>5095</v>
      </c>
      <c r="C3165" t="s">
        <v>5096</v>
      </c>
      <c r="D3165" t="s">
        <v>875</v>
      </c>
      <c r="E3165" s="1">
        <v>46109.323923611111</v>
      </c>
      <c r="F3165">
        <v>1547</v>
      </c>
      <c r="G3165" t="s">
        <v>5097</v>
      </c>
      <c r="H3165" t="s">
        <v>15</v>
      </c>
      <c r="I3165" t="s">
        <v>877</v>
      </c>
      <c r="J3165" t="str">
        <f>RIGHT(D3165,4)</f>
        <v>4872</v>
      </c>
      <c r="K3165" t="str">
        <f>IFERROR(VLOOKUP(VALUE(J3165),'Site Info'!$A:$G,3,FALSE),"")</f>
        <v>733 FASHION DRIVE</v>
      </c>
      <c r="L3165" t="str">
        <f>IFERROR(VLOOKUP(VALUE(J3165),'Site Info'!$A:$G,4,FALSE),"")</f>
        <v>COLUMBIA</v>
      </c>
      <c r="M3165" t="str">
        <f>IFERROR(VLOOKUP(VALUE(J3165),'Site Info'!$A:$G,5,FALSE),"")</f>
        <v>SC</v>
      </c>
      <c r="N3165" t="str">
        <f>IFERROR(VLOOKUP(VALUE(J3165),'Site Info'!$A:$G,6,FALSE),"")</f>
        <v>29229-0000</v>
      </c>
      <c r="O3165">
        <f>IFERROR(VLOOKUP(VALUE(J3165),'Site Info'!$A:$G,7,FALSE),"")</f>
        <v>8032230994</v>
      </c>
    </row>
    <row r="3166" spans="1:15" x14ac:dyDescent="0.45">
      <c r="A3166" t="s">
        <v>4580</v>
      </c>
      <c r="B3166" t="s">
        <v>4581</v>
      </c>
      <c r="C3166" t="s">
        <v>4582</v>
      </c>
      <c r="D3166" t="s">
        <v>875</v>
      </c>
      <c r="E3166" s="1">
        <v>46153.319155092591</v>
      </c>
      <c r="F3166">
        <v>1547</v>
      </c>
      <c r="G3166" t="s">
        <v>4583</v>
      </c>
      <c r="H3166" t="s">
        <v>15</v>
      </c>
      <c r="I3166" t="s">
        <v>877</v>
      </c>
      <c r="J3166" t="str">
        <f>RIGHT(D3166,4)</f>
        <v>4872</v>
      </c>
      <c r="K3166" t="str">
        <f>IFERROR(VLOOKUP(VALUE(J3166),'Site Info'!$A:$G,3,FALSE),"")</f>
        <v>733 FASHION DRIVE</v>
      </c>
      <c r="L3166" t="str">
        <f>IFERROR(VLOOKUP(VALUE(J3166),'Site Info'!$A:$G,4,FALSE),"")</f>
        <v>COLUMBIA</v>
      </c>
      <c r="M3166" t="str">
        <f>IFERROR(VLOOKUP(VALUE(J3166),'Site Info'!$A:$G,5,FALSE),"")</f>
        <v>SC</v>
      </c>
      <c r="N3166" t="str">
        <f>IFERROR(VLOOKUP(VALUE(J3166),'Site Info'!$A:$G,6,FALSE),"")</f>
        <v>29229-0000</v>
      </c>
      <c r="O3166">
        <f>IFERROR(VLOOKUP(VALUE(J3166),'Site Info'!$A:$G,7,FALSE),"")</f>
        <v>8032230994</v>
      </c>
    </row>
    <row r="3167" spans="1:15" x14ac:dyDescent="0.45">
      <c r="A3167" t="s">
        <v>4496</v>
      </c>
      <c r="B3167" t="s">
        <v>4497</v>
      </c>
      <c r="C3167" t="s">
        <v>4498</v>
      </c>
      <c r="D3167" t="s">
        <v>875</v>
      </c>
      <c r="E3167" s="1">
        <v>46153.328020833331</v>
      </c>
      <c r="F3167">
        <v>1547</v>
      </c>
      <c r="G3167" t="s">
        <v>4499</v>
      </c>
      <c r="H3167" t="s">
        <v>15</v>
      </c>
      <c r="I3167" t="s">
        <v>877</v>
      </c>
      <c r="J3167" t="str">
        <f>RIGHT(D3167,4)</f>
        <v>4872</v>
      </c>
      <c r="K3167" t="str">
        <f>IFERROR(VLOOKUP(VALUE(J3167),'Site Info'!$A:$G,3,FALSE),"")</f>
        <v>733 FASHION DRIVE</v>
      </c>
      <c r="L3167" t="str">
        <f>IFERROR(VLOOKUP(VALUE(J3167),'Site Info'!$A:$G,4,FALSE),"")</f>
        <v>COLUMBIA</v>
      </c>
      <c r="M3167" t="str">
        <f>IFERROR(VLOOKUP(VALUE(J3167),'Site Info'!$A:$G,5,FALSE),"")</f>
        <v>SC</v>
      </c>
      <c r="N3167" t="str">
        <f>IFERROR(VLOOKUP(VALUE(J3167),'Site Info'!$A:$G,6,FALSE),"")</f>
        <v>29229-0000</v>
      </c>
      <c r="O3167">
        <f>IFERROR(VLOOKUP(VALUE(J3167),'Site Info'!$A:$G,7,FALSE),"")</f>
        <v>8032230994</v>
      </c>
    </row>
    <row r="3168" spans="1:15" x14ac:dyDescent="0.45">
      <c r="A3168" t="s">
        <v>4540</v>
      </c>
      <c r="B3168" t="s">
        <v>4541</v>
      </c>
      <c r="C3168" t="s">
        <v>4542</v>
      </c>
      <c r="D3168" t="s">
        <v>875</v>
      </c>
      <c r="E3168" s="1">
        <v>46153.360983796294</v>
      </c>
      <c r="F3168">
        <v>1547</v>
      </c>
      <c r="G3168" t="s">
        <v>4543</v>
      </c>
      <c r="H3168" t="s">
        <v>15</v>
      </c>
      <c r="I3168" t="s">
        <v>877</v>
      </c>
      <c r="J3168" t="str">
        <f>RIGHT(D3168,4)</f>
        <v>4872</v>
      </c>
      <c r="K3168" t="str">
        <f>IFERROR(VLOOKUP(VALUE(J3168),'Site Info'!$A:$G,3,FALSE),"")</f>
        <v>733 FASHION DRIVE</v>
      </c>
      <c r="L3168" t="str">
        <f>IFERROR(VLOOKUP(VALUE(J3168),'Site Info'!$A:$G,4,FALSE),"")</f>
        <v>COLUMBIA</v>
      </c>
      <c r="M3168" t="str">
        <f>IFERROR(VLOOKUP(VALUE(J3168),'Site Info'!$A:$G,5,FALSE),"")</f>
        <v>SC</v>
      </c>
      <c r="N3168" t="str">
        <f>IFERROR(VLOOKUP(VALUE(J3168),'Site Info'!$A:$G,6,FALSE),"")</f>
        <v>29229-0000</v>
      </c>
      <c r="O3168">
        <f>IFERROR(VLOOKUP(VALUE(J3168),'Site Info'!$A:$G,7,FALSE),"")</f>
        <v>8032230994</v>
      </c>
    </row>
    <row r="3169" spans="1:15" x14ac:dyDescent="0.45">
      <c r="A3169" t="s">
        <v>10734</v>
      </c>
      <c r="B3169" t="s">
        <v>10735</v>
      </c>
      <c r="C3169" t="s">
        <v>10736</v>
      </c>
      <c r="D3169" t="s">
        <v>875</v>
      </c>
      <c r="E3169" s="1">
        <v>46153.367824074077</v>
      </c>
      <c r="F3169">
        <v>1547</v>
      </c>
      <c r="G3169" t="s">
        <v>10737</v>
      </c>
      <c r="H3169" t="s">
        <v>15</v>
      </c>
      <c r="I3169" t="s">
        <v>877</v>
      </c>
      <c r="J3169" t="str">
        <f>RIGHT(D3169,4)</f>
        <v>4872</v>
      </c>
      <c r="K3169" t="str">
        <f>IFERROR(VLOOKUP(VALUE(J3169),'Site Info'!$A:$G,3,FALSE),"")</f>
        <v>733 FASHION DRIVE</v>
      </c>
      <c r="L3169" t="str">
        <f>IFERROR(VLOOKUP(VALUE(J3169),'Site Info'!$A:$G,4,FALSE),"")</f>
        <v>COLUMBIA</v>
      </c>
      <c r="M3169" t="str">
        <f>IFERROR(VLOOKUP(VALUE(J3169),'Site Info'!$A:$G,5,FALSE),"")</f>
        <v>SC</v>
      </c>
      <c r="N3169" t="str">
        <f>IFERROR(VLOOKUP(VALUE(J3169),'Site Info'!$A:$G,6,FALSE),"")</f>
        <v>29229-0000</v>
      </c>
      <c r="O3169">
        <f>IFERROR(VLOOKUP(VALUE(J3169),'Site Info'!$A:$G,7,FALSE),"")</f>
        <v>8032230994</v>
      </c>
    </row>
    <row r="3170" spans="1:15" x14ac:dyDescent="0.45">
      <c r="A3170" t="s">
        <v>872</v>
      </c>
      <c r="B3170" t="s">
        <v>873</v>
      </c>
      <c r="C3170" t="s">
        <v>874</v>
      </c>
      <c r="D3170" t="s">
        <v>875</v>
      </c>
      <c r="E3170" s="1">
        <v>46151.399745370371</v>
      </c>
      <c r="F3170">
        <v>1481</v>
      </c>
      <c r="G3170" t="s">
        <v>876</v>
      </c>
      <c r="H3170" t="s">
        <v>15</v>
      </c>
      <c r="I3170" t="s">
        <v>877</v>
      </c>
      <c r="J3170" t="str">
        <f>RIGHT(D3170,4)</f>
        <v>4872</v>
      </c>
      <c r="K3170" t="str">
        <f>IFERROR(VLOOKUP(VALUE(J3170),'Site Info'!$A:$G,3,FALSE),"")</f>
        <v>733 FASHION DRIVE</v>
      </c>
      <c r="L3170" t="str">
        <f>IFERROR(VLOOKUP(VALUE(J3170),'Site Info'!$A:$G,4,FALSE),"")</f>
        <v>COLUMBIA</v>
      </c>
      <c r="M3170" t="str">
        <f>IFERROR(VLOOKUP(VALUE(J3170),'Site Info'!$A:$G,5,FALSE),"")</f>
        <v>SC</v>
      </c>
      <c r="N3170" t="str">
        <f>IFERROR(VLOOKUP(VALUE(J3170),'Site Info'!$A:$G,6,FALSE),"")</f>
        <v>29229-0000</v>
      </c>
      <c r="O3170">
        <f>IFERROR(VLOOKUP(VALUE(J3170),'Site Info'!$A:$G,7,FALSE),"")</f>
        <v>8032230994</v>
      </c>
    </row>
    <row r="3171" spans="1:15" x14ac:dyDescent="0.45">
      <c r="A3171" t="s">
        <v>1176</v>
      </c>
      <c r="B3171" t="s">
        <v>1177</v>
      </c>
      <c r="C3171" t="s">
        <v>1178</v>
      </c>
      <c r="D3171" t="s">
        <v>875</v>
      </c>
      <c r="E3171" s="1">
        <v>46153.188530092593</v>
      </c>
      <c r="F3171">
        <v>1481</v>
      </c>
      <c r="G3171" t="s">
        <v>1179</v>
      </c>
      <c r="H3171" t="s">
        <v>15</v>
      </c>
      <c r="I3171" t="s">
        <v>877</v>
      </c>
      <c r="J3171" t="str">
        <f>RIGHT(D3171,4)</f>
        <v>4872</v>
      </c>
      <c r="K3171" t="str">
        <f>IFERROR(VLOOKUP(VALUE(J3171),'Site Info'!$A:$G,3,FALSE),"")</f>
        <v>733 FASHION DRIVE</v>
      </c>
      <c r="L3171" t="str">
        <f>IFERROR(VLOOKUP(VALUE(J3171),'Site Info'!$A:$G,4,FALSE),"")</f>
        <v>COLUMBIA</v>
      </c>
      <c r="M3171" t="str">
        <f>IFERROR(VLOOKUP(VALUE(J3171),'Site Info'!$A:$G,5,FALSE),"")</f>
        <v>SC</v>
      </c>
      <c r="N3171" t="str">
        <f>IFERROR(VLOOKUP(VALUE(J3171),'Site Info'!$A:$G,6,FALSE),"")</f>
        <v>29229-0000</v>
      </c>
      <c r="O3171">
        <f>IFERROR(VLOOKUP(VALUE(J3171),'Site Info'!$A:$G,7,FALSE),"")</f>
        <v>8032230994</v>
      </c>
    </row>
    <row r="3172" spans="1:15" x14ac:dyDescent="0.45">
      <c r="A3172" t="s">
        <v>962</v>
      </c>
      <c r="B3172" t="s">
        <v>963</v>
      </c>
      <c r="C3172" t="s">
        <v>964</v>
      </c>
      <c r="D3172" t="s">
        <v>875</v>
      </c>
      <c r="E3172" s="1">
        <v>46153.365995370368</v>
      </c>
      <c r="F3172">
        <v>1481</v>
      </c>
      <c r="G3172" t="s">
        <v>965</v>
      </c>
      <c r="H3172" t="s">
        <v>15</v>
      </c>
      <c r="I3172" t="s">
        <v>877</v>
      </c>
      <c r="J3172" t="str">
        <f>RIGHT(D3172,4)</f>
        <v>4872</v>
      </c>
      <c r="K3172" t="str">
        <f>IFERROR(VLOOKUP(VALUE(J3172),'Site Info'!$A:$G,3,FALSE),"")</f>
        <v>733 FASHION DRIVE</v>
      </c>
      <c r="L3172" t="str">
        <f>IFERROR(VLOOKUP(VALUE(J3172),'Site Info'!$A:$G,4,FALSE),"")</f>
        <v>COLUMBIA</v>
      </c>
      <c r="M3172" t="str">
        <f>IFERROR(VLOOKUP(VALUE(J3172),'Site Info'!$A:$G,5,FALSE),"")</f>
        <v>SC</v>
      </c>
      <c r="N3172" t="str">
        <f>IFERROR(VLOOKUP(VALUE(J3172),'Site Info'!$A:$G,6,FALSE),"")</f>
        <v>29229-0000</v>
      </c>
      <c r="O3172">
        <f>IFERROR(VLOOKUP(VALUE(J3172),'Site Info'!$A:$G,7,FALSE),"")</f>
        <v>8032230994</v>
      </c>
    </row>
    <row r="3173" spans="1:15" x14ac:dyDescent="0.45">
      <c r="A3173" t="s">
        <v>9239</v>
      </c>
      <c r="B3173" t="s">
        <v>9240</v>
      </c>
      <c r="C3173" t="s">
        <v>9241</v>
      </c>
      <c r="D3173" t="s">
        <v>161</v>
      </c>
      <c r="E3173" s="1">
        <v>46149.55541666667</v>
      </c>
      <c r="F3173">
        <v>1547</v>
      </c>
      <c r="G3173" t="s">
        <v>9242</v>
      </c>
      <c r="H3173" t="s">
        <v>15</v>
      </c>
      <c r="I3173" t="s">
        <v>162</v>
      </c>
      <c r="J3173" t="str">
        <f>RIGHT(D3173,4)</f>
        <v>6524</v>
      </c>
      <c r="K3173" t="str">
        <f>IFERROR(VLOOKUP(VALUE(J3173),'Site Info'!$A:$G,3,FALSE),"")</f>
        <v>735 SOUTHPARK BLVD</v>
      </c>
      <c r="L3173" t="str">
        <f>IFERROR(VLOOKUP(VALUE(J3173),'Site Info'!$A:$G,4,FALSE),"")</f>
        <v>COLONIAL HEIGHTS</v>
      </c>
      <c r="M3173" t="str">
        <f>IFERROR(VLOOKUP(VALUE(J3173),'Site Info'!$A:$G,5,FALSE),"")</f>
        <v>VA</v>
      </c>
      <c r="N3173" t="str">
        <f>IFERROR(VLOOKUP(VALUE(J3173),'Site Info'!$A:$G,6,FALSE),"")</f>
        <v>23834-3605</v>
      </c>
      <c r="O3173">
        <f>IFERROR(VLOOKUP(VALUE(J3173),'Site Info'!$A:$G,7,FALSE),"")</f>
        <v>8045200508</v>
      </c>
    </row>
    <row r="3174" spans="1:15" x14ac:dyDescent="0.45">
      <c r="A3174" t="s">
        <v>9800</v>
      </c>
      <c r="B3174" t="s">
        <v>9801</v>
      </c>
      <c r="C3174" t="s">
        <v>9802</v>
      </c>
      <c r="D3174" t="s">
        <v>161</v>
      </c>
      <c r="E3174" s="1">
        <v>46153.183194444442</v>
      </c>
      <c r="F3174">
        <v>1547</v>
      </c>
      <c r="G3174" t="s">
        <v>9803</v>
      </c>
      <c r="H3174" t="s">
        <v>15</v>
      </c>
      <c r="I3174" t="s">
        <v>162</v>
      </c>
      <c r="J3174" t="str">
        <f>RIGHT(D3174,4)</f>
        <v>6524</v>
      </c>
      <c r="K3174" t="str">
        <f>IFERROR(VLOOKUP(VALUE(J3174),'Site Info'!$A:$G,3,FALSE),"")</f>
        <v>735 SOUTHPARK BLVD</v>
      </c>
      <c r="L3174" t="str">
        <f>IFERROR(VLOOKUP(VALUE(J3174),'Site Info'!$A:$G,4,FALSE),"")</f>
        <v>COLONIAL HEIGHTS</v>
      </c>
      <c r="M3174" t="str">
        <f>IFERROR(VLOOKUP(VALUE(J3174),'Site Info'!$A:$G,5,FALSE),"")</f>
        <v>VA</v>
      </c>
      <c r="N3174" t="str">
        <f>IFERROR(VLOOKUP(VALUE(J3174),'Site Info'!$A:$G,6,FALSE),"")</f>
        <v>23834-3605</v>
      </c>
      <c r="O3174">
        <f>IFERROR(VLOOKUP(VALUE(J3174),'Site Info'!$A:$G,7,FALSE),"")</f>
        <v>8045200508</v>
      </c>
    </row>
    <row r="3175" spans="1:15" x14ac:dyDescent="0.45">
      <c r="A3175" t="s">
        <v>13924</v>
      </c>
      <c r="B3175" t="s">
        <v>13925</v>
      </c>
      <c r="C3175" t="s">
        <v>13926</v>
      </c>
      <c r="D3175" t="s">
        <v>161</v>
      </c>
      <c r="E3175" s="1">
        <v>46153.350995370369</v>
      </c>
      <c r="F3175">
        <v>1547</v>
      </c>
      <c r="G3175" t="s">
        <v>13927</v>
      </c>
      <c r="H3175" t="s">
        <v>15</v>
      </c>
      <c r="I3175" t="s">
        <v>162</v>
      </c>
      <c r="J3175" t="str">
        <f>RIGHT(D3175,4)</f>
        <v>6524</v>
      </c>
      <c r="K3175" t="str">
        <f>IFERROR(VLOOKUP(VALUE(J3175),'Site Info'!$A:$G,3,FALSE),"")</f>
        <v>735 SOUTHPARK BLVD</v>
      </c>
      <c r="L3175" t="str">
        <f>IFERROR(VLOOKUP(VALUE(J3175),'Site Info'!$A:$G,4,FALSE),"")</f>
        <v>COLONIAL HEIGHTS</v>
      </c>
      <c r="M3175" t="str">
        <f>IFERROR(VLOOKUP(VALUE(J3175),'Site Info'!$A:$G,5,FALSE),"")</f>
        <v>VA</v>
      </c>
      <c r="N3175" t="str">
        <f>IFERROR(VLOOKUP(VALUE(J3175),'Site Info'!$A:$G,6,FALSE),"")</f>
        <v>23834-3605</v>
      </c>
      <c r="O3175">
        <f>IFERROR(VLOOKUP(VALUE(J3175),'Site Info'!$A:$G,7,FALSE),"")</f>
        <v>8045200508</v>
      </c>
    </row>
    <row r="3176" spans="1:15" x14ac:dyDescent="0.45">
      <c r="A3176" t="s">
        <v>3301</v>
      </c>
      <c r="B3176" t="s">
        <v>3302</v>
      </c>
      <c r="C3176" t="s">
        <v>3303</v>
      </c>
      <c r="D3176" t="s">
        <v>161</v>
      </c>
      <c r="E3176" s="1">
        <v>46097.641655092593</v>
      </c>
      <c r="F3176">
        <v>1481</v>
      </c>
      <c r="G3176" t="s">
        <v>3304</v>
      </c>
      <c r="H3176" t="s">
        <v>15</v>
      </c>
      <c r="I3176" t="s">
        <v>162</v>
      </c>
      <c r="J3176" t="str">
        <f>RIGHT(D3176,4)</f>
        <v>6524</v>
      </c>
      <c r="K3176" t="str">
        <f>IFERROR(VLOOKUP(VALUE(J3176),'Site Info'!$A:$G,3,FALSE),"")</f>
        <v>735 SOUTHPARK BLVD</v>
      </c>
      <c r="L3176" t="str">
        <f>IFERROR(VLOOKUP(VALUE(J3176),'Site Info'!$A:$G,4,FALSE),"")</f>
        <v>COLONIAL HEIGHTS</v>
      </c>
      <c r="M3176" t="str">
        <f>IFERROR(VLOOKUP(VALUE(J3176),'Site Info'!$A:$G,5,FALSE),"")</f>
        <v>VA</v>
      </c>
      <c r="N3176" t="str">
        <f>IFERROR(VLOOKUP(VALUE(J3176),'Site Info'!$A:$G,6,FALSE),"")</f>
        <v>23834-3605</v>
      </c>
      <c r="O3176">
        <f>IFERROR(VLOOKUP(VALUE(J3176),'Site Info'!$A:$G,7,FALSE),"")</f>
        <v>8045200508</v>
      </c>
    </row>
    <row r="3177" spans="1:15" x14ac:dyDescent="0.45">
      <c r="A3177" t="s">
        <v>1712</v>
      </c>
      <c r="B3177" t="s">
        <v>1713</v>
      </c>
      <c r="C3177" t="s">
        <v>1714</v>
      </c>
      <c r="D3177" t="s">
        <v>161</v>
      </c>
      <c r="E3177" s="1">
        <v>46153.311562499999</v>
      </c>
      <c r="F3177">
        <v>1481</v>
      </c>
      <c r="G3177" t="s">
        <v>1715</v>
      </c>
      <c r="H3177" t="s">
        <v>15</v>
      </c>
      <c r="I3177" t="s">
        <v>162</v>
      </c>
      <c r="J3177" t="str">
        <f>RIGHT(D3177,4)</f>
        <v>6524</v>
      </c>
      <c r="K3177" t="str">
        <f>IFERROR(VLOOKUP(VALUE(J3177),'Site Info'!$A:$G,3,FALSE),"")</f>
        <v>735 SOUTHPARK BLVD</v>
      </c>
      <c r="L3177" t="str">
        <f>IFERROR(VLOOKUP(VALUE(J3177),'Site Info'!$A:$G,4,FALSE),"")</f>
        <v>COLONIAL HEIGHTS</v>
      </c>
      <c r="M3177" t="str">
        <f>IFERROR(VLOOKUP(VALUE(J3177),'Site Info'!$A:$G,5,FALSE),"")</f>
        <v>VA</v>
      </c>
      <c r="N3177" t="str">
        <f>IFERROR(VLOOKUP(VALUE(J3177),'Site Info'!$A:$G,6,FALSE),"")</f>
        <v>23834-3605</v>
      </c>
      <c r="O3177">
        <f>IFERROR(VLOOKUP(VALUE(J3177),'Site Info'!$A:$G,7,FALSE),"")</f>
        <v>8045200508</v>
      </c>
    </row>
    <row r="3178" spans="1:15" x14ac:dyDescent="0.45">
      <c r="A3178" t="s">
        <v>16924</v>
      </c>
      <c r="B3178" t="s">
        <v>16925</v>
      </c>
      <c r="C3178" t="s">
        <v>16926</v>
      </c>
      <c r="D3178" t="s">
        <v>161</v>
      </c>
      <c r="E3178" s="1">
        <v>46152.454733796294</v>
      </c>
      <c r="F3178">
        <v>1481</v>
      </c>
      <c r="G3178" t="s">
        <v>16927</v>
      </c>
      <c r="H3178" t="s">
        <v>15</v>
      </c>
      <c r="I3178" t="s">
        <v>162</v>
      </c>
      <c r="J3178" t="str">
        <f>RIGHT(D3178,4)</f>
        <v>6524</v>
      </c>
      <c r="K3178" t="str">
        <f>IFERROR(VLOOKUP(VALUE(J3178),'Site Info'!$A:$G,3,FALSE),"")</f>
        <v>735 SOUTHPARK BLVD</v>
      </c>
      <c r="L3178" t="str">
        <f>IFERROR(VLOOKUP(VALUE(J3178),'Site Info'!$A:$G,4,FALSE),"")</f>
        <v>COLONIAL HEIGHTS</v>
      </c>
      <c r="M3178" t="str">
        <f>IFERROR(VLOOKUP(VALUE(J3178),'Site Info'!$A:$G,5,FALSE),"")</f>
        <v>VA</v>
      </c>
      <c r="N3178" t="str">
        <f>IFERROR(VLOOKUP(VALUE(J3178),'Site Info'!$A:$G,6,FALSE),"")</f>
        <v>23834-3605</v>
      </c>
      <c r="O3178">
        <f>IFERROR(VLOOKUP(VALUE(J3178),'Site Info'!$A:$G,7,FALSE),"")</f>
        <v>8045200508</v>
      </c>
    </row>
    <row r="3179" spans="1:15" x14ac:dyDescent="0.45">
      <c r="A3179" t="s">
        <v>9818</v>
      </c>
      <c r="B3179" t="s">
        <v>9819</v>
      </c>
      <c r="C3179" t="s">
        <v>9820</v>
      </c>
      <c r="D3179" t="s">
        <v>3828</v>
      </c>
      <c r="E3179" s="1">
        <v>46151.67087962963</v>
      </c>
      <c r="F3179">
        <v>1547</v>
      </c>
      <c r="G3179" t="s">
        <v>9821</v>
      </c>
      <c r="H3179" t="s">
        <v>15</v>
      </c>
      <c r="I3179" t="s">
        <v>3830</v>
      </c>
      <c r="J3179" t="str">
        <f>RIGHT(D3179,4)</f>
        <v>6630</v>
      </c>
      <c r="K3179" t="str">
        <f>IFERROR(VLOOKUP(VALUE(J3179),'Site Info'!$A:$G,3,FALSE),"")</f>
        <v>7370 W 52ND AVE</v>
      </c>
      <c r="L3179" t="str">
        <f>IFERROR(VLOOKUP(VALUE(J3179),'Site Info'!$A:$G,4,FALSE),"")</f>
        <v>ARVADA</v>
      </c>
      <c r="M3179" t="str">
        <f>IFERROR(VLOOKUP(VALUE(J3179),'Site Info'!$A:$G,5,FALSE),"")</f>
        <v>CO</v>
      </c>
      <c r="N3179" t="str">
        <f>IFERROR(VLOOKUP(VALUE(J3179),'Site Info'!$A:$G,6,FALSE),"")</f>
        <v>80002-3708</v>
      </c>
      <c r="O3179">
        <f>IFERROR(VLOOKUP(VALUE(J3179),'Site Info'!$A:$G,7,FALSE),"")</f>
        <v>3034208401</v>
      </c>
    </row>
    <row r="3180" spans="1:15" x14ac:dyDescent="0.45">
      <c r="A3180" t="s">
        <v>4170</v>
      </c>
      <c r="B3180" t="s">
        <v>4171</v>
      </c>
      <c r="C3180" t="s">
        <v>4172</v>
      </c>
      <c r="D3180" t="s">
        <v>3828</v>
      </c>
      <c r="E3180" s="1">
        <v>46152.474444444444</v>
      </c>
      <c r="F3180">
        <v>1547</v>
      </c>
      <c r="G3180" t="s">
        <v>4173</v>
      </c>
      <c r="H3180" t="s">
        <v>15</v>
      </c>
      <c r="I3180" t="s">
        <v>3830</v>
      </c>
      <c r="J3180" t="str">
        <f>RIGHT(D3180,4)</f>
        <v>6630</v>
      </c>
      <c r="K3180" t="str">
        <f>IFERROR(VLOOKUP(VALUE(J3180),'Site Info'!$A:$G,3,FALSE),"")</f>
        <v>7370 W 52ND AVE</v>
      </c>
      <c r="L3180" t="str">
        <f>IFERROR(VLOOKUP(VALUE(J3180),'Site Info'!$A:$G,4,FALSE),"")</f>
        <v>ARVADA</v>
      </c>
      <c r="M3180" t="str">
        <f>IFERROR(VLOOKUP(VALUE(J3180),'Site Info'!$A:$G,5,FALSE),"")</f>
        <v>CO</v>
      </c>
      <c r="N3180" t="str">
        <f>IFERROR(VLOOKUP(VALUE(J3180),'Site Info'!$A:$G,6,FALSE),"")</f>
        <v>80002-3708</v>
      </c>
      <c r="O3180">
        <f>IFERROR(VLOOKUP(VALUE(J3180),'Site Info'!$A:$G,7,FALSE),"")</f>
        <v>3034208401</v>
      </c>
    </row>
    <row r="3181" spans="1:15" x14ac:dyDescent="0.45">
      <c r="A3181" t="s">
        <v>10296</v>
      </c>
      <c r="B3181" t="s">
        <v>10297</v>
      </c>
      <c r="C3181" t="s">
        <v>10298</v>
      </c>
      <c r="D3181" t="s">
        <v>3828</v>
      </c>
      <c r="E3181" s="1">
        <v>46153.206192129626</v>
      </c>
      <c r="F3181">
        <v>1547</v>
      </c>
      <c r="G3181" t="s">
        <v>10299</v>
      </c>
      <c r="H3181" t="s">
        <v>15</v>
      </c>
      <c r="I3181" t="s">
        <v>3830</v>
      </c>
      <c r="J3181" t="str">
        <f>RIGHT(D3181,4)</f>
        <v>6630</v>
      </c>
      <c r="K3181" t="str">
        <f>IFERROR(VLOOKUP(VALUE(J3181),'Site Info'!$A:$G,3,FALSE),"")</f>
        <v>7370 W 52ND AVE</v>
      </c>
      <c r="L3181" t="str">
        <f>IFERROR(VLOOKUP(VALUE(J3181),'Site Info'!$A:$G,4,FALSE),"")</f>
        <v>ARVADA</v>
      </c>
      <c r="M3181" t="str">
        <f>IFERROR(VLOOKUP(VALUE(J3181),'Site Info'!$A:$G,5,FALSE),"")</f>
        <v>CO</v>
      </c>
      <c r="N3181" t="str">
        <f>IFERROR(VLOOKUP(VALUE(J3181),'Site Info'!$A:$G,6,FALSE),"")</f>
        <v>80002-3708</v>
      </c>
      <c r="O3181">
        <f>IFERROR(VLOOKUP(VALUE(J3181),'Site Info'!$A:$G,7,FALSE),"")</f>
        <v>3034208401</v>
      </c>
    </row>
    <row r="3182" spans="1:15" x14ac:dyDescent="0.45">
      <c r="A3182" t="s">
        <v>3825</v>
      </c>
      <c r="B3182" t="s">
        <v>3826</v>
      </c>
      <c r="C3182" t="s">
        <v>3827</v>
      </c>
      <c r="D3182" t="s">
        <v>3828</v>
      </c>
      <c r="E3182" s="1">
        <v>46153.257777777777</v>
      </c>
      <c r="F3182">
        <v>1481</v>
      </c>
      <c r="G3182" t="s">
        <v>3829</v>
      </c>
      <c r="H3182" t="s">
        <v>15</v>
      </c>
      <c r="I3182" t="s">
        <v>3830</v>
      </c>
      <c r="J3182" t="str">
        <f>RIGHT(D3182,4)</f>
        <v>6630</v>
      </c>
      <c r="K3182" t="str">
        <f>IFERROR(VLOOKUP(VALUE(J3182),'Site Info'!$A:$G,3,FALSE),"")</f>
        <v>7370 W 52ND AVE</v>
      </c>
      <c r="L3182" t="str">
        <f>IFERROR(VLOOKUP(VALUE(J3182),'Site Info'!$A:$G,4,FALSE),"")</f>
        <v>ARVADA</v>
      </c>
      <c r="M3182" t="str">
        <f>IFERROR(VLOOKUP(VALUE(J3182),'Site Info'!$A:$G,5,FALSE),"")</f>
        <v>CO</v>
      </c>
      <c r="N3182" t="str">
        <f>IFERROR(VLOOKUP(VALUE(J3182),'Site Info'!$A:$G,6,FALSE),"")</f>
        <v>80002-3708</v>
      </c>
      <c r="O3182">
        <f>IFERROR(VLOOKUP(VALUE(J3182),'Site Info'!$A:$G,7,FALSE),"")</f>
        <v>3034208401</v>
      </c>
    </row>
    <row r="3183" spans="1:15" x14ac:dyDescent="0.45">
      <c r="A3183" t="s">
        <v>16493</v>
      </c>
      <c r="B3183" t="s">
        <v>16986</v>
      </c>
      <c r="C3183" t="s">
        <v>16987</v>
      </c>
      <c r="D3183" t="s">
        <v>3828</v>
      </c>
      <c r="E3183" s="1">
        <v>46153.239131944443</v>
      </c>
      <c r="F3183">
        <v>1628</v>
      </c>
      <c r="G3183" t="s">
        <v>16988</v>
      </c>
      <c r="H3183" t="s">
        <v>13988</v>
      </c>
      <c r="I3183" t="s">
        <v>3830</v>
      </c>
      <c r="J3183" t="str">
        <f>RIGHT(D3183,4)</f>
        <v>6630</v>
      </c>
      <c r="K3183" t="str">
        <f>IFERROR(VLOOKUP(VALUE(J3183),'Site Info'!$A:$G,3,FALSE),"")</f>
        <v>7370 W 52ND AVE</v>
      </c>
      <c r="L3183" t="str">
        <f>IFERROR(VLOOKUP(VALUE(J3183),'Site Info'!$A:$G,4,FALSE),"")</f>
        <v>ARVADA</v>
      </c>
      <c r="M3183" t="str">
        <f>IFERROR(VLOOKUP(VALUE(J3183),'Site Info'!$A:$G,5,FALSE),"")</f>
        <v>CO</v>
      </c>
      <c r="N3183" t="str">
        <f>IFERROR(VLOOKUP(VALUE(J3183),'Site Info'!$A:$G,6,FALSE),"")</f>
        <v>80002-3708</v>
      </c>
      <c r="O3183">
        <f>IFERROR(VLOOKUP(VALUE(J3183),'Site Info'!$A:$G,7,FALSE),"")</f>
        <v>3034208401</v>
      </c>
    </row>
    <row r="3184" spans="1:15" x14ac:dyDescent="0.45">
      <c r="A3184" t="s">
        <v>16583</v>
      </c>
      <c r="B3184" t="s">
        <v>16989</v>
      </c>
      <c r="C3184" t="s">
        <v>16990</v>
      </c>
      <c r="D3184" t="s">
        <v>3828</v>
      </c>
      <c r="E3184" s="1">
        <v>46153.352511574078</v>
      </c>
      <c r="F3184">
        <v>1547</v>
      </c>
      <c r="G3184" t="s">
        <v>16991</v>
      </c>
      <c r="H3184" t="s">
        <v>15</v>
      </c>
      <c r="I3184" t="s">
        <v>3830</v>
      </c>
      <c r="J3184" t="str">
        <f>RIGHT(D3184,4)</f>
        <v>6630</v>
      </c>
      <c r="K3184" t="str">
        <f>IFERROR(VLOOKUP(VALUE(J3184),'Site Info'!$A:$G,3,FALSE),"")</f>
        <v>7370 W 52ND AVE</v>
      </c>
      <c r="L3184" t="str">
        <f>IFERROR(VLOOKUP(VALUE(J3184),'Site Info'!$A:$G,4,FALSE),"")</f>
        <v>ARVADA</v>
      </c>
      <c r="M3184" t="str">
        <f>IFERROR(VLOOKUP(VALUE(J3184),'Site Info'!$A:$G,5,FALSE),"")</f>
        <v>CO</v>
      </c>
      <c r="N3184" t="str">
        <f>IFERROR(VLOOKUP(VALUE(J3184),'Site Info'!$A:$G,6,FALSE),"")</f>
        <v>80002-3708</v>
      </c>
      <c r="O3184">
        <f>IFERROR(VLOOKUP(VALUE(J3184),'Site Info'!$A:$G,7,FALSE),"")</f>
        <v>3034208401</v>
      </c>
    </row>
    <row r="3185" spans="1:15" x14ac:dyDescent="0.45">
      <c r="A3185" t="s">
        <v>5666</v>
      </c>
      <c r="B3185" t="s">
        <v>5667</v>
      </c>
      <c r="C3185" t="s">
        <v>5668</v>
      </c>
      <c r="D3185" t="s">
        <v>5669</v>
      </c>
      <c r="E3185" s="1">
        <v>46151.503194444442</v>
      </c>
      <c r="F3185">
        <v>1547</v>
      </c>
      <c r="G3185" t="s">
        <v>5670</v>
      </c>
      <c r="H3185" t="s">
        <v>15</v>
      </c>
      <c r="I3185" t="s">
        <v>5671</v>
      </c>
      <c r="J3185" t="str">
        <f>RIGHT(D3185,4)</f>
        <v>6361</v>
      </c>
      <c r="K3185" t="str">
        <f>IFERROR(VLOOKUP(VALUE(J3185),'Site Info'!$A:$G,3,FALSE),"")</f>
        <v>740 BEAL PKWY NW</v>
      </c>
      <c r="L3185" t="str">
        <f>IFERROR(VLOOKUP(VALUE(J3185),'Site Info'!$A:$G,4,FALSE),"")</f>
        <v>FORT WALTON BEACH</v>
      </c>
      <c r="M3185" t="str">
        <f>IFERROR(VLOOKUP(VALUE(J3185),'Site Info'!$A:$G,5,FALSE),"")</f>
        <v>FL</v>
      </c>
      <c r="N3185" t="str">
        <f>IFERROR(VLOOKUP(VALUE(J3185),'Site Info'!$A:$G,6,FALSE),"")</f>
        <v>32547-3002</v>
      </c>
      <c r="O3185">
        <f>IFERROR(VLOOKUP(VALUE(J3185),'Site Info'!$A:$G,7,FALSE),"")</f>
        <v>8508625330</v>
      </c>
    </row>
    <row r="3186" spans="1:15" x14ac:dyDescent="0.45">
      <c r="A3186" t="s">
        <v>11112</v>
      </c>
      <c r="B3186" t="s">
        <v>11113</v>
      </c>
      <c r="C3186" t="s">
        <v>11114</v>
      </c>
      <c r="D3186" t="s">
        <v>5669</v>
      </c>
      <c r="E3186" s="1">
        <v>46151.744062500002</v>
      </c>
      <c r="F3186">
        <v>1547</v>
      </c>
      <c r="G3186" t="s">
        <v>11115</v>
      </c>
      <c r="H3186" t="s">
        <v>15</v>
      </c>
      <c r="I3186" t="s">
        <v>5671</v>
      </c>
      <c r="J3186" t="str">
        <f>RIGHT(D3186,4)</f>
        <v>6361</v>
      </c>
      <c r="K3186" t="str">
        <f>IFERROR(VLOOKUP(VALUE(J3186),'Site Info'!$A:$G,3,FALSE),"")</f>
        <v>740 BEAL PKWY NW</v>
      </c>
      <c r="L3186" t="str">
        <f>IFERROR(VLOOKUP(VALUE(J3186),'Site Info'!$A:$G,4,FALSE),"")</f>
        <v>FORT WALTON BEACH</v>
      </c>
      <c r="M3186" t="str">
        <f>IFERROR(VLOOKUP(VALUE(J3186),'Site Info'!$A:$G,5,FALSE),"")</f>
        <v>FL</v>
      </c>
      <c r="N3186" t="str">
        <f>IFERROR(VLOOKUP(VALUE(J3186),'Site Info'!$A:$G,6,FALSE),"")</f>
        <v>32547-3002</v>
      </c>
      <c r="O3186">
        <f>IFERROR(VLOOKUP(VALUE(J3186),'Site Info'!$A:$G,7,FALSE),"")</f>
        <v>8508625330</v>
      </c>
    </row>
    <row r="3187" spans="1:15" x14ac:dyDescent="0.45">
      <c r="A3187" t="s">
        <v>14427</v>
      </c>
      <c r="B3187" t="s">
        <v>14428</v>
      </c>
      <c r="C3187" t="s">
        <v>14429</v>
      </c>
      <c r="D3187" t="s">
        <v>5669</v>
      </c>
      <c r="E3187" s="1">
        <v>46153.177094907405</v>
      </c>
      <c r="F3187">
        <v>1547</v>
      </c>
      <c r="G3187" t="s">
        <v>14430</v>
      </c>
      <c r="H3187" t="s">
        <v>15</v>
      </c>
      <c r="I3187" t="s">
        <v>5671</v>
      </c>
      <c r="J3187" t="str">
        <f>RIGHT(D3187,4)</f>
        <v>6361</v>
      </c>
      <c r="K3187" t="str">
        <f>IFERROR(VLOOKUP(VALUE(J3187),'Site Info'!$A:$G,3,FALSE),"")</f>
        <v>740 BEAL PKWY NW</v>
      </c>
      <c r="L3187" t="str">
        <f>IFERROR(VLOOKUP(VALUE(J3187),'Site Info'!$A:$G,4,FALSE),"")</f>
        <v>FORT WALTON BEACH</v>
      </c>
      <c r="M3187" t="str">
        <f>IFERROR(VLOOKUP(VALUE(J3187),'Site Info'!$A:$G,5,FALSE),"")</f>
        <v>FL</v>
      </c>
      <c r="N3187" t="str">
        <f>IFERROR(VLOOKUP(VALUE(J3187),'Site Info'!$A:$G,6,FALSE),"")</f>
        <v>32547-3002</v>
      </c>
      <c r="O3187">
        <f>IFERROR(VLOOKUP(VALUE(J3187),'Site Info'!$A:$G,7,FALSE),"")</f>
        <v>8508625330</v>
      </c>
    </row>
    <row r="3188" spans="1:15" x14ac:dyDescent="0.45">
      <c r="A3188" t="s">
        <v>13263</v>
      </c>
      <c r="B3188" t="s">
        <v>13264</v>
      </c>
      <c r="C3188" t="s">
        <v>13265</v>
      </c>
      <c r="D3188" t="s">
        <v>5669</v>
      </c>
      <c r="E3188" s="1">
        <v>46153.296423611115</v>
      </c>
      <c r="F3188">
        <v>1547</v>
      </c>
      <c r="G3188" t="s">
        <v>13266</v>
      </c>
      <c r="H3188" t="s">
        <v>15</v>
      </c>
      <c r="I3188" t="s">
        <v>5671</v>
      </c>
      <c r="J3188" t="str">
        <f>RIGHT(D3188,4)</f>
        <v>6361</v>
      </c>
      <c r="K3188" t="str">
        <f>IFERROR(VLOOKUP(VALUE(J3188),'Site Info'!$A:$G,3,FALSE),"")</f>
        <v>740 BEAL PKWY NW</v>
      </c>
      <c r="L3188" t="str">
        <f>IFERROR(VLOOKUP(VALUE(J3188),'Site Info'!$A:$G,4,FALSE),"")</f>
        <v>FORT WALTON BEACH</v>
      </c>
      <c r="M3188" t="str">
        <f>IFERROR(VLOOKUP(VALUE(J3188),'Site Info'!$A:$G,5,FALSE),"")</f>
        <v>FL</v>
      </c>
      <c r="N3188" t="str">
        <f>IFERROR(VLOOKUP(VALUE(J3188),'Site Info'!$A:$G,6,FALSE),"")</f>
        <v>32547-3002</v>
      </c>
      <c r="O3188">
        <f>IFERROR(VLOOKUP(VALUE(J3188),'Site Info'!$A:$G,7,FALSE),"")</f>
        <v>8508625330</v>
      </c>
    </row>
    <row r="3189" spans="1:15" x14ac:dyDescent="0.45">
      <c r="A3189" t="s">
        <v>11228</v>
      </c>
      <c r="B3189" t="s">
        <v>11229</v>
      </c>
      <c r="C3189" t="s">
        <v>11230</v>
      </c>
      <c r="D3189" t="s">
        <v>5669</v>
      </c>
      <c r="E3189" s="1">
        <v>46153.31659722222</v>
      </c>
      <c r="F3189">
        <v>1547</v>
      </c>
      <c r="G3189" t="s">
        <v>11231</v>
      </c>
      <c r="H3189" t="s">
        <v>15</v>
      </c>
      <c r="I3189" t="s">
        <v>5671</v>
      </c>
      <c r="J3189" t="str">
        <f>RIGHT(D3189,4)</f>
        <v>6361</v>
      </c>
      <c r="K3189" t="str">
        <f>IFERROR(VLOOKUP(VALUE(J3189),'Site Info'!$A:$G,3,FALSE),"")</f>
        <v>740 BEAL PKWY NW</v>
      </c>
      <c r="L3189" t="str">
        <f>IFERROR(VLOOKUP(VALUE(J3189),'Site Info'!$A:$G,4,FALSE),"")</f>
        <v>FORT WALTON BEACH</v>
      </c>
      <c r="M3189" t="str">
        <f>IFERROR(VLOOKUP(VALUE(J3189),'Site Info'!$A:$G,5,FALSE),"")</f>
        <v>FL</v>
      </c>
      <c r="N3189" t="str">
        <f>IFERROR(VLOOKUP(VALUE(J3189),'Site Info'!$A:$G,6,FALSE),"")</f>
        <v>32547-3002</v>
      </c>
      <c r="O3189">
        <f>IFERROR(VLOOKUP(VALUE(J3189),'Site Info'!$A:$G,7,FALSE),"")</f>
        <v>8508625330</v>
      </c>
    </row>
    <row r="3190" spans="1:15" x14ac:dyDescent="0.45">
      <c r="A3190" t="s">
        <v>7262</v>
      </c>
      <c r="B3190" t="s">
        <v>7263</v>
      </c>
      <c r="C3190" t="s">
        <v>7264</v>
      </c>
      <c r="D3190" t="s">
        <v>7265</v>
      </c>
      <c r="E3190" s="1">
        <v>46152.669293981482</v>
      </c>
      <c r="F3190">
        <v>1547</v>
      </c>
      <c r="G3190" t="s">
        <v>7266</v>
      </c>
      <c r="H3190" t="s">
        <v>15</v>
      </c>
      <c r="I3190" t="s">
        <v>7267</v>
      </c>
      <c r="J3190" t="str">
        <f>RIGHT(D3190,4)</f>
        <v>8273</v>
      </c>
      <c r="K3190" t="str">
        <f>IFERROR(VLOOKUP(VALUE(J3190),'Site Info'!$A:$G,3,FALSE),"")</f>
        <v>7400 YOUREE DR</v>
      </c>
      <c r="L3190" t="str">
        <f>IFERROR(VLOOKUP(VALUE(J3190),'Site Info'!$A:$G,4,FALSE),"")</f>
        <v>SHREVEPORT</v>
      </c>
      <c r="M3190" t="str">
        <f>IFERROR(VLOOKUP(VALUE(J3190),'Site Info'!$A:$G,5,FALSE),"")</f>
        <v>LA</v>
      </c>
      <c r="N3190" t="str">
        <f>IFERROR(VLOOKUP(VALUE(J3190),'Site Info'!$A:$G,6,FALSE),"")</f>
        <v>71105-5536</v>
      </c>
      <c r="O3190">
        <f>IFERROR(VLOOKUP(VALUE(J3190),'Site Info'!$A:$G,7,FALSE),"")</f>
        <v>3187982043</v>
      </c>
    </row>
    <row r="3191" spans="1:15" x14ac:dyDescent="0.45">
      <c r="A3191" t="s">
        <v>8697</v>
      </c>
      <c r="B3191" t="s">
        <v>8698</v>
      </c>
      <c r="C3191" t="s">
        <v>8699</v>
      </c>
      <c r="D3191" t="s">
        <v>7265</v>
      </c>
      <c r="E3191" s="1">
        <v>46153.212453703702</v>
      </c>
      <c r="F3191">
        <v>1547</v>
      </c>
      <c r="G3191" t="s">
        <v>8700</v>
      </c>
      <c r="H3191" t="s">
        <v>15</v>
      </c>
      <c r="I3191" t="s">
        <v>7267</v>
      </c>
      <c r="J3191" t="str">
        <f>RIGHT(D3191,4)</f>
        <v>8273</v>
      </c>
      <c r="K3191" t="str">
        <f>IFERROR(VLOOKUP(VALUE(J3191),'Site Info'!$A:$G,3,FALSE),"")</f>
        <v>7400 YOUREE DR</v>
      </c>
      <c r="L3191" t="str">
        <f>IFERROR(VLOOKUP(VALUE(J3191),'Site Info'!$A:$G,4,FALSE),"")</f>
        <v>SHREVEPORT</v>
      </c>
      <c r="M3191" t="str">
        <f>IFERROR(VLOOKUP(VALUE(J3191),'Site Info'!$A:$G,5,FALSE),"")</f>
        <v>LA</v>
      </c>
      <c r="N3191" t="str">
        <f>IFERROR(VLOOKUP(VALUE(J3191),'Site Info'!$A:$G,6,FALSE),"")</f>
        <v>71105-5536</v>
      </c>
      <c r="O3191">
        <f>IFERROR(VLOOKUP(VALUE(J3191),'Site Info'!$A:$G,7,FALSE),"")</f>
        <v>3187982043</v>
      </c>
    </row>
    <row r="3192" spans="1:15" x14ac:dyDescent="0.45">
      <c r="A3192" t="s">
        <v>7993</v>
      </c>
      <c r="B3192" t="s">
        <v>7994</v>
      </c>
      <c r="C3192" t="s">
        <v>7995</v>
      </c>
      <c r="D3192" t="s">
        <v>7265</v>
      </c>
      <c r="E3192" s="1">
        <v>46153.35796296296</v>
      </c>
      <c r="F3192">
        <v>1547</v>
      </c>
      <c r="G3192" t="s">
        <v>7996</v>
      </c>
      <c r="H3192" t="s">
        <v>15</v>
      </c>
      <c r="I3192" t="s">
        <v>7267</v>
      </c>
      <c r="J3192" t="str">
        <f>RIGHT(D3192,4)</f>
        <v>8273</v>
      </c>
      <c r="K3192" t="str">
        <f>IFERROR(VLOOKUP(VALUE(J3192),'Site Info'!$A:$G,3,FALSE),"")</f>
        <v>7400 YOUREE DR</v>
      </c>
      <c r="L3192" t="str">
        <f>IFERROR(VLOOKUP(VALUE(J3192),'Site Info'!$A:$G,4,FALSE),"")</f>
        <v>SHREVEPORT</v>
      </c>
      <c r="M3192" t="str">
        <f>IFERROR(VLOOKUP(VALUE(J3192),'Site Info'!$A:$G,5,FALSE),"")</f>
        <v>LA</v>
      </c>
      <c r="N3192" t="str">
        <f>IFERROR(VLOOKUP(VALUE(J3192),'Site Info'!$A:$G,6,FALSE),"")</f>
        <v>71105-5536</v>
      </c>
      <c r="O3192">
        <f>IFERROR(VLOOKUP(VALUE(J3192),'Site Info'!$A:$G,7,FALSE),"")</f>
        <v>3187982043</v>
      </c>
    </row>
    <row r="3193" spans="1:15" x14ac:dyDescent="0.45">
      <c r="A3193" t="s">
        <v>7559</v>
      </c>
      <c r="B3193" t="s">
        <v>7560</v>
      </c>
      <c r="C3193" t="s">
        <v>7561</v>
      </c>
      <c r="D3193" t="s">
        <v>7265</v>
      </c>
      <c r="E3193" s="1">
        <v>46153.361203703702</v>
      </c>
      <c r="F3193">
        <v>1547</v>
      </c>
      <c r="G3193" t="s">
        <v>7562</v>
      </c>
      <c r="H3193" t="s">
        <v>15</v>
      </c>
      <c r="I3193" t="s">
        <v>7267</v>
      </c>
      <c r="J3193" t="str">
        <f>RIGHT(D3193,4)</f>
        <v>8273</v>
      </c>
      <c r="K3193" t="str">
        <f>IFERROR(VLOOKUP(VALUE(J3193),'Site Info'!$A:$G,3,FALSE),"")</f>
        <v>7400 YOUREE DR</v>
      </c>
      <c r="L3193" t="str">
        <f>IFERROR(VLOOKUP(VALUE(J3193),'Site Info'!$A:$G,4,FALSE),"")</f>
        <v>SHREVEPORT</v>
      </c>
      <c r="M3193" t="str">
        <f>IFERROR(VLOOKUP(VALUE(J3193),'Site Info'!$A:$G,5,FALSE),"")</f>
        <v>LA</v>
      </c>
      <c r="N3193" t="str">
        <f>IFERROR(VLOOKUP(VALUE(J3193),'Site Info'!$A:$G,6,FALSE),"")</f>
        <v>71105-5536</v>
      </c>
      <c r="O3193">
        <f>IFERROR(VLOOKUP(VALUE(J3193),'Site Info'!$A:$G,7,FALSE),"")</f>
        <v>3187982043</v>
      </c>
    </row>
    <row r="3194" spans="1:15" x14ac:dyDescent="0.45">
      <c r="A3194" t="s">
        <v>8565</v>
      </c>
      <c r="B3194" t="s">
        <v>8566</v>
      </c>
      <c r="C3194" t="s">
        <v>8567</v>
      </c>
      <c r="D3194" t="s">
        <v>1873</v>
      </c>
      <c r="E3194" s="1">
        <v>46151.715069444443</v>
      </c>
      <c r="F3194">
        <v>1547</v>
      </c>
      <c r="G3194" t="s">
        <v>8568</v>
      </c>
      <c r="H3194" t="s">
        <v>15</v>
      </c>
      <c r="I3194" t="s">
        <v>1875</v>
      </c>
      <c r="J3194" t="str">
        <f>RIGHT(D3194,4)</f>
        <v>4985</v>
      </c>
      <c r="K3194" t="str">
        <f>IFERROR(VLOOKUP(VALUE(J3194),'Site Info'!$A:$G,3,FALSE),"")</f>
        <v>745 W EL CAMINO ALTO ST</v>
      </c>
      <c r="L3194" t="str">
        <f>IFERROR(VLOOKUP(VALUE(J3194),'Site Info'!$A:$G,4,FALSE),"")</f>
        <v>SPRINGFIELD</v>
      </c>
      <c r="M3194" t="str">
        <f>IFERROR(VLOOKUP(VALUE(J3194),'Site Info'!$A:$G,5,FALSE),"")</f>
        <v>MO</v>
      </c>
      <c r="N3194" t="str">
        <f>IFERROR(VLOOKUP(VALUE(J3194),'Site Info'!$A:$G,6,FALSE),"")</f>
        <v>65810-1800</v>
      </c>
      <c r="O3194">
        <f>IFERROR(VLOOKUP(VALUE(J3194),'Site Info'!$A:$G,7,FALSE),"")</f>
        <v>4178819676</v>
      </c>
    </row>
    <row r="3195" spans="1:15" x14ac:dyDescent="0.45">
      <c r="A3195" t="s">
        <v>7198</v>
      </c>
      <c r="B3195" t="s">
        <v>7199</v>
      </c>
      <c r="C3195" t="s">
        <v>7200</v>
      </c>
      <c r="D3195" t="s">
        <v>1873</v>
      </c>
      <c r="E3195" s="1">
        <v>46152.460023148145</v>
      </c>
      <c r="F3195">
        <v>1547</v>
      </c>
      <c r="G3195" t="s">
        <v>7201</v>
      </c>
      <c r="H3195" t="s">
        <v>15</v>
      </c>
      <c r="I3195" t="s">
        <v>1875</v>
      </c>
      <c r="J3195" t="str">
        <f>RIGHT(D3195,4)</f>
        <v>4985</v>
      </c>
      <c r="K3195" t="str">
        <f>IFERROR(VLOOKUP(VALUE(J3195),'Site Info'!$A:$G,3,FALSE),"")</f>
        <v>745 W EL CAMINO ALTO ST</v>
      </c>
      <c r="L3195" t="str">
        <f>IFERROR(VLOOKUP(VALUE(J3195),'Site Info'!$A:$G,4,FALSE),"")</f>
        <v>SPRINGFIELD</v>
      </c>
      <c r="M3195" t="str">
        <f>IFERROR(VLOOKUP(VALUE(J3195),'Site Info'!$A:$G,5,FALSE),"")</f>
        <v>MO</v>
      </c>
      <c r="N3195" t="str">
        <f>IFERROR(VLOOKUP(VALUE(J3195),'Site Info'!$A:$G,6,FALSE),"")</f>
        <v>65810-1800</v>
      </c>
      <c r="O3195">
        <f>IFERROR(VLOOKUP(VALUE(J3195),'Site Info'!$A:$G,7,FALSE),"")</f>
        <v>4178819676</v>
      </c>
    </row>
    <row r="3196" spans="1:15" x14ac:dyDescent="0.45">
      <c r="A3196" t="s">
        <v>7989</v>
      </c>
      <c r="B3196" t="s">
        <v>7990</v>
      </c>
      <c r="C3196" t="s">
        <v>7991</v>
      </c>
      <c r="D3196" t="s">
        <v>1873</v>
      </c>
      <c r="E3196" s="1">
        <v>46153.317025462966</v>
      </c>
      <c r="F3196">
        <v>1547</v>
      </c>
      <c r="G3196" t="s">
        <v>7992</v>
      </c>
      <c r="H3196" t="s">
        <v>15</v>
      </c>
      <c r="I3196" t="s">
        <v>1875</v>
      </c>
      <c r="J3196" t="str">
        <f>RIGHT(D3196,4)</f>
        <v>4985</v>
      </c>
      <c r="K3196" t="str">
        <f>IFERROR(VLOOKUP(VALUE(J3196),'Site Info'!$A:$G,3,FALSE),"")</f>
        <v>745 W EL CAMINO ALTO ST</v>
      </c>
      <c r="L3196" t="str">
        <f>IFERROR(VLOOKUP(VALUE(J3196),'Site Info'!$A:$G,4,FALSE),"")</f>
        <v>SPRINGFIELD</v>
      </c>
      <c r="M3196" t="str">
        <f>IFERROR(VLOOKUP(VALUE(J3196),'Site Info'!$A:$G,5,FALSE),"")</f>
        <v>MO</v>
      </c>
      <c r="N3196" t="str">
        <f>IFERROR(VLOOKUP(VALUE(J3196),'Site Info'!$A:$G,6,FALSE),"")</f>
        <v>65810-1800</v>
      </c>
      <c r="O3196">
        <f>IFERROR(VLOOKUP(VALUE(J3196),'Site Info'!$A:$G,7,FALSE),"")</f>
        <v>4178819676</v>
      </c>
    </row>
    <row r="3197" spans="1:15" x14ac:dyDescent="0.45">
      <c r="A3197" t="s">
        <v>1870</v>
      </c>
      <c r="B3197" t="s">
        <v>1871</v>
      </c>
      <c r="C3197" t="s">
        <v>1872</v>
      </c>
      <c r="D3197" t="s">
        <v>1873</v>
      </c>
      <c r="E3197" s="1">
        <v>46153.34883101852</v>
      </c>
      <c r="F3197">
        <v>1481</v>
      </c>
      <c r="G3197" t="s">
        <v>1874</v>
      </c>
      <c r="H3197" t="s">
        <v>15</v>
      </c>
      <c r="I3197" t="s">
        <v>1875</v>
      </c>
      <c r="J3197" t="str">
        <f>RIGHT(D3197,4)</f>
        <v>4985</v>
      </c>
      <c r="K3197" t="str">
        <f>IFERROR(VLOOKUP(VALUE(J3197),'Site Info'!$A:$G,3,FALSE),"")</f>
        <v>745 W EL CAMINO ALTO ST</v>
      </c>
      <c r="L3197" t="str">
        <f>IFERROR(VLOOKUP(VALUE(J3197),'Site Info'!$A:$G,4,FALSE),"")</f>
        <v>SPRINGFIELD</v>
      </c>
      <c r="M3197" t="str">
        <f>IFERROR(VLOOKUP(VALUE(J3197),'Site Info'!$A:$G,5,FALSE),"")</f>
        <v>MO</v>
      </c>
      <c r="N3197" t="str">
        <f>IFERROR(VLOOKUP(VALUE(J3197),'Site Info'!$A:$G,6,FALSE),"")</f>
        <v>65810-1800</v>
      </c>
      <c r="O3197">
        <f>IFERROR(VLOOKUP(VALUE(J3197),'Site Info'!$A:$G,7,FALSE),"")</f>
        <v>4178819676</v>
      </c>
    </row>
    <row r="3198" spans="1:15" x14ac:dyDescent="0.45">
      <c r="A3198" t="s">
        <v>7693</v>
      </c>
      <c r="B3198" t="s">
        <v>7694</v>
      </c>
      <c r="C3198" t="s">
        <v>7695</v>
      </c>
      <c r="D3198" t="s">
        <v>2668</v>
      </c>
      <c r="E3198" s="1">
        <v>46151.751261574071</v>
      </c>
      <c r="F3198">
        <v>1547</v>
      </c>
      <c r="G3198" t="s">
        <v>7696</v>
      </c>
      <c r="H3198" t="s">
        <v>15</v>
      </c>
      <c r="I3198" t="s">
        <v>2670</v>
      </c>
      <c r="J3198" t="str">
        <f>RIGHT(D3198,4)</f>
        <v>6256</v>
      </c>
      <c r="K3198" t="str">
        <f>IFERROR(VLOOKUP(VALUE(J3198),'Site Info'!$A:$G,3,FALSE),"")</f>
        <v>7475 WINCHESTER RD</v>
      </c>
      <c r="L3198" t="str">
        <f>IFERROR(VLOOKUP(VALUE(J3198),'Site Info'!$A:$G,4,FALSE),"")</f>
        <v>MEMPHIS</v>
      </c>
      <c r="M3198" t="str">
        <f>IFERROR(VLOOKUP(VALUE(J3198),'Site Info'!$A:$G,5,FALSE),"")</f>
        <v>TN</v>
      </c>
      <c r="N3198" t="str">
        <f>IFERROR(VLOOKUP(VALUE(J3198),'Site Info'!$A:$G,6,FALSE),"")</f>
        <v>38125-2202</v>
      </c>
      <c r="O3198">
        <f>IFERROR(VLOOKUP(VALUE(J3198),'Site Info'!$A:$G,7,FALSE),"")</f>
        <v>9017540324</v>
      </c>
    </row>
    <row r="3199" spans="1:15" x14ac:dyDescent="0.45">
      <c r="A3199" t="s">
        <v>5616</v>
      </c>
      <c r="B3199" t="s">
        <v>5617</v>
      </c>
      <c r="C3199" t="s">
        <v>5618</v>
      </c>
      <c r="D3199" t="s">
        <v>2668</v>
      </c>
      <c r="E3199" s="1">
        <v>46152.461469907408</v>
      </c>
      <c r="F3199">
        <v>1547</v>
      </c>
      <c r="G3199" t="s">
        <v>5619</v>
      </c>
      <c r="H3199" t="s">
        <v>15</v>
      </c>
      <c r="I3199" t="s">
        <v>2670</v>
      </c>
      <c r="J3199" t="str">
        <f>RIGHT(D3199,4)</f>
        <v>6256</v>
      </c>
      <c r="K3199" t="str">
        <f>IFERROR(VLOOKUP(VALUE(J3199),'Site Info'!$A:$G,3,FALSE),"")</f>
        <v>7475 WINCHESTER RD</v>
      </c>
      <c r="L3199" t="str">
        <f>IFERROR(VLOOKUP(VALUE(J3199),'Site Info'!$A:$G,4,FALSE),"")</f>
        <v>MEMPHIS</v>
      </c>
      <c r="M3199" t="str">
        <f>IFERROR(VLOOKUP(VALUE(J3199),'Site Info'!$A:$G,5,FALSE),"")</f>
        <v>TN</v>
      </c>
      <c r="N3199" t="str">
        <f>IFERROR(VLOOKUP(VALUE(J3199),'Site Info'!$A:$G,6,FALSE),"")</f>
        <v>38125-2202</v>
      </c>
      <c r="O3199">
        <f>IFERROR(VLOOKUP(VALUE(J3199),'Site Info'!$A:$G,7,FALSE),"")</f>
        <v>9017540324</v>
      </c>
    </row>
    <row r="3200" spans="1:15" x14ac:dyDescent="0.45">
      <c r="A3200" t="s">
        <v>7875</v>
      </c>
      <c r="B3200" t="s">
        <v>7876</v>
      </c>
      <c r="C3200" t="s">
        <v>7877</v>
      </c>
      <c r="D3200" t="s">
        <v>2668</v>
      </c>
      <c r="E3200" s="1">
        <v>46153.343553240738</v>
      </c>
      <c r="F3200">
        <v>1547</v>
      </c>
      <c r="G3200" t="s">
        <v>7878</v>
      </c>
      <c r="H3200" t="s">
        <v>15</v>
      </c>
      <c r="I3200" t="s">
        <v>2670</v>
      </c>
      <c r="J3200" t="str">
        <f>RIGHT(D3200,4)</f>
        <v>6256</v>
      </c>
      <c r="K3200" t="str">
        <f>IFERROR(VLOOKUP(VALUE(J3200),'Site Info'!$A:$G,3,FALSE),"")</f>
        <v>7475 WINCHESTER RD</v>
      </c>
      <c r="L3200" t="str">
        <f>IFERROR(VLOOKUP(VALUE(J3200),'Site Info'!$A:$G,4,FALSE),"")</f>
        <v>MEMPHIS</v>
      </c>
      <c r="M3200" t="str">
        <f>IFERROR(VLOOKUP(VALUE(J3200),'Site Info'!$A:$G,5,FALSE),"")</f>
        <v>TN</v>
      </c>
      <c r="N3200" t="str">
        <f>IFERROR(VLOOKUP(VALUE(J3200),'Site Info'!$A:$G,6,FALSE),"")</f>
        <v>38125-2202</v>
      </c>
      <c r="O3200">
        <f>IFERROR(VLOOKUP(VALUE(J3200),'Site Info'!$A:$G,7,FALSE),"")</f>
        <v>9017540324</v>
      </c>
    </row>
    <row r="3201" spans="1:15" x14ac:dyDescent="0.45">
      <c r="A3201" t="s">
        <v>2665</v>
      </c>
      <c r="B3201" t="s">
        <v>2666</v>
      </c>
      <c r="C3201" t="s">
        <v>2667</v>
      </c>
      <c r="D3201" t="s">
        <v>2668</v>
      </c>
      <c r="E3201" s="1">
        <v>46152.307280092595</v>
      </c>
      <c r="F3201">
        <v>1481</v>
      </c>
      <c r="G3201" t="s">
        <v>2669</v>
      </c>
      <c r="H3201" t="s">
        <v>15</v>
      </c>
      <c r="I3201" t="s">
        <v>2670</v>
      </c>
      <c r="J3201" t="str">
        <f>RIGHT(D3201,4)</f>
        <v>6256</v>
      </c>
      <c r="K3201" t="str">
        <f>IFERROR(VLOOKUP(VALUE(J3201),'Site Info'!$A:$G,3,FALSE),"")</f>
        <v>7475 WINCHESTER RD</v>
      </c>
      <c r="L3201" t="str">
        <f>IFERROR(VLOOKUP(VALUE(J3201),'Site Info'!$A:$G,4,FALSE),"")</f>
        <v>MEMPHIS</v>
      </c>
      <c r="M3201" t="str">
        <f>IFERROR(VLOOKUP(VALUE(J3201),'Site Info'!$A:$G,5,FALSE),"")</f>
        <v>TN</v>
      </c>
      <c r="N3201" t="str">
        <f>IFERROR(VLOOKUP(VALUE(J3201),'Site Info'!$A:$G,6,FALSE),"")</f>
        <v>38125-2202</v>
      </c>
      <c r="O3201">
        <f>IFERROR(VLOOKUP(VALUE(J3201),'Site Info'!$A:$G,7,FALSE),"")</f>
        <v>9017540324</v>
      </c>
    </row>
    <row r="3202" spans="1:15" x14ac:dyDescent="0.45">
      <c r="A3202" t="s">
        <v>9888</v>
      </c>
      <c r="B3202" t="s">
        <v>9889</v>
      </c>
      <c r="C3202" t="s">
        <v>9890</v>
      </c>
      <c r="D3202" t="s">
        <v>9885</v>
      </c>
      <c r="E3202" s="1">
        <v>46152.537986111114</v>
      </c>
      <c r="F3202">
        <v>1547</v>
      </c>
      <c r="G3202" t="s">
        <v>9891</v>
      </c>
      <c r="H3202" t="s">
        <v>15</v>
      </c>
      <c r="I3202" t="s">
        <v>9887</v>
      </c>
      <c r="J3202" t="str">
        <f>RIGHT(D3202,4)</f>
        <v>6613</v>
      </c>
      <c r="K3202" t="str">
        <f>IFERROR(VLOOKUP(VALUE(J3202),'Site Info'!$A:$G,3,FALSE),"")</f>
        <v>7480 CARSON BLVD</v>
      </c>
      <c r="L3202" t="str">
        <f>IFERROR(VLOOKUP(VALUE(J3202),'Site Info'!$A:$G,4,FALSE),"")</f>
        <v>LONG BEACH</v>
      </c>
      <c r="M3202" t="str">
        <f>IFERROR(VLOOKUP(VALUE(J3202),'Site Info'!$A:$G,5,FALSE),"")</f>
        <v>CA</v>
      </c>
      <c r="N3202" t="str">
        <f>IFERROR(VLOOKUP(VALUE(J3202),'Site Info'!$A:$G,6,FALSE),"")</f>
        <v>90808-2362</v>
      </c>
      <c r="O3202">
        <f>IFERROR(VLOOKUP(VALUE(J3202),'Site Info'!$A:$G,7,FALSE),"")</f>
        <v>5624250662</v>
      </c>
    </row>
    <row r="3203" spans="1:15" x14ac:dyDescent="0.45">
      <c r="A3203" t="s">
        <v>9882</v>
      </c>
      <c r="B3203" t="s">
        <v>9883</v>
      </c>
      <c r="C3203" t="s">
        <v>9884</v>
      </c>
      <c r="D3203" t="s">
        <v>9885</v>
      </c>
      <c r="E3203" s="1">
        <v>46152.701817129629</v>
      </c>
      <c r="F3203">
        <v>1547</v>
      </c>
      <c r="G3203" t="s">
        <v>9886</v>
      </c>
      <c r="H3203" t="s">
        <v>15</v>
      </c>
      <c r="I3203" t="s">
        <v>9887</v>
      </c>
      <c r="J3203" t="str">
        <f>RIGHT(D3203,4)</f>
        <v>6613</v>
      </c>
      <c r="K3203" t="str">
        <f>IFERROR(VLOOKUP(VALUE(J3203),'Site Info'!$A:$G,3,FALSE),"")</f>
        <v>7480 CARSON BLVD</v>
      </c>
      <c r="L3203" t="str">
        <f>IFERROR(VLOOKUP(VALUE(J3203),'Site Info'!$A:$G,4,FALSE),"")</f>
        <v>LONG BEACH</v>
      </c>
      <c r="M3203" t="str">
        <f>IFERROR(VLOOKUP(VALUE(J3203),'Site Info'!$A:$G,5,FALSE),"")</f>
        <v>CA</v>
      </c>
      <c r="N3203" t="str">
        <f>IFERROR(VLOOKUP(VALUE(J3203),'Site Info'!$A:$G,6,FALSE),"")</f>
        <v>90808-2362</v>
      </c>
      <c r="O3203">
        <f>IFERROR(VLOOKUP(VALUE(J3203),'Site Info'!$A:$G,7,FALSE),"")</f>
        <v>5624250662</v>
      </c>
    </row>
    <row r="3204" spans="1:15" x14ac:dyDescent="0.45">
      <c r="A3204" t="s">
        <v>10222</v>
      </c>
      <c r="B3204" t="s">
        <v>10223</v>
      </c>
      <c r="C3204" t="s">
        <v>10224</v>
      </c>
      <c r="D3204" t="s">
        <v>9885</v>
      </c>
      <c r="E3204" s="1">
        <v>46153.281805555554</v>
      </c>
      <c r="F3204">
        <v>1547</v>
      </c>
      <c r="G3204" t="s">
        <v>10225</v>
      </c>
      <c r="H3204" t="s">
        <v>15</v>
      </c>
      <c r="I3204" t="s">
        <v>9887</v>
      </c>
      <c r="J3204" t="str">
        <f>RIGHT(D3204,4)</f>
        <v>6613</v>
      </c>
      <c r="K3204" t="str">
        <f>IFERROR(VLOOKUP(VALUE(J3204),'Site Info'!$A:$G,3,FALSE),"")</f>
        <v>7480 CARSON BLVD</v>
      </c>
      <c r="L3204" t="str">
        <f>IFERROR(VLOOKUP(VALUE(J3204),'Site Info'!$A:$G,4,FALSE),"")</f>
        <v>LONG BEACH</v>
      </c>
      <c r="M3204" t="str">
        <f>IFERROR(VLOOKUP(VALUE(J3204),'Site Info'!$A:$G,5,FALSE),"")</f>
        <v>CA</v>
      </c>
      <c r="N3204" t="str">
        <f>IFERROR(VLOOKUP(VALUE(J3204),'Site Info'!$A:$G,6,FALSE),"")</f>
        <v>90808-2362</v>
      </c>
      <c r="O3204">
        <f>IFERROR(VLOOKUP(VALUE(J3204),'Site Info'!$A:$G,7,FALSE),"")</f>
        <v>5624250662</v>
      </c>
    </row>
    <row r="3205" spans="1:15" x14ac:dyDescent="0.45">
      <c r="A3205" t="s">
        <v>10480</v>
      </c>
      <c r="B3205" t="s">
        <v>10481</v>
      </c>
      <c r="C3205" t="s">
        <v>10482</v>
      </c>
      <c r="D3205" t="s">
        <v>101</v>
      </c>
      <c r="E3205" s="1">
        <v>46151.998159722221</v>
      </c>
      <c r="F3205">
        <v>1547</v>
      </c>
      <c r="G3205" t="s">
        <v>10483</v>
      </c>
      <c r="H3205" t="s">
        <v>15</v>
      </c>
      <c r="I3205" t="s">
        <v>103</v>
      </c>
      <c r="J3205" t="str">
        <f>RIGHT(D3205,4)</f>
        <v>4755</v>
      </c>
      <c r="K3205" t="str">
        <f>IFERROR(VLOOKUP(VALUE(J3205),'Site Info'!$A:$G,3,FALSE),"")</f>
        <v>750 KEEAUMOKU ST</v>
      </c>
      <c r="L3205" t="str">
        <f>IFERROR(VLOOKUP(VALUE(J3205),'Site Info'!$A:$G,4,FALSE),"")</f>
        <v>HONOLULU</v>
      </c>
      <c r="M3205" t="str">
        <f>IFERROR(VLOOKUP(VALUE(J3205),'Site Info'!$A:$G,5,FALSE),"")</f>
        <v>HI</v>
      </c>
      <c r="N3205" t="str">
        <f>IFERROR(VLOOKUP(VALUE(J3205),'Site Info'!$A:$G,6,FALSE),"")</f>
        <v>96814-3014</v>
      </c>
      <c r="O3205">
        <f>IFERROR(VLOOKUP(VALUE(J3205),'Site Info'!$A:$G,7,FALSE),"")</f>
        <v>8089459841</v>
      </c>
    </row>
    <row r="3206" spans="1:15" x14ac:dyDescent="0.45">
      <c r="A3206" t="s">
        <v>96</v>
      </c>
      <c r="B3206" t="s">
        <v>156</v>
      </c>
      <c r="C3206" t="s">
        <v>157</v>
      </c>
      <c r="D3206" t="s">
        <v>101</v>
      </c>
      <c r="E3206" s="1">
        <v>46152.859988425924</v>
      </c>
      <c r="F3206">
        <v>1547</v>
      </c>
      <c r="G3206" t="s">
        <v>158</v>
      </c>
      <c r="H3206" t="s">
        <v>15</v>
      </c>
      <c r="I3206" t="s">
        <v>103</v>
      </c>
      <c r="J3206" t="str">
        <f>RIGHT(D3206,4)</f>
        <v>4755</v>
      </c>
      <c r="K3206" t="str">
        <f>IFERROR(VLOOKUP(VALUE(J3206),'Site Info'!$A:$G,3,FALSE),"")</f>
        <v>750 KEEAUMOKU ST</v>
      </c>
      <c r="L3206" t="str">
        <f>IFERROR(VLOOKUP(VALUE(J3206),'Site Info'!$A:$G,4,FALSE),"")</f>
        <v>HONOLULU</v>
      </c>
      <c r="M3206" t="str">
        <f>IFERROR(VLOOKUP(VALUE(J3206),'Site Info'!$A:$G,5,FALSE),"")</f>
        <v>HI</v>
      </c>
      <c r="N3206" t="str">
        <f>IFERROR(VLOOKUP(VALUE(J3206),'Site Info'!$A:$G,6,FALSE),"")</f>
        <v>96814-3014</v>
      </c>
      <c r="O3206">
        <f>IFERROR(VLOOKUP(VALUE(J3206),'Site Info'!$A:$G,7,FALSE),"")</f>
        <v>8089459841</v>
      </c>
    </row>
    <row r="3207" spans="1:15" x14ac:dyDescent="0.45">
      <c r="A3207" t="s">
        <v>10336</v>
      </c>
      <c r="B3207" t="s">
        <v>10337</v>
      </c>
      <c r="C3207" t="s">
        <v>10338</v>
      </c>
      <c r="D3207" t="s">
        <v>101</v>
      </c>
      <c r="E3207" s="1">
        <v>46152.863043981481</v>
      </c>
      <c r="F3207">
        <v>1547</v>
      </c>
      <c r="G3207" t="s">
        <v>10339</v>
      </c>
      <c r="H3207" t="s">
        <v>15</v>
      </c>
      <c r="I3207" t="s">
        <v>103</v>
      </c>
      <c r="J3207" t="str">
        <f>RIGHT(D3207,4)</f>
        <v>4755</v>
      </c>
      <c r="K3207" t="str">
        <f>IFERROR(VLOOKUP(VALUE(J3207),'Site Info'!$A:$G,3,FALSE),"")</f>
        <v>750 KEEAUMOKU ST</v>
      </c>
      <c r="L3207" t="str">
        <f>IFERROR(VLOOKUP(VALUE(J3207),'Site Info'!$A:$G,4,FALSE),"")</f>
        <v>HONOLULU</v>
      </c>
      <c r="M3207" t="str">
        <f>IFERROR(VLOOKUP(VALUE(J3207),'Site Info'!$A:$G,5,FALSE),"")</f>
        <v>HI</v>
      </c>
      <c r="N3207" t="str">
        <f>IFERROR(VLOOKUP(VALUE(J3207),'Site Info'!$A:$G,6,FALSE),"")</f>
        <v>96814-3014</v>
      </c>
      <c r="O3207">
        <f>IFERROR(VLOOKUP(VALUE(J3207),'Site Info'!$A:$G,7,FALSE),"")</f>
        <v>8089459841</v>
      </c>
    </row>
    <row r="3208" spans="1:15" x14ac:dyDescent="0.45">
      <c r="A3208" t="s">
        <v>13295</v>
      </c>
      <c r="B3208" t="s">
        <v>13296</v>
      </c>
      <c r="C3208" t="s">
        <v>13297</v>
      </c>
      <c r="D3208" t="s">
        <v>101</v>
      </c>
      <c r="E3208" s="1">
        <v>46153.015752314815</v>
      </c>
      <c r="F3208">
        <v>1547</v>
      </c>
      <c r="G3208" t="s">
        <v>13298</v>
      </c>
      <c r="H3208" t="s">
        <v>15</v>
      </c>
      <c r="I3208" t="s">
        <v>103</v>
      </c>
      <c r="J3208" t="str">
        <f>RIGHT(D3208,4)</f>
        <v>4755</v>
      </c>
      <c r="K3208" t="str">
        <f>IFERROR(VLOOKUP(VALUE(J3208),'Site Info'!$A:$G,3,FALSE),"")</f>
        <v>750 KEEAUMOKU ST</v>
      </c>
      <c r="L3208" t="str">
        <f>IFERROR(VLOOKUP(VALUE(J3208),'Site Info'!$A:$G,4,FALSE),"")</f>
        <v>HONOLULU</v>
      </c>
      <c r="M3208" t="str">
        <f>IFERROR(VLOOKUP(VALUE(J3208),'Site Info'!$A:$G,5,FALSE),"")</f>
        <v>HI</v>
      </c>
      <c r="N3208" t="str">
        <f>IFERROR(VLOOKUP(VALUE(J3208),'Site Info'!$A:$G,6,FALSE),"")</f>
        <v>96814-3014</v>
      </c>
      <c r="O3208">
        <f>IFERROR(VLOOKUP(VALUE(J3208),'Site Info'!$A:$G,7,FALSE),"")</f>
        <v>8089459841</v>
      </c>
    </row>
    <row r="3209" spans="1:15" x14ac:dyDescent="0.45">
      <c r="A3209" t="s">
        <v>96</v>
      </c>
      <c r="B3209" t="s">
        <v>99</v>
      </c>
      <c r="C3209" t="s">
        <v>100</v>
      </c>
      <c r="D3209" t="s">
        <v>101</v>
      </c>
      <c r="E3209" s="1">
        <v>46149.858368055553</v>
      </c>
      <c r="F3209">
        <v>1481</v>
      </c>
      <c r="G3209" t="s">
        <v>102</v>
      </c>
      <c r="H3209" t="s">
        <v>15</v>
      </c>
      <c r="I3209" t="s">
        <v>103</v>
      </c>
      <c r="J3209" t="str">
        <f>RIGHT(D3209,4)</f>
        <v>4755</v>
      </c>
      <c r="K3209" t="str">
        <f>IFERROR(VLOOKUP(VALUE(J3209),'Site Info'!$A:$G,3,FALSE),"")</f>
        <v>750 KEEAUMOKU ST</v>
      </c>
      <c r="L3209" t="str">
        <f>IFERROR(VLOOKUP(VALUE(J3209),'Site Info'!$A:$G,4,FALSE),"")</f>
        <v>HONOLULU</v>
      </c>
      <c r="M3209" t="str">
        <f>IFERROR(VLOOKUP(VALUE(J3209),'Site Info'!$A:$G,5,FALSE),"")</f>
        <v>HI</v>
      </c>
      <c r="N3209" t="str">
        <f>IFERROR(VLOOKUP(VALUE(J3209),'Site Info'!$A:$G,6,FALSE),"")</f>
        <v>96814-3014</v>
      </c>
      <c r="O3209">
        <f>IFERROR(VLOOKUP(VALUE(J3209),'Site Info'!$A:$G,7,FALSE),"")</f>
        <v>8089459841</v>
      </c>
    </row>
    <row r="3210" spans="1:15" x14ac:dyDescent="0.45">
      <c r="A3210" t="s">
        <v>1202</v>
      </c>
      <c r="B3210" t="s">
        <v>1203</v>
      </c>
      <c r="C3210" t="s">
        <v>1204</v>
      </c>
      <c r="D3210" t="s">
        <v>101</v>
      </c>
      <c r="E3210" s="1">
        <v>46151.373495370368</v>
      </c>
      <c r="F3210">
        <v>1481</v>
      </c>
      <c r="G3210" t="s">
        <v>1205</v>
      </c>
      <c r="H3210" t="s">
        <v>15</v>
      </c>
      <c r="I3210" t="s">
        <v>103</v>
      </c>
      <c r="J3210" t="str">
        <f>RIGHT(D3210,4)</f>
        <v>4755</v>
      </c>
      <c r="K3210" t="str">
        <f>IFERROR(VLOOKUP(VALUE(J3210),'Site Info'!$A:$G,3,FALSE),"")</f>
        <v>750 KEEAUMOKU ST</v>
      </c>
      <c r="L3210" t="str">
        <f>IFERROR(VLOOKUP(VALUE(J3210),'Site Info'!$A:$G,4,FALSE),"")</f>
        <v>HONOLULU</v>
      </c>
      <c r="M3210" t="str">
        <f>IFERROR(VLOOKUP(VALUE(J3210),'Site Info'!$A:$G,5,FALSE),"")</f>
        <v>HI</v>
      </c>
      <c r="N3210" t="str">
        <f>IFERROR(VLOOKUP(VALUE(J3210),'Site Info'!$A:$G,6,FALSE),"")</f>
        <v>96814-3014</v>
      </c>
      <c r="O3210">
        <f>IFERROR(VLOOKUP(VALUE(J3210),'Site Info'!$A:$G,7,FALSE),"")</f>
        <v>8089459841</v>
      </c>
    </row>
    <row r="3211" spans="1:15" x14ac:dyDescent="0.45">
      <c r="A3211" t="s">
        <v>318</v>
      </c>
      <c r="B3211" t="s">
        <v>319</v>
      </c>
      <c r="C3211" t="s">
        <v>320</v>
      </c>
      <c r="D3211" t="s">
        <v>101</v>
      </c>
      <c r="E3211" s="1">
        <v>46152.601990740739</v>
      </c>
      <c r="F3211">
        <v>1481</v>
      </c>
      <c r="G3211" t="s">
        <v>321</v>
      </c>
      <c r="H3211" t="s">
        <v>15</v>
      </c>
      <c r="I3211" t="s">
        <v>103</v>
      </c>
      <c r="J3211" t="str">
        <f>RIGHT(D3211,4)</f>
        <v>4755</v>
      </c>
      <c r="K3211" t="str">
        <f>IFERROR(VLOOKUP(VALUE(J3211),'Site Info'!$A:$G,3,FALSE),"")</f>
        <v>750 KEEAUMOKU ST</v>
      </c>
      <c r="L3211" t="str">
        <f>IFERROR(VLOOKUP(VALUE(J3211),'Site Info'!$A:$G,4,FALSE),"")</f>
        <v>HONOLULU</v>
      </c>
      <c r="M3211" t="str">
        <f>IFERROR(VLOOKUP(VALUE(J3211),'Site Info'!$A:$G,5,FALSE),"")</f>
        <v>HI</v>
      </c>
      <c r="N3211" t="str">
        <f>IFERROR(VLOOKUP(VALUE(J3211),'Site Info'!$A:$G,6,FALSE),"")</f>
        <v>96814-3014</v>
      </c>
      <c r="O3211">
        <f>IFERROR(VLOOKUP(VALUE(J3211),'Site Info'!$A:$G,7,FALSE),"")</f>
        <v>8089459841</v>
      </c>
    </row>
    <row r="3212" spans="1:15" x14ac:dyDescent="0.45">
      <c r="A3212" t="s">
        <v>520</v>
      </c>
      <c r="B3212" t="s">
        <v>521</v>
      </c>
      <c r="C3212" t="s">
        <v>522</v>
      </c>
      <c r="D3212" t="s">
        <v>101</v>
      </c>
      <c r="E3212" s="1">
        <v>46152.753182870372</v>
      </c>
      <c r="F3212">
        <v>1481</v>
      </c>
      <c r="G3212" t="s">
        <v>523</v>
      </c>
      <c r="H3212" t="s">
        <v>15</v>
      </c>
      <c r="I3212" t="s">
        <v>103</v>
      </c>
      <c r="J3212" t="str">
        <f>RIGHT(D3212,4)</f>
        <v>4755</v>
      </c>
      <c r="K3212" t="str">
        <f>IFERROR(VLOOKUP(VALUE(J3212),'Site Info'!$A:$G,3,FALSE),"")</f>
        <v>750 KEEAUMOKU ST</v>
      </c>
      <c r="L3212" t="str">
        <f>IFERROR(VLOOKUP(VALUE(J3212),'Site Info'!$A:$G,4,FALSE),"")</f>
        <v>HONOLULU</v>
      </c>
      <c r="M3212" t="str">
        <f>IFERROR(VLOOKUP(VALUE(J3212),'Site Info'!$A:$G,5,FALSE),"")</f>
        <v>HI</v>
      </c>
      <c r="N3212" t="str">
        <f>IFERROR(VLOOKUP(VALUE(J3212),'Site Info'!$A:$G,6,FALSE),"")</f>
        <v>96814-3014</v>
      </c>
      <c r="O3212">
        <f>IFERROR(VLOOKUP(VALUE(J3212),'Site Info'!$A:$G,7,FALSE),"")</f>
        <v>8089459841</v>
      </c>
    </row>
    <row r="3213" spans="1:15" x14ac:dyDescent="0.45">
      <c r="A3213" t="s">
        <v>942</v>
      </c>
      <c r="B3213" t="s">
        <v>943</v>
      </c>
      <c r="C3213" t="s">
        <v>944</v>
      </c>
      <c r="D3213" t="s">
        <v>101</v>
      </c>
      <c r="E3213" s="1">
        <v>46153.099918981483</v>
      </c>
      <c r="F3213">
        <v>1481</v>
      </c>
      <c r="G3213" t="s">
        <v>945</v>
      </c>
      <c r="H3213" t="s">
        <v>15</v>
      </c>
      <c r="I3213" t="s">
        <v>103</v>
      </c>
      <c r="J3213" t="str">
        <f>RIGHT(D3213,4)</f>
        <v>4755</v>
      </c>
      <c r="K3213" t="str">
        <f>IFERROR(VLOOKUP(VALUE(J3213),'Site Info'!$A:$G,3,FALSE),"")</f>
        <v>750 KEEAUMOKU ST</v>
      </c>
      <c r="L3213" t="str">
        <f>IFERROR(VLOOKUP(VALUE(J3213),'Site Info'!$A:$G,4,FALSE),"")</f>
        <v>HONOLULU</v>
      </c>
      <c r="M3213" t="str">
        <f>IFERROR(VLOOKUP(VALUE(J3213),'Site Info'!$A:$G,5,FALSE),"")</f>
        <v>HI</v>
      </c>
      <c r="N3213" t="str">
        <f>IFERROR(VLOOKUP(VALUE(J3213),'Site Info'!$A:$G,6,FALSE),"")</f>
        <v>96814-3014</v>
      </c>
      <c r="O3213">
        <f>IFERROR(VLOOKUP(VALUE(J3213),'Site Info'!$A:$G,7,FALSE),"")</f>
        <v>8089459841</v>
      </c>
    </row>
    <row r="3214" spans="1:15" x14ac:dyDescent="0.45">
      <c r="A3214" t="s">
        <v>382</v>
      </c>
      <c r="B3214" t="s">
        <v>383</v>
      </c>
      <c r="C3214" t="s">
        <v>384</v>
      </c>
      <c r="D3214" t="s">
        <v>101</v>
      </c>
      <c r="E3214" s="1">
        <v>46153.242222222223</v>
      </c>
      <c r="F3214">
        <v>1481</v>
      </c>
      <c r="G3214" t="s">
        <v>385</v>
      </c>
      <c r="H3214" t="s">
        <v>15</v>
      </c>
      <c r="I3214" t="s">
        <v>103</v>
      </c>
      <c r="J3214" t="str">
        <f>RIGHT(D3214,4)</f>
        <v>4755</v>
      </c>
      <c r="K3214" t="str">
        <f>IFERROR(VLOOKUP(VALUE(J3214),'Site Info'!$A:$G,3,FALSE),"")</f>
        <v>750 KEEAUMOKU ST</v>
      </c>
      <c r="L3214" t="str">
        <f>IFERROR(VLOOKUP(VALUE(J3214),'Site Info'!$A:$G,4,FALSE),"")</f>
        <v>HONOLULU</v>
      </c>
      <c r="M3214" t="str">
        <f>IFERROR(VLOOKUP(VALUE(J3214),'Site Info'!$A:$G,5,FALSE),"")</f>
        <v>HI</v>
      </c>
      <c r="N3214" t="str">
        <f>IFERROR(VLOOKUP(VALUE(J3214),'Site Info'!$A:$G,6,FALSE),"")</f>
        <v>96814-3014</v>
      </c>
      <c r="O3214">
        <f>IFERROR(VLOOKUP(VALUE(J3214),'Site Info'!$A:$G,7,FALSE),"")</f>
        <v>8089459841</v>
      </c>
    </row>
    <row r="3215" spans="1:15" x14ac:dyDescent="0.45">
      <c r="A3215" t="s">
        <v>13323</v>
      </c>
      <c r="B3215" t="s">
        <v>13324</v>
      </c>
      <c r="C3215" t="s">
        <v>13325</v>
      </c>
      <c r="D3215" t="s">
        <v>1267</v>
      </c>
      <c r="E3215" s="1">
        <v>46152.400243055556</v>
      </c>
      <c r="F3215">
        <v>1547</v>
      </c>
      <c r="G3215" t="s">
        <v>13326</v>
      </c>
      <c r="H3215" t="s">
        <v>15</v>
      </c>
      <c r="I3215" t="s">
        <v>1269</v>
      </c>
      <c r="J3215" t="str">
        <f>RIGHT(D3215,4)</f>
        <v>6381</v>
      </c>
      <c r="K3215" t="str">
        <f>IFERROR(VLOOKUP(VALUE(J3215),'Site Info'!$A:$G,3,FALSE),"")</f>
        <v>751 W MAIN ST</v>
      </c>
      <c r="L3215" t="str">
        <f>IFERROR(VLOOKUP(VALUE(J3215),'Site Info'!$A:$G,4,FALSE),"")</f>
        <v>LEWISVILLE</v>
      </c>
      <c r="M3215" t="str">
        <f>IFERROR(VLOOKUP(VALUE(J3215),'Site Info'!$A:$G,5,FALSE),"")</f>
        <v>TX</v>
      </c>
      <c r="N3215" t="str">
        <f>IFERROR(VLOOKUP(VALUE(J3215),'Site Info'!$A:$G,6,FALSE),"")</f>
        <v>75067-3513</v>
      </c>
      <c r="O3215">
        <f>IFERROR(VLOOKUP(VALUE(J3215),'Site Info'!$A:$G,7,FALSE),"")</f>
        <v>9724366684</v>
      </c>
    </row>
    <row r="3216" spans="1:15" x14ac:dyDescent="0.45">
      <c r="A3216" t="s">
        <v>13371</v>
      </c>
      <c r="B3216" t="s">
        <v>13372</v>
      </c>
      <c r="C3216" t="s">
        <v>13373</v>
      </c>
      <c r="D3216" t="s">
        <v>1267</v>
      </c>
      <c r="E3216" s="1">
        <v>46152.400902777779</v>
      </c>
      <c r="F3216">
        <v>1547</v>
      </c>
      <c r="G3216" t="s">
        <v>13374</v>
      </c>
      <c r="H3216" t="s">
        <v>15</v>
      </c>
      <c r="I3216" t="s">
        <v>1269</v>
      </c>
      <c r="J3216" t="str">
        <f>RIGHT(D3216,4)</f>
        <v>6381</v>
      </c>
      <c r="K3216" t="str">
        <f>IFERROR(VLOOKUP(VALUE(J3216),'Site Info'!$A:$G,3,FALSE),"")</f>
        <v>751 W MAIN ST</v>
      </c>
      <c r="L3216" t="str">
        <f>IFERROR(VLOOKUP(VALUE(J3216),'Site Info'!$A:$G,4,FALSE),"")</f>
        <v>LEWISVILLE</v>
      </c>
      <c r="M3216" t="str">
        <f>IFERROR(VLOOKUP(VALUE(J3216),'Site Info'!$A:$G,5,FALSE),"")</f>
        <v>TX</v>
      </c>
      <c r="N3216" t="str">
        <f>IFERROR(VLOOKUP(VALUE(J3216),'Site Info'!$A:$G,6,FALSE),"")</f>
        <v>75067-3513</v>
      </c>
      <c r="O3216">
        <f>IFERROR(VLOOKUP(VALUE(J3216),'Site Info'!$A:$G,7,FALSE),"")</f>
        <v>9724366684</v>
      </c>
    </row>
    <row r="3217" spans="1:15" x14ac:dyDescent="0.45">
      <c r="A3217" t="s">
        <v>11642</v>
      </c>
      <c r="B3217" t="s">
        <v>11643</v>
      </c>
      <c r="C3217" t="s">
        <v>11644</v>
      </c>
      <c r="D3217" t="s">
        <v>1267</v>
      </c>
      <c r="E3217" s="1">
        <v>46152.639560185184</v>
      </c>
      <c r="F3217">
        <v>1547</v>
      </c>
      <c r="G3217" t="s">
        <v>11645</v>
      </c>
      <c r="H3217" t="s">
        <v>15</v>
      </c>
      <c r="I3217" t="s">
        <v>1269</v>
      </c>
      <c r="J3217" t="str">
        <f>RIGHT(D3217,4)</f>
        <v>6381</v>
      </c>
      <c r="K3217" t="str">
        <f>IFERROR(VLOOKUP(VALUE(J3217),'Site Info'!$A:$G,3,FALSE),"")</f>
        <v>751 W MAIN ST</v>
      </c>
      <c r="L3217" t="str">
        <f>IFERROR(VLOOKUP(VALUE(J3217),'Site Info'!$A:$G,4,FALSE),"")</f>
        <v>LEWISVILLE</v>
      </c>
      <c r="M3217" t="str">
        <f>IFERROR(VLOOKUP(VALUE(J3217),'Site Info'!$A:$G,5,FALSE),"")</f>
        <v>TX</v>
      </c>
      <c r="N3217" t="str">
        <f>IFERROR(VLOOKUP(VALUE(J3217),'Site Info'!$A:$G,6,FALSE),"")</f>
        <v>75067-3513</v>
      </c>
      <c r="O3217">
        <f>IFERROR(VLOOKUP(VALUE(J3217),'Site Info'!$A:$G,7,FALSE),"")</f>
        <v>9724366684</v>
      </c>
    </row>
    <row r="3218" spans="1:15" x14ac:dyDescent="0.45">
      <c r="A3218" t="s">
        <v>11916</v>
      </c>
      <c r="B3218" t="s">
        <v>11917</v>
      </c>
      <c r="C3218" t="s">
        <v>11918</v>
      </c>
      <c r="D3218" t="s">
        <v>1267</v>
      </c>
      <c r="E3218" s="1">
        <v>46152.650138888886</v>
      </c>
      <c r="F3218">
        <v>1547</v>
      </c>
      <c r="G3218" t="s">
        <v>11919</v>
      </c>
      <c r="H3218" t="s">
        <v>15</v>
      </c>
      <c r="I3218" t="s">
        <v>1269</v>
      </c>
      <c r="J3218" t="str">
        <f>RIGHT(D3218,4)</f>
        <v>6381</v>
      </c>
      <c r="K3218" t="str">
        <f>IFERROR(VLOOKUP(VALUE(J3218),'Site Info'!$A:$G,3,FALSE),"")</f>
        <v>751 W MAIN ST</v>
      </c>
      <c r="L3218" t="str">
        <f>IFERROR(VLOOKUP(VALUE(J3218),'Site Info'!$A:$G,4,FALSE),"")</f>
        <v>LEWISVILLE</v>
      </c>
      <c r="M3218" t="str">
        <f>IFERROR(VLOOKUP(VALUE(J3218),'Site Info'!$A:$G,5,FALSE),"")</f>
        <v>TX</v>
      </c>
      <c r="N3218" t="str">
        <f>IFERROR(VLOOKUP(VALUE(J3218),'Site Info'!$A:$G,6,FALSE),"")</f>
        <v>75067-3513</v>
      </c>
      <c r="O3218">
        <f>IFERROR(VLOOKUP(VALUE(J3218),'Site Info'!$A:$G,7,FALSE),"")</f>
        <v>9724366684</v>
      </c>
    </row>
    <row r="3219" spans="1:15" x14ac:dyDescent="0.45">
      <c r="A3219" t="s">
        <v>13014</v>
      </c>
      <c r="B3219" t="s">
        <v>13015</v>
      </c>
      <c r="C3219" t="s">
        <v>13016</v>
      </c>
      <c r="D3219" t="s">
        <v>1267</v>
      </c>
      <c r="E3219" s="1">
        <v>46152.684548611112</v>
      </c>
      <c r="F3219">
        <v>1547</v>
      </c>
      <c r="G3219" t="s">
        <v>13017</v>
      </c>
      <c r="H3219" t="s">
        <v>15</v>
      </c>
      <c r="I3219" t="s">
        <v>1269</v>
      </c>
      <c r="J3219" t="str">
        <f>RIGHT(D3219,4)</f>
        <v>6381</v>
      </c>
      <c r="K3219" t="str">
        <f>IFERROR(VLOOKUP(VALUE(J3219),'Site Info'!$A:$G,3,FALSE),"")</f>
        <v>751 W MAIN ST</v>
      </c>
      <c r="L3219" t="str">
        <f>IFERROR(VLOOKUP(VALUE(J3219),'Site Info'!$A:$G,4,FALSE),"")</f>
        <v>LEWISVILLE</v>
      </c>
      <c r="M3219" t="str">
        <f>IFERROR(VLOOKUP(VALUE(J3219),'Site Info'!$A:$G,5,FALSE),"")</f>
        <v>TX</v>
      </c>
      <c r="N3219" t="str">
        <f>IFERROR(VLOOKUP(VALUE(J3219),'Site Info'!$A:$G,6,FALSE),"")</f>
        <v>75067-3513</v>
      </c>
      <c r="O3219">
        <f>IFERROR(VLOOKUP(VALUE(J3219),'Site Info'!$A:$G,7,FALSE),"")</f>
        <v>9724366684</v>
      </c>
    </row>
    <row r="3220" spans="1:15" x14ac:dyDescent="0.45">
      <c r="A3220" t="s">
        <v>11196</v>
      </c>
      <c r="B3220" t="s">
        <v>11197</v>
      </c>
      <c r="C3220" t="s">
        <v>11198</v>
      </c>
      <c r="D3220" t="s">
        <v>1267</v>
      </c>
      <c r="E3220" s="1">
        <v>46153.174155092594</v>
      </c>
      <c r="F3220">
        <v>1547</v>
      </c>
      <c r="G3220" t="s">
        <v>11199</v>
      </c>
      <c r="H3220" t="s">
        <v>15</v>
      </c>
      <c r="I3220" t="s">
        <v>1269</v>
      </c>
      <c r="J3220" t="str">
        <f>RIGHT(D3220,4)</f>
        <v>6381</v>
      </c>
      <c r="K3220" t="str">
        <f>IFERROR(VLOOKUP(VALUE(J3220),'Site Info'!$A:$G,3,FALSE),"")</f>
        <v>751 W MAIN ST</v>
      </c>
      <c r="L3220" t="str">
        <f>IFERROR(VLOOKUP(VALUE(J3220),'Site Info'!$A:$G,4,FALSE),"")</f>
        <v>LEWISVILLE</v>
      </c>
      <c r="M3220" t="str">
        <f>IFERROR(VLOOKUP(VALUE(J3220),'Site Info'!$A:$G,5,FALSE),"")</f>
        <v>TX</v>
      </c>
      <c r="N3220" t="str">
        <f>IFERROR(VLOOKUP(VALUE(J3220),'Site Info'!$A:$G,6,FALSE),"")</f>
        <v>75067-3513</v>
      </c>
      <c r="O3220">
        <f>IFERROR(VLOOKUP(VALUE(J3220),'Site Info'!$A:$G,7,FALSE),"")</f>
        <v>9724366684</v>
      </c>
    </row>
    <row r="3221" spans="1:15" x14ac:dyDescent="0.45">
      <c r="A3221" t="s">
        <v>1264</v>
      </c>
      <c r="B3221" t="s">
        <v>1265</v>
      </c>
      <c r="C3221" t="s">
        <v>1266</v>
      </c>
      <c r="D3221" t="s">
        <v>1267</v>
      </c>
      <c r="E3221" s="1">
        <v>46153.188101851854</v>
      </c>
      <c r="F3221">
        <v>1481</v>
      </c>
      <c r="G3221" t="s">
        <v>1268</v>
      </c>
      <c r="H3221" t="s">
        <v>15</v>
      </c>
      <c r="I3221" t="s">
        <v>1269</v>
      </c>
      <c r="J3221" t="str">
        <f>RIGHT(D3221,4)</f>
        <v>6381</v>
      </c>
      <c r="K3221" t="str">
        <f>IFERROR(VLOOKUP(VALUE(J3221),'Site Info'!$A:$G,3,FALSE),"")</f>
        <v>751 W MAIN ST</v>
      </c>
      <c r="L3221" t="str">
        <f>IFERROR(VLOOKUP(VALUE(J3221),'Site Info'!$A:$G,4,FALSE),"")</f>
        <v>LEWISVILLE</v>
      </c>
      <c r="M3221" t="str">
        <f>IFERROR(VLOOKUP(VALUE(J3221),'Site Info'!$A:$G,5,FALSE),"")</f>
        <v>TX</v>
      </c>
      <c r="N3221" t="str">
        <f>IFERROR(VLOOKUP(VALUE(J3221),'Site Info'!$A:$G,6,FALSE),"")</f>
        <v>75067-3513</v>
      </c>
      <c r="O3221">
        <f>IFERROR(VLOOKUP(VALUE(J3221),'Site Info'!$A:$G,7,FALSE),"")</f>
        <v>9724366684</v>
      </c>
    </row>
    <row r="3222" spans="1:15" x14ac:dyDescent="0.45">
      <c r="A3222" t="s">
        <v>1420</v>
      </c>
      <c r="B3222" t="s">
        <v>1421</v>
      </c>
      <c r="C3222" t="s">
        <v>1422</v>
      </c>
      <c r="D3222" t="s">
        <v>1267</v>
      </c>
      <c r="E3222" s="1">
        <v>46153.342037037037</v>
      </c>
      <c r="F3222">
        <v>1481</v>
      </c>
      <c r="G3222" t="s">
        <v>1423</v>
      </c>
      <c r="H3222" t="s">
        <v>15</v>
      </c>
      <c r="I3222" t="s">
        <v>1269</v>
      </c>
      <c r="J3222" t="str">
        <f>RIGHT(D3222,4)</f>
        <v>6381</v>
      </c>
      <c r="K3222" t="str">
        <f>IFERROR(VLOOKUP(VALUE(J3222),'Site Info'!$A:$G,3,FALSE),"")</f>
        <v>751 W MAIN ST</v>
      </c>
      <c r="L3222" t="str">
        <f>IFERROR(VLOOKUP(VALUE(J3222),'Site Info'!$A:$G,4,FALSE),"")</f>
        <v>LEWISVILLE</v>
      </c>
      <c r="M3222" t="str">
        <f>IFERROR(VLOOKUP(VALUE(J3222),'Site Info'!$A:$G,5,FALSE),"")</f>
        <v>TX</v>
      </c>
      <c r="N3222" t="str">
        <f>IFERROR(VLOOKUP(VALUE(J3222),'Site Info'!$A:$G,6,FALSE),"")</f>
        <v>75067-3513</v>
      </c>
      <c r="O3222">
        <f>IFERROR(VLOOKUP(VALUE(J3222),'Site Info'!$A:$G,7,FALSE),"")</f>
        <v>9724366684</v>
      </c>
    </row>
    <row r="3223" spans="1:15" x14ac:dyDescent="0.45">
      <c r="A3223" t="s">
        <v>13651</v>
      </c>
      <c r="B3223" t="s">
        <v>13652</v>
      </c>
      <c r="C3223" t="s">
        <v>13653</v>
      </c>
      <c r="D3223" t="s">
        <v>12313</v>
      </c>
      <c r="E3223" s="1">
        <v>46148.635416666664</v>
      </c>
      <c r="F3223">
        <v>1547</v>
      </c>
      <c r="G3223" t="s">
        <v>13654</v>
      </c>
      <c r="H3223" t="s">
        <v>15</v>
      </c>
      <c r="I3223" t="s">
        <v>12315</v>
      </c>
      <c r="J3223" t="str">
        <f>RIGHT(D3223,4)</f>
        <v>4998</v>
      </c>
      <c r="K3223" t="str">
        <f>IFERROR(VLOOKUP(VALUE(J3223),'Site Info'!$A:$G,3,FALSE),"")</f>
        <v>755 N. HWY 27/441</v>
      </c>
      <c r="L3223" t="str">
        <f>IFERROR(VLOOKUP(VALUE(J3223),'Site Info'!$A:$G,4,FALSE),"")</f>
        <v>LADY LAKE</v>
      </c>
      <c r="M3223" t="str">
        <f>IFERROR(VLOOKUP(VALUE(J3223),'Site Info'!$A:$G,5,FALSE),"")</f>
        <v>FL</v>
      </c>
      <c r="N3223" t="str">
        <f>IFERROR(VLOOKUP(VALUE(J3223),'Site Info'!$A:$G,6,FALSE),"")</f>
        <v>32159-3196</v>
      </c>
      <c r="O3223">
        <f>IFERROR(VLOOKUP(VALUE(J3223),'Site Info'!$A:$G,7,FALSE),"")</f>
        <v>3527515150</v>
      </c>
    </row>
    <row r="3224" spans="1:15" x14ac:dyDescent="0.45">
      <c r="A3224" t="s">
        <v>13603</v>
      </c>
      <c r="B3224" t="s">
        <v>13604</v>
      </c>
      <c r="C3224" t="s">
        <v>13605</v>
      </c>
      <c r="D3224" t="s">
        <v>12313</v>
      </c>
      <c r="E3224" s="1">
        <v>46152.624444444446</v>
      </c>
      <c r="F3224">
        <v>1547</v>
      </c>
      <c r="G3224" t="s">
        <v>13606</v>
      </c>
      <c r="H3224" t="s">
        <v>15</v>
      </c>
      <c r="I3224" t="s">
        <v>12315</v>
      </c>
      <c r="J3224" t="str">
        <f>RIGHT(D3224,4)</f>
        <v>4998</v>
      </c>
      <c r="K3224" t="str">
        <f>IFERROR(VLOOKUP(VALUE(J3224),'Site Info'!$A:$G,3,FALSE),"")</f>
        <v>755 N. HWY 27/441</v>
      </c>
      <c r="L3224" t="str">
        <f>IFERROR(VLOOKUP(VALUE(J3224),'Site Info'!$A:$G,4,FALSE),"")</f>
        <v>LADY LAKE</v>
      </c>
      <c r="M3224" t="str">
        <f>IFERROR(VLOOKUP(VALUE(J3224),'Site Info'!$A:$G,5,FALSE),"")</f>
        <v>FL</v>
      </c>
      <c r="N3224" t="str">
        <f>IFERROR(VLOOKUP(VALUE(J3224),'Site Info'!$A:$G,6,FALSE),"")</f>
        <v>32159-3196</v>
      </c>
      <c r="O3224">
        <f>IFERROR(VLOOKUP(VALUE(J3224),'Site Info'!$A:$G,7,FALSE),"")</f>
        <v>3527515150</v>
      </c>
    </row>
    <row r="3225" spans="1:15" x14ac:dyDescent="0.45">
      <c r="A3225" t="s">
        <v>13503</v>
      </c>
      <c r="B3225" t="s">
        <v>13504</v>
      </c>
      <c r="C3225" t="s">
        <v>13505</v>
      </c>
      <c r="D3225" t="s">
        <v>12313</v>
      </c>
      <c r="E3225" s="1">
        <v>46153.340231481481</v>
      </c>
      <c r="F3225">
        <v>1547</v>
      </c>
      <c r="G3225" t="s">
        <v>13506</v>
      </c>
      <c r="H3225" t="s">
        <v>15</v>
      </c>
      <c r="I3225" t="s">
        <v>12315</v>
      </c>
      <c r="J3225" t="str">
        <f>RIGHT(D3225,4)</f>
        <v>4998</v>
      </c>
      <c r="K3225" t="str">
        <f>IFERROR(VLOOKUP(VALUE(J3225),'Site Info'!$A:$G,3,FALSE),"")</f>
        <v>755 N. HWY 27/441</v>
      </c>
      <c r="L3225" t="str">
        <f>IFERROR(VLOOKUP(VALUE(J3225),'Site Info'!$A:$G,4,FALSE),"")</f>
        <v>LADY LAKE</v>
      </c>
      <c r="M3225" t="str">
        <f>IFERROR(VLOOKUP(VALUE(J3225),'Site Info'!$A:$G,5,FALSE),"")</f>
        <v>FL</v>
      </c>
      <c r="N3225" t="str">
        <f>IFERROR(VLOOKUP(VALUE(J3225),'Site Info'!$A:$G,6,FALSE),"")</f>
        <v>32159-3196</v>
      </c>
      <c r="O3225">
        <f>IFERROR(VLOOKUP(VALUE(J3225),'Site Info'!$A:$G,7,FALSE),"")</f>
        <v>3527515150</v>
      </c>
    </row>
    <row r="3226" spans="1:15" x14ac:dyDescent="0.45">
      <c r="A3226" t="s">
        <v>12310</v>
      </c>
      <c r="B3226" t="s">
        <v>12311</v>
      </c>
      <c r="C3226" t="s">
        <v>12312</v>
      </c>
      <c r="D3226" t="s">
        <v>12313</v>
      </c>
      <c r="E3226" s="1">
        <v>46153.342060185183</v>
      </c>
      <c r="F3226">
        <v>1547</v>
      </c>
      <c r="G3226" t="s">
        <v>12314</v>
      </c>
      <c r="H3226" t="s">
        <v>15</v>
      </c>
      <c r="I3226" t="s">
        <v>12315</v>
      </c>
      <c r="J3226" t="str">
        <f>RIGHT(D3226,4)</f>
        <v>4998</v>
      </c>
      <c r="K3226" t="str">
        <f>IFERROR(VLOOKUP(VALUE(J3226),'Site Info'!$A:$G,3,FALSE),"")</f>
        <v>755 N. HWY 27/441</v>
      </c>
      <c r="L3226" t="str">
        <f>IFERROR(VLOOKUP(VALUE(J3226),'Site Info'!$A:$G,4,FALSE),"")</f>
        <v>LADY LAKE</v>
      </c>
      <c r="M3226" t="str">
        <f>IFERROR(VLOOKUP(VALUE(J3226),'Site Info'!$A:$G,5,FALSE),"")</f>
        <v>FL</v>
      </c>
      <c r="N3226" t="str">
        <f>IFERROR(VLOOKUP(VALUE(J3226),'Site Info'!$A:$G,6,FALSE),"")</f>
        <v>32159-3196</v>
      </c>
      <c r="O3226">
        <f>IFERROR(VLOOKUP(VALUE(J3226),'Site Info'!$A:$G,7,FALSE),"")</f>
        <v>3527515150</v>
      </c>
    </row>
    <row r="3227" spans="1:15" x14ac:dyDescent="0.45">
      <c r="A3227" t="s">
        <v>13599</v>
      </c>
      <c r="B3227" t="s">
        <v>13600</v>
      </c>
      <c r="C3227" t="s">
        <v>13601</v>
      </c>
      <c r="D3227" t="s">
        <v>12313</v>
      </c>
      <c r="E3227" s="1">
        <v>46153.355185185188</v>
      </c>
      <c r="F3227">
        <v>1547</v>
      </c>
      <c r="G3227" t="s">
        <v>13602</v>
      </c>
      <c r="H3227" t="s">
        <v>15</v>
      </c>
      <c r="I3227" t="s">
        <v>12315</v>
      </c>
      <c r="J3227" t="str">
        <f>RIGHT(D3227,4)</f>
        <v>4998</v>
      </c>
      <c r="K3227" t="str">
        <f>IFERROR(VLOOKUP(VALUE(J3227),'Site Info'!$A:$G,3,FALSE),"")</f>
        <v>755 N. HWY 27/441</v>
      </c>
      <c r="L3227" t="str">
        <f>IFERROR(VLOOKUP(VALUE(J3227),'Site Info'!$A:$G,4,FALSE),"")</f>
        <v>LADY LAKE</v>
      </c>
      <c r="M3227" t="str">
        <f>IFERROR(VLOOKUP(VALUE(J3227),'Site Info'!$A:$G,5,FALSE),"")</f>
        <v>FL</v>
      </c>
      <c r="N3227" t="str">
        <f>IFERROR(VLOOKUP(VALUE(J3227),'Site Info'!$A:$G,6,FALSE),"")</f>
        <v>32159-3196</v>
      </c>
      <c r="O3227">
        <f>IFERROR(VLOOKUP(VALUE(J3227),'Site Info'!$A:$G,7,FALSE),"")</f>
        <v>3527515150</v>
      </c>
    </row>
    <row r="3228" spans="1:15" x14ac:dyDescent="0.45">
      <c r="A3228" t="s">
        <v>16587</v>
      </c>
      <c r="B3228" t="s">
        <v>16588</v>
      </c>
      <c r="C3228" t="s">
        <v>16589</v>
      </c>
      <c r="D3228" t="s">
        <v>12313</v>
      </c>
      <c r="E3228" s="1">
        <v>46153.104074074072</v>
      </c>
      <c r="F3228">
        <v>1547</v>
      </c>
      <c r="G3228" t="s">
        <v>16590</v>
      </c>
      <c r="H3228" t="s">
        <v>15</v>
      </c>
      <c r="I3228" t="s">
        <v>12315</v>
      </c>
      <c r="J3228" t="str">
        <f>RIGHT(D3228,4)</f>
        <v>4998</v>
      </c>
      <c r="K3228" t="str">
        <f>IFERROR(VLOOKUP(VALUE(J3228),'Site Info'!$A:$G,3,FALSE),"")</f>
        <v>755 N. HWY 27/441</v>
      </c>
      <c r="L3228" t="str">
        <f>IFERROR(VLOOKUP(VALUE(J3228),'Site Info'!$A:$G,4,FALSE),"")</f>
        <v>LADY LAKE</v>
      </c>
      <c r="M3228" t="str">
        <f>IFERROR(VLOOKUP(VALUE(J3228),'Site Info'!$A:$G,5,FALSE),"")</f>
        <v>FL</v>
      </c>
      <c r="N3228" t="str">
        <f>IFERROR(VLOOKUP(VALUE(J3228),'Site Info'!$A:$G,6,FALSE),"")</f>
        <v>32159-3196</v>
      </c>
      <c r="O3228">
        <f>IFERROR(VLOOKUP(VALUE(J3228),'Site Info'!$A:$G,7,FALSE),"")</f>
        <v>3527515150</v>
      </c>
    </row>
    <row r="3229" spans="1:15" x14ac:dyDescent="0.45">
      <c r="A3229" t="s">
        <v>16591</v>
      </c>
      <c r="B3229" t="s">
        <v>16592</v>
      </c>
      <c r="C3229" t="s">
        <v>16593</v>
      </c>
      <c r="D3229" t="s">
        <v>12313</v>
      </c>
      <c r="E3229" s="1">
        <v>46153.36074074074</v>
      </c>
      <c r="F3229">
        <v>1547</v>
      </c>
      <c r="G3229" t="s">
        <v>16594</v>
      </c>
      <c r="H3229" t="s">
        <v>15</v>
      </c>
      <c r="I3229" t="s">
        <v>12315</v>
      </c>
      <c r="J3229" t="str">
        <f>RIGHT(D3229,4)</f>
        <v>4998</v>
      </c>
      <c r="K3229" t="str">
        <f>IFERROR(VLOOKUP(VALUE(J3229),'Site Info'!$A:$G,3,FALSE),"")</f>
        <v>755 N. HWY 27/441</v>
      </c>
      <c r="L3229" t="str">
        <f>IFERROR(VLOOKUP(VALUE(J3229),'Site Info'!$A:$G,4,FALSE),"")</f>
        <v>LADY LAKE</v>
      </c>
      <c r="M3229" t="str">
        <f>IFERROR(VLOOKUP(VALUE(J3229),'Site Info'!$A:$G,5,FALSE),"")</f>
        <v>FL</v>
      </c>
      <c r="N3229" t="str">
        <f>IFERROR(VLOOKUP(VALUE(J3229),'Site Info'!$A:$G,6,FALSE),"")</f>
        <v>32159-3196</v>
      </c>
      <c r="O3229">
        <f>IFERROR(VLOOKUP(VALUE(J3229),'Site Info'!$A:$G,7,FALSE),"")</f>
        <v>3527515150</v>
      </c>
    </row>
    <row r="3230" spans="1:15" x14ac:dyDescent="0.45">
      <c r="A3230" t="s">
        <v>6617</v>
      </c>
      <c r="B3230" t="s">
        <v>6618</v>
      </c>
      <c r="C3230" t="s">
        <v>6619</v>
      </c>
      <c r="D3230" t="s">
        <v>3258</v>
      </c>
      <c r="E3230" s="1">
        <v>46151.171956018516</v>
      </c>
      <c r="F3230">
        <v>1547</v>
      </c>
      <c r="G3230" t="s">
        <v>6620</v>
      </c>
      <c r="H3230" t="s">
        <v>15</v>
      </c>
      <c r="I3230" t="s">
        <v>3260</v>
      </c>
      <c r="J3230" t="str">
        <f>RIGHT(D3230,4)</f>
        <v>4730</v>
      </c>
      <c r="K3230" t="str">
        <f>IFERROR(VLOOKUP(VALUE(J3230),'Site Info'!$A:$G,3,FALSE),"")</f>
        <v>7571 S 3800 W</v>
      </c>
      <c r="L3230" t="str">
        <f>IFERROR(VLOOKUP(VALUE(J3230),'Site Info'!$A:$G,4,FALSE),"")</f>
        <v>WEST JORDAN</v>
      </c>
      <c r="M3230" t="str">
        <f>IFERROR(VLOOKUP(VALUE(J3230),'Site Info'!$A:$G,5,FALSE),"")</f>
        <v>UT</v>
      </c>
      <c r="N3230" t="str">
        <f>IFERROR(VLOOKUP(VALUE(J3230),'Site Info'!$A:$G,6,FALSE),"")</f>
        <v>84084-4319</v>
      </c>
      <c r="O3230">
        <f>IFERROR(VLOOKUP(VALUE(J3230),'Site Info'!$A:$G,7,FALSE),"")</f>
        <v>8012825600</v>
      </c>
    </row>
    <row r="3231" spans="1:15" x14ac:dyDescent="0.45">
      <c r="A3231" t="s">
        <v>5416</v>
      </c>
      <c r="B3231" t="s">
        <v>5417</v>
      </c>
      <c r="C3231" t="s">
        <v>5418</v>
      </c>
      <c r="D3231" t="s">
        <v>3258</v>
      </c>
      <c r="E3231" s="1">
        <v>46152.419247685182</v>
      </c>
      <c r="F3231">
        <v>1547</v>
      </c>
      <c r="G3231" t="s">
        <v>5419</v>
      </c>
      <c r="H3231" t="s">
        <v>15</v>
      </c>
      <c r="I3231" t="s">
        <v>3260</v>
      </c>
      <c r="J3231" t="str">
        <f>RIGHT(D3231,4)</f>
        <v>4730</v>
      </c>
      <c r="K3231" t="str">
        <f>IFERROR(VLOOKUP(VALUE(J3231),'Site Info'!$A:$G,3,FALSE),"")</f>
        <v>7571 S 3800 W</v>
      </c>
      <c r="L3231" t="str">
        <f>IFERROR(VLOOKUP(VALUE(J3231),'Site Info'!$A:$G,4,FALSE),"")</f>
        <v>WEST JORDAN</v>
      </c>
      <c r="M3231" t="str">
        <f>IFERROR(VLOOKUP(VALUE(J3231),'Site Info'!$A:$G,5,FALSE),"")</f>
        <v>UT</v>
      </c>
      <c r="N3231" t="str">
        <f>IFERROR(VLOOKUP(VALUE(J3231),'Site Info'!$A:$G,6,FALSE),"")</f>
        <v>84084-4319</v>
      </c>
      <c r="O3231">
        <f>IFERROR(VLOOKUP(VALUE(J3231),'Site Info'!$A:$G,7,FALSE),"")</f>
        <v>8012825600</v>
      </c>
    </row>
    <row r="3232" spans="1:15" x14ac:dyDescent="0.45">
      <c r="A3232" t="s">
        <v>5090</v>
      </c>
      <c r="B3232" t="s">
        <v>5091</v>
      </c>
      <c r="C3232" t="s">
        <v>5092</v>
      </c>
      <c r="D3232" t="s">
        <v>3258</v>
      </c>
      <c r="E3232" s="1">
        <v>46153.140405092592</v>
      </c>
      <c r="F3232">
        <v>1547</v>
      </c>
      <c r="G3232" t="s">
        <v>5093</v>
      </c>
      <c r="H3232" t="s">
        <v>15</v>
      </c>
      <c r="I3232" t="s">
        <v>3260</v>
      </c>
      <c r="J3232" t="str">
        <f>RIGHT(D3232,4)</f>
        <v>4730</v>
      </c>
      <c r="K3232" t="str">
        <f>IFERROR(VLOOKUP(VALUE(J3232),'Site Info'!$A:$G,3,FALSE),"")</f>
        <v>7571 S 3800 W</v>
      </c>
      <c r="L3232" t="str">
        <f>IFERROR(VLOOKUP(VALUE(J3232),'Site Info'!$A:$G,4,FALSE),"")</f>
        <v>WEST JORDAN</v>
      </c>
      <c r="M3232" t="str">
        <f>IFERROR(VLOOKUP(VALUE(J3232),'Site Info'!$A:$G,5,FALSE),"")</f>
        <v>UT</v>
      </c>
      <c r="N3232" t="str">
        <f>IFERROR(VLOOKUP(VALUE(J3232),'Site Info'!$A:$G,6,FALSE),"")</f>
        <v>84084-4319</v>
      </c>
      <c r="O3232">
        <f>IFERROR(VLOOKUP(VALUE(J3232),'Site Info'!$A:$G,7,FALSE),"")</f>
        <v>8012825600</v>
      </c>
    </row>
    <row r="3233" spans="1:15" x14ac:dyDescent="0.45">
      <c r="A3233" t="s">
        <v>5658</v>
      </c>
      <c r="B3233" t="s">
        <v>5659</v>
      </c>
      <c r="C3233" t="s">
        <v>5660</v>
      </c>
      <c r="D3233" t="s">
        <v>3258</v>
      </c>
      <c r="E3233" s="1">
        <v>46153.272233796299</v>
      </c>
      <c r="F3233">
        <v>1547</v>
      </c>
      <c r="G3233" t="s">
        <v>5661</v>
      </c>
      <c r="H3233" t="s">
        <v>15</v>
      </c>
      <c r="I3233" t="s">
        <v>3260</v>
      </c>
      <c r="J3233" t="str">
        <f>RIGHT(D3233,4)</f>
        <v>4730</v>
      </c>
      <c r="K3233" t="str">
        <f>IFERROR(VLOOKUP(VALUE(J3233),'Site Info'!$A:$G,3,FALSE),"")</f>
        <v>7571 S 3800 W</v>
      </c>
      <c r="L3233" t="str">
        <f>IFERROR(VLOOKUP(VALUE(J3233),'Site Info'!$A:$G,4,FALSE),"")</f>
        <v>WEST JORDAN</v>
      </c>
      <c r="M3233" t="str">
        <f>IFERROR(VLOOKUP(VALUE(J3233),'Site Info'!$A:$G,5,FALSE),"")</f>
        <v>UT</v>
      </c>
      <c r="N3233" t="str">
        <f>IFERROR(VLOOKUP(VALUE(J3233),'Site Info'!$A:$G,6,FALSE),"")</f>
        <v>84084-4319</v>
      </c>
      <c r="O3233">
        <f>IFERROR(VLOOKUP(VALUE(J3233),'Site Info'!$A:$G,7,FALSE),"")</f>
        <v>8012825600</v>
      </c>
    </row>
    <row r="3234" spans="1:15" x14ac:dyDescent="0.45">
      <c r="A3234" t="s">
        <v>13239</v>
      </c>
      <c r="B3234" t="s">
        <v>13240</v>
      </c>
      <c r="C3234" t="s">
        <v>13241</v>
      </c>
      <c r="D3234" t="s">
        <v>3258</v>
      </c>
      <c r="E3234" s="1">
        <v>46153.366053240738</v>
      </c>
      <c r="F3234">
        <v>1547</v>
      </c>
      <c r="G3234" t="s">
        <v>13242</v>
      </c>
      <c r="H3234" t="s">
        <v>15</v>
      </c>
      <c r="I3234" t="s">
        <v>3260</v>
      </c>
      <c r="J3234" t="str">
        <f>RIGHT(D3234,4)</f>
        <v>4730</v>
      </c>
      <c r="K3234" t="str">
        <f>IFERROR(VLOOKUP(VALUE(J3234),'Site Info'!$A:$G,3,FALSE),"")</f>
        <v>7571 S 3800 W</v>
      </c>
      <c r="L3234" t="str">
        <f>IFERROR(VLOOKUP(VALUE(J3234),'Site Info'!$A:$G,4,FALSE),"")</f>
        <v>WEST JORDAN</v>
      </c>
      <c r="M3234" t="str">
        <f>IFERROR(VLOOKUP(VALUE(J3234),'Site Info'!$A:$G,5,FALSE),"")</f>
        <v>UT</v>
      </c>
      <c r="N3234" t="str">
        <f>IFERROR(VLOOKUP(VALUE(J3234),'Site Info'!$A:$G,6,FALSE),"")</f>
        <v>84084-4319</v>
      </c>
      <c r="O3234">
        <f>IFERROR(VLOOKUP(VALUE(J3234),'Site Info'!$A:$G,7,FALSE),"")</f>
        <v>8012825600</v>
      </c>
    </row>
    <row r="3235" spans="1:15" x14ac:dyDescent="0.45">
      <c r="A3235" t="s">
        <v>3255</v>
      </c>
      <c r="B3235" t="s">
        <v>3256</v>
      </c>
      <c r="C3235" t="s">
        <v>3257</v>
      </c>
      <c r="D3235" t="s">
        <v>3258</v>
      </c>
      <c r="E3235" s="1">
        <v>46153.355081018519</v>
      </c>
      <c r="F3235">
        <v>1481</v>
      </c>
      <c r="G3235" t="s">
        <v>3259</v>
      </c>
      <c r="H3235" t="s">
        <v>15</v>
      </c>
      <c r="I3235" t="s">
        <v>3260</v>
      </c>
      <c r="J3235" t="str">
        <f>RIGHT(D3235,4)</f>
        <v>4730</v>
      </c>
      <c r="K3235" t="str">
        <f>IFERROR(VLOOKUP(VALUE(J3235),'Site Info'!$A:$G,3,FALSE),"")</f>
        <v>7571 S 3800 W</v>
      </c>
      <c r="L3235" t="str">
        <f>IFERROR(VLOOKUP(VALUE(J3235),'Site Info'!$A:$G,4,FALSE),"")</f>
        <v>WEST JORDAN</v>
      </c>
      <c r="M3235" t="str">
        <f>IFERROR(VLOOKUP(VALUE(J3235),'Site Info'!$A:$G,5,FALSE),"")</f>
        <v>UT</v>
      </c>
      <c r="N3235" t="str">
        <f>IFERROR(VLOOKUP(VALUE(J3235),'Site Info'!$A:$G,6,FALSE),"")</f>
        <v>84084-4319</v>
      </c>
      <c r="O3235">
        <f>IFERROR(VLOOKUP(VALUE(J3235),'Site Info'!$A:$G,7,FALSE),"")</f>
        <v>8012825600</v>
      </c>
    </row>
    <row r="3236" spans="1:15" x14ac:dyDescent="0.45">
      <c r="A3236" t="s">
        <v>48</v>
      </c>
      <c r="B3236" t="s">
        <v>49</v>
      </c>
      <c r="C3236" t="s">
        <v>50</v>
      </c>
      <c r="D3236" t="s">
        <v>51</v>
      </c>
      <c r="E3236" s="1">
        <v>46151.793194444443</v>
      </c>
      <c r="F3236">
        <v>1547</v>
      </c>
      <c r="G3236" t="s">
        <v>52</v>
      </c>
      <c r="H3236" t="s">
        <v>15</v>
      </c>
      <c r="I3236" t="s">
        <v>53</v>
      </c>
      <c r="J3236" t="str">
        <f>RIGHT(D3236,4)</f>
        <v>4850</v>
      </c>
      <c r="K3236" t="str">
        <f>IFERROR(VLOOKUP(VALUE(J3236),'Site Info'!$A:$G,3,FALSE),"")</f>
        <v>7601 N 10TH ST</v>
      </c>
      <c r="L3236" t="str">
        <f>IFERROR(VLOOKUP(VALUE(J3236),'Site Info'!$A:$G,4,FALSE),"")</f>
        <v>MCALLEN</v>
      </c>
      <c r="M3236" t="str">
        <f>IFERROR(VLOOKUP(VALUE(J3236),'Site Info'!$A:$G,5,FALSE),"")</f>
        <v>TX</v>
      </c>
      <c r="N3236" t="str">
        <f>IFERROR(VLOOKUP(VALUE(J3236),'Site Info'!$A:$G,6,FALSE),"")</f>
        <v>78504-0000</v>
      </c>
      <c r="O3236">
        <f>IFERROR(VLOOKUP(VALUE(J3236),'Site Info'!$A:$G,7,FALSE),"")</f>
        <v>9562788824</v>
      </c>
    </row>
    <row r="3237" spans="1:15" x14ac:dyDescent="0.45">
      <c r="A3237" t="s">
        <v>4116</v>
      </c>
      <c r="B3237" t="s">
        <v>4117</v>
      </c>
      <c r="C3237" t="s">
        <v>4118</v>
      </c>
      <c r="D3237" t="s">
        <v>51</v>
      </c>
      <c r="E3237" s="1">
        <v>46152.672777777778</v>
      </c>
      <c r="F3237">
        <v>1547</v>
      </c>
      <c r="G3237" t="s">
        <v>4119</v>
      </c>
      <c r="H3237" t="s">
        <v>15</v>
      </c>
      <c r="I3237" t="s">
        <v>53</v>
      </c>
      <c r="J3237" t="str">
        <f>RIGHT(D3237,4)</f>
        <v>4850</v>
      </c>
      <c r="K3237" t="str">
        <f>IFERROR(VLOOKUP(VALUE(J3237),'Site Info'!$A:$G,3,FALSE),"")</f>
        <v>7601 N 10TH ST</v>
      </c>
      <c r="L3237" t="str">
        <f>IFERROR(VLOOKUP(VALUE(J3237),'Site Info'!$A:$G,4,FALSE),"")</f>
        <v>MCALLEN</v>
      </c>
      <c r="M3237" t="str">
        <f>IFERROR(VLOOKUP(VALUE(J3237),'Site Info'!$A:$G,5,FALSE),"")</f>
        <v>TX</v>
      </c>
      <c r="N3237" t="str">
        <f>IFERROR(VLOOKUP(VALUE(J3237),'Site Info'!$A:$G,6,FALSE),"")</f>
        <v>78504-0000</v>
      </c>
      <c r="O3237">
        <f>IFERROR(VLOOKUP(VALUE(J3237),'Site Info'!$A:$G,7,FALSE),"")</f>
        <v>9562788824</v>
      </c>
    </row>
    <row r="3238" spans="1:15" x14ac:dyDescent="0.45">
      <c r="A3238" t="s">
        <v>6384</v>
      </c>
      <c r="B3238" t="s">
        <v>6385</v>
      </c>
      <c r="C3238" t="s">
        <v>6386</v>
      </c>
      <c r="D3238" t="s">
        <v>51</v>
      </c>
      <c r="E3238" s="1">
        <v>46153.165729166663</v>
      </c>
      <c r="F3238">
        <v>1547</v>
      </c>
      <c r="G3238" t="s">
        <v>6387</v>
      </c>
      <c r="H3238" t="s">
        <v>15</v>
      </c>
      <c r="I3238" t="s">
        <v>53</v>
      </c>
      <c r="J3238" t="str">
        <f>RIGHT(D3238,4)</f>
        <v>4850</v>
      </c>
      <c r="K3238" t="str">
        <f>IFERROR(VLOOKUP(VALUE(J3238),'Site Info'!$A:$G,3,FALSE),"")</f>
        <v>7601 N 10TH ST</v>
      </c>
      <c r="L3238" t="str">
        <f>IFERROR(VLOOKUP(VALUE(J3238),'Site Info'!$A:$G,4,FALSE),"")</f>
        <v>MCALLEN</v>
      </c>
      <c r="M3238" t="str">
        <f>IFERROR(VLOOKUP(VALUE(J3238),'Site Info'!$A:$G,5,FALSE),"")</f>
        <v>TX</v>
      </c>
      <c r="N3238" t="str">
        <f>IFERROR(VLOOKUP(VALUE(J3238),'Site Info'!$A:$G,6,FALSE),"")</f>
        <v>78504-0000</v>
      </c>
      <c r="O3238">
        <f>IFERROR(VLOOKUP(VALUE(J3238),'Site Info'!$A:$G,7,FALSE),"")</f>
        <v>9562788824</v>
      </c>
    </row>
    <row r="3239" spans="1:15" x14ac:dyDescent="0.45">
      <c r="A3239" t="s">
        <v>6422</v>
      </c>
      <c r="B3239" t="s">
        <v>6423</v>
      </c>
      <c r="C3239" t="s">
        <v>6424</v>
      </c>
      <c r="D3239" t="s">
        <v>51</v>
      </c>
      <c r="E3239" s="1">
        <v>46153.31177083333</v>
      </c>
      <c r="F3239">
        <v>1547</v>
      </c>
      <c r="G3239" t="s">
        <v>6425</v>
      </c>
      <c r="H3239" t="s">
        <v>15</v>
      </c>
      <c r="I3239" t="s">
        <v>53</v>
      </c>
      <c r="J3239" t="str">
        <f>RIGHT(D3239,4)</f>
        <v>4850</v>
      </c>
      <c r="K3239" t="str">
        <f>IFERROR(VLOOKUP(VALUE(J3239),'Site Info'!$A:$G,3,FALSE),"")</f>
        <v>7601 N 10TH ST</v>
      </c>
      <c r="L3239" t="str">
        <f>IFERROR(VLOOKUP(VALUE(J3239),'Site Info'!$A:$G,4,FALSE),"")</f>
        <v>MCALLEN</v>
      </c>
      <c r="M3239" t="str">
        <f>IFERROR(VLOOKUP(VALUE(J3239),'Site Info'!$A:$G,5,FALSE),"")</f>
        <v>TX</v>
      </c>
      <c r="N3239" t="str">
        <f>IFERROR(VLOOKUP(VALUE(J3239),'Site Info'!$A:$G,6,FALSE),"")</f>
        <v>78504-0000</v>
      </c>
      <c r="O3239">
        <f>IFERROR(VLOOKUP(VALUE(J3239),'Site Info'!$A:$G,7,FALSE),"")</f>
        <v>9562788824</v>
      </c>
    </row>
    <row r="3240" spans="1:15" x14ac:dyDescent="0.45">
      <c r="A3240" t="s">
        <v>5806</v>
      </c>
      <c r="B3240" t="s">
        <v>5807</v>
      </c>
      <c r="C3240" t="s">
        <v>5808</v>
      </c>
      <c r="D3240" t="s">
        <v>2796</v>
      </c>
      <c r="E3240" s="1">
        <v>46151.842083333337</v>
      </c>
      <c r="F3240">
        <v>1547</v>
      </c>
      <c r="G3240" t="s">
        <v>5809</v>
      </c>
      <c r="H3240" t="s">
        <v>15</v>
      </c>
      <c r="I3240" t="s">
        <v>2798</v>
      </c>
      <c r="J3240" t="str">
        <f>RIGHT(D3240,4)</f>
        <v>4704</v>
      </c>
      <c r="K3240" t="str">
        <f>IFERROR(VLOOKUP(VALUE(J3240),'Site Info'!$A:$G,3,FALSE),"")</f>
        <v>7663 N BLACKSTONE AVE</v>
      </c>
      <c r="L3240" t="str">
        <f>IFERROR(VLOOKUP(VALUE(J3240),'Site Info'!$A:$G,4,FALSE),"")</f>
        <v>FRESNO</v>
      </c>
      <c r="M3240" t="str">
        <f>IFERROR(VLOOKUP(VALUE(J3240),'Site Info'!$A:$G,5,FALSE),"")</f>
        <v>CA</v>
      </c>
      <c r="N3240" t="str">
        <f>IFERROR(VLOOKUP(VALUE(J3240),'Site Info'!$A:$G,6,FALSE),"")</f>
        <v>93720-4306</v>
      </c>
      <c r="O3240">
        <f>IFERROR(VLOOKUP(VALUE(J3240),'Site Info'!$A:$G,7,FALSE),"")</f>
        <v>5594460106</v>
      </c>
    </row>
    <row r="3241" spans="1:15" x14ac:dyDescent="0.45">
      <c r="A3241" t="s">
        <v>5584</v>
      </c>
      <c r="B3241" t="s">
        <v>5585</v>
      </c>
      <c r="C3241" t="s">
        <v>5586</v>
      </c>
      <c r="D3241" t="s">
        <v>2796</v>
      </c>
      <c r="E3241" s="1">
        <v>46152.786192129628</v>
      </c>
      <c r="F3241">
        <v>1547</v>
      </c>
      <c r="G3241" t="s">
        <v>5587</v>
      </c>
      <c r="H3241" t="s">
        <v>15</v>
      </c>
      <c r="I3241" t="s">
        <v>2798</v>
      </c>
      <c r="J3241" t="str">
        <f>RIGHT(D3241,4)</f>
        <v>4704</v>
      </c>
      <c r="K3241" t="str">
        <f>IFERROR(VLOOKUP(VALUE(J3241),'Site Info'!$A:$G,3,FALSE),"")</f>
        <v>7663 N BLACKSTONE AVE</v>
      </c>
      <c r="L3241" t="str">
        <f>IFERROR(VLOOKUP(VALUE(J3241),'Site Info'!$A:$G,4,FALSE),"")</f>
        <v>FRESNO</v>
      </c>
      <c r="M3241" t="str">
        <f>IFERROR(VLOOKUP(VALUE(J3241),'Site Info'!$A:$G,5,FALSE),"")</f>
        <v>CA</v>
      </c>
      <c r="N3241" t="str">
        <f>IFERROR(VLOOKUP(VALUE(J3241),'Site Info'!$A:$G,6,FALSE),"")</f>
        <v>93720-4306</v>
      </c>
      <c r="O3241">
        <f>IFERROR(VLOOKUP(VALUE(J3241),'Site Info'!$A:$G,7,FALSE),"")</f>
        <v>5594460106</v>
      </c>
    </row>
    <row r="3242" spans="1:15" x14ac:dyDescent="0.45">
      <c r="A3242" t="s">
        <v>5494</v>
      </c>
      <c r="B3242" t="s">
        <v>5495</v>
      </c>
      <c r="C3242" t="s">
        <v>5496</v>
      </c>
      <c r="D3242" t="s">
        <v>2796</v>
      </c>
      <c r="E3242" s="1">
        <v>46153.320555555554</v>
      </c>
      <c r="F3242">
        <v>1547</v>
      </c>
      <c r="G3242" t="s">
        <v>5497</v>
      </c>
      <c r="H3242" t="s">
        <v>15</v>
      </c>
      <c r="I3242" t="s">
        <v>2798</v>
      </c>
      <c r="J3242" t="str">
        <f>RIGHT(D3242,4)</f>
        <v>4704</v>
      </c>
      <c r="K3242" t="str">
        <f>IFERROR(VLOOKUP(VALUE(J3242),'Site Info'!$A:$G,3,FALSE),"")</f>
        <v>7663 N BLACKSTONE AVE</v>
      </c>
      <c r="L3242" t="str">
        <f>IFERROR(VLOOKUP(VALUE(J3242),'Site Info'!$A:$G,4,FALSE),"")</f>
        <v>FRESNO</v>
      </c>
      <c r="M3242" t="str">
        <f>IFERROR(VLOOKUP(VALUE(J3242),'Site Info'!$A:$G,5,FALSE),"")</f>
        <v>CA</v>
      </c>
      <c r="N3242" t="str">
        <f>IFERROR(VLOOKUP(VALUE(J3242),'Site Info'!$A:$G,6,FALSE),"")</f>
        <v>93720-4306</v>
      </c>
      <c r="O3242">
        <f>IFERROR(VLOOKUP(VALUE(J3242),'Site Info'!$A:$G,7,FALSE),"")</f>
        <v>5594460106</v>
      </c>
    </row>
    <row r="3243" spans="1:15" x14ac:dyDescent="0.45">
      <c r="A3243" t="s">
        <v>2793</v>
      </c>
      <c r="B3243" t="s">
        <v>2794</v>
      </c>
      <c r="C3243" t="s">
        <v>2795</v>
      </c>
      <c r="D3243" t="s">
        <v>2796</v>
      </c>
      <c r="E3243" s="1">
        <v>46152.84815972222</v>
      </c>
      <c r="F3243">
        <v>1481</v>
      </c>
      <c r="G3243" t="s">
        <v>2797</v>
      </c>
      <c r="H3243" t="s">
        <v>15</v>
      </c>
      <c r="I3243" t="s">
        <v>2798</v>
      </c>
      <c r="J3243" t="str">
        <f>RIGHT(D3243,4)</f>
        <v>4704</v>
      </c>
      <c r="K3243" t="str">
        <f>IFERROR(VLOOKUP(VALUE(J3243),'Site Info'!$A:$G,3,FALSE),"")</f>
        <v>7663 N BLACKSTONE AVE</v>
      </c>
      <c r="L3243" t="str">
        <f>IFERROR(VLOOKUP(VALUE(J3243),'Site Info'!$A:$G,4,FALSE),"")</f>
        <v>FRESNO</v>
      </c>
      <c r="M3243" t="str">
        <f>IFERROR(VLOOKUP(VALUE(J3243),'Site Info'!$A:$G,5,FALSE),"")</f>
        <v>CA</v>
      </c>
      <c r="N3243" t="str">
        <f>IFERROR(VLOOKUP(VALUE(J3243),'Site Info'!$A:$G,6,FALSE),"")</f>
        <v>93720-4306</v>
      </c>
      <c r="O3243">
        <f>IFERROR(VLOOKUP(VALUE(J3243),'Site Info'!$A:$G,7,FALSE),"")</f>
        <v>5594460106</v>
      </c>
    </row>
    <row r="3244" spans="1:15" x14ac:dyDescent="0.45">
      <c r="A3244" t="s">
        <v>12404</v>
      </c>
      <c r="B3244" t="s">
        <v>12405</v>
      </c>
      <c r="C3244" t="s">
        <v>12406</v>
      </c>
      <c r="D3244" t="s">
        <v>953</v>
      </c>
      <c r="E3244" s="1">
        <v>46150.260138888887</v>
      </c>
      <c r="F3244">
        <v>1547</v>
      </c>
      <c r="G3244" t="s">
        <v>12407</v>
      </c>
      <c r="H3244" t="s">
        <v>15</v>
      </c>
      <c r="I3244" t="s">
        <v>955</v>
      </c>
      <c r="J3244" t="str">
        <f>RIGHT(D3244,4)</f>
        <v>8134</v>
      </c>
      <c r="K3244" t="str">
        <f>IFERROR(VLOOKUP(VALUE(J3244),'Site Info'!$A:$G,3,FALSE),"")</f>
        <v>7700 ROGERS AVE</v>
      </c>
      <c r="L3244" t="str">
        <f>IFERROR(VLOOKUP(VALUE(J3244),'Site Info'!$A:$G,4,FALSE),"")</f>
        <v>FORT SMITH</v>
      </c>
      <c r="M3244" t="str">
        <f>IFERROR(VLOOKUP(VALUE(J3244),'Site Info'!$A:$G,5,FALSE),"")</f>
        <v>AR</v>
      </c>
      <c r="N3244" t="str">
        <f>IFERROR(VLOOKUP(VALUE(J3244),'Site Info'!$A:$G,6,FALSE),"")</f>
        <v>72903-5542</v>
      </c>
      <c r="O3244">
        <f>IFERROR(VLOOKUP(VALUE(J3244),'Site Info'!$A:$G,7,FALSE),"")</f>
        <v>4794845454</v>
      </c>
    </row>
    <row r="3245" spans="1:15" x14ac:dyDescent="0.45">
      <c r="A3245" t="s">
        <v>4532</v>
      </c>
      <c r="B3245" t="s">
        <v>4533</v>
      </c>
      <c r="C3245" t="s">
        <v>4534</v>
      </c>
      <c r="D3245" t="s">
        <v>953</v>
      </c>
      <c r="E3245" s="1">
        <v>46152.674861111111</v>
      </c>
      <c r="F3245">
        <v>1547</v>
      </c>
      <c r="G3245" t="s">
        <v>4535</v>
      </c>
      <c r="H3245" t="s">
        <v>15</v>
      </c>
      <c r="I3245" t="s">
        <v>955</v>
      </c>
      <c r="J3245" t="str">
        <f>RIGHT(D3245,4)</f>
        <v>8134</v>
      </c>
      <c r="K3245" t="str">
        <f>IFERROR(VLOOKUP(VALUE(J3245),'Site Info'!$A:$G,3,FALSE),"")</f>
        <v>7700 ROGERS AVE</v>
      </c>
      <c r="L3245" t="str">
        <f>IFERROR(VLOOKUP(VALUE(J3245),'Site Info'!$A:$G,4,FALSE),"")</f>
        <v>FORT SMITH</v>
      </c>
      <c r="M3245" t="str">
        <f>IFERROR(VLOOKUP(VALUE(J3245),'Site Info'!$A:$G,5,FALSE),"")</f>
        <v>AR</v>
      </c>
      <c r="N3245" t="str">
        <f>IFERROR(VLOOKUP(VALUE(J3245),'Site Info'!$A:$G,6,FALSE),"")</f>
        <v>72903-5542</v>
      </c>
      <c r="O3245">
        <f>IFERROR(VLOOKUP(VALUE(J3245),'Site Info'!$A:$G,7,FALSE),"")</f>
        <v>4794845454</v>
      </c>
    </row>
    <row r="3246" spans="1:15" x14ac:dyDescent="0.45">
      <c r="A3246" t="s">
        <v>10977</v>
      </c>
      <c r="B3246" t="s">
        <v>10978</v>
      </c>
      <c r="C3246" t="s">
        <v>10979</v>
      </c>
      <c r="D3246" t="s">
        <v>953</v>
      </c>
      <c r="E3246" s="1">
        <v>46153.263680555552</v>
      </c>
      <c r="F3246">
        <v>1547</v>
      </c>
      <c r="G3246" t="s">
        <v>10980</v>
      </c>
      <c r="H3246" t="s">
        <v>15</v>
      </c>
      <c r="I3246" t="s">
        <v>955</v>
      </c>
      <c r="J3246" t="str">
        <f>RIGHT(D3246,4)</f>
        <v>8134</v>
      </c>
      <c r="K3246" t="str">
        <f>IFERROR(VLOOKUP(VALUE(J3246),'Site Info'!$A:$G,3,FALSE),"")</f>
        <v>7700 ROGERS AVE</v>
      </c>
      <c r="L3246" t="str">
        <f>IFERROR(VLOOKUP(VALUE(J3246),'Site Info'!$A:$G,4,FALSE),"")</f>
        <v>FORT SMITH</v>
      </c>
      <c r="M3246" t="str">
        <f>IFERROR(VLOOKUP(VALUE(J3246),'Site Info'!$A:$G,5,FALSE),"")</f>
        <v>AR</v>
      </c>
      <c r="N3246" t="str">
        <f>IFERROR(VLOOKUP(VALUE(J3246),'Site Info'!$A:$G,6,FALSE),"")</f>
        <v>72903-5542</v>
      </c>
      <c r="O3246">
        <f>IFERROR(VLOOKUP(VALUE(J3246),'Site Info'!$A:$G,7,FALSE),"")</f>
        <v>4794845454</v>
      </c>
    </row>
    <row r="3247" spans="1:15" x14ac:dyDescent="0.45">
      <c r="A3247" t="s">
        <v>10176</v>
      </c>
      <c r="B3247" t="s">
        <v>10177</v>
      </c>
      <c r="C3247" t="s">
        <v>10178</v>
      </c>
      <c r="D3247" t="s">
        <v>953</v>
      </c>
      <c r="E3247" s="1">
        <v>46153.339849537035</v>
      </c>
      <c r="F3247">
        <v>1547</v>
      </c>
      <c r="G3247" t="s">
        <v>10179</v>
      </c>
      <c r="H3247" t="s">
        <v>15</v>
      </c>
      <c r="I3247" t="s">
        <v>955</v>
      </c>
      <c r="J3247" t="str">
        <f>RIGHT(D3247,4)</f>
        <v>8134</v>
      </c>
      <c r="K3247" t="str">
        <f>IFERROR(VLOOKUP(VALUE(J3247),'Site Info'!$A:$G,3,FALSE),"")</f>
        <v>7700 ROGERS AVE</v>
      </c>
      <c r="L3247" t="str">
        <f>IFERROR(VLOOKUP(VALUE(J3247),'Site Info'!$A:$G,4,FALSE),"")</f>
        <v>FORT SMITH</v>
      </c>
      <c r="M3247" t="str">
        <f>IFERROR(VLOOKUP(VALUE(J3247),'Site Info'!$A:$G,5,FALSE),"")</f>
        <v>AR</v>
      </c>
      <c r="N3247" t="str">
        <f>IFERROR(VLOOKUP(VALUE(J3247),'Site Info'!$A:$G,6,FALSE),"")</f>
        <v>72903-5542</v>
      </c>
      <c r="O3247">
        <f>IFERROR(VLOOKUP(VALUE(J3247),'Site Info'!$A:$G,7,FALSE),"")</f>
        <v>4794845454</v>
      </c>
    </row>
    <row r="3248" spans="1:15" x14ac:dyDescent="0.45">
      <c r="A3248" t="s">
        <v>2543</v>
      </c>
      <c r="B3248" t="s">
        <v>2544</v>
      </c>
      <c r="C3248" t="s">
        <v>2545</v>
      </c>
      <c r="D3248" t="s">
        <v>953</v>
      </c>
      <c r="E3248" s="1">
        <v>46151.083935185183</v>
      </c>
      <c r="F3248">
        <v>1481</v>
      </c>
      <c r="G3248" t="s">
        <v>2546</v>
      </c>
      <c r="H3248" t="s">
        <v>15</v>
      </c>
      <c r="I3248" t="s">
        <v>955</v>
      </c>
      <c r="J3248" t="str">
        <f>RIGHT(D3248,4)</f>
        <v>8134</v>
      </c>
      <c r="K3248" t="str">
        <f>IFERROR(VLOOKUP(VALUE(J3248),'Site Info'!$A:$G,3,FALSE),"")</f>
        <v>7700 ROGERS AVE</v>
      </c>
      <c r="L3248" t="str">
        <f>IFERROR(VLOOKUP(VALUE(J3248),'Site Info'!$A:$G,4,FALSE),"")</f>
        <v>FORT SMITH</v>
      </c>
      <c r="M3248" t="str">
        <f>IFERROR(VLOOKUP(VALUE(J3248),'Site Info'!$A:$G,5,FALSE),"")</f>
        <v>AR</v>
      </c>
      <c r="N3248" t="str">
        <f>IFERROR(VLOOKUP(VALUE(J3248),'Site Info'!$A:$G,6,FALSE),"")</f>
        <v>72903-5542</v>
      </c>
      <c r="O3248">
        <f>IFERROR(VLOOKUP(VALUE(J3248),'Site Info'!$A:$G,7,FALSE),"")</f>
        <v>4794845454</v>
      </c>
    </row>
    <row r="3249" spans="1:15" x14ac:dyDescent="0.45">
      <c r="A3249" t="s">
        <v>2551</v>
      </c>
      <c r="B3249" t="s">
        <v>2552</v>
      </c>
      <c r="C3249" t="s">
        <v>2553</v>
      </c>
      <c r="D3249" t="s">
        <v>953</v>
      </c>
      <c r="E3249" s="1">
        <v>46151.742719907408</v>
      </c>
      <c r="F3249">
        <v>1481</v>
      </c>
      <c r="G3249" t="s">
        <v>2554</v>
      </c>
      <c r="H3249" t="s">
        <v>15</v>
      </c>
      <c r="I3249" t="s">
        <v>955</v>
      </c>
      <c r="J3249" t="str">
        <f>RIGHT(D3249,4)</f>
        <v>8134</v>
      </c>
      <c r="K3249" t="str">
        <f>IFERROR(VLOOKUP(VALUE(J3249),'Site Info'!$A:$G,3,FALSE),"")</f>
        <v>7700 ROGERS AVE</v>
      </c>
      <c r="L3249" t="str">
        <f>IFERROR(VLOOKUP(VALUE(J3249),'Site Info'!$A:$G,4,FALSE),"")</f>
        <v>FORT SMITH</v>
      </c>
      <c r="M3249" t="str">
        <f>IFERROR(VLOOKUP(VALUE(J3249),'Site Info'!$A:$G,5,FALSE),"")</f>
        <v>AR</v>
      </c>
      <c r="N3249" t="str">
        <f>IFERROR(VLOOKUP(VALUE(J3249),'Site Info'!$A:$G,6,FALSE),"")</f>
        <v>72903-5542</v>
      </c>
      <c r="O3249">
        <f>IFERROR(VLOOKUP(VALUE(J3249),'Site Info'!$A:$G,7,FALSE),"")</f>
        <v>4794845454</v>
      </c>
    </row>
    <row r="3250" spans="1:15" x14ac:dyDescent="0.45">
      <c r="A3250" t="s">
        <v>950</v>
      </c>
      <c r="B3250" t="s">
        <v>951</v>
      </c>
      <c r="C3250" t="s">
        <v>952</v>
      </c>
      <c r="D3250" t="s">
        <v>953</v>
      </c>
      <c r="E3250" s="1">
        <v>46151.769918981481</v>
      </c>
      <c r="F3250">
        <v>1481</v>
      </c>
      <c r="G3250" t="s">
        <v>954</v>
      </c>
      <c r="H3250" t="s">
        <v>15</v>
      </c>
      <c r="I3250" t="s">
        <v>955</v>
      </c>
      <c r="J3250" t="str">
        <f>RIGHT(D3250,4)</f>
        <v>8134</v>
      </c>
      <c r="K3250" t="str">
        <f>IFERROR(VLOOKUP(VALUE(J3250),'Site Info'!$A:$G,3,FALSE),"")</f>
        <v>7700 ROGERS AVE</v>
      </c>
      <c r="L3250" t="str">
        <f>IFERROR(VLOOKUP(VALUE(J3250),'Site Info'!$A:$G,4,FALSE),"")</f>
        <v>FORT SMITH</v>
      </c>
      <c r="M3250" t="str">
        <f>IFERROR(VLOOKUP(VALUE(J3250),'Site Info'!$A:$G,5,FALSE),"")</f>
        <v>AR</v>
      </c>
      <c r="N3250" t="str">
        <f>IFERROR(VLOOKUP(VALUE(J3250),'Site Info'!$A:$G,6,FALSE),"")</f>
        <v>72903-5542</v>
      </c>
      <c r="O3250">
        <f>IFERROR(VLOOKUP(VALUE(J3250),'Site Info'!$A:$G,7,FALSE),"")</f>
        <v>4794845454</v>
      </c>
    </row>
    <row r="3251" spans="1:15" x14ac:dyDescent="0.45">
      <c r="A3251" t="s">
        <v>9289</v>
      </c>
      <c r="B3251" t="s">
        <v>9290</v>
      </c>
      <c r="C3251" t="s">
        <v>9291</v>
      </c>
      <c r="D3251" t="s">
        <v>2151</v>
      </c>
      <c r="E3251" s="1">
        <v>46149.406759259262</v>
      </c>
      <c r="F3251">
        <v>1547</v>
      </c>
      <c r="G3251" t="s">
        <v>9292</v>
      </c>
      <c r="H3251" t="s">
        <v>15</v>
      </c>
      <c r="I3251" t="s">
        <v>2153</v>
      </c>
      <c r="J3251" t="str">
        <f>RIGHT(D3251,4)</f>
        <v>6212</v>
      </c>
      <c r="K3251" t="str">
        <f>IFERROR(VLOOKUP(VALUE(J3251),'Site Info'!$A:$G,3,FALSE),"")</f>
        <v>7701 E COLONIAL DR</v>
      </c>
      <c r="L3251" t="str">
        <f>IFERROR(VLOOKUP(VALUE(J3251),'Site Info'!$A:$G,4,FALSE),"")</f>
        <v>ORLANDO</v>
      </c>
      <c r="M3251" t="str">
        <f>IFERROR(VLOOKUP(VALUE(J3251),'Site Info'!$A:$G,5,FALSE),"")</f>
        <v>FL</v>
      </c>
      <c r="N3251" t="str">
        <f>IFERROR(VLOOKUP(VALUE(J3251),'Site Info'!$A:$G,6,FALSE),"")</f>
        <v>32807-8421</v>
      </c>
      <c r="O3251">
        <f>IFERROR(VLOOKUP(VALUE(J3251),'Site Info'!$A:$G,7,FALSE),"")</f>
        <v>4073847570</v>
      </c>
    </row>
    <row r="3252" spans="1:15" x14ac:dyDescent="0.45">
      <c r="A3252" t="s">
        <v>9419</v>
      </c>
      <c r="B3252" t="s">
        <v>9420</v>
      </c>
      <c r="C3252" t="s">
        <v>9421</v>
      </c>
      <c r="D3252" t="s">
        <v>2151</v>
      </c>
      <c r="E3252" s="1">
        <v>46152.307881944442</v>
      </c>
      <c r="F3252">
        <v>1547</v>
      </c>
      <c r="G3252" t="s">
        <v>9422</v>
      </c>
      <c r="H3252" t="s">
        <v>15</v>
      </c>
      <c r="I3252" t="s">
        <v>2153</v>
      </c>
      <c r="J3252" t="str">
        <f>RIGHT(D3252,4)</f>
        <v>6212</v>
      </c>
      <c r="K3252" t="str">
        <f>IFERROR(VLOOKUP(VALUE(J3252),'Site Info'!$A:$G,3,FALSE),"")</f>
        <v>7701 E COLONIAL DR</v>
      </c>
      <c r="L3252" t="str">
        <f>IFERROR(VLOOKUP(VALUE(J3252),'Site Info'!$A:$G,4,FALSE),"")</f>
        <v>ORLANDO</v>
      </c>
      <c r="M3252" t="str">
        <f>IFERROR(VLOOKUP(VALUE(J3252),'Site Info'!$A:$G,5,FALSE),"")</f>
        <v>FL</v>
      </c>
      <c r="N3252" t="str">
        <f>IFERROR(VLOOKUP(VALUE(J3252),'Site Info'!$A:$G,6,FALSE),"")</f>
        <v>32807-8421</v>
      </c>
      <c r="O3252">
        <f>IFERROR(VLOOKUP(VALUE(J3252),'Site Info'!$A:$G,7,FALSE),"")</f>
        <v>4073847570</v>
      </c>
    </row>
    <row r="3253" spans="1:15" x14ac:dyDescent="0.45">
      <c r="A3253" t="s">
        <v>10837</v>
      </c>
      <c r="B3253" t="s">
        <v>10838</v>
      </c>
      <c r="C3253" t="s">
        <v>10839</v>
      </c>
      <c r="D3253" t="s">
        <v>2151</v>
      </c>
      <c r="E3253" s="1">
        <v>46152.611597222225</v>
      </c>
      <c r="F3253">
        <v>1547</v>
      </c>
      <c r="G3253" t="s">
        <v>10840</v>
      </c>
      <c r="H3253" t="s">
        <v>15</v>
      </c>
      <c r="I3253" t="s">
        <v>2153</v>
      </c>
      <c r="J3253" t="str">
        <f>RIGHT(D3253,4)</f>
        <v>6212</v>
      </c>
      <c r="K3253" t="str">
        <f>IFERROR(VLOOKUP(VALUE(J3253),'Site Info'!$A:$G,3,FALSE),"")</f>
        <v>7701 E COLONIAL DR</v>
      </c>
      <c r="L3253" t="str">
        <f>IFERROR(VLOOKUP(VALUE(J3253),'Site Info'!$A:$G,4,FALSE),"")</f>
        <v>ORLANDO</v>
      </c>
      <c r="M3253" t="str">
        <f>IFERROR(VLOOKUP(VALUE(J3253),'Site Info'!$A:$G,5,FALSE),"")</f>
        <v>FL</v>
      </c>
      <c r="N3253" t="str">
        <f>IFERROR(VLOOKUP(VALUE(J3253),'Site Info'!$A:$G,6,FALSE),"")</f>
        <v>32807-8421</v>
      </c>
      <c r="O3253">
        <f>IFERROR(VLOOKUP(VALUE(J3253),'Site Info'!$A:$G,7,FALSE),"")</f>
        <v>4073847570</v>
      </c>
    </row>
    <row r="3254" spans="1:15" x14ac:dyDescent="0.45">
      <c r="A3254" t="s">
        <v>12476</v>
      </c>
      <c r="B3254" t="s">
        <v>12477</v>
      </c>
      <c r="C3254" t="s">
        <v>12478</v>
      </c>
      <c r="D3254" t="s">
        <v>2151</v>
      </c>
      <c r="E3254" s="1">
        <v>46153.125104166669</v>
      </c>
      <c r="F3254">
        <v>1547</v>
      </c>
      <c r="G3254" t="s">
        <v>12479</v>
      </c>
      <c r="H3254" t="s">
        <v>15</v>
      </c>
      <c r="I3254" t="s">
        <v>2153</v>
      </c>
      <c r="J3254" t="str">
        <f>RIGHT(D3254,4)</f>
        <v>6212</v>
      </c>
      <c r="K3254" t="str">
        <f>IFERROR(VLOOKUP(VALUE(J3254),'Site Info'!$A:$G,3,FALSE),"")</f>
        <v>7701 E COLONIAL DR</v>
      </c>
      <c r="L3254" t="str">
        <f>IFERROR(VLOOKUP(VALUE(J3254),'Site Info'!$A:$G,4,FALSE),"")</f>
        <v>ORLANDO</v>
      </c>
      <c r="M3254" t="str">
        <f>IFERROR(VLOOKUP(VALUE(J3254),'Site Info'!$A:$G,5,FALSE),"")</f>
        <v>FL</v>
      </c>
      <c r="N3254" t="str">
        <f>IFERROR(VLOOKUP(VALUE(J3254),'Site Info'!$A:$G,6,FALSE),"")</f>
        <v>32807-8421</v>
      </c>
      <c r="O3254">
        <f>IFERROR(VLOOKUP(VALUE(J3254),'Site Info'!$A:$G,7,FALSE),"")</f>
        <v>4073847570</v>
      </c>
    </row>
    <row r="3255" spans="1:15" x14ac:dyDescent="0.45">
      <c r="A3255" t="s">
        <v>9257</v>
      </c>
      <c r="B3255" t="s">
        <v>9258</v>
      </c>
      <c r="C3255" t="s">
        <v>9259</v>
      </c>
      <c r="D3255" t="s">
        <v>2151</v>
      </c>
      <c r="E3255" s="1">
        <v>46153.309027777781</v>
      </c>
      <c r="F3255">
        <v>1547</v>
      </c>
      <c r="G3255" t="s">
        <v>9260</v>
      </c>
      <c r="H3255" t="s">
        <v>15</v>
      </c>
      <c r="I3255" t="s">
        <v>2153</v>
      </c>
      <c r="J3255" t="str">
        <f>RIGHT(D3255,4)</f>
        <v>6212</v>
      </c>
      <c r="K3255" t="str">
        <f>IFERROR(VLOOKUP(VALUE(J3255),'Site Info'!$A:$G,3,FALSE),"")</f>
        <v>7701 E COLONIAL DR</v>
      </c>
      <c r="L3255" t="str">
        <f>IFERROR(VLOOKUP(VALUE(J3255),'Site Info'!$A:$G,4,FALSE),"")</f>
        <v>ORLANDO</v>
      </c>
      <c r="M3255" t="str">
        <f>IFERROR(VLOOKUP(VALUE(J3255),'Site Info'!$A:$G,5,FALSE),"")</f>
        <v>FL</v>
      </c>
      <c r="N3255" t="str">
        <f>IFERROR(VLOOKUP(VALUE(J3255),'Site Info'!$A:$G,6,FALSE),"")</f>
        <v>32807-8421</v>
      </c>
      <c r="O3255">
        <f>IFERROR(VLOOKUP(VALUE(J3255),'Site Info'!$A:$G,7,FALSE),"")</f>
        <v>4073847570</v>
      </c>
    </row>
    <row r="3256" spans="1:15" x14ac:dyDescent="0.45">
      <c r="A3256" t="s">
        <v>6653</v>
      </c>
      <c r="B3256" t="s">
        <v>6654</v>
      </c>
      <c r="C3256" t="s">
        <v>6655</v>
      </c>
      <c r="D3256" t="s">
        <v>2151</v>
      </c>
      <c r="E3256" s="1">
        <v>46153.347199074073</v>
      </c>
      <c r="F3256">
        <v>1547</v>
      </c>
      <c r="G3256" t="s">
        <v>6656</v>
      </c>
      <c r="H3256" t="s">
        <v>15</v>
      </c>
      <c r="I3256" t="s">
        <v>2153</v>
      </c>
      <c r="J3256" t="str">
        <f>RIGHT(D3256,4)</f>
        <v>6212</v>
      </c>
      <c r="K3256" t="str">
        <f>IFERROR(VLOOKUP(VALUE(J3256),'Site Info'!$A:$G,3,FALSE),"")</f>
        <v>7701 E COLONIAL DR</v>
      </c>
      <c r="L3256" t="str">
        <f>IFERROR(VLOOKUP(VALUE(J3256),'Site Info'!$A:$G,4,FALSE),"")</f>
        <v>ORLANDO</v>
      </c>
      <c r="M3256" t="str">
        <f>IFERROR(VLOOKUP(VALUE(J3256),'Site Info'!$A:$G,5,FALSE),"")</f>
        <v>FL</v>
      </c>
      <c r="N3256" t="str">
        <f>IFERROR(VLOOKUP(VALUE(J3256),'Site Info'!$A:$G,6,FALSE),"")</f>
        <v>32807-8421</v>
      </c>
      <c r="O3256">
        <f>IFERROR(VLOOKUP(VALUE(J3256),'Site Info'!$A:$G,7,FALSE),"")</f>
        <v>4073847570</v>
      </c>
    </row>
    <row r="3257" spans="1:15" x14ac:dyDescent="0.45">
      <c r="A3257" t="s">
        <v>2148</v>
      </c>
      <c r="B3257" t="s">
        <v>2149</v>
      </c>
      <c r="C3257" t="s">
        <v>2150</v>
      </c>
      <c r="D3257" t="s">
        <v>2151</v>
      </c>
      <c r="E3257" s="1">
        <v>46153.290671296294</v>
      </c>
      <c r="F3257">
        <v>1481</v>
      </c>
      <c r="G3257" t="s">
        <v>2152</v>
      </c>
      <c r="H3257" t="s">
        <v>15</v>
      </c>
      <c r="I3257" t="s">
        <v>2153</v>
      </c>
      <c r="J3257" t="str">
        <f>RIGHT(D3257,4)</f>
        <v>6212</v>
      </c>
      <c r="K3257" t="str">
        <f>IFERROR(VLOOKUP(VALUE(J3257),'Site Info'!$A:$G,3,FALSE),"")</f>
        <v>7701 E COLONIAL DR</v>
      </c>
      <c r="L3257" t="str">
        <f>IFERROR(VLOOKUP(VALUE(J3257),'Site Info'!$A:$G,4,FALSE),"")</f>
        <v>ORLANDO</v>
      </c>
      <c r="M3257" t="str">
        <f>IFERROR(VLOOKUP(VALUE(J3257),'Site Info'!$A:$G,5,FALSE),"")</f>
        <v>FL</v>
      </c>
      <c r="N3257" t="str">
        <f>IFERROR(VLOOKUP(VALUE(J3257),'Site Info'!$A:$G,6,FALSE),"")</f>
        <v>32807-8421</v>
      </c>
      <c r="O3257">
        <f>IFERROR(VLOOKUP(VALUE(J3257),'Site Info'!$A:$G,7,FALSE),"")</f>
        <v>4073847570</v>
      </c>
    </row>
    <row r="3258" spans="1:15" x14ac:dyDescent="0.45">
      <c r="A3258" t="s">
        <v>2741</v>
      </c>
      <c r="B3258" t="s">
        <v>2742</v>
      </c>
      <c r="C3258" t="s">
        <v>2743</v>
      </c>
      <c r="D3258" t="s">
        <v>2151</v>
      </c>
      <c r="E3258" s="1">
        <v>46153.368379629632</v>
      </c>
      <c r="F3258">
        <v>1481</v>
      </c>
      <c r="G3258" t="s">
        <v>2744</v>
      </c>
      <c r="H3258" t="s">
        <v>15</v>
      </c>
      <c r="I3258" t="s">
        <v>2153</v>
      </c>
      <c r="J3258" t="str">
        <f>RIGHT(D3258,4)</f>
        <v>6212</v>
      </c>
      <c r="K3258" t="str">
        <f>IFERROR(VLOOKUP(VALUE(J3258),'Site Info'!$A:$G,3,FALSE),"")</f>
        <v>7701 E COLONIAL DR</v>
      </c>
      <c r="L3258" t="str">
        <f>IFERROR(VLOOKUP(VALUE(J3258),'Site Info'!$A:$G,4,FALSE),"")</f>
        <v>ORLANDO</v>
      </c>
      <c r="M3258" t="str">
        <f>IFERROR(VLOOKUP(VALUE(J3258),'Site Info'!$A:$G,5,FALSE),"")</f>
        <v>FL</v>
      </c>
      <c r="N3258" t="str">
        <f>IFERROR(VLOOKUP(VALUE(J3258),'Site Info'!$A:$G,6,FALSE),"")</f>
        <v>32807-8421</v>
      </c>
      <c r="O3258">
        <f>IFERROR(VLOOKUP(VALUE(J3258),'Site Info'!$A:$G,7,FALSE),"")</f>
        <v>4073847570</v>
      </c>
    </row>
    <row r="3259" spans="1:15" x14ac:dyDescent="0.45">
      <c r="A3259" t="s">
        <v>14167</v>
      </c>
      <c r="B3259" t="s">
        <v>14168</v>
      </c>
      <c r="C3259" t="s">
        <v>14169</v>
      </c>
      <c r="D3259" t="s">
        <v>2918</v>
      </c>
      <c r="E3259" s="1">
        <v>46151.675833333335</v>
      </c>
      <c r="F3259">
        <v>1863</v>
      </c>
      <c r="G3259" t="s">
        <v>14170</v>
      </c>
      <c r="H3259" t="s">
        <v>136</v>
      </c>
      <c r="I3259" t="s">
        <v>2920</v>
      </c>
      <c r="J3259" t="str">
        <f>RIGHT(D3259,4)</f>
        <v>4839</v>
      </c>
      <c r="K3259" t="str">
        <f>IFERROR(VLOOKUP(VALUE(J3259),'Site Info'!$A:$G,3,FALSE),"")</f>
        <v>7757 S OLYMPIA AVENUE W</v>
      </c>
      <c r="L3259" t="str">
        <f>IFERROR(VLOOKUP(VALUE(J3259),'Site Info'!$A:$G,4,FALSE),"")</f>
        <v>TULSA</v>
      </c>
      <c r="M3259" t="str">
        <f>IFERROR(VLOOKUP(VALUE(J3259),'Site Info'!$A:$G,5,FALSE),"")</f>
        <v>OK</v>
      </c>
      <c r="N3259" t="str">
        <f>IFERROR(VLOOKUP(VALUE(J3259),'Site Info'!$A:$G,6,FALSE),"")</f>
        <v>74132-1862</v>
      </c>
      <c r="O3259">
        <f>IFERROR(VLOOKUP(VALUE(J3259),'Site Info'!$A:$G,7,FALSE),"")</f>
        <v>9188774546</v>
      </c>
    </row>
    <row r="3260" spans="1:15" x14ac:dyDescent="0.45">
      <c r="A3260" t="s">
        <v>10168</v>
      </c>
      <c r="B3260" t="s">
        <v>10169</v>
      </c>
      <c r="C3260" t="s">
        <v>10170</v>
      </c>
      <c r="D3260" t="s">
        <v>2918</v>
      </c>
      <c r="E3260" s="1">
        <v>46153.271319444444</v>
      </c>
      <c r="F3260">
        <v>1547</v>
      </c>
      <c r="G3260" t="s">
        <v>10171</v>
      </c>
      <c r="H3260" t="s">
        <v>15</v>
      </c>
      <c r="I3260" t="s">
        <v>2920</v>
      </c>
      <c r="J3260" t="str">
        <f>RIGHT(D3260,4)</f>
        <v>4839</v>
      </c>
      <c r="K3260" t="str">
        <f>IFERROR(VLOOKUP(VALUE(J3260),'Site Info'!$A:$G,3,FALSE),"")</f>
        <v>7757 S OLYMPIA AVENUE W</v>
      </c>
      <c r="L3260" t="str">
        <f>IFERROR(VLOOKUP(VALUE(J3260),'Site Info'!$A:$G,4,FALSE),"")</f>
        <v>TULSA</v>
      </c>
      <c r="M3260" t="str">
        <f>IFERROR(VLOOKUP(VALUE(J3260),'Site Info'!$A:$G,5,FALSE),"")</f>
        <v>OK</v>
      </c>
      <c r="N3260" t="str">
        <f>IFERROR(VLOOKUP(VALUE(J3260),'Site Info'!$A:$G,6,FALSE),"")</f>
        <v>74132-1862</v>
      </c>
      <c r="O3260">
        <f>IFERROR(VLOOKUP(VALUE(J3260),'Site Info'!$A:$G,7,FALSE),"")</f>
        <v>9188774546</v>
      </c>
    </row>
    <row r="3261" spans="1:15" x14ac:dyDescent="0.45">
      <c r="A3261" t="s">
        <v>2915</v>
      </c>
      <c r="B3261" t="s">
        <v>2916</v>
      </c>
      <c r="C3261" t="s">
        <v>2917</v>
      </c>
      <c r="D3261" t="s">
        <v>2918</v>
      </c>
      <c r="E3261" s="1">
        <v>46153.163124999999</v>
      </c>
      <c r="F3261">
        <v>1481</v>
      </c>
      <c r="G3261" t="s">
        <v>2919</v>
      </c>
      <c r="H3261" t="s">
        <v>15</v>
      </c>
      <c r="I3261" t="s">
        <v>2920</v>
      </c>
      <c r="J3261" t="str">
        <f>RIGHT(D3261,4)</f>
        <v>4839</v>
      </c>
      <c r="K3261" t="str">
        <f>IFERROR(VLOOKUP(VALUE(J3261),'Site Info'!$A:$G,3,FALSE),"")</f>
        <v>7757 S OLYMPIA AVENUE W</v>
      </c>
      <c r="L3261" t="str">
        <f>IFERROR(VLOOKUP(VALUE(J3261),'Site Info'!$A:$G,4,FALSE),"")</f>
        <v>TULSA</v>
      </c>
      <c r="M3261" t="str">
        <f>IFERROR(VLOOKUP(VALUE(J3261),'Site Info'!$A:$G,5,FALSE),"")</f>
        <v>OK</v>
      </c>
      <c r="N3261" t="str">
        <f>IFERROR(VLOOKUP(VALUE(J3261),'Site Info'!$A:$G,6,FALSE),"")</f>
        <v>74132-1862</v>
      </c>
      <c r="O3261">
        <f>IFERROR(VLOOKUP(VALUE(J3261),'Site Info'!$A:$G,7,FALSE),"")</f>
        <v>9188774546</v>
      </c>
    </row>
    <row r="3262" spans="1:15" x14ac:dyDescent="0.45">
      <c r="A3262" t="s">
        <v>14632</v>
      </c>
      <c r="B3262" t="s">
        <v>16497</v>
      </c>
      <c r="C3262" t="s">
        <v>16498</v>
      </c>
      <c r="D3262" t="s">
        <v>2918</v>
      </c>
      <c r="E3262" s="1">
        <v>46152.660520833335</v>
      </c>
      <c r="F3262">
        <v>1863</v>
      </c>
      <c r="G3262" t="s">
        <v>16499</v>
      </c>
      <c r="H3262" t="s">
        <v>136</v>
      </c>
      <c r="I3262" t="s">
        <v>2920</v>
      </c>
      <c r="J3262" t="str">
        <f>RIGHT(D3262,4)</f>
        <v>4839</v>
      </c>
      <c r="K3262" t="str">
        <f>IFERROR(VLOOKUP(VALUE(J3262),'Site Info'!$A:$G,3,FALSE),"")</f>
        <v>7757 S OLYMPIA AVENUE W</v>
      </c>
      <c r="L3262" t="str">
        <f>IFERROR(VLOOKUP(VALUE(J3262),'Site Info'!$A:$G,4,FALSE),"")</f>
        <v>TULSA</v>
      </c>
      <c r="M3262" t="str">
        <f>IFERROR(VLOOKUP(VALUE(J3262),'Site Info'!$A:$G,5,FALSE),"")</f>
        <v>OK</v>
      </c>
      <c r="N3262" t="str">
        <f>IFERROR(VLOOKUP(VALUE(J3262),'Site Info'!$A:$G,6,FALSE),"")</f>
        <v>74132-1862</v>
      </c>
      <c r="O3262">
        <f>IFERROR(VLOOKUP(VALUE(J3262),'Site Info'!$A:$G,7,FALSE),"")</f>
        <v>9188774546</v>
      </c>
    </row>
    <row r="3263" spans="1:15" x14ac:dyDescent="0.45">
      <c r="A3263" t="s">
        <v>14233</v>
      </c>
      <c r="B3263" t="s">
        <v>14234</v>
      </c>
      <c r="C3263" t="s">
        <v>14235</v>
      </c>
      <c r="D3263" t="s">
        <v>3498</v>
      </c>
      <c r="E3263" s="1">
        <v>46152.908750000002</v>
      </c>
      <c r="F3263">
        <v>1863</v>
      </c>
      <c r="G3263" t="s">
        <v>14236</v>
      </c>
      <c r="H3263" t="s">
        <v>136</v>
      </c>
      <c r="I3263" t="s">
        <v>3500</v>
      </c>
      <c r="J3263" t="str">
        <f>RIGHT(D3263,4)</f>
        <v>4777</v>
      </c>
      <c r="K3263" t="str">
        <f>IFERROR(VLOOKUP(VALUE(J3263),'Site Info'!$A:$G,3,FALSE),"")</f>
        <v>7805 E 35TH AVE</v>
      </c>
      <c r="L3263" t="str">
        <f>IFERROR(VLOOKUP(VALUE(J3263),'Site Info'!$A:$G,4,FALSE),"")</f>
        <v>DENVER</v>
      </c>
      <c r="M3263" t="str">
        <f>IFERROR(VLOOKUP(VALUE(J3263),'Site Info'!$A:$G,5,FALSE),"")</f>
        <v>CO</v>
      </c>
      <c r="N3263" t="str">
        <f>IFERROR(VLOOKUP(VALUE(J3263),'Site Info'!$A:$G,6,FALSE),"")</f>
        <v>80238-2458</v>
      </c>
      <c r="O3263">
        <f>IFERROR(VLOOKUP(VALUE(J3263),'Site Info'!$A:$G,7,FALSE),"")</f>
        <v>7209416180</v>
      </c>
    </row>
    <row r="3264" spans="1:15" x14ac:dyDescent="0.45">
      <c r="A3264" t="s">
        <v>13916</v>
      </c>
      <c r="B3264" t="s">
        <v>13917</v>
      </c>
      <c r="C3264" t="s">
        <v>13918</v>
      </c>
      <c r="D3264" t="s">
        <v>3498</v>
      </c>
      <c r="E3264" s="1">
        <v>46151.831909722219</v>
      </c>
      <c r="F3264">
        <v>1547</v>
      </c>
      <c r="G3264" t="s">
        <v>13919</v>
      </c>
      <c r="H3264" t="s">
        <v>15</v>
      </c>
      <c r="I3264" t="s">
        <v>3500</v>
      </c>
      <c r="J3264" t="str">
        <f>RIGHT(D3264,4)</f>
        <v>4777</v>
      </c>
      <c r="K3264" t="str">
        <f>IFERROR(VLOOKUP(VALUE(J3264),'Site Info'!$A:$G,3,FALSE),"")</f>
        <v>7805 E 35TH AVE</v>
      </c>
      <c r="L3264" t="str">
        <f>IFERROR(VLOOKUP(VALUE(J3264),'Site Info'!$A:$G,4,FALSE),"")</f>
        <v>DENVER</v>
      </c>
      <c r="M3264" t="str">
        <f>IFERROR(VLOOKUP(VALUE(J3264),'Site Info'!$A:$G,5,FALSE),"")</f>
        <v>CO</v>
      </c>
      <c r="N3264" t="str">
        <f>IFERROR(VLOOKUP(VALUE(J3264),'Site Info'!$A:$G,6,FALSE),"")</f>
        <v>80238-2458</v>
      </c>
      <c r="O3264">
        <f>IFERROR(VLOOKUP(VALUE(J3264),'Site Info'!$A:$G,7,FALSE),"")</f>
        <v>7209416180</v>
      </c>
    </row>
    <row r="3265" spans="1:15" x14ac:dyDescent="0.45">
      <c r="A3265" t="s">
        <v>13944</v>
      </c>
      <c r="B3265" t="s">
        <v>13945</v>
      </c>
      <c r="C3265" t="s">
        <v>13946</v>
      </c>
      <c r="D3265" t="s">
        <v>3498</v>
      </c>
      <c r="E3265" s="1">
        <v>46152.39880787037</v>
      </c>
      <c r="F3265">
        <v>1547</v>
      </c>
      <c r="G3265" t="s">
        <v>13947</v>
      </c>
      <c r="H3265" t="s">
        <v>15</v>
      </c>
      <c r="I3265" t="s">
        <v>3500</v>
      </c>
      <c r="J3265" t="str">
        <f>RIGHT(D3265,4)</f>
        <v>4777</v>
      </c>
      <c r="K3265" t="str">
        <f>IFERROR(VLOOKUP(VALUE(J3265),'Site Info'!$A:$G,3,FALSE),"")</f>
        <v>7805 E 35TH AVE</v>
      </c>
      <c r="L3265" t="str">
        <f>IFERROR(VLOOKUP(VALUE(J3265),'Site Info'!$A:$G,4,FALSE),"")</f>
        <v>DENVER</v>
      </c>
      <c r="M3265" t="str">
        <f>IFERROR(VLOOKUP(VALUE(J3265),'Site Info'!$A:$G,5,FALSE),"")</f>
        <v>CO</v>
      </c>
      <c r="N3265" t="str">
        <f>IFERROR(VLOOKUP(VALUE(J3265),'Site Info'!$A:$G,6,FALSE),"")</f>
        <v>80238-2458</v>
      </c>
      <c r="O3265">
        <f>IFERROR(VLOOKUP(VALUE(J3265),'Site Info'!$A:$G,7,FALSE),"")</f>
        <v>7209416180</v>
      </c>
    </row>
    <row r="3266" spans="1:15" x14ac:dyDescent="0.45">
      <c r="A3266" t="s">
        <v>11320</v>
      </c>
      <c r="B3266" t="s">
        <v>11321</v>
      </c>
      <c r="C3266" t="s">
        <v>11322</v>
      </c>
      <c r="D3266" t="s">
        <v>3498</v>
      </c>
      <c r="E3266" s="1">
        <v>46152.631944444445</v>
      </c>
      <c r="F3266">
        <v>1547</v>
      </c>
      <c r="G3266" t="s">
        <v>11323</v>
      </c>
      <c r="H3266" t="s">
        <v>15</v>
      </c>
      <c r="I3266" t="s">
        <v>3500</v>
      </c>
      <c r="J3266" t="str">
        <f>RIGHT(D3266,4)</f>
        <v>4777</v>
      </c>
      <c r="K3266" t="str">
        <f>IFERROR(VLOOKUP(VALUE(J3266),'Site Info'!$A:$G,3,FALSE),"")</f>
        <v>7805 E 35TH AVE</v>
      </c>
      <c r="L3266" t="str">
        <f>IFERROR(VLOOKUP(VALUE(J3266),'Site Info'!$A:$G,4,FALSE),"")</f>
        <v>DENVER</v>
      </c>
      <c r="M3266" t="str">
        <f>IFERROR(VLOOKUP(VALUE(J3266),'Site Info'!$A:$G,5,FALSE),"")</f>
        <v>CO</v>
      </c>
      <c r="N3266" t="str">
        <f>IFERROR(VLOOKUP(VALUE(J3266),'Site Info'!$A:$G,6,FALSE),"")</f>
        <v>80238-2458</v>
      </c>
      <c r="O3266">
        <f>IFERROR(VLOOKUP(VALUE(J3266),'Site Info'!$A:$G,7,FALSE),"")</f>
        <v>7209416180</v>
      </c>
    </row>
    <row r="3267" spans="1:15" x14ac:dyDescent="0.45">
      <c r="A3267" t="s">
        <v>13964</v>
      </c>
      <c r="B3267" t="s">
        <v>13965</v>
      </c>
      <c r="C3267" t="s">
        <v>13966</v>
      </c>
      <c r="D3267" t="s">
        <v>3498</v>
      </c>
      <c r="E3267" s="1">
        <v>46152.659513888888</v>
      </c>
      <c r="F3267">
        <v>1547</v>
      </c>
      <c r="G3267" t="s">
        <v>13967</v>
      </c>
      <c r="H3267" t="s">
        <v>15</v>
      </c>
      <c r="I3267" t="s">
        <v>3500</v>
      </c>
      <c r="J3267" t="str">
        <f>RIGHT(D3267,4)</f>
        <v>4777</v>
      </c>
      <c r="K3267" t="str">
        <f>IFERROR(VLOOKUP(VALUE(J3267),'Site Info'!$A:$G,3,FALSE),"")</f>
        <v>7805 E 35TH AVE</v>
      </c>
      <c r="L3267" t="str">
        <f>IFERROR(VLOOKUP(VALUE(J3267),'Site Info'!$A:$G,4,FALSE),"")</f>
        <v>DENVER</v>
      </c>
      <c r="M3267" t="str">
        <f>IFERROR(VLOOKUP(VALUE(J3267),'Site Info'!$A:$G,5,FALSE),"")</f>
        <v>CO</v>
      </c>
      <c r="N3267" t="str">
        <f>IFERROR(VLOOKUP(VALUE(J3267),'Site Info'!$A:$G,6,FALSE),"")</f>
        <v>80238-2458</v>
      </c>
      <c r="O3267">
        <f>IFERROR(VLOOKUP(VALUE(J3267),'Site Info'!$A:$G,7,FALSE),"")</f>
        <v>7209416180</v>
      </c>
    </row>
    <row r="3268" spans="1:15" x14ac:dyDescent="0.45">
      <c r="A3268" t="s">
        <v>13972</v>
      </c>
      <c r="B3268" t="s">
        <v>13973</v>
      </c>
      <c r="C3268" t="s">
        <v>13974</v>
      </c>
      <c r="D3268" t="s">
        <v>3498</v>
      </c>
      <c r="E3268" s="1">
        <v>46152.724421296298</v>
      </c>
      <c r="F3268">
        <v>1547</v>
      </c>
      <c r="G3268" t="s">
        <v>13975</v>
      </c>
      <c r="H3268" t="s">
        <v>15</v>
      </c>
      <c r="I3268" t="s">
        <v>3500</v>
      </c>
      <c r="J3268" t="str">
        <f>RIGHT(D3268,4)</f>
        <v>4777</v>
      </c>
      <c r="K3268" t="str">
        <f>IFERROR(VLOOKUP(VALUE(J3268),'Site Info'!$A:$G,3,FALSE),"")</f>
        <v>7805 E 35TH AVE</v>
      </c>
      <c r="L3268" t="str">
        <f>IFERROR(VLOOKUP(VALUE(J3268),'Site Info'!$A:$G,4,FALSE),"")</f>
        <v>DENVER</v>
      </c>
      <c r="M3268" t="str">
        <f>IFERROR(VLOOKUP(VALUE(J3268),'Site Info'!$A:$G,5,FALSE),"")</f>
        <v>CO</v>
      </c>
      <c r="N3268" t="str">
        <f>IFERROR(VLOOKUP(VALUE(J3268),'Site Info'!$A:$G,6,FALSE),"")</f>
        <v>80238-2458</v>
      </c>
      <c r="O3268">
        <f>IFERROR(VLOOKUP(VALUE(J3268),'Site Info'!$A:$G,7,FALSE),"")</f>
        <v>7209416180</v>
      </c>
    </row>
    <row r="3269" spans="1:15" x14ac:dyDescent="0.45">
      <c r="A3269" t="s">
        <v>11388</v>
      </c>
      <c r="B3269" t="s">
        <v>11389</v>
      </c>
      <c r="C3269" t="s">
        <v>11390</v>
      </c>
      <c r="D3269" t="s">
        <v>3498</v>
      </c>
      <c r="E3269" s="1">
        <v>46153.235902777778</v>
      </c>
      <c r="F3269">
        <v>1547</v>
      </c>
      <c r="G3269" t="s">
        <v>11391</v>
      </c>
      <c r="H3269" t="s">
        <v>15</v>
      </c>
      <c r="I3269" t="s">
        <v>3500</v>
      </c>
      <c r="J3269" t="str">
        <f>RIGHT(D3269,4)</f>
        <v>4777</v>
      </c>
      <c r="K3269" t="str">
        <f>IFERROR(VLOOKUP(VALUE(J3269),'Site Info'!$A:$G,3,FALSE),"")</f>
        <v>7805 E 35TH AVE</v>
      </c>
      <c r="L3269" t="str">
        <f>IFERROR(VLOOKUP(VALUE(J3269),'Site Info'!$A:$G,4,FALSE),"")</f>
        <v>DENVER</v>
      </c>
      <c r="M3269" t="str">
        <f>IFERROR(VLOOKUP(VALUE(J3269),'Site Info'!$A:$G,5,FALSE),"")</f>
        <v>CO</v>
      </c>
      <c r="N3269" t="str">
        <f>IFERROR(VLOOKUP(VALUE(J3269),'Site Info'!$A:$G,6,FALSE),"")</f>
        <v>80238-2458</v>
      </c>
      <c r="O3269">
        <f>IFERROR(VLOOKUP(VALUE(J3269),'Site Info'!$A:$G,7,FALSE),"")</f>
        <v>7209416180</v>
      </c>
    </row>
    <row r="3270" spans="1:15" x14ac:dyDescent="0.45">
      <c r="A3270" t="s">
        <v>10504</v>
      </c>
      <c r="B3270" t="s">
        <v>10505</v>
      </c>
      <c r="C3270" t="s">
        <v>10506</v>
      </c>
      <c r="D3270" t="s">
        <v>3498</v>
      </c>
      <c r="E3270" s="1">
        <v>46153.337314814817</v>
      </c>
      <c r="F3270">
        <v>1547</v>
      </c>
      <c r="G3270" t="s">
        <v>10507</v>
      </c>
      <c r="H3270" t="s">
        <v>15</v>
      </c>
      <c r="I3270" t="s">
        <v>3500</v>
      </c>
      <c r="J3270" t="str">
        <f>RIGHT(D3270,4)</f>
        <v>4777</v>
      </c>
      <c r="K3270" t="str">
        <f>IFERROR(VLOOKUP(VALUE(J3270),'Site Info'!$A:$G,3,FALSE),"")</f>
        <v>7805 E 35TH AVE</v>
      </c>
      <c r="L3270" t="str">
        <f>IFERROR(VLOOKUP(VALUE(J3270),'Site Info'!$A:$G,4,FALSE),"")</f>
        <v>DENVER</v>
      </c>
      <c r="M3270" t="str">
        <f>IFERROR(VLOOKUP(VALUE(J3270),'Site Info'!$A:$G,5,FALSE),"")</f>
        <v>CO</v>
      </c>
      <c r="N3270" t="str">
        <f>IFERROR(VLOOKUP(VALUE(J3270),'Site Info'!$A:$G,6,FALSE),"")</f>
        <v>80238-2458</v>
      </c>
      <c r="O3270">
        <f>IFERROR(VLOOKUP(VALUE(J3270),'Site Info'!$A:$G,7,FALSE),"")</f>
        <v>7209416180</v>
      </c>
    </row>
    <row r="3271" spans="1:15" x14ac:dyDescent="0.45">
      <c r="A3271" t="s">
        <v>3495</v>
      </c>
      <c r="B3271" t="s">
        <v>3496</v>
      </c>
      <c r="C3271" t="s">
        <v>3497</v>
      </c>
      <c r="D3271" t="s">
        <v>3498</v>
      </c>
      <c r="E3271" s="1">
        <v>46152.73196759259</v>
      </c>
      <c r="F3271">
        <v>1481</v>
      </c>
      <c r="G3271" t="s">
        <v>3499</v>
      </c>
      <c r="H3271" t="s">
        <v>15</v>
      </c>
      <c r="I3271" t="s">
        <v>3500</v>
      </c>
      <c r="J3271" t="str">
        <f>RIGHT(D3271,4)</f>
        <v>4777</v>
      </c>
      <c r="K3271" t="str">
        <f>IFERROR(VLOOKUP(VALUE(J3271),'Site Info'!$A:$G,3,FALSE),"")</f>
        <v>7805 E 35TH AVE</v>
      </c>
      <c r="L3271" t="str">
        <f>IFERROR(VLOOKUP(VALUE(J3271),'Site Info'!$A:$G,4,FALSE),"")</f>
        <v>DENVER</v>
      </c>
      <c r="M3271" t="str">
        <f>IFERROR(VLOOKUP(VALUE(J3271),'Site Info'!$A:$G,5,FALSE),"")</f>
        <v>CO</v>
      </c>
      <c r="N3271" t="str">
        <f>IFERROR(VLOOKUP(VALUE(J3271),'Site Info'!$A:$G,6,FALSE),"")</f>
        <v>80238-2458</v>
      </c>
      <c r="O3271">
        <f>IFERROR(VLOOKUP(VALUE(J3271),'Site Info'!$A:$G,7,FALSE),"")</f>
        <v>7209416180</v>
      </c>
    </row>
    <row r="3272" spans="1:15" x14ac:dyDescent="0.45">
      <c r="A3272" t="s">
        <v>14123</v>
      </c>
      <c r="B3272" t="s">
        <v>14124</v>
      </c>
      <c r="C3272" t="s">
        <v>14125</v>
      </c>
      <c r="D3272" t="s">
        <v>1913</v>
      </c>
      <c r="E3272" s="1">
        <v>46151.586087962962</v>
      </c>
      <c r="F3272">
        <v>1547</v>
      </c>
      <c r="G3272" t="s">
        <v>14126</v>
      </c>
      <c r="H3272" t="s">
        <v>15</v>
      </c>
      <c r="I3272" t="s">
        <v>1915</v>
      </c>
      <c r="J3272" t="str">
        <f>RIGHT(D3272,4)</f>
        <v>6218</v>
      </c>
      <c r="K3272" t="str">
        <f>IFERROR(VLOOKUP(VALUE(J3272),'Site Info'!$A:$G,3,FALSE),"")</f>
        <v>7810 W COLONIAL DR</v>
      </c>
      <c r="L3272" t="str">
        <f>IFERROR(VLOOKUP(VALUE(J3272),'Site Info'!$A:$G,4,FALSE),"")</f>
        <v>ORLANDO</v>
      </c>
      <c r="M3272" t="str">
        <f>IFERROR(VLOOKUP(VALUE(J3272),'Site Info'!$A:$G,5,FALSE),"")</f>
        <v>FL</v>
      </c>
      <c r="N3272" t="str">
        <f>IFERROR(VLOOKUP(VALUE(J3272),'Site Info'!$A:$G,6,FALSE),"")</f>
        <v>32818-6674</v>
      </c>
      <c r="O3272">
        <f>IFERROR(VLOOKUP(VALUE(J3272),'Site Info'!$A:$G,7,FALSE),"")</f>
        <v>4075325212</v>
      </c>
    </row>
    <row r="3273" spans="1:15" x14ac:dyDescent="0.45">
      <c r="A3273" t="s">
        <v>10172</v>
      </c>
      <c r="B3273" t="s">
        <v>10173</v>
      </c>
      <c r="C3273" t="s">
        <v>10174</v>
      </c>
      <c r="D3273" t="s">
        <v>1913</v>
      </c>
      <c r="E3273" s="1">
        <v>46151.733993055554</v>
      </c>
      <c r="F3273">
        <v>1547</v>
      </c>
      <c r="G3273" t="s">
        <v>10175</v>
      </c>
      <c r="H3273" t="s">
        <v>15</v>
      </c>
      <c r="I3273" t="s">
        <v>1915</v>
      </c>
      <c r="J3273" t="str">
        <f>RIGHT(D3273,4)</f>
        <v>6218</v>
      </c>
      <c r="K3273" t="str">
        <f>IFERROR(VLOOKUP(VALUE(J3273),'Site Info'!$A:$G,3,FALSE),"")</f>
        <v>7810 W COLONIAL DR</v>
      </c>
      <c r="L3273" t="str">
        <f>IFERROR(VLOOKUP(VALUE(J3273),'Site Info'!$A:$G,4,FALSE),"")</f>
        <v>ORLANDO</v>
      </c>
      <c r="M3273" t="str">
        <f>IFERROR(VLOOKUP(VALUE(J3273),'Site Info'!$A:$G,5,FALSE),"")</f>
        <v>FL</v>
      </c>
      <c r="N3273" t="str">
        <f>IFERROR(VLOOKUP(VALUE(J3273),'Site Info'!$A:$G,6,FALSE),"")</f>
        <v>32818-6674</v>
      </c>
      <c r="O3273">
        <f>IFERROR(VLOOKUP(VALUE(J3273),'Site Info'!$A:$G,7,FALSE),"")</f>
        <v>4075325212</v>
      </c>
    </row>
    <row r="3274" spans="1:15" x14ac:dyDescent="0.45">
      <c r="A3274" t="s">
        <v>10460</v>
      </c>
      <c r="B3274" t="s">
        <v>10461</v>
      </c>
      <c r="C3274" t="s">
        <v>10462</v>
      </c>
      <c r="D3274" t="s">
        <v>1913</v>
      </c>
      <c r="E3274" s="1">
        <v>46153.295138888891</v>
      </c>
      <c r="F3274">
        <v>1547</v>
      </c>
      <c r="G3274" t="s">
        <v>10463</v>
      </c>
      <c r="H3274" t="s">
        <v>15</v>
      </c>
      <c r="I3274" t="s">
        <v>1915</v>
      </c>
      <c r="J3274" t="str">
        <f>RIGHT(D3274,4)</f>
        <v>6218</v>
      </c>
      <c r="K3274" t="str">
        <f>IFERROR(VLOOKUP(VALUE(J3274),'Site Info'!$A:$G,3,FALSE),"")</f>
        <v>7810 W COLONIAL DR</v>
      </c>
      <c r="L3274" t="str">
        <f>IFERROR(VLOOKUP(VALUE(J3274),'Site Info'!$A:$G,4,FALSE),"")</f>
        <v>ORLANDO</v>
      </c>
      <c r="M3274" t="str">
        <f>IFERROR(VLOOKUP(VALUE(J3274),'Site Info'!$A:$G,5,FALSE),"")</f>
        <v>FL</v>
      </c>
      <c r="N3274" t="str">
        <f>IFERROR(VLOOKUP(VALUE(J3274),'Site Info'!$A:$G,6,FALSE),"")</f>
        <v>32818-6674</v>
      </c>
      <c r="O3274">
        <f>IFERROR(VLOOKUP(VALUE(J3274),'Site Info'!$A:$G,7,FALSE),"")</f>
        <v>4075325212</v>
      </c>
    </row>
    <row r="3275" spans="1:15" x14ac:dyDescent="0.45">
      <c r="A3275" t="s">
        <v>10144</v>
      </c>
      <c r="B3275" t="s">
        <v>10145</v>
      </c>
      <c r="C3275" t="s">
        <v>10146</v>
      </c>
      <c r="D3275" t="s">
        <v>1913</v>
      </c>
      <c r="E3275" s="1">
        <v>46153.359050925923</v>
      </c>
      <c r="F3275">
        <v>1547</v>
      </c>
      <c r="G3275" t="s">
        <v>10147</v>
      </c>
      <c r="H3275" t="s">
        <v>15</v>
      </c>
      <c r="I3275" t="s">
        <v>1915</v>
      </c>
      <c r="J3275" t="str">
        <f>RIGHT(D3275,4)</f>
        <v>6218</v>
      </c>
      <c r="K3275" t="str">
        <f>IFERROR(VLOOKUP(VALUE(J3275),'Site Info'!$A:$G,3,FALSE),"")</f>
        <v>7810 W COLONIAL DR</v>
      </c>
      <c r="L3275" t="str">
        <f>IFERROR(VLOOKUP(VALUE(J3275),'Site Info'!$A:$G,4,FALSE),"")</f>
        <v>ORLANDO</v>
      </c>
      <c r="M3275" t="str">
        <f>IFERROR(VLOOKUP(VALUE(J3275),'Site Info'!$A:$G,5,FALSE),"")</f>
        <v>FL</v>
      </c>
      <c r="N3275" t="str">
        <f>IFERROR(VLOOKUP(VALUE(J3275),'Site Info'!$A:$G,6,FALSE),"")</f>
        <v>32818-6674</v>
      </c>
      <c r="O3275">
        <f>IFERROR(VLOOKUP(VALUE(J3275),'Site Info'!$A:$G,7,FALSE),"")</f>
        <v>4075325212</v>
      </c>
    </row>
    <row r="3276" spans="1:15" x14ac:dyDescent="0.45">
      <c r="A3276" t="s">
        <v>1910</v>
      </c>
      <c r="B3276" t="s">
        <v>1911</v>
      </c>
      <c r="C3276" t="s">
        <v>1912</v>
      </c>
      <c r="D3276" t="s">
        <v>1913</v>
      </c>
      <c r="E3276" s="1">
        <v>46152.432847222219</v>
      </c>
      <c r="F3276">
        <v>1481</v>
      </c>
      <c r="G3276" t="s">
        <v>1914</v>
      </c>
      <c r="H3276" t="s">
        <v>15</v>
      </c>
      <c r="I3276" t="s">
        <v>1915</v>
      </c>
      <c r="J3276" t="str">
        <f>RIGHT(D3276,4)</f>
        <v>6218</v>
      </c>
      <c r="K3276" t="str">
        <f>IFERROR(VLOOKUP(VALUE(J3276),'Site Info'!$A:$G,3,FALSE),"")</f>
        <v>7810 W COLONIAL DR</v>
      </c>
      <c r="L3276" t="str">
        <f>IFERROR(VLOOKUP(VALUE(J3276),'Site Info'!$A:$G,4,FALSE),"")</f>
        <v>ORLANDO</v>
      </c>
      <c r="M3276" t="str">
        <f>IFERROR(VLOOKUP(VALUE(J3276),'Site Info'!$A:$G,5,FALSE),"")</f>
        <v>FL</v>
      </c>
      <c r="N3276" t="str">
        <f>IFERROR(VLOOKUP(VALUE(J3276),'Site Info'!$A:$G,6,FALSE),"")</f>
        <v>32818-6674</v>
      </c>
      <c r="O3276">
        <f>IFERROR(VLOOKUP(VALUE(J3276),'Site Info'!$A:$G,7,FALSE),"")</f>
        <v>4075325212</v>
      </c>
    </row>
    <row r="3277" spans="1:15" x14ac:dyDescent="0.45">
      <c r="A3277" t="s">
        <v>2677</v>
      </c>
      <c r="B3277" t="s">
        <v>2678</v>
      </c>
      <c r="C3277" t="s">
        <v>2679</v>
      </c>
      <c r="D3277" t="s">
        <v>1913</v>
      </c>
      <c r="E3277" s="1">
        <v>46152.815995370373</v>
      </c>
      <c r="F3277">
        <v>1481</v>
      </c>
      <c r="G3277" t="s">
        <v>2680</v>
      </c>
      <c r="H3277" t="s">
        <v>15</v>
      </c>
      <c r="I3277" t="s">
        <v>1915</v>
      </c>
      <c r="J3277" t="str">
        <f>RIGHT(D3277,4)</f>
        <v>6218</v>
      </c>
      <c r="K3277" t="str">
        <f>IFERROR(VLOOKUP(VALUE(J3277),'Site Info'!$A:$G,3,FALSE),"")</f>
        <v>7810 W COLONIAL DR</v>
      </c>
      <c r="L3277" t="str">
        <f>IFERROR(VLOOKUP(VALUE(J3277),'Site Info'!$A:$G,4,FALSE),"")</f>
        <v>ORLANDO</v>
      </c>
      <c r="M3277" t="str">
        <f>IFERROR(VLOOKUP(VALUE(J3277),'Site Info'!$A:$G,5,FALSE),"")</f>
        <v>FL</v>
      </c>
      <c r="N3277" t="str">
        <f>IFERROR(VLOOKUP(VALUE(J3277),'Site Info'!$A:$G,6,FALSE),"")</f>
        <v>32818-6674</v>
      </c>
      <c r="O3277">
        <f>IFERROR(VLOOKUP(VALUE(J3277),'Site Info'!$A:$G,7,FALSE),"")</f>
        <v>4075325212</v>
      </c>
    </row>
    <row r="3278" spans="1:15" x14ac:dyDescent="0.45">
      <c r="A3278" t="s">
        <v>4622</v>
      </c>
      <c r="B3278" t="s">
        <v>4623</v>
      </c>
      <c r="C3278" t="s">
        <v>4624</v>
      </c>
      <c r="D3278" t="s">
        <v>4455</v>
      </c>
      <c r="E3278" s="1">
        <v>46151.560787037037</v>
      </c>
      <c r="F3278">
        <v>1547</v>
      </c>
      <c r="G3278" t="s">
        <v>4625</v>
      </c>
      <c r="H3278" t="s">
        <v>15</v>
      </c>
      <c r="I3278" t="s">
        <v>4457</v>
      </c>
      <c r="J3278" t="str">
        <f>RIGHT(D3278,4)</f>
        <v>6634</v>
      </c>
      <c r="K3278" t="str">
        <f>IFERROR(VLOOKUP(VALUE(J3278),'Site Info'!$A:$G,3,FALSE),"")</f>
        <v>7817 PARK MEADOWS DR</v>
      </c>
      <c r="L3278" t="str">
        <f>IFERROR(VLOOKUP(VALUE(J3278),'Site Info'!$A:$G,4,FALSE),"")</f>
        <v>LONE TREE</v>
      </c>
      <c r="M3278" t="str">
        <f>IFERROR(VLOOKUP(VALUE(J3278),'Site Info'!$A:$G,5,FALSE),"")</f>
        <v>CO</v>
      </c>
      <c r="N3278" t="str">
        <f>IFERROR(VLOOKUP(VALUE(J3278),'Site Info'!$A:$G,6,FALSE),"")</f>
        <v>80124-2547</v>
      </c>
      <c r="O3278">
        <f>IFERROR(VLOOKUP(VALUE(J3278),'Site Info'!$A:$G,7,FALSE),"")</f>
        <v>3037993905</v>
      </c>
    </row>
    <row r="3279" spans="1:15" x14ac:dyDescent="0.45">
      <c r="A3279" t="s">
        <v>4466</v>
      </c>
      <c r="B3279" t="s">
        <v>4467</v>
      </c>
      <c r="C3279" t="s">
        <v>4468</v>
      </c>
      <c r="D3279" t="s">
        <v>4455</v>
      </c>
      <c r="E3279" s="1">
        <v>46151.815127314818</v>
      </c>
      <c r="F3279">
        <v>1547</v>
      </c>
      <c r="G3279" t="s">
        <v>4469</v>
      </c>
      <c r="H3279" t="s">
        <v>15</v>
      </c>
      <c r="I3279" t="s">
        <v>4457</v>
      </c>
      <c r="J3279" t="str">
        <f>RIGHT(D3279,4)</f>
        <v>6634</v>
      </c>
      <c r="K3279" t="str">
        <f>IFERROR(VLOOKUP(VALUE(J3279),'Site Info'!$A:$G,3,FALSE),"")</f>
        <v>7817 PARK MEADOWS DR</v>
      </c>
      <c r="L3279" t="str">
        <f>IFERROR(VLOOKUP(VALUE(J3279),'Site Info'!$A:$G,4,FALSE),"")</f>
        <v>LONE TREE</v>
      </c>
      <c r="M3279" t="str">
        <f>IFERROR(VLOOKUP(VALUE(J3279),'Site Info'!$A:$G,5,FALSE),"")</f>
        <v>CO</v>
      </c>
      <c r="N3279" t="str">
        <f>IFERROR(VLOOKUP(VALUE(J3279),'Site Info'!$A:$G,6,FALSE),"")</f>
        <v>80124-2547</v>
      </c>
      <c r="O3279">
        <f>IFERROR(VLOOKUP(VALUE(J3279),'Site Info'!$A:$G,7,FALSE),"")</f>
        <v>3037993905</v>
      </c>
    </row>
    <row r="3280" spans="1:15" x14ac:dyDescent="0.45">
      <c r="A3280" t="s">
        <v>4950</v>
      </c>
      <c r="B3280" t="s">
        <v>4951</v>
      </c>
      <c r="C3280" t="s">
        <v>4952</v>
      </c>
      <c r="D3280" t="s">
        <v>4455</v>
      </c>
      <c r="E3280" s="1">
        <v>46152.751250000001</v>
      </c>
      <c r="F3280">
        <v>1547</v>
      </c>
      <c r="G3280" t="s">
        <v>4953</v>
      </c>
      <c r="H3280" t="s">
        <v>15</v>
      </c>
      <c r="I3280" t="s">
        <v>4457</v>
      </c>
      <c r="J3280" t="str">
        <f>RIGHT(D3280,4)</f>
        <v>6634</v>
      </c>
      <c r="K3280" t="str">
        <f>IFERROR(VLOOKUP(VALUE(J3280),'Site Info'!$A:$G,3,FALSE),"")</f>
        <v>7817 PARK MEADOWS DR</v>
      </c>
      <c r="L3280" t="str">
        <f>IFERROR(VLOOKUP(VALUE(J3280),'Site Info'!$A:$G,4,FALSE),"")</f>
        <v>LONE TREE</v>
      </c>
      <c r="M3280" t="str">
        <f>IFERROR(VLOOKUP(VALUE(J3280),'Site Info'!$A:$G,5,FALSE),"")</f>
        <v>CO</v>
      </c>
      <c r="N3280" t="str">
        <f>IFERROR(VLOOKUP(VALUE(J3280),'Site Info'!$A:$G,6,FALSE),"")</f>
        <v>80124-2547</v>
      </c>
      <c r="O3280">
        <f>IFERROR(VLOOKUP(VALUE(J3280),'Site Info'!$A:$G,7,FALSE),"")</f>
        <v>3037993905</v>
      </c>
    </row>
    <row r="3281" spans="1:15" x14ac:dyDescent="0.45">
      <c r="A3281" t="s">
        <v>4896</v>
      </c>
      <c r="B3281" t="s">
        <v>4897</v>
      </c>
      <c r="C3281" t="s">
        <v>4898</v>
      </c>
      <c r="D3281" t="s">
        <v>4455</v>
      </c>
      <c r="E3281" s="1">
        <v>46152.928761574076</v>
      </c>
      <c r="F3281">
        <v>1547</v>
      </c>
      <c r="G3281" t="s">
        <v>4899</v>
      </c>
      <c r="H3281" t="s">
        <v>15</v>
      </c>
      <c r="I3281" t="s">
        <v>4457</v>
      </c>
      <c r="J3281" t="str">
        <f>RIGHT(D3281,4)</f>
        <v>6634</v>
      </c>
      <c r="K3281" t="str">
        <f>IFERROR(VLOOKUP(VALUE(J3281),'Site Info'!$A:$G,3,FALSE),"")</f>
        <v>7817 PARK MEADOWS DR</v>
      </c>
      <c r="L3281" t="str">
        <f>IFERROR(VLOOKUP(VALUE(J3281),'Site Info'!$A:$G,4,FALSE),"")</f>
        <v>LONE TREE</v>
      </c>
      <c r="M3281" t="str">
        <f>IFERROR(VLOOKUP(VALUE(J3281),'Site Info'!$A:$G,5,FALSE),"")</f>
        <v>CO</v>
      </c>
      <c r="N3281" t="str">
        <f>IFERROR(VLOOKUP(VALUE(J3281),'Site Info'!$A:$G,6,FALSE),"")</f>
        <v>80124-2547</v>
      </c>
      <c r="O3281">
        <f>IFERROR(VLOOKUP(VALUE(J3281),'Site Info'!$A:$G,7,FALSE),"")</f>
        <v>3037993905</v>
      </c>
    </row>
    <row r="3282" spans="1:15" x14ac:dyDescent="0.45">
      <c r="A3282" t="s">
        <v>14495</v>
      </c>
      <c r="B3282" t="s">
        <v>14496</v>
      </c>
      <c r="C3282" t="s">
        <v>14497</v>
      </c>
      <c r="D3282" t="s">
        <v>4455</v>
      </c>
      <c r="E3282" s="1">
        <v>46152.937071759261</v>
      </c>
      <c r="F3282">
        <v>1547</v>
      </c>
      <c r="G3282" t="s">
        <v>14498</v>
      </c>
      <c r="H3282" t="s">
        <v>15</v>
      </c>
      <c r="I3282" t="s">
        <v>4457</v>
      </c>
      <c r="J3282" t="str">
        <f>RIGHT(D3282,4)</f>
        <v>6634</v>
      </c>
      <c r="K3282" t="str">
        <f>IFERROR(VLOOKUP(VALUE(J3282),'Site Info'!$A:$G,3,FALSE),"")</f>
        <v>7817 PARK MEADOWS DR</v>
      </c>
      <c r="L3282" t="str">
        <f>IFERROR(VLOOKUP(VALUE(J3282),'Site Info'!$A:$G,4,FALSE),"")</f>
        <v>LONE TREE</v>
      </c>
      <c r="M3282" t="str">
        <f>IFERROR(VLOOKUP(VALUE(J3282),'Site Info'!$A:$G,5,FALSE),"")</f>
        <v>CO</v>
      </c>
      <c r="N3282" t="str">
        <f>IFERROR(VLOOKUP(VALUE(J3282),'Site Info'!$A:$G,6,FALSE),"")</f>
        <v>80124-2547</v>
      </c>
      <c r="O3282">
        <f>IFERROR(VLOOKUP(VALUE(J3282),'Site Info'!$A:$G,7,FALSE),"")</f>
        <v>3037993905</v>
      </c>
    </row>
    <row r="3283" spans="1:15" x14ac:dyDescent="0.45">
      <c r="A3283" t="s">
        <v>4452</v>
      </c>
      <c r="B3283" t="s">
        <v>4453</v>
      </c>
      <c r="C3283" t="s">
        <v>4454</v>
      </c>
      <c r="D3283" t="s">
        <v>4455</v>
      </c>
      <c r="E3283" s="1">
        <v>46153.23510416667</v>
      </c>
      <c r="F3283">
        <v>1547</v>
      </c>
      <c r="G3283" t="s">
        <v>4456</v>
      </c>
      <c r="H3283" t="s">
        <v>15</v>
      </c>
      <c r="I3283" t="s">
        <v>4457</v>
      </c>
      <c r="J3283" t="str">
        <f>RIGHT(D3283,4)</f>
        <v>6634</v>
      </c>
      <c r="K3283" t="str">
        <f>IFERROR(VLOOKUP(VALUE(J3283),'Site Info'!$A:$G,3,FALSE),"")</f>
        <v>7817 PARK MEADOWS DR</v>
      </c>
      <c r="L3283" t="str">
        <f>IFERROR(VLOOKUP(VALUE(J3283),'Site Info'!$A:$G,4,FALSE),"")</f>
        <v>LONE TREE</v>
      </c>
      <c r="M3283" t="str">
        <f>IFERROR(VLOOKUP(VALUE(J3283),'Site Info'!$A:$G,5,FALSE),"")</f>
        <v>CO</v>
      </c>
      <c r="N3283" t="str">
        <f>IFERROR(VLOOKUP(VALUE(J3283),'Site Info'!$A:$G,6,FALSE),"")</f>
        <v>80124-2547</v>
      </c>
      <c r="O3283">
        <f>IFERROR(VLOOKUP(VALUE(J3283),'Site Info'!$A:$G,7,FALSE),"")</f>
        <v>3037993905</v>
      </c>
    </row>
    <row r="3284" spans="1:15" x14ac:dyDescent="0.45">
      <c r="A3284" t="s">
        <v>4524</v>
      </c>
      <c r="B3284" t="s">
        <v>4525</v>
      </c>
      <c r="C3284" t="s">
        <v>4526</v>
      </c>
      <c r="D3284" t="s">
        <v>4455</v>
      </c>
      <c r="E3284" s="1">
        <v>46153.280925925923</v>
      </c>
      <c r="F3284">
        <v>1547</v>
      </c>
      <c r="G3284" t="s">
        <v>4527</v>
      </c>
      <c r="H3284" t="s">
        <v>15</v>
      </c>
      <c r="I3284" t="s">
        <v>4457</v>
      </c>
      <c r="J3284" t="str">
        <f>RIGHT(D3284,4)</f>
        <v>6634</v>
      </c>
      <c r="K3284" t="str">
        <f>IFERROR(VLOOKUP(VALUE(J3284),'Site Info'!$A:$G,3,FALSE),"")</f>
        <v>7817 PARK MEADOWS DR</v>
      </c>
      <c r="L3284" t="str">
        <f>IFERROR(VLOOKUP(VALUE(J3284),'Site Info'!$A:$G,4,FALSE),"")</f>
        <v>LONE TREE</v>
      </c>
      <c r="M3284" t="str">
        <f>IFERROR(VLOOKUP(VALUE(J3284),'Site Info'!$A:$G,5,FALSE),"")</f>
        <v>CO</v>
      </c>
      <c r="N3284" t="str">
        <f>IFERROR(VLOOKUP(VALUE(J3284),'Site Info'!$A:$G,6,FALSE),"")</f>
        <v>80124-2547</v>
      </c>
      <c r="O3284">
        <f>IFERROR(VLOOKUP(VALUE(J3284),'Site Info'!$A:$G,7,FALSE),"")</f>
        <v>3037993905</v>
      </c>
    </row>
    <row r="3285" spans="1:15" x14ac:dyDescent="0.45">
      <c r="A3285" t="s">
        <v>96</v>
      </c>
      <c r="B3285" t="s">
        <v>259</v>
      </c>
      <c r="C3285" t="s">
        <v>260</v>
      </c>
      <c r="D3285" t="s">
        <v>261</v>
      </c>
      <c r="E3285" s="1">
        <v>46153.300509259258</v>
      </c>
      <c r="F3285">
        <v>1863</v>
      </c>
      <c r="G3285" t="s">
        <v>262</v>
      </c>
      <c r="H3285" t="s">
        <v>136</v>
      </c>
      <c r="I3285" t="s">
        <v>263</v>
      </c>
      <c r="J3285" t="str">
        <f>RIGHT(D3285,4)</f>
        <v>4721</v>
      </c>
      <c r="K3285" t="str">
        <f>IFERROR(VLOOKUP(VALUE(J3285),'Site Info'!$A:$G,3,FALSE),"")</f>
        <v>7950 FM 1960 W</v>
      </c>
      <c r="L3285" t="str">
        <f>IFERROR(VLOOKUP(VALUE(J3285),'Site Info'!$A:$G,4,FALSE),"")</f>
        <v>HOUSTON</v>
      </c>
      <c r="M3285" t="str">
        <f>IFERROR(VLOOKUP(VALUE(J3285),'Site Info'!$A:$G,5,FALSE),"")</f>
        <v>TX</v>
      </c>
      <c r="N3285" t="str">
        <f>IFERROR(VLOOKUP(VALUE(J3285),'Site Info'!$A:$G,6,FALSE),"")</f>
        <v>77070-5708</v>
      </c>
      <c r="O3285">
        <f>IFERROR(VLOOKUP(VALUE(J3285),'Site Info'!$A:$G,7,FALSE),"")</f>
        <v>8322378269</v>
      </c>
    </row>
    <row r="3286" spans="1:15" x14ac:dyDescent="0.45">
      <c r="A3286" t="s">
        <v>14600</v>
      </c>
      <c r="B3286" t="s">
        <v>14601</v>
      </c>
      <c r="C3286" t="s">
        <v>14602</v>
      </c>
      <c r="D3286" t="s">
        <v>261</v>
      </c>
      <c r="E3286" s="1">
        <v>46151.800046296295</v>
      </c>
      <c r="F3286">
        <v>1547</v>
      </c>
      <c r="G3286" t="s">
        <v>14603</v>
      </c>
      <c r="H3286" t="s">
        <v>15</v>
      </c>
      <c r="I3286" t="s">
        <v>263</v>
      </c>
      <c r="J3286" t="str">
        <f>RIGHT(D3286,4)</f>
        <v>4721</v>
      </c>
      <c r="K3286" t="str">
        <f>IFERROR(VLOOKUP(VALUE(J3286),'Site Info'!$A:$G,3,FALSE),"")</f>
        <v>7950 FM 1960 W</v>
      </c>
      <c r="L3286" t="str">
        <f>IFERROR(VLOOKUP(VALUE(J3286),'Site Info'!$A:$G,4,FALSE),"")</f>
        <v>HOUSTON</v>
      </c>
      <c r="M3286" t="str">
        <f>IFERROR(VLOOKUP(VALUE(J3286),'Site Info'!$A:$G,5,FALSE),"")</f>
        <v>TX</v>
      </c>
      <c r="N3286" t="str">
        <f>IFERROR(VLOOKUP(VALUE(J3286),'Site Info'!$A:$G,6,FALSE),"")</f>
        <v>77070-5708</v>
      </c>
      <c r="O3286">
        <f>IFERROR(VLOOKUP(VALUE(J3286),'Site Info'!$A:$G,7,FALSE),"")</f>
        <v>8322378269</v>
      </c>
    </row>
    <row r="3287" spans="1:15" x14ac:dyDescent="0.45">
      <c r="A3287" t="s">
        <v>14475</v>
      </c>
      <c r="B3287" t="s">
        <v>14476</v>
      </c>
      <c r="C3287" t="s">
        <v>14477</v>
      </c>
      <c r="D3287" t="s">
        <v>261</v>
      </c>
      <c r="E3287" s="1">
        <v>46152.935902777775</v>
      </c>
      <c r="F3287">
        <v>1547</v>
      </c>
      <c r="G3287" t="s">
        <v>14478</v>
      </c>
      <c r="H3287" t="s">
        <v>15</v>
      </c>
      <c r="I3287" t="s">
        <v>263</v>
      </c>
      <c r="J3287" t="str">
        <f>RIGHT(D3287,4)</f>
        <v>4721</v>
      </c>
      <c r="K3287" t="str">
        <f>IFERROR(VLOOKUP(VALUE(J3287),'Site Info'!$A:$G,3,FALSE),"")</f>
        <v>7950 FM 1960 W</v>
      </c>
      <c r="L3287" t="str">
        <f>IFERROR(VLOOKUP(VALUE(J3287),'Site Info'!$A:$G,4,FALSE),"")</f>
        <v>HOUSTON</v>
      </c>
      <c r="M3287" t="str">
        <f>IFERROR(VLOOKUP(VALUE(J3287),'Site Info'!$A:$G,5,FALSE),"")</f>
        <v>TX</v>
      </c>
      <c r="N3287" t="str">
        <f>IFERROR(VLOOKUP(VALUE(J3287),'Site Info'!$A:$G,6,FALSE),"")</f>
        <v>77070-5708</v>
      </c>
      <c r="O3287">
        <f>IFERROR(VLOOKUP(VALUE(J3287),'Site Info'!$A:$G,7,FALSE),"")</f>
        <v>8322378269</v>
      </c>
    </row>
    <row r="3288" spans="1:15" x14ac:dyDescent="0.45">
      <c r="A3288" t="s">
        <v>10016</v>
      </c>
      <c r="B3288" t="s">
        <v>10017</v>
      </c>
      <c r="C3288" t="s">
        <v>10018</v>
      </c>
      <c r="D3288" t="s">
        <v>261</v>
      </c>
      <c r="E3288" s="1">
        <v>46153.174953703703</v>
      </c>
      <c r="F3288">
        <v>1547</v>
      </c>
      <c r="G3288" t="s">
        <v>10019</v>
      </c>
      <c r="H3288" t="s">
        <v>15</v>
      </c>
      <c r="I3288" t="s">
        <v>263</v>
      </c>
      <c r="J3288" t="str">
        <f>RIGHT(D3288,4)</f>
        <v>4721</v>
      </c>
      <c r="K3288" t="str">
        <f>IFERROR(VLOOKUP(VALUE(J3288),'Site Info'!$A:$G,3,FALSE),"")</f>
        <v>7950 FM 1960 W</v>
      </c>
      <c r="L3288" t="str">
        <f>IFERROR(VLOOKUP(VALUE(J3288),'Site Info'!$A:$G,4,FALSE),"")</f>
        <v>HOUSTON</v>
      </c>
      <c r="M3288" t="str">
        <f>IFERROR(VLOOKUP(VALUE(J3288),'Site Info'!$A:$G,5,FALSE),"")</f>
        <v>TX</v>
      </c>
      <c r="N3288" t="str">
        <f>IFERROR(VLOOKUP(VALUE(J3288),'Site Info'!$A:$G,6,FALSE),"")</f>
        <v>77070-5708</v>
      </c>
      <c r="O3288">
        <f>IFERROR(VLOOKUP(VALUE(J3288),'Site Info'!$A:$G,7,FALSE),"")</f>
        <v>8322378269</v>
      </c>
    </row>
    <row r="3289" spans="1:15" x14ac:dyDescent="0.45">
      <c r="A3289" t="s">
        <v>6464</v>
      </c>
      <c r="B3289" t="s">
        <v>6465</v>
      </c>
      <c r="C3289" t="s">
        <v>6466</v>
      </c>
      <c r="D3289" t="s">
        <v>3434</v>
      </c>
      <c r="E3289" s="1">
        <v>46147.587442129632</v>
      </c>
      <c r="F3289">
        <v>1547</v>
      </c>
      <c r="G3289" t="s">
        <v>6467</v>
      </c>
      <c r="H3289" t="s">
        <v>15</v>
      </c>
      <c r="I3289" t="s">
        <v>3436</v>
      </c>
      <c r="J3289" t="str">
        <f>RIGHT(D3289,4)</f>
        <v>8153</v>
      </c>
      <c r="K3289" t="str">
        <f>IFERROR(VLOOKUP(VALUE(J3289),'Site Info'!$A:$G,3,FALSE),"")</f>
        <v>7970 N MESA ST</v>
      </c>
      <c r="L3289" t="str">
        <f>IFERROR(VLOOKUP(VALUE(J3289),'Site Info'!$A:$G,4,FALSE),"")</f>
        <v>EL PASO</v>
      </c>
      <c r="M3289" t="str">
        <f>IFERROR(VLOOKUP(VALUE(J3289),'Site Info'!$A:$G,5,FALSE),"")</f>
        <v>TX</v>
      </c>
      <c r="N3289" t="str">
        <f>IFERROR(VLOOKUP(VALUE(J3289),'Site Info'!$A:$G,6,FALSE),"")</f>
        <v>79932-1626</v>
      </c>
      <c r="O3289">
        <f>IFERROR(VLOOKUP(VALUE(J3289),'Site Info'!$A:$G,7,FALSE),"")</f>
        <v>9155852433</v>
      </c>
    </row>
    <row r="3290" spans="1:15" x14ac:dyDescent="0.45">
      <c r="A3290" t="s">
        <v>6476</v>
      </c>
      <c r="B3290" t="s">
        <v>6477</v>
      </c>
      <c r="C3290" t="s">
        <v>6478</v>
      </c>
      <c r="D3290" t="s">
        <v>3434</v>
      </c>
      <c r="E3290" s="1">
        <v>46150.434953703705</v>
      </c>
      <c r="F3290">
        <v>1547</v>
      </c>
      <c r="G3290" t="s">
        <v>6479</v>
      </c>
      <c r="H3290" t="s">
        <v>15</v>
      </c>
      <c r="I3290" t="s">
        <v>3436</v>
      </c>
      <c r="J3290" t="str">
        <f>RIGHT(D3290,4)</f>
        <v>8153</v>
      </c>
      <c r="K3290" t="str">
        <f>IFERROR(VLOOKUP(VALUE(J3290),'Site Info'!$A:$G,3,FALSE),"")</f>
        <v>7970 N MESA ST</v>
      </c>
      <c r="L3290" t="str">
        <f>IFERROR(VLOOKUP(VALUE(J3290),'Site Info'!$A:$G,4,FALSE),"")</f>
        <v>EL PASO</v>
      </c>
      <c r="M3290" t="str">
        <f>IFERROR(VLOOKUP(VALUE(J3290),'Site Info'!$A:$G,5,FALSE),"")</f>
        <v>TX</v>
      </c>
      <c r="N3290" t="str">
        <f>IFERROR(VLOOKUP(VALUE(J3290),'Site Info'!$A:$G,6,FALSE),"")</f>
        <v>79932-1626</v>
      </c>
      <c r="O3290">
        <f>IFERROR(VLOOKUP(VALUE(J3290),'Site Info'!$A:$G,7,FALSE),"")</f>
        <v>9155852433</v>
      </c>
    </row>
    <row r="3291" spans="1:15" x14ac:dyDescent="0.45">
      <c r="A3291" t="s">
        <v>6364</v>
      </c>
      <c r="B3291" t="s">
        <v>6365</v>
      </c>
      <c r="C3291" t="s">
        <v>6366</v>
      </c>
      <c r="D3291" t="s">
        <v>3434</v>
      </c>
      <c r="E3291" s="1">
        <v>46152.695057870369</v>
      </c>
      <c r="F3291">
        <v>1547</v>
      </c>
      <c r="G3291" t="s">
        <v>6367</v>
      </c>
      <c r="H3291" t="s">
        <v>15</v>
      </c>
      <c r="I3291" t="s">
        <v>3436</v>
      </c>
      <c r="J3291" t="str">
        <f>RIGHT(D3291,4)</f>
        <v>8153</v>
      </c>
      <c r="K3291" t="str">
        <f>IFERROR(VLOOKUP(VALUE(J3291),'Site Info'!$A:$G,3,FALSE),"")</f>
        <v>7970 N MESA ST</v>
      </c>
      <c r="L3291" t="str">
        <f>IFERROR(VLOOKUP(VALUE(J3291),'Site Info'!$A:$G,4,FALSE),"")</f>
        <v>EL PASO</v>
      </c>
      <c r="M3291" t="str">
        <f>IFERROR(VLOOKUP(VALUE(J3291),'Site Info'!$A:$G,5,FALSE),"")</f>
        <v>TX</v>
      </c>
      <c r="N3291" t="str">
        <f>IFERROR(VLOOKUP(VALUE(J3291),'Site Info'!$A:$G,6,FALSE),"")</f>
        <v>79932-1626</v>
      </c>
      <c r="O3291">
        <f>IFERROR(VLOOKUP(VALUE(J3291),'Site Info'!$A:$G,7,FALSE),"")</f>
        <v>9155852433</v>
      </c>
    </row>
    <row r="3292" spans="1:15" x14ac:dyDescent="0.45">
      <c r="A3292" t="s">
        <v>6058</v>
      </c>
      <c r="B3292" t="s">
        <v>6059</v>
      </c>
      <c r="C3292" t="s">
        <v>6060</v>
      </c>
      <c r="D3292" t="s">
        <v>3434</v>
      </c>
      <c r="E3292" s="1">
        <v>46152.913437499999</v>
      </c>
      <c r="F3292">
        <v>1547</v>
      </c>
      <c r="G3292" t="s">
        <v>6061</v>
      </c>
      <c r="H3292" t="s">
        <v>15</v>
      </c>
      <c r="I3292" t="s">
        <v>3436</v>
      </c>
      <c r="J3292" t="str">
        <f>RIGHT(D3292,4)</f>
        <v>8153</v>
      </c>
      <c r="K3292" t="str">
        <f>IFERROR(VLOOKUP(VALUE(J3292),'Site Info'!$A:$G,3,FALSE),"")</f>
        <v>7970 N MESA ST</v>
      </c>
      <c r="L3292" t="str">
        <f>IFERROR(VLOOKUP(VALUE(J3292),'Site Info'!$A:$G,4,FALSE),"")</f>
        <v>EL PASO</v>
      </c>
      <c r="M3292" t="str">
        <f>IFERROR(VLOOKUP(VALUE(J3292),'Site Info'!$A:$G,5,FALSE),"")</f>
        <v>TX</v>
      </c>
      <c r="N3292" t="str">
        <f>IFERROR(VLOOKUP(VALUE(J3292),'Site Info'!$A:$G,6,FALSE),"")</f>
        <v>79932-1626</v>
      </c>
      <c r="O3292">
        <f>IFERROR(VLOOKUP(VALUE(J3292),'Site Info'!$A:$G,7,FALSE),"")</f>
        <v>9155852433</v>
      </c>
    </row>
    <row r="3293" spans="1:15" x14ac:dyDescent="0.45">
      <c r="A3293" t="s">
        <v>6042</v>
      </c>
      <c r="B3293" t="s">
        <v>6043</v>
      </c>
      <c r="C3293" t="s">
        <v>6044</v>
      </c>
      <c r="D3293" t="s">
        <v>3434</v>
      </c>
      <c r="E3293" s="1">
        <v>46153.271585648145</v>
      </c>
      <c r="F3293">
        <v>1547</v>
      </c>
      <c r="G3293" t="s">
        <v>6045</v>
      </c>
      <c r="H3293" t="s">
        <v>15</v>
      </c>
      <c r="I3293" t="s">
        <v>3436</v>
      </c>
      <c r="J3293" t="str">
        <f>RIGHT(D3293,4)</f>
        <v>8153</v>
      </c>
      <c r="K3293" t="str">
        <f>IFERROR(VLOOKUP(VALUE(J3293),'Site Info'!$A:$G,3,FALSE),"")</f>
        <v>7970 N MESA ST</v>
      </c>
      <c r="L3293" t="str">
        <f>IFERROR(VLOOKUP(VALUE(J3293),'Site Info'!$A:$G,4,FALSE),"")</f>
        <v>EL PASO</v>
      </c>
      <c r="M3293" t="str">
        <f>IFERROR(VLOOKUP(VALUE(J3293),'Site Info'!$A:$G,5,FALSE),"")</f>
        <v>TX</v>
      </c>
      <c r="N3293" t="str">
        <f>IFERROR(VLOOKUP(VALUE(J3293),'Site Info'!$A:$G,6,FALSE),"")</f>
        <v>79932-1626</v>
      </c>
      <c r="O3293">
        <f>IFERROR(VLOOKUP(VALUE(J3293),'Site Info'!$A:$G,7,FALSE),"")</f>
        <v>9155852433</v>
      </c>
    </row>
    <row r="3294" spans="1:15" x14ac:dyDescent="0.45">
      <c r="A3294" t="s">
        <v>3431</v>
      </c>
      <c r="B3294" t="s">
        <v>3432</v>
      </c>
      <c r="C3294" t="s">
        <v>3433</v>
      </c>
      <c r="D3294" t="s">
        <v>3434</v>
      </c>
      <c r="E3294" s="1">
        <v>46150.749386574076</v>
      </c>
      <c r="F3294">
        <v>1481</v>
      </c>
      <c r="G3294" t="s">
        <v>3435</v>
      </c>
      <c r="H3294" t="s">
        <v>15</v>
      </c>
      <c r="I3294" t="s">
        <v>3436</v>
      </c>
      <c r="J3294" t="str">
        <f>RIGHT(D3294,4)</f>
        <v>8153</v>
      </c>
      <c r="K3294" t="str">
        <f>IFERROR(VLOOKUP(VALUE(J3294),'Site Info'!$A:$G,3,FALSE),"")</f>
        <v>7970 N MESA ST</v>
      </c>
      <c r="L3294" t="str">
        <f>IFERROR(VLOOKUP(VALUE(J3294),'Site Info'!$A:$G,4,FALSE),"")</f>
        <v>EL PASO</v>
      </c>
      <c r="M3294" t="str">
        <f>IFERROR(VLOOKUP(VALUE(J3294),'Site Info'!$A:$G,5,FALSE),"")</f>
        <v>TX</v>
      </c>
      <c r="N3294" t="str">
        <f>IFERROR(VLOOKUP(VALUE(J3294),'Site Info'!$A:$G,6,FALSE),"")</f>
        <v>79932-1626</v>
      </c>
      <c r="O3294">
        <f>IFERROR(VLOOKUP(VALUE(J3294),'Site Info'!$A:$G,7,FALSE),"")</f>
        <v>9155852433</v>
      </c>
    </row>
    <row r="3295" spans="1:15" x14ac:dyDescent="0.45">
      <c r="A3295" t="s">
        <v>12176</v>
      </c>
      <c r="B3295" t="s">
        <v>12177</v>
      </c>
      <c r="C3295" t="s">
        <v>12178</v>
      </c>
      <c r="D3295" t="s">
        <v>2780</v>
      </c>
      <c r="E3295" s="1">
        <v>46152.195219907408</v>
      </c>
      <c r="F3295">
        <v>1547</v>
      </c>
      <c r="G3295" t="s">
        <v>12179</v>
      </c>
      <c r="H3295" t="s">
        <v>15</v>
      </c>
      <c r="I3295" t="s">
        <v>2782</v>
      </c>
      <c r="J3295" t="str">
        <f>RIGHT(D3295,4)</f>
        <v>6251</v>
      </c>
      <c r="K3295" t="str">
        <f>IFERROR(VLOOKUP(VALUE(J3295),'Site Info'!$A:$G,3,FALSE),"")</f>
        <v>80 TRINITY POINT DR</v>
      </c>
      <c r="L3295" t="str">
        <f>IFERROR(VLOOKUP(VALUE(J3295),'Site Info'!$A:$G,4,FALSE),"")</f>
        <v>WASHINGTON</v>
      </c>
      <c r="M3295" t="str">
        <f>IFERROR(VLOOKUP(VALUE(J3295),'Site Info'!$A:$G,5,FALSE),"")</f>
        <v>PA</v>
      </c>
      <c r="N3295" t="str">
        <f>IFERROR(VLOOKUP(VALUE(J3295),'Site Info'!$A:$G,6,FALSE),"")</f>
        <v>15301-2974</v>
      </c>
      <c r="O3295">
        <f>IFERROR(VLOOKUP(VALUE(J3295),'Site Info'!$A:$G,7,FALSE),"")</f>
        <v>7242293500</v>
      </c>
    </row>
    <row r="3296" spans="1:15" x14ac:dyDescent="0.45">
      <c r="A3296" t="s">
        <v>6621</v>
      </c>
      <c r="B3296" t="s">
        <v>6622</v>
      </c>
      <c r="C3296" t="s">
        <v>6623</v>
      </c>
      <c r="D3296" t="s">
        <v>2780</v>
      </c>
      <c r="E3296" s="1">
        <v>46152.456736111111</v>
      </c>
      <c r="F3296">
        <v>1547</v>
      </c>
      <c r="G3296" t="s">
        <v>6624</v>
      </c>
      <c r="H3296" t="s">
        <v>15</v>
      </c>
      <c r="I3296" t="s">
        <v>2782</v>
      </c>
      <c r="J3296" t="str">
        <f>RIGHT(D3296,4)</f>
        <v>6251</v>
      </c>
      <c r="K3296" t="str">
        <f>IFERROR(VLOOKUP(VALUE(J3296),'Site Info'!$A:$G,3,FALSE),"")</f>
        <v>80 TRINITY POINT DR</v>
      </c>
      <c r="L3296" t="str">
        <f>IFERROR(VLOOKUP(VALUE(J3296),'Site Info'!$A:$G,4,FALSE),"")</f>
        <v>WASHINGTON</v>
      </c>
      <c r="M3296" t="str">
        <f>IFERROR(VLOOKUP(VALUE(J3296),'Site Info'!$A:$G,5,FALSE),"")</f>
        <v>PA</v>
      </c>
      <c r="N3296" t="str">
        <f>IFERROR(VLOOKUP(VALUE(J3296),'Site Info'!$A:$G,6,FALSE),"")</f>
        <v>15301-2974</v>
      </c>
      <c r="O3296">
        <f>IFERROR(VLOOKUP(VALUE(J3296),'Site Info'!$A:$G,7,FALSE),"")</f>
        <v>7242293500</v>
      </c>
    </row>
    <row r="3297" spans="1:15" x14ac:dyDescent="0.45">
      <c r="A3297" t="s">
        <v>10961</v>
      </c>
      <c r="B3297" t="s">
        <v>10962</v>
      </c>
      <c r="C3297" t="s">
        <v>10963</v>
      </c>
      <c r="D3297" t="s">
        <v>2780</v>
      </c>
      <c r="E3297" s="1">
        <v>46152.742048611108</v>
      </c>
      <c r="F3297">
        <v>1547</v>
      </c>
      <c r="G3297" t="s">
        <v>10964</v>
      </c>
      <c r="H3297" t="s">
        <v>15</v>
      </c>
      <c r="I3297" t="s">
        <v>2782</v>
      </c>
      <c r="J3297" t="str">
        <f>RIGHT(D3297,4)</f>
        <v>6251</v>
      </c>
      <c r="K3297" t="str">
        <f>IFERROR(VLOOKUP(VALUE(J3297),'Site Info'!$A:$G,3,FALSE),"")</f>
        <v>80 TRINITY POINT DR</v>
      </c>
      <c r="L3297" t="str">
        <f>IFERROR(VLOOKUP(VALUE(J3297),'Site Info'!$A:$G,4,FALSE),"")</f>
        <v>WASHINGTON</v>
      </c>
      <c r="M3297" t="str">
        <f>IFERROR(VLOOKUP(VALUE(J3297),'Site Info'!$A:$G,5,FALSE),"")</f>
        <v>PA</v>
      </c>
      <c r="N3297" t="str">
        <f>IFERROR(VLOOKUP(VALUE(J3297),'Site Info'!$A:$G,6,FALSE),"")</f>
        <v>15301-2974</v>
      </c>
      <c r="O3297">
        <f>IFERROR(VLOOKUP(VALUE(J3297),'Site Info'!$A:$G,7,FALSE),"")</f>
        <v>7242293500</v>
      </c>
    </row>
    <row r="3298" spans="1:15" x14ac:dyDescent="0.45">
      <c r="A3298" t="s">
        <v>2777</v>
      </c>
      <c r="B3298" t="s">
        <v>2778</v>
      </c>
      <c r="C3298" t="s">
        <v>2779</v>
      </c>
      <c r="D3298" t="s">
        <v>2780</v>
      </c>
      <c r="E3298" s="1">
        <v>46149.494398148148</v>
      </c>
      <c r="F3298">
        <v>1481</v>
      </c>
      <c r="G3298" t="s">
        <v>2781</v>
      </c>
      <c r="H3298" t="s">
        <v>15</v>
      </c>
      <c r="I3298" t="s">
        <v>2782</v>
      </c>
      <c r="J3298" t="str">
        <f>RIGHT(D3298,4)</f>
        <v>6251</v>
      </c>
      <c r="K3298" t="str">
        <f>IFERROR(VLOOKUP(VALUE(J3298),'Site Info'!$A:$G,3,FALSE),"")</f>
        <v>80 TRINITY POINT DR</v>
      </c>
      <c r="L3298" t="str">
        <f>IFERROR(VLOOKUP(VALUE(J3298),'Site Info'!$A:$G,4,FALSE),"")</f>
        <v>WASHINGTON</v>
      </c>
      <c r="M3298" t="str">
        <f>IFERROR(VLOOKUP(VALUE(J3298),'Site Info'!$A:$G,5,FALSE),"")</f>
        <v>PA</v>
      </c>
      <c r="N3298" t="str">
        <f>IFERROR(VLOOKUP(VALUE(J3298),'Site Info'!$A:$G,6,FALSE),"")</f>
        <v>15301-2974</v>
      </c>
      <c r="O3298">
        <f>IFERROR(VLOOKUP(VALUE(J3298),'Site Info'!$A:$G,7,FALSE),"")</f>
        <v>7242293500</v>
      </c>
    </row>
    <row r="3299" spans="1:15" x14ac:dyDescent="0.45">
      <c r="A3299" t="s">
        <v>6821</v>
      </c>
      <c r="B3299" t="s">
        <v>6822</v>
      </c>
      <c r="C3299" t="s">
        <v>6823</v>
      </c>
      <c r="D3299" t="s">
        <v>1541</v>
      </c>
      <c r="E3299" s="1">
        <v>46152.597685185188</v>
      </c>
      <c r="F3299">
        <v>1547</v>
      </c>
      <c r="G3299" t="s">
        <v>6824</v>
      </c>
      <c r="H3299" t="s">
        <v>15</v>
      </c>
      <c r="I3299" t="s">
        <v>1543</v>
      </c>
      <c r="J3299" t="str">
        <f>RIGHT(D3299,4)</f>
        <v>8132</v>
      </c>
      <c r="K3299" t="str">
        <f>IFERROR(VLOOKUP(VALUE(J3299),'Site Info'!$A:$G,3,FALSE),"")</f>
        <v>800 KEMPER COMMONS CIR</v>
      </c>
      <c r="L3299" t="str">
        <f>IFERROR(VLOOKUP(VALUE(J3299),'Site Info'!$A:$G,4,FALSE),"")</f>
        <v>SPRINGDALE</v>
      </c>
      <c r="M3299" t="str">
        <f>IFERROR(VLOOKUP(VALUE(J3299),'Site Info'!$A:$G,5,FALSE),"")</f>
        <v>OH</v>
      </c>
      <c r="N3299" t="str">
        <f>IFERROR(VLOOKUP(VALUE(J3299),'Site Info'!$A:$G,6,FALSE),"")</f>
        <v>45246-2544</v>
      </c>
      <c r="O3299">
        <f>IFERROR(VLOOKUP(VALUE(J3299),'Site Info'!$A:$G,7,FALSE),"")</f>
        <v>5136712016</v>
      </c>
    </row>
    <row r="3300" spans="1:15" x14ac:dyDescent="0.45">
      <c r="A3300" t="s">
        <v>9125</v>
      </c>
      <c r="B3300" t="s">
        <v>9126</v>
      </c>
      <c r="C3300" t="s">
        <v>9127</v>
      </c>
      <c r="D3300" t="s">
        <v>1541</v>
      </c>
      <c r="E3300" s="1">
        <v>46152.635081018518</v>
      </c>
      <c r="F3300">
        <v>1547</v>
      </c>
      <c r="G3300" t="s">
        <v>9128</v>
      </c>
      <c r="H3300" t="s">
        <v>15</v>
      </c>
      <c r="I3300" t="s">
        <v>1543</v>
      </c>
      <c r="J3300" t="str">
        <f>RIGHT(D3300,4)</f>
        <v>8132</v>
      </c>
      <c r="K3300" t="str">
        <f>IFERROR(VLOOKUP(VALUE(J3300),'Site Info'!$A:$G,3,FALSE),"")</f>
        <v>800 KEMPER COMMONS CIR</v>
      </c>
      <c r="L3300" t="str">
        <f>IFERROR(VLOOKUP(VALUE(J3300),'Site Info'!$A:$G,4,FALSE),"")</f>
        <v>SPRINGDALE</v>
      </c>
      <c r="M3300" t="str">
        <f>IFERROR(VLOOKUP(VALUE(J3300),'Site Info'!$A:$G,5,FALSE),"")</f>
        <v>OH</v>
      </c>
      <c r="N3300" t="str">
        <f>IFERROR(VLOOKUP(VALUE(J3300),'Site Info'!$A:$G,6,FALSE),"")</f>
        <v>45246-2544</v>
      </c>
      <c r="O3300">
        <f>IFERROR(VLOOKUP(VALUE(J3300),'Site Info'!$A:$G,7,FALSE),"")</f>
        <v>5136712016</v>
      </c>
    </row>
    <row r="3301" spans="1:15" x14ac:dyDescent="0.45">
      <c r="A3301" t="s">
        <v>8531</v>
      </c>
      <c r="B3301" t="s">
        <v>8532</v>
      </c>
      <c r="C3301" t="s">
        <v>8533</v>
      </c>
      <c r="D3301" t="s">
        <v>1541</v>
      </c>
      <c r="E3301" s="1">
        <v>46153.265138888892</v>
      </c>
      <c r="F3301">
        <v>1547</v>
      </c>
      <c r="G3301" t="s">
        <v>8534</v>
      </c>
      <c r="H3301" t="s">
        <v>15</v>
      </c>
      <c r="I3301" t="s">
        <v>1543</v>
      </c>
      <c r="J3301" t="str">
        <f>RIGHT(D3301,4)</f>
        <v>8132</v>
      </c>
      <c r="K3301" t="str">
        <f>IFERROR(VLOOKUP(VALUE(J3301),'Site Info'!$A:$G,3,FALSE),"")</f>
        <v>800 KEMPER COMMONS CIR</v>
      </c>
      <c r="L3301" t="str">
        <f>IFERROR(VLOOKUP(VALUE(J3301),'Site Info'!$A:$G,4,FALSE),"")</f>
        <v>SPRINGDALE</v>
      </c>
      <c r="M3301" t="str">
        <f>IFERROR(VLOOKUP(VALUE(J3301),'Site Info'!$A:$G,5,FALSE),"")</f>
        <v>OH</v>
      </c>
      <c r="N3301" t="str">
        <f>IFERROR(VLOOKUP(VALUE(J3301),'Site Info'!$A:$G,6,FALSE),"")</f>
        <v>45246-2544</v>
      </c>
      <c r="O3301">
        <f>IFERROR(VLOOKUP(VALUE(J3301),'Site Info'!$A:$G,7,FALSE),"")</f>
        <v>5136712016</v>
      </c>
    </row>
    <row r="3302" spans="1:15" x14ac:dyDescent="0.45">
      <c r="A3302" t="s">
        <v>7563</v>
      </c>
      <c r="B3302" t="s">
        <v>7564</v>
      </c>
      <c r="C3302" t="s">
        <v>7565</v>
      </c>
      <c r="D3302" t="s">
        <v>1541</v>
      </c>
      <c r="E3302" s="1">
        <v>46153.326562499999</v>
      </c>
      <c r="F3302">
        <v>1547</v>
      </c>
      <c r="G3302" t="s">
        <v>7566</v>
      </c>
      <c r="H3302" t="s">
        <v>15</v>
      </c>
      <c r="I3302" t="s">
        <v>1543</v>
      </c>
      <c r="J3302" t="str">
        <f>RIGHT(D3302,4)</f>
        <v>8132</v>
      </c>
      <c r="K3302" t="str">
        <f>IFERROR(VLOOKUP(VALUE(J3302),'Site Info'!$A:$G,3,FALSE),"")</f>
        <v>800 KEMPER COMMONS CIR</v>
      </c>
      <c r="L3302" t="str">
        <f>IFERROR(VLOOKUP(VALUE(J3302),'Site Info'!$A:$G,4,FALSE),"")</f>
        <v>SPRINGDALE</v>
      </c>
      <c r="M3302" t="str">
        <f>IFERROR(VLOOKUP(VALUE(J3302),'Site Info'!$A:$G,5,FALSE),"")</f>
        <v>OH</v>
      </c>
      <c r="N3302" t="str">
        <f>IFERROR(VLOOKUP(VALUE(J3302),'Site Info'!$A:$G,6,FALSE),"")</f>
        <v>45246-2544</v>
      </c>
      <c r="O3302">
        <f>IFERROR(VLOOKUP(VALUE(J3302),'Site Info'!$A:$G,7,FALSE),"")</f>
        <v>5136712016</v>
      </c>
    </row>
    <row r="3303" spans="1:15" x14ac:dyDescent="0.45">
      <c r="A3303" t="s">
        <v>1538</v>
      </c>
      <c r="B3303" t="s">
        <v>1539</v>
      </c>
      <c r="C3303" t="s">
        <v>1540</v>
      </c>
      <c r="D3303" t="s">
        <v>1541</v>
      </c>
      <c r="E3303" s="1">
        <v>46152.23847222222</v>
      </c>
      <c r="F3303">
        <v>1481</v>
      </c>
      <c r="G3303" t="s">
        <v>1542</v>
      </c>
      <c r="H3303" t="s">
        <v>15</v>
      </c>
      <c r="I3303" t="s">
        <v>1543</v>
      </c>
      <c r="J3303" t="str">
        <f>RIGHT(D3303,4)</f>
        <v>8132</v>
      </c>
      <c r="K3303" t="str">
        <f>IFERROR(VLOOKUP(VALUE(J3303),'Site Info'!$A:$G,3,FALSE),"")</f>
        <v>800 KEMPER COMMONS CIR</v>
      </c>
      <c r="L3303" t="str">
        <f>IFERROR(VLOOKUP(VALUE(J3303),'Site Info'!$A:$G,4,FALSE),"")</f>
        <v>SPRINGDALE</v>
      </c>
      <c r="M3303" t="str">
        <f>IFERROR(VLOOKUP(VALUE(J3303),'Site Info'!$A:$G,5,FALSE),"")</f>
        <v>OH</v>
      </c>
      <c r="N3303" t="str">
        <f>IFERROR(VLOOKUP(VALUE(J3303),'Site Info'!$A:$G,6,FALSE),"")</f>
        <v>45246-2544</v>
      </c>
      <c r="O3303">
        <f>IFERROR(VLOOKUP(VALUE(J3303),'Site Info'!$A:$G,7,FALSE),"")</f>
        <v>5136712016</v>
      </c>
    </row>
    <row r="3304" spans="1:15" x14ac:dyDescent="0.45">
      <c r="A3304" t="s">
        <v>16739</v>
      </c>
      <c r="B3304" t="s">
        <v>17093</v>
      </c>
      <c r="C3304" t="s">
        <v>17094</v>
      </c>
      <c r="D3304" t="s">
        <v>1541</v>
      </c>
      <c r="E3304" s="1">
        <v>46152.886053240742</v>
      </c>
      <c r="F3304">
        <v>1628</v>
      </c>
      <c r="G3304" t="s">
        <v>17095</v>
      </c>
      <c r="H3304" t="s">
        <v>13988</v>
      </c>
      <c r="I3304" t="s">
        <v>1543</v>
      </c>
      <c r="J3304" t="str">
        <f>RIGHT(D3304,4)</f>
        <v>8132</v>
      </c>
      <c r="K3304" t="str">
        <f>IFERROR(VLOOKUP(VALUE(J3304),'Site Info'!$A:$G,3,FALSE),"")</f>
        <v>800 KEMPER COMMONS CIR</v>
      </c>
      <c r="L3304" t="str">
        <f>IFERROR(VLOOKUP(VALUE(J3304),'Site Info'!$A:$G,4,FALSE),"")</f>
        <v>SPRINGDALE</v>
      </c>
      <c r="M3304" t="str">
        <f>IFERROR(VLOOKUP(VALUE(J3304),'Site Info'!$A:$G,5,FALSE),"")</f>
        <v>OH</v>
      </c>
      <c r="N3304" t="str">
        <f>IFERROR(VLOOKUP(VALUE(J3304),'Site Info'!$A:$G,6,FALSE),"")</f>
        <v>45246-2544</v>
      </c>
      <c r="O3304">
        <f>IFERROR(VLOOKUP(VALUE(J3304),'Site Info'!$A:$G,7,FALSE),"")</f>
        <v>5136712016</v>
      </c>
    </row>
    <row r="3305" spans="1:15" x14ac:dyDescent="0.45">
      <c r="A3305" t="s">
        <v>16427</v>
      </c>
      <c r="B3305" t="s">
        <v>17096</v>
      </c>
      <c r="C3305" t="s">
        <v>17097</v>
      </c>
      <c r="D3305" t="s">
        <v>1541</v>
      </c>
      <c r="E3305" s="1">
        <v>46153.375185185185</v>
      </c>
      <c r="F3305">
        <v>1628</v>
      </c>
      <c r="G3305" t="s">
        <v>17098</v>
      </c>
      <c r="H3305" t="s">
        <v>13988</v>
      </c>
      <c r="I3305" t="s">
        <v>1543</v>
      </c>
      <c r="J3305" t="str">
        <f>RIGHT(D3305,4)</f>
        <v>8132</v>
      </c>
      <c r="K3305" t="str">
        <f>IFERROR(VLOOKUP(VALUE(J3305),'Site Info'!$A:$G,3,FALSE),"")</f>
        <v>800 KEMPER COMMONS CIR</v>
      </c>
      <c r="L3305" t="str">
        <f>IFERROR(VLOOKUP(VALUE(J3305),'Site Info'!$A:$G,4,FALSE),"")</f>
        <v>SPRINGDALE</v>
      </c>
      <c r="M3305" t="str">
        <f>IFERROR(VLOOKUP(VALUE(J3305),'Site Info'!$A:$G,5,FALSE),"")</f>
        <v>OH</v>
      </c>
      <c r="N3305" t="str">
        <f>IFERROR(VLOOKUP(VALUE(J3305),'Site Info'!$A:$G,6,FALSE),"")</f>
        <v>45246-2544</v>
      </c>
      <c r="O3305">
        <f>IFERROR(VLOOKUP(VALUE(J3305),'Site Info'!$A:$G,7,FALSE),"")</f>
        <v>5136712016</v>
      </c>
    </row>
    <row r="3306" spans="1:15" x14ac:dyDescent="0.45">
      <c r="A3306" t="s">
        <v>13631</v>
      </c>
      <c r="B3306" t="s">
        <v>13632</v>
      </c>
      <c r="C3306" t="s">
        <v>13633</v>
      </c>
      <c r="D3306" t="s">
        <v>2700</v>
      </c>
      <c r="E3306" s="1">
        <v>46151.616875</v>
      </c>
      <c r="F3306">
        <v>1547</v>
      </c>
      <c r="G3306" t="s">
        <v>13634</v>
      </c>
      <c r="H3306" t="s">
        <v>15</v>
      </c>
      <c r="I3306" t="s">
        <v>2702</v>
      </c>
      <c r="J3306" t="str">
        <f>RIGHT(D3306,4)</f>
        <v>6201</v>
      </c>
      <c r="K3306" t="str">
        <f>IFERROR(VLOOKUP(VALUE(J3306),'Site Info'!$A:$G,3,FALSE),"")</f>
        <v>801 FRANK SOTTILE BLVD</v>
      </c>
      <c r="L3306" t="str">
        <f>IFERROR(VLOOKUP(VALUE(J3306),'Site Info'!$A:$G,4,FALSE),"")</f>
        <v>KINGSTON</v>
      </c>
      <c r="M3306" t="str">
        <f>IFERROR(VLOOKUP(VALUE(J3306),'Site Info'!$A:$G,5,FALSE),"")</f>
        <v>NY</v>
      </c>
      <c r="N3306" t="str">
        <f>IFERROR(VLOOKUP(VALUE(J3306),'Site Info'!$A:$G,6,FALSE),"")</f>
        <v>12401-1554</v>
      </c>
      <c r="O3306">
        <f>IFERROR(VLOOKUP(VALUE(J3306),'Site Info'!$A:$G,7,FALSE),"")</f>
        <v>8453821320</v>
      </c>
    </row>
    <row r="3307" spans="1:15" x14ac:dyDescent="0.45">
      <c r="A3307" t="s">
        <v>10082</v>
      </c>
      <c r="B3307" t="s">
        <v>10083</v>
      </c>
      <c r="C3307" t="s">
        <v>10084</v>
      </c>
      <c r="D3307" t="s">
        <v>2700</v>
      </c>
      <c r="E3307" s="1">
        <v>46152.796157407407</v>
      </c>
      <c r="F3307">
        <v>1547</v>
      </c>
      <c r="G3307" t="s">
        <v>10085</v>
      </c>
      <c r="H3307" t="s">
        <v>15</v>
      </c>
      <c r="I3307" t="s">
        <v>2702</v>
      </c>
      <c r="J3307" t="str">
        <f>RIGHT(D3307,4)</f>
        <v>6201</v>
      </c>
      <c r="K3307" t="str">
        <f>IFERROR(VLOOKUP(VALUE(J3307),'Site Info'!$A:$G,3,FALSE),"")</f>
        <v>801 FRANK SOTTILE BLVD</v>
      </c>
      <c r="L3307" t="str">
        <f>IFERROR(VLOOKUP(VALUE(J3307),'Site Info'!$A:$G,4,FALSE),"")</f>
        <v>KINGSTON</v>
      </c>
      <c r="M3307" t="str">
        <f>IFERROR(VLOOKUP(VALUE(J3307),'Site Info'!$A:$G,5,FALSE),"")</f>
        <v>NY</v>
      </c>
      <c r="N3307" t="str">
        <f>IFERROR(VLOOKUP(VALUE(J3307),'Site Info'!$A:$G,6,FALSE),"")</f>
        <v>12401-1554</v>
      </c>
      <c r="O3307">
        <f>IFERROR(VLOOKUP(VALUE(J3307),'Site Info'!$A:$G,7,FALSE),"")</f>
        <v>8453821320</v>
      </c>
    </row>
    <row r="3308" spans="1:15" x14ac:dyDescent="0.45">
      <c r="A3308" t="s">
        <v>2757</v>
      </c>
      <c r="B3308" t="s">
        <v>2758</v>
      </c>
      <c r="C3308" t="s">
        <v>2759</v>
      </c>
      <c r="D3308" t="s">
        <v>2700</v>
      </c>
      <c r="E3308" s="1">
        <v>46152.885949074072</v>
      </c>
      <c r="F3308">
        <v>1481</v>
      </c>
      <c r="G3308" t="s">
        <v>2760</v>
      </c>
      <c r="H3308" t="s">
        <v>15</v>
      </c>
      <c r="I3308" t="s">
        <v>2702</v>
      </c>
      <c r="J3308" t="str">
        <f>RIGHT(D3308,4)</f>
        <v>6201</v>
      </c>
      <c r="K3308" t="str">
        <f>IFERROR(VLOOKUP(VALUE(J3308),'Site Info'!$A:$G,3,FALSE),"")</f>
        <v>801 FRANK SOTTILE BLVD</v>
      </c>
      <c r="L3308" t="str">
        <f>IFERROR(VLOOKUP(VALUE(J3308),'Site Info'!$A:$G,4,FALSE),"")</f>
        <v>KINGSTON</v>
      </c>
      <c r="M3308" t="str">
        <f>IFERROR(VLOOKUP(VALUE(J3308),'Site Info'!$A:$G,5,FALSE),"")</f>
        <v>NY</v>
      </c>
      <c r="N3308" t="str">
        <f>IFERROR(VLOOKUP(VALUE(J3308),'Site Info'!$A:$G,6,FALSE),"")</f>
        <v>12401-1554</v>
      </c>
      <c r="O3308">
        <f>IFERROR(VLOOKUP(VALUE(J3308),'Site Info'!$A:$G,7,FALSE),"")</f>
        <v>8453821320</v>
      </c>
    </row>
    <row r="3309" spans="1:15" x14ac:dyDescent="0.45">
      <c r="A3309" t="s">
        <v>2697</v>
      </c>
      <c r="B3309" t="s">
        <v>2698</v>
      </c>
      <c r="C3309" t="s">
        <v>2699</v>
      </c>
      <c r="D3309" t="s">
        <v>2700</v>
      </c>
      <c r="E3309" s="1">
        <v>46153.283634259256</v>
      </c>
      <c r="F3309">
        <v>1481</v>
      </c>
      <c r="G3309" t="s">
        <v>2701</v>
      </c>
      <c r="H3309" t="s">
        <v>15</v>
      </c>
      <c r="I3309" t="s">
        <v>2702</v>
      </c>
      <c r="J3309" t="str">
        <f>RIGHT(D3309,4)</f>
        <v>6201</v>
      </c>
      <c r="K3309" t="str">
        <f>IFERROR(VLOOKUP(VALUE(J3309),'Site Info'!$A:$G,3,FALSE),"")</f>
        <v>801 FRANK SOTTILE BLVD</v>
      </c>
      <c r="L3309" t="str">
        <f>IFERROR(VLOOKUP(VALUE(J3309),'Site Info'!$A:$G,4,FALSE),"")</f>
        <v>KINGSTON</v>
      </c>
      <c r="M3309" t="str">
        <f>IFERROR(VLOOKUP(VALUE(J3309),'Site Info'!$A:$G,5,FALSE),"")</f>
        <v>NY</v>
      </c>
      <c r="N3309" t="str">
        <f>IFERROR(VLOOKUP(VALUE(J3309),'Site Info'!$A:$G,6,FALSE),"")</f>
        <v>12401-1554</v>
      </c>
      <c r="O3309">
        <f>IFERROR(VLOOKUP(VALUE(J3309),'Site Info'!$A:$G,7,FALSE),"")</f>
        <v>8453821320</v>
      </c>
    </row>
    <row r="3310" spans="1:15" x14ac:dyDescent="0.45">
      <c r="A3310" t="s">
        <v>6010</v>
      </c>
      <c r="B3310" t="s">
        <v>6011</v>
      </c>
      <c r="C3310" t="s">
        <v>6012</v>
      </c>
      <c r="D3310" t="s">
        <v>3374</v>
      </c>
      <c r="E3310" s="1">
        <v>46153.283761574072</v>
      </c>
      <c r="F3310">
        <v>1548</v>
      </c>
      <c r="G3310" t="s">
        <v>6013</v>
      </c>
      <c r="H3310" t="s">
        <v>15</v>
      </c>
      <c r="I3310" t="s">
        <v>3376</v>
      </c>
      <c r="J3310" t="str">
        <f>RIGHT(D3310,4)</f>
        <v>8239</v>
      </c>
      <c r="K3310" t="str">
        <f>IFERROR(VLOOKUP(VALUE(J3310),'Site Info'!$A:$G,3,FALSE),"")</f>
        <v>802 NW SHERIDAN RD</v>
      </c>
      <c r="L3310" t="str">
        <f>IFERROR(VLOOKUP(VALUE(J3310),'Site Info'!$A:$G,4,FALSE),"")</f>
        <v>LAWTON</v>
      </c>
      <c r="M3310" t="str">
        <f>IFERROR(VLOOKUP(VALUE(J3310),'Site Info'!$A:$G,5,FALSE),"")</f>
        <v>OK</v>
      </c>
      <c r="N3310" t="str">
        <f>IFERROR(VLOOKUP(VALUE(J3310),'Site Info'!$A:$G,6,FALSE),"")</f>
        <v>73505-5204</v>
      </c>
      <c r="O3310">
        <f>IFERROR(VLOOKUP(VALUE(J3310),'Site Info'!$A:$G,7,FALSE),"")</f>
        <v>5802483400</v>
      </c>
    </row>
    <row r="3311" spans="1:15" x14ac:dyDescent="0.45">
      <c r="A3311" t="s">
        <v>5732</v>
      </c>
      <c r="B3311" t="s">
        <v>5733</v>
      </c>
      <c r="C3311" t="s">
        <v>5734</v>
      </c>
      <c r="D3311" t="s">
        <v>3374</v>
      </c>
      <c r="E3311" s="1">
        <v>46151.389305555553</v>
      </c>
      <c r="F3311">
        <v>1547</v>
      </c>
      <c r="G3311" t="s">
        <v>5735</v>
      </c>
      <c r="H3311" t="s">
        <v>15</v>
      </c>
      <c r="I3311" t="s">
        <v>3376</v>
      </c>
      <c r="J3311" t="str">
        <f>RIGHT(D3311,4)</f>
        <v>8239</v>
      </c>
      <c r="K3311" t="str">
        <f>IFERROR(VLOOKUP(VALUE(J3311),'Site Info'!$A:$G,3,FALSE),"")</f>
        <v>802 NW SHERIDAN RD</v>
      </c>
      <c r="L3311" t="str">
        <f>IFERROR(VLOOKUP(VALUE(J3311),'Site Info'!$A:$G,4,FALSE),"")</f>
        <v>LAWTON</v>
      </c>
      <c r="M3311" t="str">
        <f>IFERROR(VLOOKUP(VALUE(J3311),'Site Info'!$A:$G,5,FALSE),"")</f>
        <v>OK</v>
      </c>
      <c r="N3311" t="str">
        <f>IFERROR(VLOOKUP(VALUE(J3311),'Site Info'!$A:$G,6,FALSE),"")</f>
        <v>73505-5204</v>
      </c>
      <c r="O3311">
        <f>IFERROR(VLOOKUP(VALUE(J3311),'Site Info'!$A:$G,7,FALSE),"")</f>
        <v>5802483400</v>
      </c>
    </row>
    <row r="3312" spans="1:15" x14ac:dyDescent="0.45">
      <c r="A3312" t="s">
        <v>6074</v>
      </c>
      <c r="B3312" t="s">
        <v>6075</v>
      </c>
      <c r="C3312" t="s">
        <v>6076</v>
      </c>
      <c r="D3312" t="s">
        <v>3374</v>
      </c>
      <c r="E3312" s="1">
        <v>46152.758958333332</v>
      </c>
      <c r="F3312">
        <v>1547</v>
      </c>
      <c r="G3312" t="s">
        <v>6077</v>
      </c>
      <c r="H3312" t="s">
        <v>15</v>
      </c>
      <c r="I3312" t="s">
        <v>3376</v>
      </c>
      <c r="J3312" t="str">
        <f>RIGHT(D3312,4)</f>
        <v>8239</v>
      </c>
      <c r="K3312" t="str">
        <f>IFERROR(VLOOKUP(VALUE(J3312),'Site Info'!$A:$G,3,FALSE),"")</f>
        <v>802 NW SHERIDAN RD</v>
      </c>
      <c r="L3312" t="str">
        <f>IFERROR(VLOOKUP(VALUE(J3312),'Site Info'!$A:$G,4,FALSE),"")</f>
        <v>LAWTON</v>
      </c>
      <c r="M3312" t="str">
        <f>IFERROR(VLOOKUP(VALUE(J3312),'Site Info'!$A:$G,5,FALSE),"")</f>
        <v>OK</v>
      </c>
      <c r="N3312" t="str">
        <f>IFERROR(VLOOKUP(VALUE(J3312),'Site Info'!$A:$G,6,FALSE),"")</f>
        <v>73505-5204</v>
      </c>
      <c r="O3312">
        <f>IFERROR(VLOOKUP(VALUE(J3312),'Site Info'!$A:$G,7,FALSE),"")</f>
        <v>5802483400</v>
      </c>
    </row>
    <row r="3313" spans="1:15" x14ac:dyDescent="0.45">
      <c r="A3313" t="s">
        <v>6046</v>
      </c>
      <c r="B3313" t="s">
        <v>6047</v>
      </c>
      <c r="C3313" t="s">
        <v>6048</v>
      </c>
      <c r="D3313" t="s">
        <v>3374</v>
      </c>
      <c r="E3313" s="1">
        <v>46153.355370370373</v>
      </c>
      <c r="F3313">
        <v>1547</v>
      </c>
      <c r="G3313" t="s">
        <v>6049</v>
      </c>
      <c r="H3313" t="s">
        <v>15</v>
      </c>
      <c r="I3313" t="s">
        <v>3376</v>
      </c>
      <c r="J3313" t="str">
        <f>RIGHT(D3313,4)</f>
        <v>8239</v>
      </c>
      <c r="K3313" t="str">
        <f>IFERROR(VLOOKUP(VALUE(J3313),'Site Info'!$A:$G,3,FALSE),"")</f>
        <v>802 NW SHERIDAN RD</v>
      </c>
      <c r="L3313" t="str">
        <f>IFERROR(VLOOKUP(VALUE(J3313),'Site Info'!$A:$G,4,FALSE),"")</f>
        <v>LAWTON</v>
      </c>
      <c r="M3313" t="str">
        <f>IFERROR(VLOOKUP(VALUE(J3313),'Site Info'!$A:$G,5,FALSE),"")</f>
        <v>OK</v>
      </c>
      <c r="N3313" t="str">
        <f>IFERROR(VLOOKUP(VALUE(J3313),'Site Info'!$A:$G,6,FALSE),"")</f>
        <v>73505-5204</v>
      </c>
      <c r="O3313">
        <f>IFERROR(VLOOKUP(VALUE(J3313),'Site Info'!$A:$G,7,FALSE),"")</f>
        <v>5802483400</v>
      </c>
    </row>
    <row r="3314" spans="1:15" x14ac:dyDescent="0.45">
      <c r="A3314" t="s">
        <v>3549</v>
      </c>
      <c r="B3314" t="s">
        <v>3550</v>
      </c>
      <c r="C3314" t="s">
        <v>3551</v>
      </c>
      <c r="D3314" t="s">
        <v>3374</v>
      </c>
      <c r="E3314" s="1">
        <v>46153.268321759257</v>
      </c>
      <c r="F3314">
        <v>1481</v>
      </c>
      <c r="G3314" t="s">
        <v>3552</v>
      </c>
      <c r="H3314" t="s">
        <v>15</v>
      </c>
      <c r="I3314" t="s">
        <v>3376</v>
      </c>
      <c r="J3314" t="str">
        <f>RIGHT(D3314,4)</f>
        <v>8239</v>
      </c>
      <c r="K3314" t="str">
        <f>IFERROR(VLOOKUP(VALUE(J3314),'Site Info'!$A:$G,3,FALSE),"")</f>
        <v>802 NW SHERIDAN RD</v>
      </c>
      <c r="L3314" t="str">
        <f>IFERROR(VLOOKUP(VALUE(J3314),'Site Info'!$A:$G,4,FALSE),"")</f>
        <v>LAWTON</v>
      </c>
      <c r="M3314" t="str">
        <f>IFERROR(VLOOKUP(VALUE(J3314),'Site Info'!$A:$G,5,FALSE),"")</f>
        <v>OK</v>
      </c>
      <c r="N3314" t="str">
        <f>IFERROR(VLOOKUP(VALUE(J3314),'Site Info'!$A:$G,6,FALSE),"")</f>
        <v>73505-5204</v>
      </c>
      <c r="O3314">
        <f>IFERROR(VLOOKUP(VALUE(J3314),'Site Info'!$A:$G,7,FALSE),"")</f>
        <v>5802483400</v>
      </c>
    </row>
    <row r="3315" spans="1:15" x14ac:dyDescent="0.45">
      <c r="A3315" t="s">
        <v>3371</v>
      </c>
      <c r="B3315" t="s">
        <v>3372</v>
      </c>
      <c r="C3315" t="s">
        <v>3373</v>
      </c>
      <c r="D3315" t="s">
        <v>3374</v>
      </c>
      <c r="E3315" s="1">
        <v>46153.320787037039</v>
      </c>
      <c r="F3315">
        <v>1481</v>
      </c>
      <c r="G3315" t="s">
        <v>3375</v>
      </c>
      <c r="H3315" t="s">
        <v>15</v>
      </c>
      <c r="I3315" t="s">
        <v>3376</v>
      </c>
      <c r="J3315" t="str">
        <f>RIGHT(D3315,4)</f>
        <v>8239</v>
      </c>
      <c r="K3315" t="str">
        <f>IFERROR(VLOOKUP(VALUE(J3315),'Site Info'!$A:$G,3,FALSE),"")</f>
        <v>802 NW SHERIDAN RD</v>
      </c>
      <c r="L3315" t="str">
        <f>IFERROR(VLOOKUP(VALUE(J3315),'Site Info'!$A:$G,4,FALSE),"")</f>
        <v>LAWTON</v>
      </c>
      <c r="M3315" t="str">
        <f>IFERROR(VLOOKUP(VALUE(J3315),'Site Info'!$A:$G,5,FALSE),"")</f>
        <v>OK</v>
      </c>
      <c r="N3315" t="str">
        <f>IFERROR(VLOOKUP(VALUE(J3315),'Site Info'!$A:$G,6,FALSE),"")</f>
        <v>73505-5204</v>
      </c>
      <c r="O3315">
        <f>IFERROR(VLOOKUP(VALUE(J3315),'Site Info'!$A:$G,7,FALSE),"")</f>
        <v>5802483400</v>
      </c>
    </row>
    <row r="3316" spans="1:15" x14ac:dyDescent="0.45">
      <c r="A3316" t="s">
        <v>17199</v>
      </c>
      <c r="B3316" t="s">
        <v>17200</v>
      </c>
      <c r="C3316" t="s">
        <v>17201</v>
      </c>
      <c r="D3316" t="s">
        <v>3374</v>
      </c>
      <c r="E3316" s="1">
        <v>46110.393854166665</v>
      </c>
      <c r="F3316">
        <v>1628</v>
      </c>
      <c r="G3316" t="s">
        <v>17202</v>
      </c>
      <c r="H3316" t="s">
        <v>13988</v>
      </c>
      <c r="I3316" t="s">
        <v>3376</v>
      </c>
      <c r="J3316" t="str">
        <f>RIGHT(D3316,4)</f>
        <v>8239</v>
      </c>
      <c r="K3316" t="str">
        <f>IFERROR(VLOOKUP(VALUE(J3316),'Site Info'!$A:$G,3,FALSE),"")</f>
        <v>802 NW SHERIDAN RD</v>
      </c>
      <c r="L3316" t="str">
        <f>IFERROR(VLOOKUP(VALUE(J3316),'Site Info'!$A:$G,4,FALSE),"")</f>
        <v>LAWTON</v>
      </c>
      <c r="M3316" t="str">
        <f>IFERROR(VLOOKUP(VALUE(J3316),'Site Info'!$A:$G,5,FALSE),"")</f>
        <v>OK</v>
      </c>
      <c r="N3316" t="str">
        <f>IFERROR(VLOOKUP(VALUE(J3316),'Site Info'!$A:$G,6,FALSE),"")</f>
        <v>73505-5204</v>
      </c>
      <c r="O3316">
        <f>IFERROR(VLOOKUP(VALUE(J3316),'Site Info'!$A:$G,7,FALSE),"")</f>
        <v>5802483400</v>
      </c>
    </row>
    <row r="3317" spans="1:15" x14ac:dyDescent="0.45">
      <c r="A3317" t="s">
        <v>7385</v>
      </c>
      <c r="B3317" t="s">
        <v>7386</v>
      </c>
      <c r="C3317" t="s">
        <v>7387</v>
      </c>
      <c r="D3317" t="s">
        <v>1209</v>
      </c>
      <c r="E3317" s="1">
        <v>46149.542268518519</v>
      </c>
      <c r="F3317">
        <v>1547</v>
      </c>
      <c r="G3317" t="s">
        <v>7388</v>
      </c>
      <c r="H3317" t="s">
        <v>15</v>
      </c>
      <c r="I3317" t="s">
        <v>1211</v>
      </c>
      <c r="J3317" t="str">
        <f>RIGHT(D3317,4)</f>
        <v>6324</v>
      </c>
      <c r="K3317" t="str">
        <f>IFERROR(VLOOKUP(VALUE(J3317),'Site Info'!$A:$G,3,FALSE),"")</f>
        <v>8050 N 124TH STREET</v>
      </c>
      <c r="L3317" t="str">
        <f>IFERROR(VLOOKUP(VALUE(J3317),'Site Info'!$A:$G,4,FALSE),"")</f>
        <v>MILWAUKEE</v>
      </c>
      <c r="M3317" t="str">
        <f>IFERROR(VLOOKUP(VALUE(J3317),'Site Info'!$A:$G,5,FALSE),"")</f>
        <v>WI</v>
      </c>
      <c r="N3317" t="str">
        <f>IFERROR(VLOOKUP(VALUE(J3317),'Site Info'!$A:$G,6,FALSE),"")</f>
        <v>53224-4200</v>
      </c>
      <c r="O3317">
        <f>IFERROR(VLOOKUP(VALUE(J3317),'Site Info'!$A:$G,7,FALSE),"")</f>
        <v>4143653700</v>
      </c>
    </row>
    <row r="3318" spans="1:15" x14ac:dyDescent="0.45">
      <c r="A3318" t="s">
        <v>7278</v>
      </c>
      <c r="B3318" t="s">
        <v>7279</v>
      </c>
      <c r="C3318" t="s">
        <v>7280</v>
      </c>
      <c r="D3318" t="s">
        <v>1209</v>
      </c>
      <c r="E3318" s="1">
        <v>46150.489594907405</v>
      </c>
      <c r="F3318">
        <v>1547</v>
      </c>
      <c r="G3318" t="s">
        <v>7281</v>
      </c>
      <c r="H3318" t="s">
        <v>15</v>
      </c>
      <c r="I3318" t="s">
        <v>1211</v>
      </c>
      <c r="J3318" t="str">
        <f>RIGHT(D3318,4)</f>
        <v>6324</v>
      </c>
      <c r="K3318" t="str">
        <f>IFERROR(VLOOKUP(VALUE(J3318),'Site Info'!$A:$G,3,FALSE),"")</f>
        <v>8050 N 124TH STREET</v>
      </c>
      <c r="L3318" t="str">
        <f>IFERROR(VLOOKUP(VALUE(J3318),'Site Info'!$A:$G,4,FALSE),"")</f>
        <v>MILWAUKEE</v>
      </c>
      <c r="M3318" t="str">
        <f>IFERROR(VLOOKUP(VALUE(J3318),'Site Info'!$A:$G,5,FALSE),"")</f>
        <v>WI</v>
      </c>
      <c r="N3318" t="str">
        <f>IFERROR(VLOOKUP(VALUE(J3318),'Site Info'!$A:$G,6,FALSE),"")</f>
        <v>53224-4200</v>
      </c>
      <c r="O3318">
        <f>IFERROR(VLOOKUP(VALUE(J3318),'Site Info'!$A:$G,7,FALSE),"")</f>
        <v>4143653700</v>
      </c>
    </row>
    <row r="3319" spans="1:15" x14ac:dyDescent="0.45">
      <c r="A3319" t="s">
        <v>7781</v>
      </c>
      <c r="B3319" t="s">
        <v>7782</v>
      </c>
      <c r="C3319" t="s">
        <v>7783</v>
      </c>
      <c r="D3319" t="s">
        <v>1209</v>
      </c>
      <c r="E3319" s="1">
        <v>46151.678761574076</v>
      </c>
      <c r="F3319">
        <v>1547</v>
      </c>
      <c r="G3319" t="s">
        <v>7784</v>
      </c>
      <c r="H3319" t="s">
        <v>15</v>
      </c>
      <c r="I3319" t="s">
        <v>1211</v>
      </c>
      <c r="J3319" t="str">
        <f>RIGHT(D3319,4)</f>
        <v>6324</v>
      </c>
      <c r="K3319" t="str">
        <f>IFERROR(VLOOKUP(VALUE(J3319),'Site Info'!$A:$G,3,FALSE),"")</f>
        <v>8050 N 124TH STREET</v>
      </c>
      <c r="L3319" t="str">
        <f>IFERROR(VLOOKUP(VALUE(J3319),'Site Info'!$A:$G,4,FALSE),"")</f>
        <v>MILWAUKEE</v>
      </c>
      <c r="M3319" t="str">
        <f>IFERROR(VLOOKUP(VALUE(J3319),'Site Info'!$A:$G,5,FALSE),"")</f>
        <v>WI</v>
      </c>
      <c r="N3319" t="str">
        <f>IFERROR(VLOOKUP(VALUE(J3319),'Site Info'!$A:$G,6,FALSE),"")</f>
        <v>53224-4200</v>
      </c>
      <c r="O3319">
        <f>IFERROR(VLOOKUP(VALUE(J3319),'Site Info'!$A:$G,7,FALSE),"")</f>
        <v>4143653700</v>
      </c>
    </row>
    <row r="3320" spans="1:15" x14ac:dyDescent="0.45">
      <c r="A3320" t="s">
        <v>7863</v>
      </c>
      <c r="B3320" t="s">
        <v>7864</v>
      </c>
      <c r="C3320" t="s">
        <v>7865</v>
      </c>
      <c r="D3320" t="s">
        <v>1209</v>
      </c>
      <c r="E3320" s="1">
        <v>46152.317662037036</v>
      </c>
      <c r="F3320">
        <v>1547</v>
      </c>
      <c r="G3320" t="s">
        <v>7866</v>
      </c>
      <c r="H3320" t="s">
        <v>15</v>
      </c>
      <c r="I3320" t="s">
        <v>1211</v>
      </c>
      <c r="J3320" t="str">
        <f>RIGHT(D3320,4)</f>
        <v>6324</v>
      </c>
      <c r="K3320" t="str">
        <f>IFERROR(VLOOKUP(VALUE(J3320),'Site Info'!$A:$G,3,FALSE),"")</f>
        <v>8050 N 124TH STREET</v>
      </c>
      <c r="L3320" t="str">
        <f>IFERROR(VLOOKUP(VALUE(J3320),'Site Info'!$A:$G,4,FALSE),"")</f>
        <v>MILWAUKEE</v>
      </c>
      <c r="M3320" t="str">
        <f>IFERROR(VLOOKUP(VALUE(J3320),'Site Info'!$A:$G,5,FALSE),"")</f>
        <v>WI</v>
      </c>
      <c r="N3320" t="str">
        <f>IFERROR(VLOOKUP(VALUE(J3320),'Site Info'!$A:$G,6,FALSE),"")</f>
        <v>53224-4200</v>
      </c>
      <c r="O3320">
        <f>IFERROR(VLOOKUP(VALUE(J3320),'Site Info'!$A:$G,7,FALSE),"")</f>
        <v>4143653700</v>
      </c>
    </row>
    <row r="3321" spans="1:15" x14ac:dyDescent="0.45">
      <c r="A3321" t="s">
        <v>8013</v>
      </c>
      <c r="B3321" t="s">
        <v>8014</v>
      </c>
      <c r="C3321" t="s">
        <v>8015</v>
      </c>
      <c r="D3321" t="s">
        <v>1209</v>
      </c>
      <c r="E3321" s="1">
        <v>46153.26353009259</v>
      </c>
      <c r="F3321">
        <v>1547</v>
      </c>
      <c r="G3321" t="s">
        <v>8016</v>
      </c>
      <c r="H3321" t="s">
        <v>15</v>
      </c>
      <c r="I3321" t="s">
        <v>1211</v>
      </c>
      <c r="J3321" t="str">
        <f>RIGHT(D3321,4)</f>
        <v>6324</v>
      </c>
      <c r="K3321" t="str">
        <f>IFERROR(VLOOKUP(VALUE(J3321),'Site Info'!$A:$G,3,FALSE),"")</f>
        <v>8050 N 124TH STREET</v>
      </c>
      <c r="L3321" t="str">
        <f>IFERROR(VLOOKUP(VALUE(J3321),'Site Info'!$A:$G,4,FALSE),"")</f>
        <v>MILWAUKEE</v>
      </c>
      <c r="M3321" t="str">
        <f>IFERROR(VLOOKUP(VALUE(J3321),'Site Info'!$A:$G,5,FALSE),"")</f>
        <v>WI</v>
      </c>
      <c r="N3321" t="str">
        <f>IFERROR(VLOOKUP(VALUE(J3321),'Site Info'!$A:$G,6,FALSE),"")</f>
        <v>53224-4200</v>
      </c>
      <c r="O3321">
        <f>IFERROR(VLOOKUP(VALUE(J3321),'Site Info'!$A:$G,7,FALSE),"")</f>
        <v>4143653700</v>
      </c>
    </row>
    <row r="3322" spans="1:15" x14ac:dyDescent="0.45">
      <c r="A3322" t="s">
        <v>2547</v>
      </c>
      <c r="B3322" t="s">
        <v>2548</v>
      </c>
      <c r="C3322" t="s">
        <v>2549</v>
      </c>
      <c r="D3322" t="s">
        <v>1209</v>
      </c>
      <c r="E3322" s="1">
        <v>46150.454687500001</v>
      </c>
      <c r="F3322">
        <v>1481</v>
      </c>
      <c r="G3322" t="s">
        <v>2550</v>
      </c>
      <c r="H3322" t="s">
        <v>15</v>
      </c>
      <c r="I3322" t="s">
        <v>1211</v>
      </c>
      <c r="J3322" t="str">
        <f>RIGHT(D3322,4)</f>
        <v>6324</v>
      </c>
      <c r="K3322" t="str">
        <f>IFERROR(VLOOKUP(VALUE(J3322),'Site Info'!$A:$G,3,FALSE),"")</f>
        <v>8050 N 124TH STREET</v>
      </c>
      <c r="L3322" t="str">
        <f>IFERROR(VLOOKUP(VALUE(J3322),'Site Info'!$A:$G,4,FALSE),"")</f>
        <v>MILWAUKEE</v>
      </c>
      <c r="M3322" t="str">
        <f>IFERROR(VLOOKUP(VALUE(J3322),'Site Info'!$A:$G,5,FALSE),"")</f>
        <v>WI</v>
      </c>
      <c r="N3322" t="str">
        <f>IFERROR(VLOOKUP(VALUE(J3322),'Site Info'!$A:$G,6,FALSE),"")</f>
        <v>53224-4200</v>
      </c>
      <c r="O3322">
        <f>IFERROR(VLOOKUP(VALUE(J3322),'Site Info'!$A:$G,7,FALSE),"")</f>
        <v>4143653700</v>
      </c>
    </row>
    <row r="3323" spans="1:15" x14ac:dyDescent="0.45">
      <c r="A3323" t="s">
        <v>1206</v>
      </c>
      <c r="B3323" t="s">
        <v>1207</v>
      </c>
      <c r="C3323" t="s">
        <v>1208</v>
      </c>
      <c r="D3323" t="s">
        <v>1209</v>
      </c>
      <c r="E3323" s="1">
        <v>46152.486273148148</v>
      </c>
      <c r="F3323">
        <v>1481</v>
      </c>
      <c r="G3323" t="s">
        <v>1210</v>
      </c>
      <c r="H3323" t="s">
        <v>15</v>
      </c>
      <c r="I3323" t="s">
        <v>1211</v>
      </c>
      <c r="J3323" t="str">
        <f>RIGHT(D3323,4)</f>
        <v>6324</v>
      </c>
      <c r="K3323" t="str">
        <f>IFERROR(VLOOKUP(VALUE(J3323),'Site Info'!$A:$G,3,FALSE),"")</f>
        <v>8050 N 124TH STREET</v>
      </c>
      <c r="L3323" t="str">
        <f>IFERROR(VLOOKUP(VALUE(J3323),'Site Info'!$A:$G,4,FALSE),"")</f>
        <v>MILWAUKEE</v>
      </c>
      <c r="M3323" t="str">
        <f>IFERROR(VLOOKUP(VALUE(J3323),'Site Info'!$A:$G,5,FALSE),"")</f>
        <v>WI</v>
      </c>
      <c r="N3323" t="str">
        <f>IFERROR(VLOOKUP(VALUE(J3323),'Site Info'!$A:$G,6,FALSE),"")</f>
        <v>53224-4200</v>
      </c>
      <c r="O3323">
        <f>IFERROR(VLOOKUP(VALUE(J3323),'Site Info'!$A:$G,7,FALSE),"")</f>
        <v>4143653700</v>
      </c>
    </row>
    <row r="3324" spans="1:15" x14ac:dyDescent="0.45">
      <c r="A3324" t="s">
        <v>2487</v>
      </c>
      <c r="B3324" t="s">
        <v>2488</v>
      </c>
      <c r="C3324" t="s">
        <v>2489</v>
      </c>
      <c r="D3324" t="s">
        <v>1209</v>
      </c>
      <c r="E3324" s="1">
        <v>46153.174375000002</v>
      </c>
      <c r="F3324">
        <v>1481</v>
      </c>
      <c r="G3324" t="s">
        <v>2490</v>
      </c>
      <c r="H3324" t="s">
        <v>15</v>
      </c>
      <c r="I3324" t="s">
        <v>1211</v>
      </c>
      <c r="J3324" t="str">
        <f>RIGHT(D3324,4)</f>
        <v>6324</v>
      </c>
      <c r="K3324" t="str">
        <f>IFERROR(VLOOKUP(VALUE(J3324),'Site Info'!$A:$G,3,FALSE),"")</f>
        <v>8050 N 124TH STREET</v>
      </c>
      <c r="L3324" t="str">
        <f>IFERROR(VLOOKUP(VALUE(J3324),'Site Info'!$A:$G,4,FALSE),"")</f>
        <v>MILWAUKEE</v>
      </c>
      <c r="M3324" t="str">
        <f>IFERROR(VLOOKUP(VALUE(J3324),'Site Info'!$A:$G,5,FALSE),"")</f>
        <v>WI</v>
      </c>
      <c r="N3324" t="str">
        <f>IFERROR(VLOOKUP(VALUE(J3324),'Site Info'!$A:$G,6,FALSE),"")</f>
        <v>53224-4200</v>
      </c>
      <c r="O3324">
        <f>IFERROR(VLOOKUP(VALUE(J3324),'Site Info'!$A:$G,7,FALSE),"")</f>
        <v>4143653700</v>
      </c>
    </row>
    <row r="3325" spans="1:15" x14ac:dyDescent="0.45">
      <c r="A3325" t="s">
        <v>4696</v>
      </c>
      <c r="B3325" t="s">
        <v>4697</v>
      </c>
      <c r="C3325" t="s">
        <v>4698</v>
      </c>
      <c r="D3325" t="s">
        <v>337</v>
      </c>
      <c r="E3325" s="1">
        <v>46116.531886574077</v>
      </c>
      <c r="F3325">
        <v>1547</v>
      </c>
      <c r="G3325" t="s">
        <v>4699</v>
      </c>
      <c r="H3325" t="s">
        <v>15</v>
      </c>
      <c r="I3325" t="s">
        <v>339</v>
      </c>
      <c r="J3325" t="str">
        <f>RIGHT(D3325,4)</f>
        <v>6257</v>
      </c>
      <c r="K3325" t="str">
        <f>IFERROR(VLOOKUP(VALUE(J3325),'Site Info'!$A:$G,3,FALSE),"")</f>
        <v>8080 W TROPICAL PKWY</v>
      </c>
      <c r="L3325" t="str">
        <f>IFERROR(VLOOKUP(VALUE(J3325),'Site Info'!$A:$G,4,FALSE),"")</f>
        <v>LAS VEGAS</v>
      </c>
      <c r="M3325" t="str">
        <f>IFERROR(VLOOKUP(VALUE(J3325),'Site Info'!$A:$G,5,FALSE),"")</f>
        <v>NV</v>
      </c>
      <c r="N3325" t="str">
        <f>IFERROR(VLOOKUP(VALUE(J3325),'Site Info'!$A:$G,6,FALSE),"")</f>
        <v>89149-4529</v>
      </c>
      <c r="O3325">
        <f>IFERROR(VLOOKUP(VALUE(J3325),'Site Info'!$A:$G,7,FALSE),"")</f>
        <v>7025157200</v>
      </c>
    </row>
    <row r="3326" spans="1:15" x14ac:dyDescent="0.45">
      <c r="A3326" t="s">
        <v>14519</v>
      </c>
      <c r="B3326" t="s">
        <v>14520</v>
      </c>
      <c r="C3326" t="s">
        <v>14521</v>
      </c>
      <c r="D3326" t="s">
        <v>337</v>
      </c>
      <c r="E3326" s="1">
        <v>46152.755104166667</v>
      </c>
      <c r="F3326">
        <v>1547</v>
      </c>
      <c r="G3326" t="s">
        <v>14522</v>
      </c>
      <c r="H3326" t="s">
        <v>15</v>
      </c>
      <c r="I3326" t="s">
        <v>339</v>
      </c>
      <c r="J3326" t="str">
        <f>RIGHT(D3326,4)</f>
        <v>6257</v>
      </c>
      <c r="K3326" t="str">
        <f>IFERROR(VLOOKUP(VALUE(J3326),'Site Info'!$A:$G,3,FALSE),"")</f>
        <v>8080 W TROPICAL PKWY</v>
      </c>
      <c r="L3326" t="str">
        <f>IFERROR(VLOOKUP(VALUE(J3326),'Site Info'!$A:$G,4,FALSE),"")</f>
        <v>LAS VEGAS</v>
      </c>
      <c r="M3326" t="str">
        <f>IFERROR(VLOOKUP(VALUE(J3326),'Site Info'!$A:$G,5,FALSE),"")</f>
        <v>NV</v>
      </c>
      <c r="N3326" t="str">
        <f>IFERROR(VLOOKUP(VALUE(J3326),'Site Info'!$A:$G,6,FALSE),"")</f>
        <v>89149-4529</v>
      </c>
      <c r="O3326">
        <f>IFERROR(VLOOKUP(VALUE(J3326),'Site Info'!$A:$G,7,FALSE),"")</f>
        <v>7025157200</v>
      </c>
    </row>
    <row r="3327" spans="1:15" x14ac:dyDescent="0.45">
      <c r="A3327" t="s">
        <v>4648</v>
      </c>
      <c r="B3327" t="s">
        <v>4649</v>
      </c>
      <c r="C3327" t="s">
        <v>4650</v>
      </c>
      <c r="D3327" t="s">
        <v>337</v>
      </c>
      <c r="E3327" s="1">
        <v>46152.773240740738</v>
      </c>
      <c r="F3327">
        <v>1547</v>
      </c>
      <c r="G3327" t="s">
        <v>4651</v>
      </c>
      <c r="H3327" t="s">
        <v>15</v>
      </c>
      <c r="I3327" t="s">
        <v>339</v>
      </c>
      <c r="J3327" t="str">
        <f>RIGHT(D3327,4)</f>
        <v>6257</v>
      </c>
      <c r="K3327" t="str">
        <f>IFERROR(VLOOKUP(VALUE(J3327),'Site Info'!$A:$G,3,FALSE),"")</f>
        <v>8080 W TROPICAL PKWY</v>
      </c>
      <c r="L3327" t="str">
        <f>IFERROR(VLOOKUP(VALUE(J3327),'Site Info'!$A:$G,4,FALSE),"")</f>
        <v>LAS VEGAS</v>
      </c>
      <c r="M3327" t="str">
        <f>IFERROR(VLOOKUP(VALUE(J3327),'Site Info'!$A:$G,5,FALSE),"")</f>
        <v>NV</v>
      </c>
      <c r="N3327" t="str">
        <f>IFERROR(VLOOKUP(VALUE(J3327),'Site Info'!$A:$G,6,FALSE),"")</f>
        <v>89149-4529</v>
      </c>
      <c r="O3327">
        <f>IFERROR(VLOOKUP(VALUE(J3327),'Site Info'!$A:$G,7,FALSE),"")</f>
        <v>7025157200</v>
      </c>
    </row>
    <row r="3328" spans="1:15" x14ac:dyDescent="0.45">
      <c r="A3328" t="s">
        <v>4630</v>
      </c>
      <c r="B3328" t="s">
        <v>4631</v>
      </c>
      <c r="C3328" t="s">
        <v>4632</v>
      </c>
      <c r="D3328" t="s">
        <v>337</v>
      </c>
      <c r="E3328" s="1">
        <v>46153.264039351852</v>
      </c>
      <c r="F3328">
        <v>1547</v>
      </c>
      <c r="G3328" t="s">
        <v>4633</v>
      </c>
      <c r="H3328" t="s">
        <v>15</v>
      </c>
      <c r="I3328" t="s">
        <v>339</v>
      </c>
      <c r="J3328" t="str">
        <f>RIGHT(D3328,4)</f>
        <v>6257</v>
      </c>
      <c r="K3328" t="str">
        <f>IFERROR(VLOOKUP(VALUE(J3328),'Site Info'!$A:$G,3,FALSE),"")</f>
        <v>8080 W TROPICAL PKWY</v>
      </c>
      <c r="L3328" t="str">
        <f>IFERROR(VLOOKUP(VALUE(J3328),'Site Info'!$A:$G,4,FALSE),"")</f>
        <v>LAS VEGAS</v>
      </c>
      <c r="M3328" t="str">
        <f>IFERROR(VLOOKUP(VALUE(J3328),'Site Info'!$A:$G,5,FALSE),"")</f>
        <v>NV</v>
      </c>
      <c r="N3328" t="str">
        <f>IFERROR(VLOOKUP(VALUE(J3328),'Site Info'!$A:$G,6,FALSE),"")</f>
        <v>89149-4529</v>
      </c>
      <c r="O3328">
        <f>IFERROR(VLOOKUP(VALUE(J3328),'Site Info'!$A:$G,7,FALSE),"")</f>
        <v>7025157200</v>
      </c>
    </row>
    <row r="3329" spans="1:15" x14ac:dyDescent="0.45">
      <c r="A3329" t="s">
        <v>334</v>
      </c>
      <c r="B3329" t="s">
        <v>335</v>
      </c>
      <c r="C3329" t="s">
        <v>336</v>
      </c>
      <c r="D3329" t="s">
        <v>337</v>
      </c>
      <c r="E3329" s="1">
        <v>46152.492349537039</v>
      </c>
      <c r="F3329">
        <v>1481</v>
      </c>
      <c r="G3329" t="s">
        <v>338</v>
      </c>
      <c r="H3329" t="s">
        <v>15</v>
      </c>
      <c r="I3329" t="s">
        <v>339</v>
      </c>
      <c r="J3329" t="str">
        <f>RIGHT(D3329,4)</f>
        <v>6257</v>
      </c>
      <c r="K3329" t="str">
        <f>IFERROR(VLOOKUP(VALUE(J3329),'Site Info'!$A:$G,3,FALSE),"")</f>
        <v>8080 W TROPICAL PKWY</v>
      </c>
      <c r="L3329" t="str">
        <f>IFERROR(VLOOKUP(VALUE(J3329),'Site Info'!$A:$G,4,FALSE),"")</f>
        <v>LAS VEGAS</v>
      </c>
      <c r="M3329" t="str">
        <f>IFERROR(VLOOKUP(VALUE(J3329),'Site Info'!$A:$G,5,FALSE),"")</f>
        <v>NV</v>
      </c>
      <c r="N3329" t="str">
        <f>IFERROR(VLOOKUP(VALUE(J3329),'Site Info'!$A:$G,6,FALSE),"")</f>
        <v>89149-4529</v>
      </c>
      <c r="O3329">
        <f>IFERROR(VLOOKUP(VALUE(J3329),'Site Info'!$A:$G,7,FALSE),"")</f>
        <v>7025157200</v>
      </c>
    </row>
    <row r="3330" spans="1:15" x14ac:dyDescent="0.45">
      <c r="A3330" t="s">
        <v>8825</v>
      </c>
      <c r="B3330" t="s">
        <v>8826</v>
      </c>
      <c r="C3330" t="s">
        <v>8827</v>
      </c>
      <c r="D3330" t="s">
        <v>6836</v>
      </c>
      <c r="E3330" s="1">
        <v>46152.465092592596</v>
      </c>
      <c r="F3330">
        <v>1547</v>
      </c>
      <c r="G3330" t="s">
        <v>8828</v>
      </c>
      <c r="H3330" t="s">
        <v>15</v>
      </c>
      <c r="I3330" t="s">
        <v>6838</v>
      </c>
      <c r="J3330" t="str">
        <f>RIGHT(D3330,4)</f>
        <v>6247</v>
      </c>
      <c r="K3330" t="str">
        <f>IFERROR(VLOOKUP(VALUE(J3330),'Site Info'!$A:$G,3,FALSE),"")</f>
        <v>8130 N. CHURCH ROAD</v>
      </c>
      <c r="L3330" t="str">
        <f>IFERROR(VLOOKUP(VALUE(J3330),'Site Info'!$A:$G,4,FALSE),"")</f>
        <v>KANSAS CITY</v>
      </c>
      <c r="M3330" t="str">
        <f>IFERROR(VLOOKUP(VALUE(J3330),'Site Info'!$A:$G,5,FALSE),"")</f>
        <v>MO</v>
      </c>
      <c r="N3330" t="str">
        <f>IFERROR(VLOOKUP(VALUE(J3330),'Site Info'!$A:$G,6,FALSE),"")</f>
        <v>64158-0000</v>
      </c>
      <c r="O3330">
        <f>IFERROR(VLOOKUP(VALUE(J3330),'Site Info'!$A:$G,7,FALSE),"")</f>
        <v>8164394006</v>
      </c>
    </row>
    <row r="3331" spans="1:15" x14ac:dyDescent="0.45">
      <c r="A3331" t="s">
        <v>6833</v>
      </c>
      <c r="B3331" t="s">
        <v>6834</v>
      </c>
      <c r="C3331" t="s">
        <v>6835</v>
      </c>
      <c r="D3331" t="s">
        <v>6836</v>
      </c>
      <c r="E3331" s="1">
        <v>46152.667627314811</v>
      </c>
      <c r="F3331">
        <v>1547</v>
      </c>
      <c r="G3331" t="s">
        <v>6837</v>
      </c>
      <c r="H3331" t="s">
        <v>15</v>
      </c>
      <c r="I3331" t="s">
        <v>6838</v>
      </c>
      <c r="J3331" t="str">
        <f>RIGHT(D3331,4)</f>
        <v>6247</v>
      </c>
      <c r="K3331" t="str">
        <f>IFERROR(VLOOKUP(VALUE(J3331),'Site Info'!$A:$G,3,FALSE),"")</f>
        <v>8130 N. CHURCH ROAD</v>
      </c>
      <c r="L3331" t="str">
        <f>IFERROR(VLOOKUP(VALUE(J3331),'Site Info'!$A:$G,4,FALSE),"")</f>
        <v>KANSAS CITY</v>
      </c>
      <c r="M3331" t="str">
        <f>IFERROR(VLOOKUP(VALUE(J3331),'Site Info'!$A:$G,5,FALSE),"")</f>
        <v>MO</v>
      </c>
      <c r="N3331" t="str">
        <f>IFERROR(VLOOKUP(VALUE(J3331),'Site Info'!$A:$G,6,FALSE),"")</f>
        <v>64158-0000</v>
      </c>
      <c r="O3331">
        <f>IFERROR(VLOOKUP(VALUE(J3331),'Site Info'!$A:$G,7,FALSE),"")</f>
        <v>8164394006</v>
      </c>
    </row>
    <row r="3332" spans="1:15" x14ac:dyDescent="0.45">
      <c r="A3332" t="s">
        <v>9171</v>
      </c>
      <c r="B3332" t="s">
        <v>9172</v>
      </c>
      <c r="C3332" t="s">
        <v>9173</v>
      </c>
      <c r="D3332" t="s">
        <v>6836</v>
      </c>
      <c r="E3332" s="1">
        <v>46153.164548611108</v>
      </c>
      <c r="F3332">
        <v>1547</v>
      </c>
      <c r="G3332" t="s">
        <v>9174</v>
      </c>
      <c r="H3332" t="s">
        <v>15</v>
      </c>
      <c r="I3332" t="s">
        <v>6838</v>
      </c>
      <c r="J3332" t="str">
        <f>RIGHT(D3332,4)</f>
        <v>6247</v>
      </c>
      <c r="K3332" t="str">
        <f>IFERROR(VLOOKUP(VALUE(J3332),'Site Info'!$A:$G,3,FALSE),"")</f>
        <v>8130 N. CHURCH ROAD</v>
      </c>
      <c r="L3332" t="str">
        <f>IFERROR(VLOOKUP(VALUE(J3332),'Site Info'!$A:$G,4,FALSE),"")</f>
        <v>KANSAS CITY</v>
      </c>
      <c r="M3332" t="str">
        <f>IFERROR(VLOOKUP(VALUE(J3332),'Site Info'!$A:$G,5,FALSE),"")</f>
        <v>MO</v>
      </c>
      <c r="N3332" t="str">
        <f>IFERROR(VLOOKUP(VALUE(J3332),'Site Info'!$A:$G,6,FALSE),"")</f>
        <v>64158-0000</v>
      </c>
      <c r="O3332">
        <f>IFERROR(VLOOKUP(VALUE(J3332),'Site Info'!$A:$G,7,FALSE),"")</f>
        <v>8164394006</v>
      </c>
    </row>
    <row r="3333" spans="1:15" x14ac:dyDescent="0.45">
      <c r="A3333" t="s">
        <v>13483</v>
      </c>
      <c r="B3333" t="s">
        <v>13484</v>
      </c>
      <c r="C3333" t="s">
        <v>13485</v>
      </c>
      <c r="D3333" t="s">
        <v>6836</v>
      </c>
      <c r="E3333" s="1">
        <v>46153.332951388889</v>
      </c>
      <c r="F3333">
        <v>1547</v>
      </c>
      <c r="G3333" t="s">
        <v>13486</v>
      </c>
      <c r="H3333" t="s">
        <v>15</v>
      </c>
      <c r="I3333" t="s">
        <v>6838</v>
      </c>
      <c r="J3333" t="str">
        <f>RIGHT(D3333,4)</f>
        <v>6247</v>
      </c>
      <c r="K3333" t="str">
        <f>IFERROR(VLOOKUP(VALUE(J3333),'Site Info'!$A:$G,3,FALSE),"")</f>
        <v>8130 N. CHURCH ROAD</v>
      </c>
      <c r="L3333" t="str">
        <f>IFERROR(VLOOKUP(VALUE(J3333),'Site Info'!$A:$G,4,FALSE),"")</f>
        <v>KANSAS CITY</v>
      </c>
      <c r="M3333" t="str">
        <f>IFERROR(VLOOKUP(VALUE(J3333),'Site Info'!$A:$G,5,FALSE),"")</f>
        <v>MO</v>
      </c>
      <c r="N3333" t="str">
        <f>IFERROR(VLOOKUP(VALUE(J3333),'Site Info'!$A:$G,6,FALSE),"")</f>
        <v>64158-0000</v>
      </c>
      <c r="O3333">
        <f>IFERROR(VLOOKUP(VALUE(J3333),'Site Info'!$A:$G,7,FALSE),"")</f>
        <v>8164394006</v>
      </c>
    </row>
    <row r="3334" spans="1:15" x14ac:dyDescent="0.45">
      <c r="A3334" t="s">
        <v>13587</v>
      </c>
      <c r="B3334" t="s">
        <v>13588</v>
      </c>
      <c r="C3334" t="s">
        <v>13589</v>
      </c>
      <c r="D3334" t="s">
        <v>6836</v>
      </c>
      <c r="E3334" s="1">
        <v>46153.371064814812</v>
      </c>
      <c r="F3334">
        <v>1547</v>
      </c>
      <c r="G3334" t="s">
        <v>13590</v>
      </c>
      <c r="H3334" t="s">
        <v>15</v>
      </c>
      <c r="I3334" t="s">
        <v>6838</v>
      </c>
      <c r="J3334" t="str">
        <f>RIGHT(D3334,4)</f>
        <v>6247</v>
      </c>
      <c r="K3334" t="str">
        <f>IFERROR(VLOOKUP(VALUE(J3334),'Site Info'!$A:$G,3,FALSE),"")</f>
        <v>8130 N. CHURCH ROAD</v>
      </c>
      <c r="L3334" t="str">
        <f>IFERROR(VLOOKUP(VALUE(J3334),'Site Info'!$A:$G,4,FALSE),"")</f>
        <v>KANSAS CITY</v>
      </c>
      <c r="M3334" t="str">
        <f>IFERROR(VLOOKUP(VALUE(J3334),'Site Info'!$A:$G,5,FALSE),"")</f>
        <v>MO</v>
      </c>
      <c r="N3334" t="str">
        <f>IFERROR(VLOOKUP(VALUE(J3334),'Site Info'!$A:$G,6,FALSE),"")</f>
        <v>64158-0000</v>
      </c>
      <c r="O3334">
        <f>IFERROR(VLOOKUP(VALUE(J3334),'Site Info'!$A:$G,7,FALSE),"")</f>
        <v>8164394006</v>
      </c>
    </row>
    <row r="3335" spans="1:15" x14ac:dyDescent="0.45">
      <c r="A3335" t="s">
        <v>16500</v>
      </c>
      <c r="B3335" t="s">
        <v>16654</v>
      </c>
      <c r="C3335" t="s">
        <v>16655</v>
      </c>
      <c r="D3335" t="s">
        <v>6836</v>
      </c>
      <c r="E3335" s="1">
        <v>46153.354780092595</v>
      </c>
      <c r="F3335">
        <v>1628</v>
      </c>
      <c r="G3335" t="s">
        <v>16656</v>
      </c>
      <c r="H3335" t="s">
        <v>13988</v>
      </c>
      <c r="I3335" t="s">
        <v>6838</v>
      </c>
      <c r="J3335" t="str">
        <f>RIGHT(D3335,4)</f>
        <v>6247</v>
      </c>
      <c r="K3335" t="str">
        <f>IFERROR(VLOOKUP(VALUE(J3335),'Site Info'!$A:$G,3,FALSE),"")</f>
        <v>8130 N. CHURCH ROAD</v>
      </c>
      <c r="L3335" t="str">
        <f>IFERROR(VLOOKUP(VALUE(J3335),'Site Info'!$A:$G,4,FALSE),"")</f>
        <v>KANSAS CITY</v>
      </c>
      <c r="M3335" t="str">
        <f>IFERROR(VLOOKUP(VALUE(J3335),'Site Info'!$A:$G,5,FALSE),"")</f>
        <v>MO</v>
      </c>
      <c r="N3335" t="str">
        <f>IFERROR(VLOOKUP(VALUE(J3335),'Site Info'!$A:$G,6,FALSE),"")</f>
        <v>64158-0000</v>
      </c>
      <c r="O3335">
        <f>IFERROR(VLOOKUP(VALUE(J3335),'Site Info'!$A:$G,7,FALSE),"")</f>
        <v>8164394006</v>
      </c>
    </row>
    <row r="3336" spans="1:15" x14ac:dyDescent="0.45">
      <c r="A3336" t="s">
        <v>8913</v>
      </c>
      <c r="B3336" t="s">
        <v>8914</v>
      </c>
      <c r="C3336" t="s">
        <v>8915</v>
      </c>
      <c r="D3336" t="s">
        <v>7430</v>
      </c>
      <c r="E3336" s="1">
        <v>46152.468819444446</v>
      </c>
      <c r="F3336">
        <v>1547</v>
      </c>
      <c r="G3336" t="s">
        <v>8916</v>
      </c>
      <c r="H3336" t="s">
        <v>15</v>
      </c>
      <c r="I3336" t="s">
        <v>7432</v>
      </c>
      <c r="J3336" t="str">
        <f>RIGHT(D3336,4)</f>
        <v>6528</v>
      </c>
      <c r="K3336" t="str">
        <f>IFERROR(VLOOKUP(VALUE(J3336),'Site Info'!$A:$G,3,FALSE),"")</f>
        <v>815 CLEPPER LN</v>
      </c>
      <c r="L3336" t="str">
        <f>IFERROR(VLOOKUP(VALUE(J3336),'Site Info'!$A:$G,4,FALSE),"")</f>
        <v>CINCINNATI</v>
      </c>
      <c r="M3336" t="str">
        <f>IFERROR(VLOOKUP(VALUE(J3336),'Site Info'!$A:$G,5,FALSE),"")</f>
        <v>OH</v>
      </c>
      <c r="N3336" t="str">
        <f>IFERROR(VLOOKUP(VALUE(J3336),'Site Info'!$A:$G,6,FALSE),"")</f>
        <v>45245-1535</v>
      </c>
      <c r="O3336">
        <f>IFERROR(VLOOKUP(VALUE(J3336),'Site Info'!$A:$G,7,FALSE),"")</f>
        <v>5137534865</v>
      </c>
    </row>
    <row r="3337" spans="1:15" x14ac:dyDescent="0.45">
      <c r="A3337" t="s">
        <v>8949</v>
      </c>
      <c r="B3337" t="s">
        <v>8950</v>
      </c>
      <c r="C3337" t="s">
        <v>8951</v>
      </c>
      <c r="D3337" t="s">
        <v>7430</v>
      </c>
      <c r="E3337" s="1">
        <v>46152.945219907408</v>
      </c>
      <c r="F3337">
        <v>1547</v>
      </c>
      <c r="G3337" t="s">
        <v>8952</v>
      </c>
      <c r="H3337" t="s">
        <v>15</v>
      </c>
      <c r="I3337" t="s">
        <v>7432</v>
      </c>
      <c r="J3337" t="str">
        <f>RIGHT(D3337,4)</f>
        <v>6528</v>
      </c>
      <c r="K3337" t="str">
        <f>IFERROR(VLOOKUP(VALUE(J3337),'Site Info'!$A:$G,3,FALSE),"")</f>
        <v>815 CLEPPER LN</v>
      </c>
      <c r="L3337" t="str">
        <f>IFERROR(VLOOKUP(VALUE(J3337),'Site Info'!$A:$G,4,FALSE),"")</f>
        <v>CINCINNATI</v>
      </c>
      <c r="M3337" t="str">
        <f>IFERROR(VLOOKUP(VALUE(J3337),'Site Info'!$A:$G,5,FALSE),"")</f>
        <v>OH</v>
      </c>
      <c r="N3337" t="str">
        <f>IFERROR(VLOOKUP(VALUE(J3337),'Site Info'!$A:$G,6,FALSE),"")</f>
        <v>45245-1535</v>
      </c>
      <c r="O3337">
        <f>IFERROR(VLOOKUP(VALUE(J3337),'Site Info'!$A:$G,7,FALSE),"")</f>
        <v>5137534865</v>
      </c>
    </row>
    <row r="3338" spans="1:15" x14ac:dyDescent="0.45">
      <c r="A3338" t="s">
        <v>8757</v>
      </c>
      <c r="B3338" t="s">
        <v>8758</v>
      </c>
      <c r="C3338" t="s">
        <v>8759</v>
      </c>
      <c r="D3338" t="s">
        <v>7430</v>
      </c>
      <c r="E3338" s="1">
        <v>46153.057766203703</v>
      </c>
      <c r="F3338">
        <v>1547</v>
      </c>
      <c r="G3338" t="s">
        <v>8760</v>
      </c>
      <c r="H3338" t="s">
        <v>15</v>
      </c>
      <c r="I3338" t="s">
        <v>7432</v>
      </c>
      <c r="J3338" t="str">
        <f>RIGHT(D3338,4)</f>
        <v>6528</v>
      </c>
      <c r="K3338" t="str">
        <f>IFERROR(VLOOKUP(VALUE(J3338),'Site Info'!$A:$G,3,FALSE),"")</f>
        <v>815 CLEPPER LN</v>
      </c>
      <c r="L3338" t="str">
        <f>IFERROR(VLOOKUP(VALUE(J3338),'Site Info'!$A:$G,4,FALSE),"")</f>
        <v>CINCINNATI</v>
      </c>
      <c r="M3338" t="str">
        <f>IFERROR(VLOOKUP(VALUE(J3338),'Site Info'!$A:$G,5,FALSE),"")</f>
        <v>OH</v>
      </c>
      <c r="N3338" t="str">
        <f>IFERROR(VLOOKUP(VALUE(J3338),'Site Info'!$A:$G,6,FALSE),"")</f>
        <v>45245-1535</v>
      </c>
      <c r="O3338">
        <f>IFERROR(VLOOKUP(VALUE(J3338),'Site Info'!$A:$G,7,FALSE),"")</f>
        <v>5137534865</v>
      </c>
    </row>
    <row r="3339" spans="1:15" x14ac:dyDescent="0.45">
      <c r="A3339" t="s">
        <v>9053</v>
      </c>
      <c r="B3339" t="s">
        <v>9054</v>
      </c>
      <c r="C3339" t="s">
        <v>9055</v>
      </c>
      <c r="D3339" t="s">
        <v>7430</v>
      </c>
      <c r="E3339" s="1">
        <v>46153.245162037034</v>
      </c>
      <c r="F3339">
        <v>1547</v>
      </c>
      <c r="G3339" t="s">
        <v>9056</v>
      </c>
      <c r="H3339" t="s">
        <v>15</v>
      </c>
      <c r="I3339" t="s">
        <v>7432</v>
      </c>
      <c r="J3339" t="str">
        <f>RIGHT(D3339,4)</f>
        <v>6528</v>
      </c>
      <c r="K3339" t="str">
        <f>IFERROR(VLOOKUP(VALUE(J3339),'Site Info'!$A:$G,3,FALSE),"")</f>
        <v>815 CLEPPER LN</v>
      </c>
      <c r="L3339" t="str">
        <f>IFERROR(VLOOKUP(VALUE(J3339),'Site Info'!$A:$G,4,FALSE),"")</f>
        <v>CINCINNATI</v>
      </c>
      <c r="M3339" t="str">
        <f>IFERROR(VLOOKUP(VALUE(J3339),'Site Info'!$A:$G,5,FALSE),"")</f>
        <v>OH</v>
      </c>
      <c r="N3339" t="str">
        <f>IFERROR(VLOOKUP(VALUE(J3339),'Site Info'!$A:$G,6,FALSE),"")</f>
        <v>45245-1535</v>
      </c>
      <c r="O3339">
        <f>IFERROR(VLOOKUP(VALUE(J3339),'Site Info'!$A:$G,7,FALSE),"")</f>
        <v>5137534865</v>
      </c>
    </row>
    <row r="3340" spans="1:15" x14ac:dyDescent="0.45">
      <c r="A3340" t="s">
        <v>7427</v>
      </c>
      <c r="B3340" t="s">
        <v>7428</v>
      </c>
      <c r="C3340" t="s">
        <v>7429</v>
      </c>
      <c r="D3340" t="s">
        <v>7430</v>
      </c>
      <c r="E3340" s="1">
        <v>46153.303564814814</v>
      </c>
      <c r="F3340">
        <v>1547</v>
      </c>
      <c r="G3340" t="s">
        <v>7431</v>
      </c>
      <c r="H3340" t="s">
        <v>15</v>
      </c>
      <c r="I3340" t="s">
        <v>7432</v>
      </c>
      <c r="J3340" t="str">
        <f>RIGHT(D3340,4)</f>
        <v>6528</v>
      </c>
      <c r="K3340" t="str">
        <f>IFERROR(VLOOKUP(VALUE(J3340),'Site Info'!$A:$G,3,FALSE),"")</f>
        <v>815 CLEPPER LN</v>
      </c>
      <c r="L3340" t="str">
        <f>IFERROR(VLOOKUP(VALUE(J3340),'Site Info'!$A:$G,4,FALSE),"")</f>
        <v>CINCINNATI</v>
      </c>
      <c r="M3340" t="str">
        <f>IFERROR(VLOOKUP(VALUE(J3340),'Site Info'!$A:$G,5,FALSE),"")</f>
        <v>OH</v>
      </c>
      <c r="N3340" t="str">
        <f>IFERROR(VLOOKUP(VALUE(J3340),'Site Info'!$A:$G,6,FALSE),"")</f>
        <v>45245-1535</v>
      </c>
      <c r="O3340">
        <f>IFERROR(VLOOKUP(VALUE(J3340),'Site Info'!$A:$G,7,FALSE),"")</f>
        <v>5137534865</v>
      </c>
    </row>
    <row r="3341" spans="1:15" x14ac:dyDescent="0.45">
      <c r="A3341" t="s">
        <v>12260</v>
      </c>
      <c r="B3341" t="s">
        <v>12261</v>
      </c>
      <c r="C3341" t="s">
        <v>12262</v>
      </c>
      <c r="D3341" t="s">
        <v>861</v>
      </c>
      <c r="E3341" s="1">
        <v>46152.459097222221</v>
      </c>
      <c r="F3341">
        <v>1547</v>
      </c>
      <c r="G3341" t="s">
        <v>12263</v>
      </c>
      <c r="H3341" t="s">
        <v>15</v>
      </c>
      <c r="I3341" t="s">
        <v>863</v>
      </c>
      <c r="J3341" t="str">
        <f>RIGHT(D3341,4)</f>
        <v>6310</v>
      </c>
      <c r="K3341" t="str">
        <f>IFERROR(VLOOKUP(VALUE(J3341),'Site Info'!$A:$G,3,FALSE),"")</f>
        <v>8150 UNIVERSITY AVE NE</v>
      </c>
      <c r="L3341" t="str">
        <f>IFERROR(VLOOKUP(VALUE(J3341),'Site Info'!$A:$G,4,FALSE),"")</f>
        <v>FRIDLEY</v>
      </c>
      <c r="M3341" t="str">
        <f>IFERROR(VLOOKUP(VALUE(J3341),'Site Info'!$A:$G,5,FALSE),"")</f>
        <v>MN</v>
      </c>
      <c r="N3341" t="str">
        <f>IFERROR(VLOOKUP(VALUE(J3341),'Site Info'!$A:$G,6,FALSE),"")</f>
        <v>55432-1864</v>
      </c>
      <c r="O3341">
        <f>IFERROR(VLOOKUP(VALUE(J3341),'Site Info'!$A:$G,7,FALSE),"")</f>
        <v>7637844102</v>
      </c>
    </row>
    <row r="3342" spans="1:15" x14ac:dyDescent="0.45">
      <c r="A3342" t="s">
        <v>12452</v>
      </c>
      <c r="B3342" t="s">
        <v>12453</v>
      </c>
      <c r="C3342" t="s">
        <v>12454</v>
      </c>
      <c r="D3342" t="s">
        <v>861</v>
      </c>
      <c r="E3342" s="1">
        <v>46152.663912037038</v>
      </c>
      <c r="F3342">
        <v>1547</v>
      </c>
      <c r="G3342" t="s">
        <v>12455</v>
      </c>
      <c r="H3342" t="s">
        <v>15</v>
      </c>
      <c r="I3342" t="s">
        <v>863</v>
      </c>
      <c r="J3342" t="str">
        <f>RIGHT(D3342,4)</f>
        <v>6310</v>
      </c>
      <c r="K3342" t="str">
        <f>IFERROR(VLOOKUP(VALUE(J3342),'Site Info'!$A:$G,3,FALSE),"")</f>
        <v>8150 UNIVERSITY AVE NE</v>
      </c>
      <c r="L3342" t="str">
        <f>IFERROR(VLOOKUP(VALUE(J3342),'Site Info'!$A:$G,4,FALSE),"")</f>
        <v>FRIDLEY</v>
      </c>
      <c r="M3342" t="str">
        <f>IFERROR(VLOOKUP(VALUE(J3342),'Site Info'!$A:$G,5,FALSE),"")</f>
        <v>MN</v>
      </c>
      <c r="N3342" t="str">
        <f>IFERROR(VLOOKUP(VALUE(J3342),'Site Info'!$A:$G,6,FALSE),"")</f>
        <v>55432-1864</v>
      </c>
      <c r="O3342">
        <f>IFERROR(VLOOKUP(VALUE(J3342),'Site Info'!$A:$G,7,FALSE),"")</f>
        <v>7637844102</v>
      </c>
    </row>
    <row r="3343" spans="1:15" x14ac:dyDescent="0.45">
      <c r="A3343" t="s">
        <v>1338</v>
      </c>
      <c r="B3343" t="s">
        <v>1339</v>
      </c>
      <c r="C3343" t="s">
        <v>1340</v>
      </c>
      <c r="D3343" t="s">
        <v>861</v>
      </c>
      <c r="E3343" s="1">
        <v>46153.20275462963</v>
      </c>
      <c r="F3343">
        <v>1481</v>
      </c>
      <c r="G3343" t="s">
        <v>1341</v>
      </c>
      <c r="H3343" t="s">
        <v>15</v>
      </c>
      <c r="I3343" t="s">
        <v>863</v>
      </c>
      <c r="J3343" t="str">
        <f>RIGHT(D3343,4)</f>
        <v>6310</v>
      </c>
      <c r="K3343" t="str">
        <f>IFERROR(VLOOKUP(VALUE(J3343),'Site Info'!$A:$G,3,FALSE),"")</f>
        <v>8150 UNIVERSITY AVE NE</v>
      </c>
      <c r="L3343" t="str">
        <f>IFERROR(VLOOKUP(VALUE(J3343),'Site Info'!$A:$G,4,FALSE),"")</f>
        <v>FRIDLEY</v>
      </c>
      <c r="M3343" t="str">
        <f>IFERROR(VLOOKUP(VALUE(J3343),'Site Info'!$A:$G,5,FALSE),"")</f>
        <v>MN</v>
      </c>
      <c r="N3343" t="str">
        <f>IFERROR(VLOOKUP(VALUE(J3343),'Site Info'!$A:$G,6,FALSE),"")</f>
        <v>55432-1864</v>
      </c>
      <c r="O3343">
        <f>IFERROR(VLOOKUP(VALUE(J3343),'Site Info'!$A:$G,7,FALSE),"")</f>
        <v>7637844102</v>
      </c>
    </row>
    <row r="3344" spans="1:15" x14ac:dyDescent="0.45">
      <c r="A3344" t="s">
        <v>858</v>
      </c>
      <c r="B3344" t="s">
        <v>859</v>
      </c>
      <c r="C3344" t="s">
        <v>860</v>
      </c>
      <c r="D3344" t="s">
        <v>861</v>
      </c>
      <c r="E3344" s="1">
        <v>46153.222384259258</v>
      </c>
      <c r="F3344">
        <v>1481</v>
      </c>
      <c r="G3344" t="s">
        <v>862</v>
      </c>
      <c r="H3344" t="s">
        <v>15</v>
      </c>
      <c r="I3344" t="s">
        <v>863</v>
      </c>
      <c r="J3344" t="str">
        <f>RIGHT(D3344,4)</f>
        <v>6310</v>
      </c>
      <c r="K3344" t="str">
        <f>IFERROR(VLOOKUP(VALUE(J3344),'Site Info'!$A:$G,3,FALSE),"")</f>
        <v>8150 UNIVERSITY AVE NE</v>
      </c>
      <c r="L3344" t="str">
        <f>IFERROR(VLOOKUP(VALUE(J3344),'Site Info'!$A:$G,4,FALSE),"")</f>
        <v>FRIDLEY</v>
      </c>
      <c r="M3344" t="str">
        <f>IFERROR(VLOOKUP(VALUE(J3344),'Site Info'!$A:$G,5,FALSE),"")</f>
        <v>MN</v>
      </c>
      <c r="N3344" t="str">
        <f>IFERROR(VLOOKUP(VALUE(J3344),'Site Info'!$A:$G,6,FALSE),"")</f>
        <v>55432-1864</v>
      </c>
      <c r="O3344">
        <f>IFERROR(VLOOKUP(VALUE(J3344),'Site Info'!$A:$G,7,FALSE),"")</f>
        <v>7637844102</v>
      </c>
    </row>
    <row r="3345" spans="1:15" x14ac:dyDescent="0.45">
      <c r="A3345" t="s">
        <v>7653</v>
      </c>
      <c r="B3345" t="s">
        <v>7654</v>
      </c>
      <c r="C3345" t="s">
        <v>7655</v>
      </c>
      <c r="D3345" t="s">
        <v>2346</v>
      </c>
      <c r="E3345" s="1">
        <v>46100.657280092593</v>
      </c>
      <c r="F3345">
        <v>1547</v>
      </c>
      <c r="G3345" t="s">
        <v>7656</v>
      </c>
      <c r="H3345" t="s">
        <v>15</v>
      </c>
      <c r="I3345" t="s">
        <v>2348</v>
      </c>
      <c r="J3345" t="str">
        <f>RIGHT(D3345,4)</f>
        <v>6311</v>
      </c>
      <c r="K3345" t="str">
        <f>IFERROR(VLOOKUP(VALUE(J3345),'Site Info'!$A:$G,3,FALSE),"")</f>
        <v>8201 OLD CARRIAGE CT</v>
      </c>
      <c r="L3345" t="str">
        <f>IFERROR(VLOOKUP(VALUE(J3345),'Site Info'!$A:$G,4,FALSE),"")</f>
        <v>SHAKOPEE</v>
      </c>
      <c r="M3345" t="str">
        <f>IFERROR(VLOOKUP(VALUE(J3345),'Site Info'!$A:$G,5,FALSE),"")</f>
        <v>MN</v>
      </c>
      <c r="N3345" t="str">
        <f>IFERROR(VLOOKUP(VALUE(J3345),'Site Info'!$A:$G,6,FALSE),"")</f>
        <v>55379-3154</v>
      </c>
      <c r="O3345">
        <f>IFERROR(VLOOKUP(VALUE(J3345),'Site Info'!$A:$G,7,FALSE),"")</f>
        <v>9524961979</v>
      </c>
    </row>
    <row r="3346" spans="1:15" x14ac:dyDescent="0.45">
      <c r="A3346" t="s">
        <v>13739</v>
      </c>
      <c r="B3346" t="s">
        <v>13740</v>
      </c>
      <c r="C3346" t="s">
        <v>13741</v>
      </c>
      <c r="D3346" t="s">
        <v>2346</v>
      </c>
      <c r="E3346" s="1">
        <v>46152.011932870373</v>
      </c>
      <c r="F3346">
        <v>1547</v>
      </c>
      <c r="G3346" t="s">
        <v>13742</v>
      </c>
      <c r="H3346" t="s">
        <v>15</v>
      </c>
      <c r="I3346" t="s">
        <v>2348</v>
      </c>
      <c r="J3346" t="str">
        <f>RIGHT(D3346,4)</f>
        <v>6311</v>
      </c>
      <c r="K3346" t="str">
        <f>IFERROR(VLOOKUP(VALUE(J3346),'Site Info'!$A:$G,3,FALSE),"")</f>
        <v>8201 OLD CARRIAGE CT</v>
      </c>
      <c r="L3346" t="str">
        <f>IFERROR(VLOOKUP(VALUE(J3346),'Site Info'!$A:$G,4,FALSE),"")</f>
        <v>SHAKOPEE</v>
      </c>
      <c r="M3346" t="str">
        <f>IFERROR(VLOOKUP(VALUE(J3346),'Site Info'!$A:$G,5,FALSE),"")</f>
        <v>MN</v>
      </c>
      <c r="N3346" t="str">
        <f>IFERROR(VLOOKUP(VALUE(J3346),'Site Info'!$A:$G,6,FALSE),"")</f>
        <v>55379-3154</v>
      </c>
      <c r="O3346">
        <f>IFERROR(VLOOKUP(VALUE(J3346),'Site Info'!$A:$G,7,FALSE),"")</f>
        <v>9524961979</v>
      </c>
    </row>
    <row r="3347" spans="1:15" x14ac:dyDescent="0.45">
      <c r="A3347" t="s">
        <v>12060</v>
      </c>
      <c r="B3347" t="s">
        <v>12061</v>
      </c>
      <c r="C3347" t="s">
        <v>12062</v>
      </c>
      <c r="D3347" t="s">
        <v>2346</v>
      </c>
      <c r="E3347" s="1">
        <v>46152.656550925924</v>
      </c>
      <c r="F3347">
        <v>1547</v>
      </c>
      <c r="G3347" t="s">
        <v>12063</v>
      </c>
      <c r="H3347" t="s">
        <v>15</v>
      </c>
      <c r="I3347" t="s">
        <v>2348</v>
      </c>
      <c r="J3347" t="str">
        <f>RIGHT(D3347,4)</f>
        <v>6311</v>
      </c>
      <c r="K3347" t="str">
        <f>IFERROR(VLOOKUP(VALUE(J3347),'Site Info'!$A:$G,3,FALSE),"")</f>
        <v>8201 OLD CARRIAGE CT</v>
      </c>
      <c r="L3347" t="str">
        <f>IFERROR(VLOOKUP(VALUE(J3347),'Site Info'!$A:$G,4,FALSE),"")</f>
        <v>SHAKOPEE</v>
      </c>
      <c r="M3347" t="str">
        <f>IFERROR(VLOOKUP(VALUE(J3347),'Site Info'!$A:$G,5,FALSE),"")</f>
        <v>MN</v>
      </c>
      <c r="N3347" t="str">
        <f>IFERROR(VLOOKUP(VALUE(J3347),'Site Info'!$A:$G,6,FALSE),"")</f>
        <v>55379-3154</v>
      </c>
      <c r="O3347">
        <f>IFERROR(VLOOKUP(VALUE(J3347),'Site Info'!$A:$G,7,FALSE),"")</f>
        <v>9524961979</v>
      </c>
    </row>
    <row r="3348" spans="1:15" x14ac:dyDescent="0.45">
      <c r="A3348" t="s">
        <v>12712</v>
      </c>
      <c r="B3348" t="s">
        <v>12713</v>
      </c>
      <c r="C3348" t="s">
        <v>12714</v>
      </c>
      <c r="D3348" t="s">
        <v>2346</v>
      </c>
      <c r="E3348" s="1">
        <v>46153.36377314815</v>
      </c>
      <c r="F3348">
        <v>1547</v>
      </c>
      <c r="G3348" t="s">
        <v>12715</v>
      </c>
      <c r="H3348" t="s">
        <v>15</v>
      </c>
      <c r="I3348" t="s">
        <v>2348</v>
      </c>
      <c r="J3348" t="str">
        <f>RIGHT(D3348,4)</f>
        <v>6311</v>
      </c>
      <c r="K3348" t="str">
        <f>IFERROR(VLOOKUP(VALUE(J3348),'Site Info'!$A:$G,3,FALSE),"")</f>
        <v>8201 OLD CARRIAGE CT</v>
      </c>
      <c r="L3348" t="str">
        <f>IFERROR(VLOOKUP(VALUE(J3348),'Site Info'!$A:$G,4,FALSE),"")</f>
        <v>SHAKOPEE</v>
      </c>
      <c r="M3348" t="str">
        <f>IFERROR(VLOOKUP(VALUE(J3348),'Site Info'!$A:$G,5,FALSE),"")</f>
        <v>MN</v>
      </c>
      <c r="N3348" t="str">
        <f>IFERROR(VLOOKUP(VALUE(J3348),'Site Info'!$A:$G,6,FALSE),"")</f>
        <v>55379-3154</v>
      </c>
      <c r="O3348">
        <f>IFERROR(VLOOKUP(VALUE(J3348),'Site Info'!$A:$G,7,FALSE),"")</f>
        <v>9524961979</v>
      </c>
    </row>
    <row r="3349" spans="1:15" x14ac:dyDescent="0.45">
      <c r="A3349" t="s">
        <v>12730</v>
      </c>
      <c r="B3349" t="s">
        <v>12731</v>
      </c>
      <c r="C3349" t="s">
        <v>12732</v>
      </c>
      <c r="D3349" t="s">
        <v>2346</v>
      </c>
      <c r="E3349" s="1">
        <v>46153.364872685182</v>
      </c>
      <c r="F3349">
        <v>1547</v>
      </c>
      <c r="G3349" t="s">
        <v>12733</v>
      </c>
      <c r="H3349" t="s">
        <v>15</v>
      </c>
      <c r="I3349" t="s">
        <v>2348</v>
      </c>
      <c r="J3349" t="str">
        <f>RIGHT(D3349,4)</f>
        <v>6311</v>
      </c>
      <c r="K3349" t="str">
        <f>IFERROR(VLOOKUP(VALUE(J3349),'Site Info'!$A:$G,3,FALSE),"")</f>
        <v>8201 OLD CARRIAGE CT</v>
      </c>
      <c r="L3349" t="str">
        <f>IFERROR(VLOOKUP(VALUE(J3349),'Site Info'!$A:$G,4,FALSE),"")</f>
        <v>SHAKOPEE</v>
      </c>
      <c r="M3349" t="str">
        <f>IFERROR(VLOOKUP(VALUE(J3349),'Site Info'!$A:$G,5,FALSE),"")</f>
        <v>MN</v>
      </c>
      <c r="N3349" t="str">
        <f>IFERROR(VLOOKUP(VALUE(J3349),'Site Info'!$A:$G,6,FALSE),"")</f>
        <v>55379-3154</v>
      </c>
      <c r="O3349">
        <f>IFERROR(VLOOKUP(VALUE(J3349),'Site Info'!$A:$G,7,FALSE),"")</f>
        <v>9524961979</v>
      </c>
    </row>
    <row r="3350" spans="1:15" x14ac:dyDescent="0.45">
      <c r="A3350" t="s">
        <v>2981</v>
      </c>
      <c r="B3350" t="s">
        <v>2982</v>
      </c>
      <c r="C3350" t="s">
        <v>2983</v>
      </c>
      <c r="D3350" t="s">
        <v>2346</v>
      </c>
      <c r="E3350" s="1">
        <v>46152.858842592592</v>
      </c>
      <c r="F3350">
        <v>1481</v>
      </c>
      <c r="G3350" t="s">
        <v>2984</v>
      </c>
      <c r="H3350" t="s">
        <v>15</v>
      </c>
      <c r="I3350" t="s">
        <v>2348</v>
      </c>
      <c r="J3350" t="str">
        <f>RIGHT(D3350,4)</f>
        <v>6311</v>
      </c>
      <c r="K3350" t="str">
        <f>IFERROR(VLOOKUP(VALUE(J3350),'Site Info'!$A:$G,3,FALSE),"")</f>
        <v>8201 OLD CARRIAGE CT</v>
      </c>
      <c r="L3350" t="str">
        <f>IFERROR(VLOOKUP(VALUE(J3350),'Site Info'!$A:$G,4,FALSE),"")</f>
        <v>SHAKOPEE</v>
      </c>
      <c r="M3350" t="str">
        <f>IFERROR(VLOOKUP(VALUE(J3350),'Site Info'!$A:$G,5,FALSE),"")</f>
        <v>MN</v>
      </c>
      <c r="N3350" t="str">
        <f>IFERROR(VLOOKUP(VALUE(J3350),'Site Info'!$A:$G,6,FALSE),"")</f>
        <v>55379-3154</v>
      </c>
      <c r="O3350">
        <f>IFERROR(VLOOKUP(VALUE(J3350),'Site Info'!$A:$G,7,FALSE),"")</f>
        <v>9524961979</v>
      </c>
    </row>
    <row r="3351" spans="1:15" x14ac:dyDescent="0.45">
      <c r="A3351" t="s">
        <v>2343</v>
      </c>
      <c r="B3351" t="s">
        <v>2344</v>
      </c>
      <c r="C3351" t="s">
        <v>2345</v>
      </c>
      <c r="D3351" t="s">
        <v>2346</v>
      </c>
      <c r="E3351" s="1">
        <v>46153.365023148152</v>
      </c>
      <c r="F3351">
        <v>1481</v>
      </c>
      <c r="G3351" t="s">
        <v>2347</v>
      </c>
      <c r="H3351" t="s">
        <v>15</v>
      </c>
      <c r="I3351" t="s">
        <v>2348</v>
      </c>
      <c r="J3351" t="str">
        <f>RIGHT(D3351,4)</f>
        <v>6311</v>
      </c>
      <c r="K3351" t="str">
        <f>IFERROR(VLOOKUP(VALUE(J3351),'Site Info'!$A:$G,3,FALSE),"")</f>
        <v>8201 OLD CARRIAGE CT</v>
      </c>
      <c r="L3351" t="str">
        <f>IFERROR(VLOOKUP(VALUE(J3351),'Site Info'!$A:$G,4,FALSE),"")</f>
        <v>SHAKOPEE</v>
      </c>
      <c r="M3351" t="str">
        <f>IFERROR(VLOOKUP(VALUE(J3351),'Site Info'!$A:$G,5,FALSE),"")</f>
        <v>MN</v>
      </c>
      <c r="N3351" t="str">
        <f>IFERROR(VLOOKUP(VALUE(J3351),'Site Info'!$A:$G,6,FALSE),"")</f>
        <v>55379-3154</v>
      </c>
      <c r="O3351">
        <f>IFERROR(VLOOKUP(VALUE(J3351),'Site Info'!$A:$G,7,FALSE),"")</f>
        <v>9524961979</v>
      </c>
    </row>
    <row r="3352" spans="1:15" x14ac:dyDescent="0.45">
      <c r="A3352" t="s">
        <v>13691</v>
      </c>
      <c r="B3352" t="s">
        <v>13692</v>
      </c>
      <c r="C3352" t="s">
        <v>13693</v>
      </c>
      <c r="D3352" t="s">
        <v>1469</v>
      </c>
      <c r="E3352" s="1">
        <v>46152.640300925923</v>
      </c>
      <c r="F3352">
        <v>1547</v>
      </c>
      <c r="G3352" t="s">
        <v>13694</v>
      </c>
      <c r="H3352" t="s">
        <v>15</v>
      </c>
      <c r="I3352" t="s">
        <v>1471</v>
      </c>
      <c r="J3352" t="str">
        <f>RIGHT(D3352,4)</f>
        <v>6622</v>
      </c>
      <c r="K3352" t="str">
        <f>IFERROR(VLOOKUP(VALUE(J3352),'Site Info'!$A:$G,3,FALSE),"")</f>
        <v>8250 POWER INN RD</v>
      </c>
      <c r="L3352" t="str">
        <f>IFERROR(VLOOKUP(VALUE(J3352),'Site Info'!$A:$G,4,FALSE),"")</f>
        <v>SACRAMENTO</v>
      </c>
      <c r="M3352" t="str">
        <f>IFERROR(VLOOKUP(VALUE(J3352),'Site Info'!$A:$G,5,FALSE),"")</f>
        <v>CA</v>
      </c>
      <c r="N3352" t="str">
        <f>IFERROR(VLOOKUP(VALUE(J3352),'Site Info'!$A:$G,6,FALSE),"")</f>
        <v>95828-6760</v>
      </c>
      <c r="O3352">
        <f>IFERROR(VLOOKUP(VALUE(J3352),'Site Info'!$A:$G,7,FALSE),"")</f>
        <v>9166882126</v>
      </c>
    </row>
    <row r="3353" spans="1:15" x14ac:dyDescent="0.45">
      <c r="A3353" t="s">
        <v>12660</v>
      </c>
      <c r="B3353" t="s">
        <v>12661</v>
      </c>
      <c r="C3353" t="s">
        <v>12662</v>
      </c>
      <c r="D3353" t="s">
        <v>1469</v>
      </c>
      <c r="E3353" s="1">
        <v>46153.340694444443</v>
      </c>
      <c r="F3353">
        <v>1547</v>
      </c>
      <c r="G3353" t="s">
        <v>12663</v>
      </c>
      <c r="H3353" t="s">
        <v>15</v>
      </c>
      <c r="I3353" t="s">
        <v>1471</v>
      </c>
      <c r="J3353" t="str">
        <f>RIGHT(D3353,4)</f>
        <v>6622</v>
      </c>
      <c r="K3353" t="str">
        <f>IFERROR(VLOOKUP(VALUE(J3353),'Site Info'!$A:$G,3,FALSE),"")</f>
        <v>8250 POWER INN RD</v>
      </c>
      <c r="L3353" t="str">
        <f>IFERROR(VLOOKUP(VALUE(J3353),'Site Info'!$A:$G,4,FALSE),"")</f>
        <v>SACRAMENTO</v>
      </c>
      <c r="M3353" t="str">
        <f>IFERROR(VLOOKUP(VALUE(J3353),'Site Info'!$A:$G,5,FALSE),"")</f>
        <v>CA</v>
      </c>
      <c r="N3353" t="str">
        <f>IFERROR(VLOOKUP(VALUE(J3353),'Site Info'!$A:$G,6,FALSE),"")</f>
        <v>95828-6760</v>
      </c>
      <c r="O3353">
        <f>IFERROR(VLOOKUP(VALUE(J3353),'Site Info'!$A:$G,7,FALSE),"")</f>
        <v>9166882126</v>
      </c>
    </row>
    <row r="3354" spans="1:15" x14ac:dyDescent="0.45">
      <c r="A3354" t="s">
        <v>1466</v>
      </c>
      <c r="B3354" t="s">
        <v>1467</v>
      </c>
      <c r="C3354" t="s">
        <v>1468</v>
      </c>
      <c r="D3354" t="s">
        <v>1469</v>
      </c>
      <c r="E3354" s="1">
        <v>46152.95989583333</v>
      </c>
      <c r="F3354">
        <v>1481</v>
      </c>
      <c r="G3354" t="s">
        <v>1470</v>
      </c>
      <c r="H3354" t="s">
        <v>15</v>
      </c>
      <c r="I3354" t="s">
        <v>1471</v>
      </c>
      <c r="J3354" t="str">
        <f>RIGHT(D3354,4)</f>
        <v>6622</v>
      </c>
      <c r="K3354" t="str">
        <f>IFERROR(VLOOKUP(VALUE(J3354),'Site Info'!$A:$G,3,FALSE),"")</f>
        <v>8250 POWER INN RD</v>
      </c>
      <c r="L3354" t="str">
        <f>IFERROR(VLOOKUP(VALUE(J3354),'Site Info'!$A:$G,4,FALSE),"")</f>
        <v>SACRAMENTO</v>
      </c>
      <c r="M3354" t="str">
        <f>IFERROR(VLOOKUP(VALUE(J3354),'Site Info'!$A:$G,5,FALSE),"")</f>
        <v>CA</v>
      </c>
      <c r="N3354" t="str">
        <f>IFERROR(VLOOKUP(VALUE(J3354),'Site Info'!$A:$G,6,FALSE),"")</f>
        <v>95828-6760</v>
      </c>
      <c r="O3354">
        <f>IFERROR(VLOOKUP(VALUE(J3354),'Site Info'!$A:$G,7,FALSE),"")</f>
        <v>9166882126</v>
      </c>
    </row>
    <row r="3355" spans="1:15" x14ac:dyDescent="0.45">
      <c r="A3355" t="s">
        <v>5818</v>
      </c>
      <c r="B3355" t="s">
        <v>5819</v>
      </c>
      <c r="C3355" t="s">
        <v>5820</v>
      </c>
      <c r="D3355" t="s">
        <v>1867</v>
      </c>
      <c r="E3355" s="1">
        <v>46150.605185185188</v>
      </c>
      <c r="F3355">
        <v>1547</v>
      </c>
      <c r="G3355" t="s">
        <v>5821</v>
      </c>
      <c r="H3355" t="s">
        <v>15</v>
      </c>
      <c r="I3355" t="s">
        <v>1869</v>
      </c>
      <c r="J3355" t="str">
        <f>RIGHT(D3355,4)</f>
        <v>6431</v>
      </c>
      <c r="K3355" t="str">
        <f>IFERROR(VLOOKUP(VALUE(J3355),'Site Info'!$A:$G,3,FALSE),"")</f>
        <v>830 COUNTY ROAD 64 STE 2</v>
      </c>
      <c r="L3355" t="str">
        <f>IFERROR(VLOOKUP(VALUE(J3355),'Site Info'!$A:$G,4,FALSE),"")</f>
        <v>ELMIRA</v>
      </c>
      <c r="M3355" t="str">
        <f>IFERROR(VLOOKUP(VALUE(J3355),'Site Info'!$A:$G,5,FALSE),"")</f>
        <v>NY</v>
      </c>
      <c r="N3355" t="str">
        <f>IFERROR(VLOOKUP(VALUE(J3355),'Site Info'!$A:$G,6,FALSE),"")</f>
        <v>14903-9716</v>
      </c>
      <c r="O3355">
        <f>IFERROR(VLOOKUP(VALUE(J3355),'Site Info'!$A:$G,7,FALSE),"")</f>
        <v>6077392883</v>
      </c>
    </row>
    <row r="3356" spans="1:15" x14ac:dyDescent="0.45">
      <c r="A3356" t="s">
        <v>5810</v>
      </c>
      <c r="B3356" t="s">
        <v>5811</v>
      </c>
      <c r="C3356" t="s">
        <v>5812</v>
      </c>
      <c r="D3356" t="s">
        <v>1867</v>
      </c>
      <c r="E3356" s="1">
        <v>46153.291134259256</v>
      </c>
      <c r="F3356">
        <v>1547</v>
      </c>
      <c r="G3356" t="s">
        <v>5813</v>
      </c>
      <c r="H3356" t="s">
        <v>15</v>
      </c>
      <c r="I3356" t="s">
        <v>1869</v>
      </c>
      <c r="J3356" t="str">
        <f>RIGHT(D3356,4)</f>
        <v>6431</v>
      </c>
      <c r="K3356" t="str">
        <f>IFERROR(VLOOKUP(VALUE(J3356),'Site Info'!$A:$G,3,FALSE),"")</f>
        <v>830 COUNTY ROAD 64 STE 2</v>
      </c>
      <c r="L3356" t="str">
        <f>IFERROR(VLOOKUP(VALUE(J3356),'Site Info'!$A:$G,4,FALSE),"")</f>
        <v>ELMIRA</v>
      </c>
      <c r="M3356" t="str">
        <f>IFERROR(VLOOKUP(VALUE(J3356),'Site Info'!$A:$G,5,FALSE),"")</f>
        <v>NY</v>
      </c>
      <c r="N3356" t="str">
        <f>IFERROR(VLOOKUP(VALUE(J3356),'Site Info'!$A:$G,6,FALSE),"")</f>
        <v>14903-9716</v>
      </c>
      <c r="O3356">
        <f>IFERROR(VLOOKUP(VALUE(J3356),'Site Info'!$A:$G,7,FALSE),"")</f>
        <v>6077392883</v>
      </c>
    </row>
    <row r="3357" spans="1:15" x14ac:dyDescent="0.45">
      <c r="A3357" t="s">
        <v>1864</v>
      </c>
      <c r="B3357" t="s">
        <v>1865</v>
      </c>
      <c r="C3357" t="s">
        <v>1866</v>
      </c>
      <c r="D3357" t="s">
        <v>1867</v>
      </c>
      <c r="E3357" s="1">
        <v>46152.730011574073</v>
      </c>
      <c r="F3357">
        <v>1481</v>
      </c>
      <c r="G3357" t="s">
        <v>1868</v>
      </c>
      <c r="H3357" t="s">
        <v>15</v>
      </c>
      <c r="I3357" t="s">
        <v>1869</v>
      </c>
      <c r="J3357" t="str">
        <f>RIGHT(D3357,4)</f>
        <v>6431</v>
      </c>
      <c r="K3357" t="str">
        <f>IFERROR(VLOOKUP(VALUE(J3357),'Site Info'!$A:$G,3,FALSE),"")</f>
        <v>830 COUNTY ROAD 64 STE 2</v>
      </c>
      <c r="L3357" t="str">
        <f>IFERROR(VLOOKUP(VALUE(J3357),'Site Info'!$A:$G,4,FALSE),"")</f>
        <v>ELMIRA</v>
      </c>
      <c r="M3357" t="str">
        <f>IFERROR(VLOOKUP(VALUE(J3357),'Site Info'!$A:$G,5,FALSE),"")</f>
        <v>NY</v>
      </c>
      <c r="N3357" t="str">
        <f>IFERROR(VLOOKUP(VALUE(J3357),'Site Info'!$A:$G,6,FALSE),"")</f>
        <v>14903-9716</v>
      </c>
      <c r="O3357">
        <f>IFERROR(VLOOKUP(VALUE(J3357),'Site Info'!$A:$G,7,FALSE),"")</f>
        <v>6077392883</v>
      </c>
    </row>
    <row r="3358" spans="1:15" x14ac:dyDescent="0.45">
      <c r="A3358" t="s">
        <v>16493</v>
      </c>
      <c r="B3358" t="s">
        <v>16856</v>
      </c>
      <c r="C3358" t="s">
        <v>16857</v>
      </c>
      <c r="D3358" t="s">
        <v>1867</v>
      </c>
      <c r="E3358" s="1">
        <v>46153.13957175926</v>
      </c>
      <c r="F3358">
        <v>1628</v>
      </c>
      <c r="G3358" t="s">
        <v>16858</v>
      </c>
      <c r="H3358" t="s">
        <v>13988</v>
      </c>
      <c r="I3358" t="s">
        <v>1869</v>
      </c>
      <c r="J3358" t="str">
        <f>RIGHT(D3358,4)</f>
        <v>6431</v>
      </c>
      <c r="K3358" t="str">
        <f>IFERROR(VLOOKUP(VALUE(J3358),'Site Info'!$A:$G,3,FALSE),"")</f>
        <v>830 COUNTY ROAD 64 STE 2</v>
      </c>
      <c r="L3358" t="str">
        <f>IFERROR(VLOOKUP(VALUE(J3358),'Site Info'!$A:$G,4,FALSE),"")</f>
        <v>ELMIRA</v>
      </c>
      <c r="M3358" t="str">
        <f>IFERROR(VLOOKUP(VALUE(J3358),'Site Info'!$A:$G,5,FALSE),"")</f>
        <v>NY</v>
      </c>
      <c r="N3358" t="str">
        <f>IFERROR(VLOOKUP(VALUE(J3358),'Site Info'!$A:$G,6,FALSE),"")</f>
        <v>14903-9716</v>
      </c>
      <c r="O3358">
        <f>IFERROR(VLOOKUP(VALUE(J3358),'Site Info'!$A:$G,7,FALSE),"")</f>
        <v>6077392883</v>
      </c>
    </row>
    <row r="3359" spans="1:15" x14ac:dyDescent="0.45">
      <c r="A3359" t="s">
        <v>16427</v>
      </c>
      <c r="B3359" t="s">
        <v>16859</v>
      </c>
      <c r="C3359" t="s">
        <v>16860</v>
      </c>
      <c r="D3359" t="s">
        <v>1867</v>
      </c>
      <c r="E3359" s="1">
        <v>46152.827349537038</v>
      </c>
      <c r="F3359">
        <v>1547</v>
      </c>
      <c r="G3359" t="s">
        <v>16861</v>
      </c>
      <c r="H3359" t="s">
        <v>15</v>
      </c>
      <c r="I3359" t="s">
        <v>1869</v>
      </c>
      <c r="J3359" t="str">
        <f>RIGHT(D3359,4)</f>
        <v>6431</v>
      </c>
      <c r="K3359" t="str">
        <f>IFERROR(VLOOKUP(VALUE(J3359),'Site Info'!$A:$G,3,FALSE),"")</f>
        <v>830 COUNTY ROAD 64 STE 2</v>
      </c>
      <c r="L3359" t="str">
        <f>IFERROR(VLOOKUP(VALUE(J3359),'Site Info'!$A:$G,4,FALSE),"")</f>
        <v>ELMIRA</v>
      </c>
      <c r="M3359" t="str">
        <f>IFERROR(VLOOKUP(VALUE(J3359),'Site Info'!$A:$G,5,FALSE),"")</f>
        <v>NY</v>
      </c>
      <c r="N3359" t="str">
        <f>IFERROR(VLOOKUP(VALUE(J3359),'Site Info'!$A:$G,6,FALSE),"")</f>
        <v>14903-9716</v>
      </c>
      <c r="O3359">
        <f>IFERROR(VLOOKUP(VALUE(J3359),'Site Info'!$A:$G,7,FALSE),"")</f>
        <v>6077392883</v>
      </c>
    </row>
    <row r="3360" spans="1:15" x14ac:dyDescent="0.45">
      <c r="A3360" t="s">
        <v>11332</v>
      </c>
      <c r="B3360" t="s">
        <v>11333</v>
      </c>
      <c r="C3360" t="s">
        <v>11334</v>
      </c>
      <c r="D3360" t="s">
        <v>2340</v>
      </c>
      <c r="E3360" s="1">
        <v>46150.358252314814</v>
      </c>
      <c r="F3360">
        <v>1547</v>
      </c>
      <c r="G3360" t="s">
        <v>11335</v>
      </c>
      <c r="H3360" t="s">
        <v>15</v>
      </c>
      <c r="I3360" t="s">
        <v>2342</v>
      </c>
      <c r="J3360" t="str">
        <f>RIGHT(D3360,4)</f>
        <v>4707</v>
      </c>
      <c r="K3360" t="str">
        <f>IFERROR(VLOOKUP(VALUE(J3360),'Site Info'!$A:$G,3,FALSE),"")</f>
        <v>8300 W 135TH ST</v>
      </c>
      <c r="L3360" t="str">
        <f>IFERROR(VLOOKUP(VALUE(J3360),'Site Info'!$A:$G,4,FALSE),"")</f>
        <v>OVERLAND PARK</v>
      </c>
      <c r="M3360" t="str">
        <f>IFERROR(VLOOKUP(VALUE(J3360),'Site Info'!$A:$G,5,FALSE),"")</f>
        <v>KS</v>
      </c>
      <c r="N3360" t="str">
        <f>IFERROR(VLOOKUP(VALUE(J3360),'Site Info'!$A:$G,6,FALSE),"")</f>
        <v>66223-1143</v>
      </c>
      <c r="O3360">
        <f>IFERROR(VLOOKUP(VALUE(J3360),'Site Info'!$A:$G,7,FALSE),"")</f>
        <v>9134021405</v>
      </c>
    </row>
    <row r="3361" spans="1:15" x14ac:dyDescent="0.45">
      <c r="A3361" t="s">
        <v>8709</v>
      </c>
      <c r="B3361" t="s">
        <v>8710</v>
      </c>
      <c r="C3361" t="s">
        <v>8711</v>
      </c>
      <c r="D3361" t="s">
        <v>2340</v>
      </c>
      <c r="E3361" s="1">
        <v>46152.00267361111</v>
      </c>
      <c r="F3361">
        <v>1547</v>
      </c>
      <c r="G3361" t="s">
        <v>8712</v>
      </c>
      <c r="H3361" t="s">
        <v>15</v>
      </c>
      <c r="I3361" t="s">
        <v>2342</v>
      </c>
      <c r="J3361" t="str">
        <f>RIGHT(D3361,4)</f>
        <v>4707</v>
      </c>
      <c r="K3361" t="str">
        <f>IFERROR(VLOOKUP(VALUE(J3361),'Site Info'!$A:$G,3,FALSE),"")</f>
        <v>8300 W 135TH ST</v>
      </c>
      <c r="L3361" t="str">
        <f>IFERROR(VLOOKUP(VALUE(J3361),'Site Info'!$A:$G,4,FALSE),"")</f>
        <v>OVERLAND PARK</v>
      </c>
      <c r="M3361" t="str">
        <f>IFERROR(VLOOKUP(VALUE(J3361),'Site Info'!$A:$G,5,FALSE),"")</f>
        <v>KS</v>
      </c>
      <c r="N3361" t="str">
        <f>IFERROR(VLOOKUP(VALUE(J3361),'Site Info'!$A:$G,6,FALSE),"")</f>
        <v>66223-1143</v>
      </c>
      <c r="O3361">
        <f>IFERROR(VLOOKUP(VALUE(J3361),'Site Info'!$A:$G,7,FALSE),"")</f>
        <v>9134021405</v>
      </c>
    </row>
    <row r="3362" spans="1:15" x14ac:dyDescent="0.45">
      <c r="A3362" t="s">
        <v>12524</v>
      </c>
      <c r="B3362" t="s">
        <v>12525</v>
      </c>
      <c r="C3362" t="s">
        <v>12526</v>
      </c>
      <c r="D3362" t="s">
        <v>2340</v>
      </c>
      <c r="E3362" s="1">
        <v>46152.662812499999</v>
      </c>
      <c r="F3362">
        <v>1547</v>
      </c>
      <c r="G3362" t="s">
        <v>12527</v>
      </c>
      <c r="H3362" t="s">
        <v>15</v>
      </c>
      <c r="I3362" t="s">
        <v>2342</v>
      </c>
      <c r="J3362" t="str">
        <f>RIGHT(D3362,4)</f>
        <v>4707</v>
      </c>
      <c r="K3362" t="str">
        <f>IFERROR(VLOOKUP(VALUE(J3362),'Site Info'!$A:$G,3,FALSE),"")</f>
        <v>8300 W 135TH ST</v>
      </c>
      <c r="L3362" t="str">
        <f>IFERROR(VLOOKUP(VALUE(J3362),'Site Info'!$A:$G,4,FALSE),"")</f>
        <v>OVERLAND PARK</v>
      </c>
      <c r="M3362" t="str">
        <f>IFERROR(VLOOKUP(VALUE(J3362),'Site Info'!$A:$G,5,FALSE),"")</f>
        <v>KS</v>
      </c>
      <c r="N3362" t="str">
        <f>IFERROR(VLOOKUP(VALUE(J3362),'Site Info'!$A:$G,6,FALSE),"")</f>
        <v>66223-1143</v>
      </c>
      <c r="O3362">
        <f>IFERROR(VLOOKUP(VALUE(J3362),'Site Info'!$A:$G,7,FALSE),"")</f>
        <v>9134021405</v>
      </c>
    </row>
    <row r="3363" spans="1:15" x14ac:dyDescent="0.45">
      <c r="A3363" t="s">
        <v>10400</v>
      </c>
      <c r="B3363" t="s">
        <v>10401</v>
      </c>
      <c r="C3363" t="s">
        <v>10402</v>
      </c>
      <c r="D3363" t="s">
        <v>2340</v>
      </c>
      <c r="E3363" s="1">
        <v>46152.670659722222</v>
      </c>
      <c r="F3363">
        <v>1547</v>
      </c>
      <c r="G3363" t="s">
        <v>10403</v>
      </c>
      <c r="H3363" t="s">
        <v>15</v>
      </c>
      <c r="I3363" t="s">
        <v>2342</v>
      </c>
      <c r="J3363" t="str">
        <f>RIGHT(D3363,4)</f>
        <v>4707</v>
      </c>
      <c r="K3363" t="str">
        <f>IFERROR(VLOOKUP(VALUE(J3363),'Site Info'!$A:$G,3,FALSE),"")</f>
        <v>8300 W 135TH ST</v>
      </c>
      <c r="L3363" t="str">
        <f>IFERROR(VLOOKUP(VALUE(J3363),'Site Info'!$A:$G,4,FALSE),"")</f>
        <v>OVERLAND PARK</v>
      </c>
      <c r="M3363" t="str">
        <f>IFERROR(VLOOKUP(VALUE(J3363),'Site Info'!$A:$G,5,FALSE),"")</f>
        <v>KS</v>
      </c>
      <c r="N3363" t="str">
        <f>IFERROR(VLOOKUP(VALUE(J3363),'Site Info'!$A:$G,6,FALSE),"")</f>
        <v>66223-1143</v>
      </c>
      <c r="O3363">
        <f>IFERROR(VLOOKUP(VALUE(J3363),'Site Info'!$A:$G,7,FALSE),"")</f>
        <v>9134021405</v>
      </c>
    </row>
    <row r="3364" spans="1:15" x14ac:dyDescent="0.45">
      <c r="A3364" t="s">
        <v>11049</v>
      </c>
      <c r="B3364" t="s">
        <v>11050</v>
      </c>
      <c r="C3364" t="s">
        <v>11051</v>
      </c>
      <c r="D3364" t="s">
        <v>2340</v>
      </c>
      <c r="E3364" s="1">
        <v>46153.282210648147</v>
      </c>
      <c r="F3364">
        <v>1547</v>
      </c>
      <c r="G3364" t="s">
        <v>11052</v>
      </c>
      <c r="H3364" t="s">
        <v>15</v>
      </c>
      <c r="I3364" t="s">
        <v>2342</v>
      </c>
      <c r="J3364" t="str">
        <f>RIGHT(D3364,4)</f>
        <v>4707</v>
      </c>
      <c r="K3364" t="str">
        <f>IFERROR(VLOOKUP(VALUE(J3364),'Site Info'!$A:$G,3,FALSE),"")</f>
        <v>8300 W 135TH ST</v>
      </c>
      <c r="L3364" t="str">
        <f>IFERROR(VLOOKUP(VALUE(J3364),'Site Info'!$A:$G,4,FALSE),"")</f>
        <v>OVERLAND PARK</v>
      </c>
      <c r="M3364" t="str">
        <f>IFERROR(VLOOKUP(VALUE(J3364),'Site Info'!$A:$G,5,FALSE),"")</f>
        <v>KS</v>
      </c>
      <c r="N3364" t="str">
        <f>IFERROR(VLOOKUP(VALUE(J3364),'Site Info'!$A:$G,6,FALSE),"")</f>
        <v>66223-1143</v>
      </c>
      <c r="O3364">
        <f>IFERROR(VLOOKUP(VALUE(J3364),'Site Info'!$A:$G,7,FALSE),"")</f>
        <v>9134021405</v>
      </c>
    </row>
    <row r="3365" spans="1:15" x14ac:dyDescent="0.45">
      <c r="A3365" t="s">
        <v>3041</v>
      </c>
      <c r="B3365" t="s">
        <v>3042</v>
      </c>
      <c r="C3365" t="s">
        <v>3043</v>
      </c>
      <c r="D3365" t="s">
        <v>2340</v>
      </c>
      <c r="E3365" s="1">
        <v>46150.293680555558</v>
      </c>
      <c r="F3365">
        <v>1481</v>
      </c>
      <c r="G3365" t="s">
        <v>3044</v>
      </c>
      <c r="H3365" t="s">
        <v>15</v>
      </c>
      <c r="I3365" t="s">
        <v>2342</v>
      </c>
      <c r="J3365" t="str">
        <f>RIGHT(D3365,4)</f>
        <v>4707</v>
      </c>
      <c r="K3365" t="str">
        <f>IFERROR(VLOOKUP(VALUE(J3365),'Site Info'!$A:$G,3,FALSE),"")</f>
        <v>8300 W 135TH ST</v>
      </c>
      <c r="L3365" t="str">
        <f>IFERROR(VLOOKUP(VALUE(J3365),'Site Info'!$A:$G,4,FALSE),"")</f>
        <v>OVERLAND PARK</v>
      </c>
      <c r="M3365" t="str">
        <f>IFERROR(VLOOKUP(VALUE(J3365),'Site Info'!$A:$G,5,FALSE),"")</f>
        <v>KS</v>
      </c>
      <c r="N3365" t="str">
        <f>IFERROR(VLOOKUP(VALUE(J3365),'Site Info'!$A:$G,6,FALSE),"")</f>
        <v>66223-1143</v>
      </c>
      <c r="O3365">
        <f>IFERROR(VLOOKUP(VALUE(J3365),'Site Info'!$A:$G,7,FALSE),"")</f>
        <v>9134021405</v>
      </c>
    </row>
    <row r="3366" spans="1:15" x14ac:dyDescent="0.45">
      <c r="A3366" t="s">
        <v>2337</v>
      </c>
      <c r="B3366" t="s">
        <v>2338</v>
      </c>
      <c r="C3366" t="s">
        <v>2339</v>
      </c>
      <c r="D3366" t="s">
        <v>2340</v>
      </c>
      <c r="E3366" s="1">
        <v>46152.457719907405</v>
      </c>
      <c r="F3366">
        <v>1481</v>
      </c>
      <c r="G3366" t="s">
        <v>2341</v>
      </c>
      <c r="H3366" t="s">
        <v>15</v>
      </c>
      <c r="I3366" t="s">
        <v>2342</v>
      </c>
      <c r="J3366" t="str">
        <f>RIGHT(D3366,4)</f>
        <v>4707</v>
      </c>
      <c r="K3366" t="str">
        <f>IFERROR(VLOOKUP(VALUE(J3366),'Site Info'!$A:$G,3,FALSE),"")</f>
        <v>8300 W 135TH ST</v>
      </c>
      <c r="L3366" t="str">
        <f>IFERROR(VLOOKUP(VALUE(J3366),'Site Info'!$A:$G,4,FALSE),"")</f>
        <v>OVERLAND PARK</v>
      </c>
      <c r="M3366" t="str">
        <f>IFERROR(VLOOKUP(VALUE(J3366),'Site Info'!$A:$G,5,FALSE),"")</f>
        <v>KS</v>
      </c>
      <c r="N3366" t="str">
        <f>IFERROR(VLOOKUP(VALUE(J3366),'Site Info'!$A:$G,6,FALSE),"")</f>
        <v>66223-1143</v>
      </c>
      <c r="O3366">
        <f>IFERROR(VLOOKUP(VALUE(J3366),'Site Info'!$A:$G,7,FALSE),"")</f>
        <v>9134021405</v>
      </c>
    </row>
    <row r="3367" spans="1:15" x14ac:dyDescent="0.45">
      <c r="A3367" t="s">
        <v>4380</v>
      </c>
      <c r="B3367" t="s">
        <v>4381</v>
      </c>
      <c r="C3367" t="s">
        <v>4382</v>
      </c>
      <c r="D3367" t="s">
        <v>4383</v>
      </c>
      <c r="E3367" s="1">
        <v>46151.532905092594</v>
      </c>
      <c r="F3367">
        <v>1547</v>
      </c>
      <c r="G3367" t="s">
        <v>4384</v>
      </c>
      <c r="H3367" t="s">
        <v>15</v>
      </c>
      <c r="I3367" t="s">
        <v>4385</v>
      </c>
      <c r="J3367" t="str">
        <f>RIGHT(D3367,4)</f>
        <v>6606</v>
      </c>
      <c r="K3367" t="str">
        <f>IFERROR(VLOOKUP(VALUE(J3367),'Site Info'!$A:$G,3,FALSE),"")</f>
        <v>8340 W MCDOWELL RD</v>
      </c>
      <c r="L3367" t="str">
        <f>IFERROR(VLOOKUP(VALUE(J3367),'Site Info'!$A:$G,4,FALSE),"")</f>
        <v>PHOENIX</v>
      </c>
      <c r="M3367" t="str">
        <f>IFERROR(VLOOKUP(VALUE(J3367),'Site Info'!$A:$G,5,FALSE),"")</f>
        <v>AZ</v>
      </c>
      <c r="N3367" t="str">
        <f>IFERROR(VLOOKUP(VALUE(J3367),'Site Info'!$A:$G,6,FALSE),"")</f>
        <v>85037-4101</v>
      </c>
      <c r="O3367">
        <f>IFERROR(VLOOKUP(VALUE(J3367),'Site Info'!$A:$G,7,FALSE),"")</f>
        <v>6239368528</v>
      </c>
    </row>
    <row r="3368" spans="1:15" x14ac:dyDescent="0.45">
      <c r="A3368" t="s">
        <v>4844</v>
      </c>
      <c r="B3368" t="s">
        <v>4845</v>
      </c>
      <c r="C3368" t="s">
        <v>4846</v>
      </c>
      <c r="D3368" t="s">
        <v>4383</v>
      </c>
      <c r="E3368" s="1">
        <v>46151.805891203701</v>
      </c>
      <c r="F3368">
        <v>1547</v>
      </c>
      <c r="G3368" t="s">
        <v>4847</v>
      </c>
      <c r="H3368" t="s">
        <v>15</v>
      </c>
      <c r="I3368" t="s">
        <v>4385</v>
      </c>
      <c r="J3368" t="str">
        <f>RIGHT(D3368,4)</f>
        <v>6606</v>
      </c>
      <c r="K3368" t="str">
        <f>IFERROR(VLOOKUP(VALUE(J3368),'Site Info'!$A:$G,3,FALSE),"")</f>
        <v>8340 W MCDOWELL RD</v>
      </c>
      <c r="L3368" t="str">
        <f>IFERROR(VLOOKUP(VALUE(J3368),'Site Info'!$A:$G,4,FALSE),"")</f>
        <v>PHOENIX</v>
      </c>
      <c r="M3368" t="str">
        <f>IFERROR(VLOOKUP(VALUE(J3368),'Site Info'!$A:$G,5,FALSE),"")</f>
        <v>AZ</v>
      </c>
      <c r="N3368" t="str">
        <f>IFERROR(VLOOKUP(VALUE(J3368),'Site Info'!$A:$G,6,FALSE),"")</f>
        <v>85037-4101</v>
      </c>
      <c r="O3368">
        <f>IFERROR(VLOOKUP(VALUE(J3368),'Site Info'!$A:$G,7,FALSE),"")</f>
        <v>6239368528</v>
      </c>
    </row>
    <row r="3369" spans="1:15" x14ac:dyDescent="0.45">
      <c r="A3369" t="s">
        <v>4448</v>
      </c>
      <c r="B3369" t="s">
        <v>4449</v>
      </c>
      <c r="C3369" t="s">
        <v>4450</v>
      </c>
      <c r="D3369" t="s">
        <v>4383</v>
      </c>
      <c r="E3369" s="1">
        <v>46152.549039351848</v>
      </c>
      <c r="F3369">
        <v>1547</v>
      </c>
      <c r="G3369" t="s">
        <v>4451</v>
      </c>
      <c r="H3369" t="s">
        <v>15</v>
      </c>
      <c r="I3369" t="s">
        <v>4385</v>
      </c>
      <c r="J3369" t="str">
        <f>RIGHT(D3369,4)</f>
        <v>6606</v>
      </c>
      <c r="K3369" t="str">
        <f>IFERROR(VLOOKUP(VALUE(J3369),'Site Info'!$A:$G,3,FALSE),"")</f>
        <v>8340 W MCDOWELL RD</v>
      </c>
      <c r="L3369" t="str">
        <f>IFERROR(VLOOKUP(VALUE(J3369),'Site Info'!$A:$G,4,FALSE),"")</f>
        <v>PHOENIX</v>
      </c>
      <c r="M3369" t="str">
        <f>IFERROR(VLOOKUP(VALUE(J3369),'Site Info'!$A:$G,5,FALSE),"")</f>
        <v>AZ</v>
      </c>
      <c r="N3369" t="str">
        <f>IFERROR(VLOOKUP(VALUE(J3369),'Site Info'!$A:$G,6,FALSE),"")</f>
        <v>85037-4101</v>
      </c>
      <c r="O3369">
        <f>IFERROR(VLOOKUP(VALUE(J3369),'Site Info'!$A:$G,7,FALSE),"")</f>
        <v>6239368528</v>
      </c>
    </row>
    <row r="3370" spans="1:15" x14ac:dyDescent="0.45">
      <c r="A3370" t="s">
        <v>4860</v>
      </c>
      <c r="B3370" t="s">
        <v>4861</v>
      </c>
      <c r="C3370" t="s">
        <v>4862</v>
      </c>
      <c r="D3370" t="s">
        <v>4383</v>
      </c>
      <c r="E3370" s="1">
        <v>46153.038252314815</v>
      </c>
      <c r="F3370">
        <v>1547</v>
      </c>
      <c r="G3370" t="s">
        <v>4863</v>
      </c>
      <c r="H3370" t="s">
        <v>15</v>
      </c>
      <c r="I3370" t="s">
        <v>4385</v>
      </c>
      <c r="J3370" t="str">
        <f>RIGHT(D3370,4)</f>
        <v>6606</v>
      </c>
      <c r="K3370" t="str">
        <f>IFERROR(VLOOKUP(VALUE(J3370),'Site Info'!$A:$G,3,FALSE),"")</f>
        <v>8340 W MCDOWELL RD</v>
      </c>
      <c r="L3370" t="str">
        <f>IFERROR(VLOOKUP(VALUE(J3370),'Site Info'!$A:$G,4,FALSE),"")</f>
        <v>PHOENIX</v>
      </c>
      <c r="M3370" t="str">
        <f>IFERROR(VLOOKUP(VALUE(J3370),'Site Info'!$A:$G,5,FALSE),"")</f>
        <v>AZ</v>
      </c>
      <c r="N3370" t="str">
        <f>IFERROR(VLOOKUP(VALUE(J3370),'Site Info'!$A:$G,6,FALSE),"")</f>
        <v>85037-4101</v>
      </c>
      <c r="O3370">
        <f>IFERROR(VLOOKUP(VALUE(J3370),'Site Info'!$A:$G,7,FALSE),"")</f>
        <v>6239368528</v>
      </c>
    </row>
    <row r="3371" spans="1:15" x14ac:dyDescent="0.45">
      <c r="A3371" t="s">
        <v>16969</v>
      </c>
      <c r="B3371" t="s">
        <v>16970</v>
      </c>
      <c r="C3371" t="s">
        <v>16971</v>
      </c>
      <c r="D3371" t="s">
        <v>4383</v>
      </c>
      <c r="E3371" s="1">
        <v>46152.60355324074</v>
      </c>
      <c r="F3371">
        <v>1547</v>
      </c>
      <c r="G3371" t="s">
        <v>16972</v>
      </c>
      <c r="H3371" t="s">
        <v>15</v>
      </c>
      <c r="I3371" t="s">
        <v>4385</v>
      </c>
      <c r="J3371" t="str">
        <f>RIGHT(D3371,4)</f>
        <v>6606</v>
      </c>
      <c r="K3371" t="str">
        <f>IFERROR(VLOOKUP(VALUE(J3371),'Site Info'!$A:$G,3,FALSE),"")</f>
        <v>8340 W MCDOWELL RD</v>
      </c>
      <c r="L3371" t="str">
        <f>IFERROR(VLOOKUP(VALUE(J3371),'Site Info'!$A:$G,4,FALSE),"")</f>
        <v>PHOENIX</v>
      </c>
      <c r="M3371" t="str">
        <f>IFERROR(VLOOKUP(VALUE(J3371),'Site Info'!$A:$G,5,FALSE),"")</f>
        <v>AZ</v>
      </c>
      <c r="N3371" t="str">
        <f>IFERROR(VLOOKUP(VALUE(J3371),'Site Info'!$A:$G,6,FALSE),"")</f>
        <v>85037-4101</v>
      </c>
      <c r="O3371">
        <f>IFERROR(VLOOKUP(VALUE(J3371),'Site Info'!$A:$G,7,FALSE),"")</f>
        <v>6239368528</v>
      </c>
    </row>
    <row r="3372" spans="1:15" x14ac:dyDescent="0.45">
      <c r="A3372" t="s">
        <v>9443</v>
      </c>
      <c r="B3372" t="s">
        <v>9444</v>
      </c>
      <c r="C3372" t="s">
        <v>9445</v>
      </c>
      <c r="D3372" t="s">
        <v>1247</v>
      </c>
      <c r="E3372" s="1">
        <v>46151.407766203702</v>
      </c>
      <c r="F3372">
        <v>1547</v>
      </c>
      <c r="G3372" t="s">
        <v>9446</v>
      </c>
      <c r="H3372" t="s">
        <v>15</v>
      </c>
      <c r="I3372" t="s">
        <v>1249</v>
      </c>
      <c r="J3372" t="str">
        <f>RIGHT(D3372,4)</f>
        <v>6244</v>
      </c>
      <c r="K3372" t="str">
        <f>IFERROR(VLOOKUP(VALUE(J3372),'Site Info'!$A:$G,3,FALSE),"")</f>
        <v>8351 ANDERSON BLVD</v>
      </c>
      <c r="L3372" t="str">
        <f>IFERROR(VLOOKUP(VALUE(J3372),'Site Info'!$A:$G,4,FALSE),"")</f>
        <v>FORT WORTH</v>
      </c>
      <c r="M3372" t="str">
        <f>IFERROR(VLOOKUP(VALUE(J3372),'Site Info'!$A:$G,5,FALSE),"")</f>
        <v>TX</v>
      </c>
      <c r="N3372" t="str">
        <f>IFERROR(VLOOKUP(VALUE(J3372),'Site Info'!$A:$G,6,FALSE),"")</f>
        <v>76120-3625</v>
      </c>
      <c r="O3372">
        <f>IFERROR(VLOOKUP(VALUE(J3372),'Site Info'!$A:$G,7,FALSE),"")</f>
        <v>8174594581</v>
      </c>
    </row>
    <row r="3373" spans="1:15" x14ac:dyDescent="0.45">
      <c r="A3373" t="s">
        <v>10324</v>
      </c>
      <c r="B3373" t="s">
        <v>10325</v>
      </c>
      <c r="C3373" t="s">
        <v>10326</v>
      </c>
      <c r="D3373" t="s">
        <v>1247</v>
      </c>
      <c r="E3373" s="1">
        <v>46151.449421296296</v>
      </c>
      <c r="F3373">
        <v>1547</v>
      </c>
      <c r="G3373" t="s">
        <v>10327</v>
      </c>
      <c r="H3373" t="s">
        <v>15</v>
      </c>
      <c r="I3373" t="s">
        <v>1249</v>
      </c>
      <c r="J3373" t="str">
        <f>RIGHT(D3373,4)</f>
        <v>6244</v>
      </c>
      <c r="K3373" t="str">
        <f>IFERROR(VLOOKUP(VALUE(J3373),'Site Info'!$A:$G,3,FALSE),"")</f>
        <v>8351 ANDERSON BLVD</v>
      </c>
      <c r="L3373" t="str">
        <f>IFERROR(VLOOKUP(VALUE(J3373),'Site Info'!$A:$G,4,FALSE),"")</f>
        <v>FORT WORTH</v>
      </c>
      <c r="M3373" t="str">
        <f>IFERROR(VLOOKUP(VALUE(J3373),'Site Info'!$A:$G,5,FALSE),"")</f>
        <v>TX</v>
      </c>
      <c r="N3373" t="str">
        <f>IFERROR(VLOOKUP(VALUE(J3373),'Site Info'!$A:$G,6,FALSE),"")</f>
        <v>76120-3625</v>
      </c>
      <c r="O3373">
        <f>IFERROR(VLOOKUP(VALUE(J3373),'Site Info'!$A:$G,7,FALSE),"")</f>
        <v>8174594581</v>
      </c>
    </row>
    <row r="3374" spans="1:15" x14ac:dyDescent="0.45">
      <c r="A3374" t="s">
        <v>13808</v>
      </c>
      <c r="B3374" t="s">
        <v>13809</v>
      </c>
      <c r="C3374" t="s">
        <v>13810</v>
      </c>
      <c r="D3374" t="s">
        <v>1247</v>
      </c>
      <c r="E3374" s="1">
        <v>46152.579328703701</v>
      </c>
      <c r="F3374">
        <v>1547</v>
      </c>
      <c r="G3374" t="s">
        <v>13811</v>
      </c>
      <c r="H3374" t="s">
        <v>15</v>
      </c>
      <c r="I3374" t="s">
        <v>1249</v>
      </c>
      <c r="J3374" t="str">
        <f>RIGHT(D3374,4)</f>
        <v>6244</v>
      </c>
      <c r="K3374" t="str">
        <f>IFERROR(VLOOKUP(VALUE(J3374),'Site Info'!$A:$G,3,FALSE),"")</f>
        <v>8351 ANDERSON BLVD</v>
      </c>
      <c r="L3374" t="str">
        <f>IFERROR(VLOOKUP(VALUE(J3374),'Site Info'!$A:$G,4,FALSE),"")</f>
        <v>FORT WORTH</v>
      </c>
      <c r="M3374" t="str">
        <f>IFERROR(VLOOKUP(VALUE(J3374),'Site Info'!$A:$G,5,FALSE),"")</f>
        <v>TX</v>
      </c>
      <c r="N3374" t="str">
        <f>IFERROR(VLOOKUP(VALUE(J3374),'Site Info'!$A:$G,6,FALSE),"")</f>
        <v>76120-3625</v>
      </c>
      <c r="O3374">
        <f>IFERROR(VLOOKUP(VALUE(J3374),'Site Info'!$A:$G,7,FALSE),"")</f>
        <v>8174594581</v>
      </c>
    </row>
    <row r="3375" spans="1:15" x14ac:dyDescent="0.45">
      <c r="A3375" t="s">
        <v>12608</v>
      </c>
      <c r="B3375" t="s">
        <v>12609</v>
      </c>
      <c r="C3375" t="s">
        <v>12610</v>
      </c>
      <c r="D3375" t="s">
        <v>1247</v>
      </c>
      <c r="E3375" s="1">
        <v>46152.915995370371</v>
      </c>
      <c r="F3375">
        <v>1547</v>
      </c>
      <c r="G3375" t="s">
        <v>12611</v>
      </c>
      <c r="H3375" t="s">
        <v>15</v>
      </c>
      <c r="I3375" t="s">
        <v>1249</v>
      </c>
      <c r="J3375" t="str">
        <f>RIGHT(D3375,4)</f>
        <v>6244</v>
      </c>
      <c r="K3375" t="str">
        <f>IFERROR(VLOOKUP(VALUE(J3375),'Site Info'!$A:$G,3,FALSE),"")</f>
        <v>8351 ANDERSON BLVD</v>
      </c>
      <c r="L3375" t="str">
        <f>IFERROR(VLOOKUP(VALUE(J3375),'Site Info'!$A:$G,4,FALSE),"")</f>
        <v>FORT WORTH</v>
      </c>
      <c r="M3375" t="str">
        <f>IFERROR(VLOOKUP(VALUE(J3375),'Site Info'!$A:$G,5,FALSE),"")</f>
        <v>TX</v>
      </c>
      <c r="N3375" t="str">
        <f>IFERROR(VLOOKUP(VALUE(J3375),'Site Info'!$A:$G,6,FALSE),"")</f>
        <v>76120-3625</v>
      </c>
      <c r="O3375">
        <f>IFERROR(VLOOKUP(VALUE(J3375),'Site Info'!$A:$G,7,FALSE),"")</f>
        <v>8174594581</v>
      </c>
    </row>
    <row r="3376" spans="1:15" x14ac:dyDescent="0.45">
      <c r="A3376" t="s">
        <v>12862</v>
      </c>
      <c r="B3376" t="s">
        <v>12863</v>
      </c>
      <c r="C3376" t="s">
        <v>12864</v>
      </c>
      <c r="D3376" t="s">
        <v>1247</v>
      </c>
      <c r="E3376" s="1">
        <v>46153.175347222219</v>
      </c>
      <c r="F3376">
        <v>1547</v>
      </c>
      <c r="G3376" t="s">
        <v>12865</v>
      </c>
      <c r="H3376" t="s">
        <v>15</v>
      </c>
      <c r="I3376" t="s">
        <v>1249</v>
      </c>
      <c r="J3376" t="str">
        <f>RIGHT(D3376,4)</f>
        <v>6244</v>
      </c>
      <c r="K3376" t="str">
        <f>IFERROR(VLOOKUP(VALUE(J3376),'Site Info'!$A:$G,3,FALSE),"")</f>
        <v>8351 ANDERSON BLVD</v>
      </c>
      <c r="L3376" t="str">
        <f>IFERROR(VLOOKUP(VALUE(J3376),'Site Info'!$A:$G,4,FALSE),"")</f>
        <v>FORT WORTH</v>
      </c>
      <c r="M3376" t="str">
        <f>IFERROR(VLOOKUP(VALUE(J3376),'Site Info'!$A:$G,5,FALSE),"")</f>
        <v>TX</v>
      </c>
      <c r="N3376" t="str">
        <f>IFERROR(VLOOKUP(VALUE(J3376),'Site Info'!$A:$G,6,FALSE),"")</f>
        <v>76120-3625</v>
      </c>
      <c r="O3376">
        <f>IFERROR(VLOOKUP(VALUE(J3376),'Site Info'!$A:$G,7,FALSE),"")</f>
        <v>8174594581</v>
      </c>
    </row>
    <row r="3377" spans="1:15" x14ac:dyDescent="0.45">
      <c r="A3377" t="s">
        <v>13451</v>
      </c>
      <c r="B3377" t="s">
        <v>13452</v>
      </c>
      <c r="C3377" t="s">
        <v>13453</v>
      </c>
      <c r="D3377" t="s">
        <v>1247</v>
      </c>
      <c r="E3377" s="1">
        <v>46153.359594907408</v>
      </c>
      <c r="F3377">
        <v>1547</v>
      </c>
      <c r="G3377" t="s">
        <v>13454</v>
      </c>
      <c r="H3377" t="s">
        <v>15</v>
      </c>
      <c r="I3377" t="s">
        <v>1249</v>
      </c>
      <c r="J3377" t="str">
        <f>RIGHT(D3377,4)</f>
        <v>6244</v>
      </c>
      <c r="K3377" t="str">
        <f>IFERROR(VLOOKUP(VALUE(J3377),'Site Info'!$A:$G,3,FALSE),"")</f>
        <v>8351 ANDERSON BLVD</v>
      </c>
      <c r="L3377" t="str">
        <f>IFERROR(VLOOKUP(VALUE(J3377),'Site Info'!$A:$G,4,FALSE),"")</f>
        <v>FORT WORTH</v>
      </c>
      <c r="M3377" t="str">
        <f>IFERROR(VLOOKUP(VALUE(J3377),'Site Info'!$A:$G,5,FALSE),"")</f>
        <v>TX</v>
      </c>
      <c r="N3377" t="str">
        <f>IFERROR(VLOOKUP(VALUE(J3377),'Site Info'!$A:$G,6,FALSE),"")</f>
        <v>76120-3625</v>
      </c>
      <c r="O3377">
        <f>IFERROR(VLOOKUP(VALUE(J3377),'Site Info'!$A:$G,7,FALSE),"")</f>
        <v>8174594581</v>
      </c>
    </row>
    <row r="3378" spans="1:15" x14ac:dyDescent="0.45">
      <c r="A3378" t="s">
        <v>1244</v>
      </c>
      <c r="B3378" t="s">
        <v>1245</v>
      </c>
      <c r="C3378" t="s">
        <v>1246</v>
      </c>
      <c r="D3378" t="s">
        <v>1247</v>
      </c>
      <c r="E3378" s="1">
        <v>46152.172002314815</v>
      </c>
      <c r="F3378">
        <v>1481</v>
      </c>
      <c r="G3378" t="s">
        <v>1248</v>
      </c>
      <c r="H3378" t="s">
        <v>15</v>
      </c>
      <c r="I3378" t="s">
        <v>1249</v>
      </c>
      <c r="J3378" t="str">
        <f>RIGHT(D3378,4)</f>
        <v>6244</v>
      </c>
      <c r="K3378" t="str">
        <f>IFERROR(VLOOKUP(VALUE(J3378),'Site Info'!$A:$G,3,FALSE),"")</f>
        <v>8351 ANDERSON BLVD</v>
      </c>
      <c r="L3378" t="str">
        <f>IFERROR(VLOOKUP(VALUE(J3378),'Site Info'!$A:$G,4,FALSE),"")</f>
        <v>FORT WORTH</v>
      </c>
      <c r="M3378" t="str">
        <f>IFERROR(VLOOKUP(VALUE(J3378),'Site Info'!$A:$G,5,FALSE),"")</f>
        <v>TX</v>
      </c>
      <c r="N3378" t="str">
        <f>IFERROR(VLOOKUP(VALUE(J3378),'Site Info'!$A:$G,6,FALSE),"")</f>
        <v>76120-3625</v>
      </c>
      <c r="O3378">
        <f>IFERROR(VLOOKUP(VALUE(J3378),'Site Info'!$A:$G,7,FALSE),"")</f>
        <v>8174594581</v>
      </c>
    </row>
    <row r="3379" spans="1:15" x14ac:dyDescent="0.45">
      <c r="A3379" t="s">
        <v>9581</v>
      </c>
      <c r="B3379" t="s">
        <v>9582</v>
      </c>
      <c r="C3379" t="s">
        <v>9583</v>
      </c>
      <c r="D3379" t="s">
        <v>9562</v>
      </c>
      <c r="E3379" s="1">
        <v>46152.681006944447</v>
      </c>
      <c r="F3379">
        <v>1548</v>
      </c>
      <c r="G3379" t="s">
        <v>9584</v>
      </c>
      <c r="H3379" t="s">
        <v>15</v>
      </c>
      <c r="I3379" t="s">
        <v>9564</v>
      </c>
      <c r="J3379" t="str">
        <f>RIGHT(D3379,4)</f>
        <v>6217</v>
      </c>
      <c r="K3379" t="str">
        <f>IFERROR(VLOOKUP(VALUE(J3379),'Site Info'!$A:$G,3,FALSE),"")</f>
        <v>8425 NW 13TH TER</v>
      </c>
      <c r="L3379" t="str">
        <f>IFERROR(VLOOKUP(VALUE(J3379),'Site Info'!$A:$G,4,FALSE),"")</f>
        <v>MIAMI</v>
      </c>
      <c r="M3379" t="str">
        <f>IFERROR(VLOOKUP(VALUE(J3379),'Site Info'!$A:$G,5,FALSE),"")</f>
        <v>FL</v>
      </c>
      <c r="N3379" t="str">
        <f>IFERROR(VLOOKUP(VALUE(J3379),'Site Info'!$A:$G,6,FALSE),"")</f>
        <v>33126-1509</v>
      </c>
      <c r="O3379">
        <f>IFERROR(VLOOKUP(VALUE(J3379),'Site Info'!$A:$G,7,FALSE),"")</f>
        <v>3054639384</v>
      </c>
    </row>
    <row r="3380" spans="1:15" x14ac:dyDescent="0.45">
      <c r="A3380" t="s">
        <v>14451</v>
      </c>
      <c r="B3380" t="s">
        <v>14452</v>
      </c>
      <c r="C3380" t="s">
        <v>14453</v>
      </c>
      <c r="D3380" t="s">
        <v>9562</v>
      </c>
      <c r="E3380" s="1">
        <v>46147.615474537037</v>
      </c>
      <c r="F3380">
        <v>1547</v>
      </c>
      <c r="G3380" t="s">
        <v>14454</v>
      </c>
      <c r="H3380" t="s">
        <v>15</v>
      </c>
      <c r="I3380" t="s">
        <v>9564</v>
      </c>
      <c r="J3380" t="str">
        <f>RIGHT(D3380,4)</f>
        <v>6217</v>
      </c>
      <c r="K3380" t="str">
        <f>IFERROR(VLOOKUP(VALUE(J3380),'Site Info'!$A:$G,3,FALSE),"")</f>
        <v>8425 NW 13TH TER</v>
      </c>
      <c r="L3380" t="str">
        <f>IFERROR(VLOOKUP(VALUE(J3380),'Site Info'!$A:$G,4,FALSE),"")</f>
        <v>MIAMI</v>
      </c>
      <c r="M3380" t="str">
        <f>IFERROR(VLOOKUP(VALUE(J3380),'Site Info'!$A:$G,5,FALSE),"")</f>
        <v>FL</v>
      </c>
      <c r="N3380" t="str">
        <f>IFERROR(VLOOKUP(VALUE(J3380),'Site Info'!$A:$G,6,FALSE),"")</f>
        <v>33126-1509</v>
      </c>
      <c r="O3380">
        <f>IFERROR(VLOOKUP(VALUE(J3380),'Site Info'!$A:$G,7,FALSE),"")</f>
        <v>3054639384</v>
      </c>
    </row>
    <row r="3381" spans="1:15" x14ac:dyDescent="0.45">
      <c r="A3381" t="s">
        <v>9559</v>
      </c>
      <c r="B3381" t="s">
        <v>9560</v>
      </c>
      <c r="C3381" t="s">
        <v>9561</v>
      </c>
      <c r="D3381" t="s">
        <v>9562</v>
      </c>
      <c r="E3381" s="1">
        <v>46151.761666666665</v>
      </c>
      <c r="F3381">
        <v>1547</v>
      </c>
      <c r="G3381" t="s">
        <v>9563</v>
      </c>
      <c r="H3381" t="s">
        <v>15</v>
      </c>
      <c r="I3381" t="s">
        <v>9564</v>
      </c>
      <c r="J3381" t="str">
        <f>RIGHT(D3381,4)</f>
        <v>6217</v>
      </c>
      <c r="K3381" t="str">
        <f>IFERROR(VLOOKUP(VALUE(J3381),'Site Info'!$A:$G,3,FALSE),"")</f>
        <v>8425 NW 13TH TER</v>
      </c>
      <c r="L3381" t="str">
        <f>IFERROR(VLOOKUP(VALUE(J3381),'Site Info'!$A:$G,4,FALSE),"")</f>
        <v>MIAMI</v>
      </c>
      <c r="M3381" t="str">
        <f>IFERROR(VLOOKUP(VALUE(J3381),'Site Info'!$A:$G,5,FALSE),"")</f>
        <v>FL</v>
      </c>
      <c r="N3381" t="str">
        <f>IFERROR(VLOOKUP(VALUE(J3381),'Site Info'!$A:$G,6,FALSE),"")</f>
        <v>33126-1509</v>
      </c>
      <c r="O3381">
        <f>IFERROR(VLOOKUP(VALUE(J3381),'Site Info'!$A:$G,7,FALSE),"")</f>
        <v>3054639384</v>
      </c>
    </row>
    <row r="3382" spans="1:15" x14ac:dyDescent="0.45">
      <c r="A3382" t="s">
        <v>10785</v>
      </c>
      <c r="B3382" t="s">
        <v>10786</v>
      </c>
      <c r="C3382" t="s">
        <v>10787</v>
      </c>
      <c r="D3382" t="s">
        <v>9562</v>
      </c>
      <c r="E3382" s="1">
        <v>46151.943645833337</v>
      </c>
      <c r="F3382">
        <v>1547</v>
      </c>
      <c r="G3382" t="s">
        <v>10788</v>
      </c>
      <c r="H3382" t="s">
        <v>15</v>
      </c>
      <c r="I3382" t="s">
        <v>9564</v>
      </c>
      <c r="J3382" t="str">
        <f>RIGHT(D3382,4)</f>
        <v>6217</v>
      </c>
      <c r="K3382" t="str">
        <f>IFERROR(VLOOKUP(VALUE(J3382),'Site Info'!$A:$G,3,FALSE),"")</f>
        <v>8425 NW 13TH TER</v>
      </c>
      <c r="L3382" t="str">
        <f>IFERROR(VLOOKUP(VALUE(J3382),'Site Info'!$A:$G,4,FALSE),"")</f>
        <v>MIAMI</v>
      </c>
      <c r="M3382" t="str">
        <f>IFERROR(VLOOKUP(VALUE(J3382),'Site Info'!$A:$G,5,FALSE),"")</f>
        <v>FL</v>
      </c>
      <c r="N3382" t="str">
        <f>IFERROR(VLOOKUP(VALUE(J3382),'Site Info'!$A:$G,6,FALSE),"")</f>
        <v>33126-1509</v>
      </c>
      <c r="O3382">
        <f>IFERROR(VLOOKUP(VALUE(J3382),'Site Info'!$A:$G,7,FALSE),"")</f>
        <v>3054639384</v>
      </c>
    </row>
    <row r="3383" spans="1:15" x14ac:dyDescent="0.45">
      <c r="A3383" t="s">
        <v>10919</v>
      </c>
      <c r="B3383" t="s">
        <v>10920</v>
      </c>
      <c r="C3383" t="s">
        <v>10921</v>
      </c>
      <c r="D3383" t="s">
        <v>9562</v>
      </c>
      <c r="E3383" s="1">
        <v>46152.609490740739</v>
      </c>
      <c r="F3383">
        <v>1547</v>
      </c>
      <c r="G3383" t="s">
        <v>10922</v>
      </c>
      <c r="H3383" t="s">
        <v>15</v>
      </c>
      <c r="I3383" t="s">
        <v>9564</v>
      </c>
      <c r="J3383" t="str">
        <f>RIGHT(D3383,4)</f>
        <v>6217</v>
      </c>
      <c r="K3383" t="str">
        <f>IFERROR(VLOOKUP(VALUE(J3383),'Site Info'!$A:$G,3,FALSE),"")</f>
        <v>8425 NW 13TH TER</v>
      </c>
      <c r="L3383" t="str">
        <f>IFERROR(VLOOKUP(VALUE(J3383),'Site Info'!$A:$G,4,FALSE),"")</f>
        <v>MIAMI</v>
      </c>
      <c r="M3383" t="str">
        <f>IFERROR(VLOOKUP(VALUE(J3383),'Site Info'!$A:$G,5,FALSE),"")</f>
        <v>FL</v>
      </c>
      <c r="N3383" t="str">
        <f>IFERROR(VLOOKUP(VALUE(J3383),'Site Info'!$A:$G,6,FALSE),"")</f>
        <v>33126-1509</v>
      </c>
      <c r="O3383">
        <f>IFERROR(VLOOKUP(VALUE(J3383),'Site Info'!$A:$G,7,FALSE),"")</f>
        <v>3054639384</v>
      </c>
    </row>
    <row r="3384" spans="1:15" x14ac:dyDescent="0.45">
      <c r="A3384" t="s">
        <v>9629</v>
      </c>
      <c r="B3384" t="s">
        <v>9630</v>
      </c>
      <c r="C3384" t="s">
        <v>9631</v>
      </c>
      <c r="D3384" t="s">
        <v>9562</v>
      </c>
      <c r="E3384" s="1">
        <v>46152.797002314815</v>
      </c>
      <c r="F3384">
        <v>1547</v>
      </c>
      <c r="G3384" t="s">
        <v>9632</v>
      </c>
      <c r="H3384" t="s">
        <v>15</v>
      </c>
      <c r="I3384" t="s">
        <v>9564</v>
      </c>
      <c r="J3384" t="str">
        <f>RIGHT(D3384,4)</f>
        <v>6217</v>
      </c>
      <c r="K3384" t="str">
        <f>IFERROR(VLOOKUP(VALUE(J3384),'Site Info'!$A:$G,3,FALSE),"")</f>
        <v>8425 NW 13TH TER</v>
      </c>
      <c r="L3384" t="str">
        <f>IFERROR(VLOOKUP(VALUE(J3384),'Site Info'!$A:$G,4,FALSE),"")</f>
        <v>MIAMI</v>
      </c>
      <c r="M3384" t="str">
        <f>IFERROR(VLOOKUP(VALUE(J3384),'Site Info'!$A:$G,5,FALSE),"")</f>
        <v>FL</v>
      </c>
      <c r="N3384" t="str">
        <f>IFERROR(VLOOKUP(VALUE(J3384),'Site Info'!$A:$G,6,FALSE),"")</f>
        <v>33126-1509</v>
      </c>
      <c r="O3384">
        <f>IFERROR(VLOOKUP(VALUE(J3384),'Site Info'!$A:$G,7,FALSE),"")</f>
        <v>3054639384</v>
      </c>
    </row>
    <row r="3385" spans="1:15" x14ac:dyDescent="0.45">
      <c r="A3385" t="s">
        <v>10857</v>
      </c>
      <c r="B3385" t="s">
        <v>10858</v>
      </c>
      <c r="C3385" t="s">
        <v>10859</v>
      </c>
      <c r="D3385" t="s">
        <v>9562</v>
      </c>
      <c r="E3385" s="1">
        <v>46153.366979166669</v>
      </c>
      <c r="F3385">
        <v>1547</v>
      </c>
      <c r="G3385" t="s">
        <v>10860</v>
      </c>
      <c r="H3385" t="s">
        <v>15</v>
      </c>
      <c r="I3385" t="s">
        <v>9564</v>
      </c>
      <c r="J3385" t="str">
        <f>RIGHT(D3385,4)</f>
        <v>6217</v>
      </c>
      <c r="K3385" t="str">
        <f>IFERROR(VLOOKUP(VALUE(J3385),'Site Info'!$A:$G,3,FALSE),"")</f>
        <v>8425 NW 13TH TER</v>
      </c>
      <c r="L3385" t="str">
        <f>IFERROR(VLOOKUP(VALUE(J3385),'Site Info'!$A:$G,4,FALSE),"")</f>
        <v>MIAMI</v>
      </c>
      <c r="M3385" t="str">
        <f>IFERROR(VLOOKUP(VALUE(J3385),'Site Info'!$A:$G,5,FALSE),"")</f>
        <v>FL</v>
      </c>
      <c r="N3385" t="str">
        <f>IFERROR(VLOOKUP(VALUE(J3385),'Site Info'!$A:$G,6,FALSE),"")</f>
        <v>33126-1509</v>
      </c>
      <c r="O3385">
        <f>IFERROR(VLOOKUP(VALUE(J3385),'Site Info'!$A:$G,7,FALSE),"")</f>
        <v>3054639384</v>
      </c>
    </row>
    <row r="3386" spans="1:15" x14ac:dyDescent="0.45">
      <c r="A3386" t="s">
        <v>16617</v>
      </c>
      <c r="B3386" t="s">
        <v>16618</v>
      </c>
      <c r="C3386" t="s">
        <v>16619</v>
      </c>
      <c r="D3386" t="s">
        <v>9562</v>
      </c>
      <c r="E3386" s="1">
        <v>46151.74596064815</v>
      </c>
      <c r="F3386">
        <v>1547</v>
      </c>
      <c r="G3386" t="s">
        <v>16620</v>
      </c>
      <c r="H3386" t="s">
        <v>15</v>
      </c>
      <c r="I3386" t="s">
        <v>9564</v>
      </c>
      <c r="J3386" t="str">
        <f>RIGHT(D3386,4)</f>
        <v>6217</v>
      </c>
      <c r="K3386" t="str">
        <f>IFERROR(VLOOKUP(VALUE(J3386),'Site Info'!$A:$G,3,FALSE),"")</f>
        <v>8425 NW 13TH TER</v>
      </c>
      <c r="L3386" t="str">
        <f>IFERROR(VLOOKUP(VALUE(J3386),'Site Info'!$A:$G,4,FALSE),"")</f>
        <v>MIAMI</v>
      </c>
      <c r="M3386" t="str">
        <f>IFERROR(VLOOKUP(VALUE(J3386),'Site Info'!$A:$G,5,FALSE),"")</f>
        <v>FL</v>
      </c>
      <c r="N3386" t="str">
        <f>IFERROR(VLOOKUP(VALUE(J3386),'Site Info'!$A:$G,6,FALSE),"")</f>
        <v>33126-1509</v>
      </c>
      <c r="O3386">
        <f>IFERROR(VLOOKUP(VALUE(J3386),'Site Info'!$A:$G,7,FALSE),"")</f>
        <v>3054639384</v>
      </c>
    </row>
    <row r="3387" spans="1:15" x14ac:dyDescent="0.45">
      <c r="A3387" t="s">
        <v>16621</v>
      </c>
      <c r="B3387" t="s">
        <v>16622</v>
      </c>
      <c r="C3387" t="s">
        <v>16623</v>
      </c>
      <c r="D3387" t="s">
        <v>9562</v>
      </c>
      <c r="E3387" s="1">
        <v>46150.615787037037</v>
      </c>
      <c r="F3387">
        <v>1481</v>
      </c>
      <c r="G3387" t="s">
        <v>16624</v>
      </c>
      <c r="H3387" t="s">
        <v>15</v>
      </c>
      <c r="I3387" t="s">
        <v>9564</v>
      </c>
      <c r="J3387" t="str">
        <f>RIGHT(D3387,4)</f>
        <v>6217</v>
      </c>
      <c r="K3387" t="str">
        <f>IFERROR(VLOOKUP(VALUE(J3387),'Site Info'!$A:$G,3,FALSE),"")</f>
        <v>8425 NW 13TH TER</v>
      </c>
      <c r="L3387" t="str">
        <f>IFERROR(VLOOKUP(VALUE(J3387),'Site Info'!$A:$G,4,FALSE),"")</f>
        <v>MIAMI</v>
      </c>
      <c r="M3387" t="str">
        <f>IFERROR(VLOOKUP(VALUE(J3387),'Site Info'!$A:$G,5,FALSE),"")</f>
        <v>FL</v>
      </c>
      <c r="N3387" t="str">
        <f>IFERROR(VLOOKUP(VALUE(J3387),'Site Info'!$A:$G,6,FALSE),"")</f>
        <v>33126-1509</v>
      </c>
      <c r="O3387">
        <f>IFERROR(VLOOKUP(VALUE(J3387),'Site Info'!$A:$G,7,FALSE),"")</f>
        <v>3054639384</v>
      </c>
    </row>
    <row r="3388" spans="1:15" x14ac:dyDescent="0.45">
      <c r="A3388" t="s">
        <v>11480</v>
      </c>
      <c r="B3388" t="s">
        <v>11481</v>
      </c>
      <c r="C3388" t="s">
        <v>11482</v>
      </c>
      <c r="D3388" t="s">
        <v>191</v>
      </c>
      <c r="E3388" s="1">
        <v>46152.512569444443</v>
      </c>
      <c r="F3388">
        <v>1547</v>
      </c>
      <c r="G3388" t="s">
        <v>11483</v>
      </c>
      <c r="H3388" t="s">
        <v>15</v>
      </c>
      <c r="I3388" t="s">
        <v>193</v>
      </c>
      <c r="J3388" t="str">
        <f>RIGHT(D3388,4)</f>
        <v>8256</v>
      </c>
      <c r="K3388" t="str">
        <f>IFERROR(VLOOKUP(VALUE(J3388),'Site Info'!$A:$G,3,FALSE),"")</f>
        <v>8435 WALBROOK DR</v>
      </c>
      <c r="L3388" t="str">
        <f>IFERROR(VLOOKUP(VALUE(J3388),'Site Info'!$A:$G,4,FALSE),"")</f>
        <v>KNOXVILLE</v>
      </c>
      <c r="M3388" t="str">
        <f>IFERROR(VLOOKUP(VALUE(J3388),'Site Info'!$A:$G,5,FALSE),"")</f>
        <v>TN</v>
      </c>
      <c r="N3388" t="str">
        <f>IFERROR(VLOOKUP(VALUE(J3388),'Site Info'!$A:$G,6,FALSE),"")</f>
        <v>37923-3115</v>
      </c>
      <c r="O3388">
        <f>IFERROR(VLOOKUP(VALUE(J3388),'Site Info'!$A:$G,7,FALSE),"")</f>
        <v>8656942168</v>
      </c>
    </row>
    <row r="3389" spans="1:15" x14ac:dyDescent="0.45">
      <c r="A3389" t="s">
        <v>13086</v>
      </c>
      <c r="B3389" t="s">
        <v>13087</v>
      </c>
      <c r="C3389" t="s">
        <v>13088</v>
      </c>
      <c r="D3389" t="s">
        <v>191</v>
      </c>
      <c r="E3389" s="1">
        <v>46152.622175925928</v>
      </c>
      <c r="F3389">
        <v>1547</v>
      </c>
      <c r="G3389" t="s">
        <v>13089</v>
      </c>
      <c r="H3389" t="s">
        <v>15</v>
      </c>
      <c r="I3389" t="s">
        <v>193</v>
      </c>
      <c r="J3389" t="str">
        <f>RIGHT(D3389,4)</f>
        <v>8256</v>
      </c>
      <c r="K3389" t="str">
        <f>IFERROR(VLOOKUP(VALUE(J3389),'Site Info'!$A:$G,3,FALSE),"")</f>
        <v>8435 WALBROOK DR</v>
      </c>
      <c r="L3389" t="str">
        <f>IFERROR(VLOOKUP(VALUE(J3389),'Site Info'!$A:$G,4,FALSE),"")</f>
        <v>KNOXVILLE</v>
      </c>
      <c r="M3389" t="str">
        <f>IFERROR(VLOOKUP(VALUE(J3389),'Site Info'!$A:$G,5,FALSE),"")</f>
        <v>TN</v>
      </c>
      <c r="N3389" t="str">
        <f>IFERROR(VLOOKUP(VALUE(J3389),'Site Info'!$A:$G,6,FALSE),"")</f>
        <v>37923-3115</v>
      </c>
      <c r="O3389">
        <f>IFERROR(VLOOKUP(VALUE(J3389),'Site Info'!$A:$G,7,FALSE),"")</f>
        <v>8656942168</v>
      </c>
    </row>
    <row r="3390" spans="1:15" x14ac:dyDescent="0.45">
      <c r="A3390" t="s">
        <v>9625</v>
      </c>
      <c r="B3390" t="s">
        <v>9626</v>
      </c>
      <c r="C3390" t="s">
        <v>9627</v>
      </c>
      <c r="D3390" t="s">
        <v>191</v>
      </c>
      <c r="E3390" s="1">
        <v>46152.836180555554</v>
      </c>
      <c r="F3390">
        <v>1547</v>
      </c>
      <c r="G3390" t="s">
        <v>9628</v>
      </c>
      <c r="H3390" t="s">
        <v>15</v>
      </c>
      <c r="I3390" t="s">
        <v>193</v>
      </c>
      <c r="J3390" t="str">
        <f>RIGHT(D3390,4)</f>
        <v>8256</v>
      </c>
      <c r="K3390" t="str">
        <f>IFERROR(VLOOKUP(VALUE(J3390),'Site Info'!$A:$G,3,FALSE),"")</f>
        <v>8435 WALBROOK DR</v>
      </c>
      <c r="L3390" t="str">
        <f>IFERROR(VLOOKUP(VALUE(J3390),'Site Info'!$A:$G,4,FALSE),"")</f>
        <v>KNOXVILLE</v>
      </c>
      <c r="M3390" t="str">
        <f>IFERROR(VLOOKUP(VALUE(J3390),'Site Info'!$A:$G,5,FALSE),"")</f>
        <v>TN</v>
      </c>
      <c r="N3390" t="str">
        <f>IFERROR(VLOOKUP(VALUE(J3390),'Site Info'!$A:$G,6,FALSE),"")</f>
        <v>37923-3115</v>
      </c>
      <c r="O3390">
        <f>IFERROR(VLOOKUP(VALUE(J3390),'Site Info'!$A:$G,7,FALSE),"")</f>
        <v>8656942168</v>
      </c>
    </row>
    <row r="3391" spans="1:15" x14ac:dyDescent="0.45">
      <c r="A3391" t="s">
        <v>96</v>
      </c>
      <c r="B3391" t="s">
        <v>189</v>
      </c>
      <c r="C3391" t="s">
        <v>190</v>
      </c>
      <c r="D3391" t="s">
        <v>191</v>
      </c>
      <c r="E3391" s="1">
        <v>46153.329780092594</v>
      </c>
      <c r="F3391">
        <v>1481</v>
      </c>
      <c r="G3391" t="s">
        <v>192</v>
      </c>
      <c r="H3391" t="s">
        <v>15</v>
      </c>
      <c r="I3391" t="s">
        <v>193</v>
      </c>
      <c r="J3391" t="str">
        <f>RIGHT(D3391,4)</f>
        <v>8256</v>
      </c>
      <c r="K3391" t="str">
        <f>IFERROR(VLOOKUP(VALUE(J3391),'Site Info'!$A:$G,3,FALSE),"")</f>
        <v>8435 WALBROOK DR</v>
      </c>
      <c r="L3391" t="str">
        <f>IFERROR(VLOOKUP(VALUE(J3391),'Site Info'!$A:$G,4,FALSE),"")</f>
        <v>KNOXVILLE</v>
      </c>
      <c r="M3391" t="str">
        <f>IFERROR(VLOOKUP(VALUE(J3391),'Site Info'!$A:$G,5,FALSE),"")</f>
        <v>TN</v>
      </c>
      <c r="N3391" t="str">
        <f>IFERROR(VLOOKUP(VALUE(J3391),'Site Info'!$A:$G,6,FALSE),"")</f>
        <v>37923-3115</v>
      </c>
      <c r="O3391">
        <f>IFERROR(VLOOKUP(VALUE(J3391),'Site Info'!$A:$G,7,FALSE),"")</f>
        <v>8656942168</v>
      </c>
    </row>
    <row r="3392" spans="1:15" x14ac:dyDescent="0.45">
      <c r="A3392" t="s">
        <v>1136</v>
      </c>
      <c r="B3392" t="s">
        <v>1137</v>
      </c>
      <c r="C3392" t="s">
        <v>1138</v>
      </c>
      <c r="D3392" t="s">
        <v>191</v>
      </c>
      <c r="E3392" s="1">
        <v>46153.331284722219</v>
      </c>
      <c r="F3392">
        <v>1481</v>
      </c>
      <c r="G3392" t="s">
        <v>1139</v>
      </c>
      <c r="H3392" t="s">
        <v>15</v>
      </c>
      <c r="I3392" t="s">
        <v>193</v>
      </c>
      <c r="J3392" t="str">
        <f>RIGHT(D3392,4)</f>
        <v>8256</v>
      </c>
      <c r="K3392" t="str">
        <f>IFERROR(VLOOKUP(VALUE(J3392),'Site Info'!$A:$G,3,FALSE),"")</f>
        <v>8435 WALBROOK DR</v>
      </c>
      <c r="L3392" t="str">
        <f>IFERROR(VLOOKUP(VALUE(J3392),'Site Info'!$A:$G,4,FALSE),"")</f>
        <v>KNOXVILLE</v>
      </c>
      <c r="M3392" t="str">
        <f>IFERROR(VLOOKUP(VALUE(J3392),'Site Info'!$A:$G,5,FALSE),"")</f>
        <v>TN</v>
      </c>
      <c r="N3392" t="str">
        <f>IFERROR(VLOOKUP(VALUE(J3392),'Site Info'!$A:$G,6,FALSE),"")</f>
        <v>37923-3115</v>
      </c>
      <c r="O3392">
        <f>IFERROR(VLOOKUP(VALUE(J3392),'Site Info'!$A:$G,7,FALSE),"")</f>
        <v>8656942168</v>
      </c>
    </row>
    <row r="3393" spans="1:15" x14ac:dyDescent="0.45">
      <c r="A3393" t="s">
        <v>16489</v>
      </c>
      <c r="B3393" t="s">
        <v>17226</v>
      </c>
      <c r="C3393" t="s">
        <v>17227</v>
      </c>
      <c r="D3393" t="s">
        <v>191</v>
      </c>
      <c r="E3393" s="1">
        <v>46153.259953703702</v>
      </c>
      <c r="F3393">
        <v>1547</v>
      </c>
      <c r="G3393" t="s">
        <v>17228</v>
      </c>
      <c r="H3393" t="s">
        <v>15</v>
      </c>
      <c r="I3393" t="s">
        <v>193</v>
      </c>
      <c r="J3393" t="str">
        <f>RIGHT(D3393,4)</f>
        <v>8256</v>
      </c>
      <c r="K3393" t="str">
        <f>IFERROR(VLOOKUP(VALUE(J3393),'Site Info'!$A:$G,3,FALSE),"")</f>
        <v>8435 WALBROOK DR</v>
      </c>
      <c r="L3393" t="str">
        <f>IFERROR(VLOOKUP(VALUE(J3393),'Site Info'!$A:$G,4,FALSE),"")</f>
        <v>KNOXVILLE</v>
      </c>
      <c r="M3393" t="str">
        <f>IFERROR(VLOOKUP(VALUE(J3393),'Site Info'!$A:$G,5,FALSE),"")</f>
        <v>TN</v>
      </c>
      <c r="N3393" t="str">
        <f>IFERROR(VLOOKUP(VALUE(J3393),'Site Info'!$A:$G,6,FALSE),"")</f>
        <v>37923-3115</v>
      </c>
      <c r="O3393">
        <f>IFERROR(VLOOKUP(VALUE(J3393),'Site Info'!$A:$G,7,FALSE),"")</f>
        <v>8656942168</v>
      </c>
    </row>
    <row r="3394" spans="1:15" x14ac:dyDescent="0.45">
      <c r="A3394" t="s">
        <v>17229</v>
      </c>
      <c r="B3394" t="s">
        <v>17230</v>
      </c>
      <c r="C3394" t="s">
        <v>17231</v>
      </c>
      <c r="D3394" t="s">
        <v>191</v>
      </c>
      <c r="E3394" s="1">
        <v>46153.372083333335</v>
      </c>
      <c r="F3394">
        <v>1547</v>
      </c>
      <c r="G3394" t="s">
        <v>17232</v>
      </c>
      <c r="H3394" t="s">
        <v>15</v>
      </c>
      <c r="I3394" t="s">
        <v>193</v>
      </c>
      <c r="J3394" t="str">
        <f>RIGHT(D3394,4)</f>
        <v>8256</v>
      </c>
      <c r="K3394" t="str">
        <f>IFERROR(VLOOKUP(VALUE(J3394),'Site Info'!$A:$G,3,FALSE),"")</f>
        <v>8435 WALBROOK DR</v>
      </c>
      <c r="L3394" t="str">
        <f>IFERROR(VLOOKUP(VALUE(J3394),'Site Info'!$A:$G,4,FALSE),"")</f>
        <v>KNOXVILLE</v>
      </c>
      <c r="M3394" t="str">
        <f>IFERROR(VLOOKUP(VALUE(J3394),'Site Info'!$A:$G,5,FALSE),"")</f>
        <v>TN</v>
      </c>
      <c r="N3394" t="str">
        <f>IFERROR(VLOOKUP(VALUE(J3394),'Site Info'!$A:$G,6,FALSE),"")</f>
        <v>37923-3115</v>
      </c>
      <c r="O3394">
        <f>IFERROR(VLOOKUP(VALUE(J3394),'Site Info'!$A:$G,7,FALSE),"")</f>
        <v>8656942168</v>
      </c>
    </row>
    <row r="3395" spans="1:15" x14ac:dyDescent="0.45">
      <c r="A3395" t="s">
        <v>8877</v>
      </c>
      <c r="B3395" t="s">
        <v>8878</v>
      </c>
      <c r="C3395" t="s">
        <v>8879</v>
      </c>
      <c r="D3395" t="s">
        <v>1051</v>
      </c>
      <c r="E3395" s="1">
        <v>46151.321331018517</v>
      </c>
      <c r="F3395">
        <v>1547</v>
      </c>
      <c r="G3395" t="s">
        <v>8880</v>
      </c>
      <c r="H3395" t="s">
        <v>15</v>
      </c>
      <c r="I3395" t="s">
        <v>1053</v>
      </c>
      <c r="J3395" t="str">
        <f>RIGHT(D3395,4)</f>
        <v>4873</v>
      </c>
      <c r="K3395" t="str">
        <f>IFERROR(VLOOKUP(VALUE(J3395),'Site Info'!$A:$G,3,FALSE),"")</f>
        <v>8480 ANDERMATT DR</v>
      </c>
      <c r="L3395" t="str">
        <f>IFERROR(VLOOKUP(VALUE(J3395),'Site Info'!$A:$G,4,FALSE),"")</f>
        <v>LINCOLN</v>
      </c>
      <c r="M3395" t="str">
        <f>IFERROR(VLOOKUP(VALUE(J3395),'Site Info'!$A:$G,5,FALSE),"")</f>
        <v>NE</v>
      </c>
      <c r="N3395" t="str">
        <f>IFERROR(VLOOKUP(VALUE(J3395),'Site Info'!$A:$G,6,FALSE),"")</f>
        <v>68526-0000</v>
      </c>
      <c r="O3395">
        <f>IFERROR(VLOOKUP(VALUE(J3395),'Site Info'!$A:$G,7,FALSE),"")</f>
        <v>4029756902</v>
      </c>
    </row>
    <row r="3396" spans="1:15" x14ac:dyDescent="0.45">
      <c r="A3396" t="s">
        <v>8785</v>
      </c>
      <c r="B3396" t="s">
        <v>8786</v>
      </c>
      <c r="C3396" t="s">
        <v>8787</v>
      </c>
      <c r="D3396" t="s">
        <v>1051</v>
      </c>
      <c r="E3396" s="1">
        <v>46152.613402777781</v>
      </c>
      <c r="F3396">
        <v>1547</v>
      </c>
      <c r="G3396" t="s">
        <v>8788</v>
      </c>
      <c r="H3396" t="s">
        <v>15</v>
      </c>
      <c r="I3396" t="s">
        <v>1053</v>
      </c>
      <c r="J3396" t="str">
        <f>RIGHT(D3396,4)</f>
        <v>4873</v>
      </c>
      <c r="K3396" t="str">
        <f>IFERROR(VLOOKUP(VALUE(J3396),'Site Info'!$A:$G,3,FALSE),"")</f>
        <v>8480 ANDERMATT DR</v>
      </c>
      <c r="L3396" t="str">
        <f>IFERROR(VLOOKUP(VALUE(J3396),'Site Info'!$A:$G,4,FALSE),"")</f>
        <v>LINCOLN</v>
      </c>
      <c r="M3396" t="str">
        <f>IFERROR(VLOOKUP(VALUE(J3396),'Site Info'!$A:$G,5,FALSE),"")</f>
        <v>NE</v>
      </c>
      <c r="N3396" t="str">
        <f>IFERROR(VLOOKUP(VALUE(J3396),'Site Info'!$A:$G,6,FALSE),"")</f>
        <v>68526-0000</v>
      </c>
      <c r="O3396">
        <f>IFERROR(VLOOKUP(VALUE(J3396),'Site Info'!$A:$G,7,FALSE),"")</f>
        <v>4029756902</v>
      </c>
    </row>
    <row r="3397" spans="1:15" x14ac:dyDescent="0.45">
      <c r="A3397" t="s">
        <v>8227</v>
      </c>
      <c r="B3397" t="s">
        <v>8228</v>
      </c>
      <c r="C3397" t="s">
        <v>8229</v>
      </c>
      <c r="D3397" t="s">
        <v>1051</v>
      </c>
      <c r="E3397" s="1">
        <v>46152.669074074074</v>
      </c>
      <c r="F3397">
        <v>1547</v>
      </c>
      <c r="G3397" t="s">
        <v>8230</v>
      </c>
      <c r="H3397" t="s">
        <v>15</v>
      </c>
      <c r="I3397" t="s">
        <v>1053</v>
      </c>
      <c r="J3397" t="str">
        <f>RIGHT(D3397,4)</f>
        <v>4873</v>
      </c>
      <c r="K3397" t="str">
        <f>IFERROR(VLOOKUP(VALUE(J3397),'Site Info'!$A:$G,3,FALSE),"")</f>
        <v>8480 ANDERMATT DR</v>
      </c>
      <c r="L3397" t="str">
        <f>IFERROR(VLOOKUP(VALUE(J3397),'Site Info'!$A:$G,4,FALSE),"")</f>
        <v>LINCOLN</v>
      </c>
      <c r="M3397" t="str">
        <f>IFERROR(VLOOKUP(VALUE(J3397),'Site Info'!$A:$G,5,FALSE),"")</f>
        <v>NE</v>
      </c>
      <c r="N3397" t="str">
        <f>IFERROR(VLOOKUP(VALUE(J3397),'Site Info'!$A:$G,6,FALSE),"")</f>
        <v>68526-0000</v>
      </c>
      <c r="O3397">
        <f>IFERROR(VLOOKUP(VALUE(J3397),'Site Info'!$A:$G,7,FALSE),"")</f>
        <v>4029756902</v>
      </c>
    </row>
    <row r="3398" spans="1:15" x14ac:dyDescent="0.45">
      <c r="A3398" t="s">
        <v>8029</v>
      </c>
      <c r="B3398" t="s">
        <v>8030</v>
      </c>
      <c r="C3398" t="s">
        <v>8031</v>
      </c>
      <c r="D3398" t="s">
        <v>1051</v>
      </c>
      <c r="E3398" s="1">
        <v>46152.739108796297</v>
      </c>
      <c r="F3398">
        <v>1547</v>
      </c>
      <c r="G3398" t="s">
        <v>8032</v>
      </c>
      <c r="H3398" t="s">
        <v>15</v>
      </c>
      <c r="I3398" t="s">
        <v>1053</v>
      </c>
      <c r="J3398" t="str">
        <f>RIGHT(D3398,4)</f>
        <v>4873</v>
      </c>
      <c r="K3398" t="str">
        <f>IFERROR(VLOOKUP(VALUE(J3398),'Site Info'!$A:$G,3,FALSE),"")</f>
        <v>8480 ANDERMATT DR</v>
      </c>
      <c r="L3398" t="str">
        <f>IFERROR(VLOOKUP(VALUE(J3398),'Site Info'!$A:$G,4,FALSE),"")</f>
        <v>LINCOLN</v>
      </c>
      <c r="M3398" t="str">
        <f>IFERROR(VLOOKUP(VALUE(J3398),'Site Info'!$A:$G,5,FALSE),"")</f>
        <v>NE</v>
      </c>
      <c r="N3398" t="str">
        <f>IFERROR(VLOOKUP(VALUE(J3398),'Site Info'!$A:$G,6,FALSE),"")</f>
        <v>68526-0000</v>
      </c>
      <c r="O3398">
        <f>IFERROR(VLOOKUP(VALUE(J3398),'Site Info'!$A:$G,7,FALSE),"")</f>
        <v>4029756902</v>
      </c>
    </row>
    <row r="3399" spans="1:15" x14ac:dyDescent="0.45">
      <c r="A3399" t="s">
        <v>8397</v>
      </c>
      <c r="B3399" t="s">
        <v>8398</v>
      </c>
      <c r="C3399" t="s">
        <v>8399</v>
      </c>
      <c r="D3399" t="s">
        <v>1051</v>
      </c>
      <c r="E3399" s="1">
        <v>46153.083668981482</v>
      </c>
      <c r="F3399">
        <v>1547</v>
      </c>
      <c r="G3399" t="s">
        <v>8400</v>
      </c>
      <c r="H3399" t="s">
        <v>15</v>
      </c>
      <c r="I3399" t="s">
        <v>1053</v>
      </c>
      <c r="J3399" t="str">
        <f>RIGHT(D3399,4)</f>
        <v>4873</v>
      </c>
      <c r="K3399" t="str">
        <f>IFERROR(VLOOKUP(VALUE(J3399),'Site Info'!$A:$G,3,FALSE),"")</f>
        <v>8480 ANDERMATT DR</v>
      </c>
      <c r="L3399" t="str">
        <f>IFERROR(VLOOKUP(VALUE(J3399),'Site Info'!$A:$G,4,FALSE),"")</f>
        <v>LINCOLN</v>
      </c>
      <c r="M3399" t="str">
        <f>IFERROR(VLOOKUP(VALUE(J3399),'Site Info'!$A:$G,5,FALSE),"")</f>
        <v>NE</v>
      </c>
      <c r="N3399" t="str">
        <f>IFERROR(VLOOKUP(VALUE(J3399),'Site Info'!$A:$G,6,FALSE),"")</f>
        <v>68526-0000</v>
      </c>
      <c r="O3399">
        <f>IFERROR(VLOOKUP(VALUE(J3399),'Site Info'!$A:$G,7,FALSE),"")</f>
        <v>4029756902</v>
      </c>
    </row>
    <row r="3400" spans="1:15" x14ac:dyDescent="0.45">
      <c r="A3400" t="s">
        <v>1048</v>
      </c>
      <c r="B3400" t="s">
        <v>1049</v>
      </c>
      <c r="C3400" t="s">
        <v>1050</v>
      </c>
      <c r="D3400" t="s">
        <v>1051</v>
      </c>
      <c r="E3400" s="1">
        <v>46153.177974537037</v>
      </c>
      <c r="F3400">
        <v>1481</v>
      </c>
      <c r="G3400" t="s">
        <v>1052</v>
      </c>
      <c r="H3400" t="s">
        <v>15</v>
      </c>
      <c r="I3400" t="s">
        <v>1053</v>
      </c>
      <c r="J3400" t="str">
        <f>RIGHT(D3400,4)</f>
        <v>4873</v>
      </c>
      <c r="K3400" t="str">
        <f>IFERROR(VLOOKUP(VALUE(J3400),'Site Info'!$A:$G,3,FALSE),"")</f>
        <v>8480 ANDERMATT DR</v>
      </c>
      <c r="L3400" t="str">
        <f>IFERROR(VLOOKUP(VALUE(J3400),'Site Info'!$A:$G,4,FALSE),"")</f>
        <v>LINCOLN</v>
      </c>
      <c r="M3400" t="str">
        <f>IFERROR(VLOOKUP(VALUE(J3400),'Site Info'!$A:$G,5,FALSE),"")</f>
        <v>NE</v>
      </c>
      <c r="N3400" t="str">
        <f>IFERROR(VLOOKUP(VALUE(J3400),'Site Info'!$A:$G,6,FALSE),"")</f>
        <v>68526-0000</v>
      </c>
      <c r="O3400">
        <f>IFERROR(VLOOKUP(VALUE(J3400),'Site Info'!$A:$G,7,FALSE),"")</f>
        <v>4029756902</v>
      </c>
    </row>
    <row r="3401" spans="1:15" x14ac:dyDescent="0.45">
      <c r="A3401" t="s">
        <v>2459</v>
      </c>
      <c r="B3401" t="s">
        <v>2460</v>
      </c>
      <c r="C3401" t="s">
        <v>2461</v>
      </c>
      <c r="D3401" t="s">
        <v>1051</v>
      </c>
      <c r="E3401" s="1">
        <v>46153.246192129627</v>
      </c>
      <c r="F3401">
        <v>1481</v>
      </c>
      <c r="G3401" t="s">
        <v>2462</v>
      </c>
      <c r="H3401" t="s">
        <v>15</v>
      </c>
      <c r="I3401" t="s">
        <v>1053</v>
      </c>
      <c r="J3401" t="str">
        <f>RIGHT(D3401,4)</f>
        <v>4873</v>
      </c>
      <c r="K3401" t="str">
        <f>IFERROR(VLOOKUP(VALUE(J3401),'Site Info'!$A:$G,3,FALSE),"")</f>
        <v>8480 ANDERMATT DR</v>
      </c>
      <c r="L3401" t="str">
        <f>IFERROR(VLOOKUP(VALUE(J3401),'Site Info'!$A:$G,4,FALSE),"")</f>
        <v>LINCOLN</v>
      </c>
      <c r="M3401" t="str">
        <f>IFERROR(VLOOKUP(VALUE(J3401),'Site Info'!$A:$G,5,FALSE),"")</f>
        <v>NE</v>
      </c>
      <c r="N3401" t="str">
        <f>IFERROR(VLOOKUP(VALUE(J3401),'Site Info'!$A:$G,6,FALSE),"")</f>
        <v>68526-0000</v>
      </c>
      <c r="O3401">
        <f>IFERROR(VLOOKUP(VALUE(J3401),'Site Info'!$A:$G,7,FALSE),"")</f>
        <v>4029756902</v>
      </c>
    </row>
    <row r="3402" spans="1:15" x14ac:dyDescent="0.45">
      <c r="A3402" t="s">
        <v>7605</v>
      </c>
      <c r="B3402" t="s">
        <v>7606</v>
      </c>
      <c r="C3402" t="s">
        <v>7607</v>
      </c>
      <c r="D3402" t="s">
        <v>3696</v>
      </c>
      <c r="E3402" s="1">
        <v>46151.769050925926</v>
      </c>
      <c r="F3402">
        <v>1547</v>
      </c>
      <c r="G3402" t="s">
        <v>7608</v>
      </c>
      <c r="H3402" t="s">
        <v>15</v>
      </c>
      <c r="I3402" t="s">
        <v>3698</v>
      </c>
      <c r="J3402" t="str">
        <f>RIGHT(D3402,4)</f>
        <v>6260</v>
      </c>
      <c r="K3402" t="str">
        <f>IFERROR(VLOOKUP(VALUE(J3402),'Site Info'!$A:$G,3,FALSE),"")</f>
        <v>8480 HWY 64</v>
      </c>
      <c r="L3402" t="str">
        <f>IFERROR(VLOOKUP(VALUE(J3402),'Site Info'!$A:$G,4,FALSE),"")</f>
        <v>BARTLETT</v>
      </c>
      <c r="M3402" t="str">
        <f>IFERROR(VLOOKUP(VALUE(J3402),'Site Info'!$A:$G,5,FALSE),"")</f>
        <v>TN</v>
      </c>
      <c r="N3402" t="str">
        <f>IFERROR(VLOOKUP(VALUE(J3402),'Site Info'!$A:$G,6,FALSE),"")</f>
        <v>38133-4187</v>
      </c>
      <c r="O3402">
        <f>IFERROR(VLOOKUP(VALUE(J3402),'Site Info'!$A:$G,7,FALSE),"")</f>
        <v>9013849997</v>
      </c>
    </row>
    <row r="3403" spans="1:15" x14ac:dyDescent="0.45">
      <c r="A3403" t="s">
        <v>7543</v>
      </c>
      <c r="B3403" t="s">
        <v>7544</v>
      </c>
      <c r="C3403" t="s">
        <v>7545</v>
      </c>
      <c r="D3403" t="s">
        <v>3696</v>
      </c>
      <c r="E3403" s="1">
        <v>46152.667280092595</v>
      </c>
      <c r="F3403">
        <v>1547</v>
      </c>
      <c r="G3403" t="s">
        <v>7546</v>
      </c>
      <c r="H3403" t="s">
        <v>15</v>
      </c>
      <c r="I3403" t="s">
        <v>3698</v>
      </c>
      <c r="J3403" t="str">
        <f>RIGHT(D3403,4)</f>
        <v>6260</v>
      </c>
      <c r="K3403" t="str">
        <f>IFERROR(VLOOKUP(VALUE(J3403),'Site Info'!$A:$G,3,FALSE),"")</f>
        <v>8480 HWY 64</v>
      </c>
      <c r="L3403" t="str">
        <f>IFERROR(VLOOKUP(VALUE(J3403),'Site Info'!$A:$G,4,FALSE),"")</f>
        <v>BARTLETT</v>
      </c>
      <c r="M3403" t="str">
        <f>IFERROR(VLOOKUP(VALUE(J3403),'Site Info'!$A:$G,5,FALSE),"")</f>
        <v>TN</v>
      </c>
      <c r="N3403" t="str">
        <f>IFERROR(VLOOKUP(VALUE(J3403),'Site Info'!$A:$G,6,FALSE),"")</f>
        <v>38133-4187</v>
      </c>
      <c r="O3403">
        <f>IFERROR(VLOOKUP(VALUE(J3403),'Site Info'!$A:$G,7,FALSE),"")</f>
        <v>9013849997</v>
      </c>
    </row>
    <row r="3404" spans="1:15" x14ac:dyDescent="0.45">
      <c r="A3404" t="s">
        <v>7591</v>
      </c>
      <c r="B3404" t="s">
        <v>7592</v>
      </c>
      <c r="C3404" t="s">
        <v>7593</v>
      </c>
      <c r="D3404" t="s">
        <v>3696</v>
      </c>
      <c r="E3404" s="1">
        <v>46152.72016203704</v>
      </c>
      <c r="F3404">
        <v>1547</v>
      </c>
      <c r="G3404" t="s">
        <v>7594</v>
      </c>
      <c r="H3404" t="s">
        <v>15</v>
      </c>
      <c r="I3404" t="s">
        <v>3698</v>
      </c>
      <c r="J3404" t="str">
        <f>RIGHT(D3404,4)</f>
        <v>6260</v>
      </c>
      <c r="K3404" t="str">
        <f>IFERROR(VLOOKUP(VALUE(J3404),'Site Info'!$A:$G,3,FALSE),"")</f>
        <v>8480 HWY 64</v>
      </c>
      <c r="L3404" t="str">
        <f>IFERROR(VLOOKUP(VALUE(J3404),'Site Info'!$A:$G,4,FALSE),"")</f>
        <v>BARTLETT</v>
      </c>
      <c r="M3404" t="str">
        <f>IFERROR(VLOOKUP(VALUE(J3404),'Site Info'!$A:$G,5,FALSE),"")</f>
        <v>TN</v>
      </c>
      <c r="N3404" t="str">
        <f>IFERROR(VLOOKUP(VALUE(J3404),'Site Info'!$A:$G,6,FALSE),"")</f>
        <v>38133-4187</v>
      </c>
      <c r="O3404">
        <f>IFERROR(VLOOKUP(VALUE(J3404),'Site Info'!$A:$G,7,FALSE),"")</f>
        <v>9013849997</v>
      </c>
    </row>
    <row r="3405" spans="1:15" x14ac:dyDescent="0.45">
      <c r="A3405" t="s">
        <v>7793</v>
      </c>
      <c r="B3405" t="s">
        <v>7794</v>
      </c>
      <c r="C3405" t="s">
        <v>7795</v>
      </c>
      <c r="D3405" t="s">
        <v>3696</v>
      </c>
      <c r="E3405" s="1">
        <v>46153.19462962963</v>
      </c>
      <c r="F3405">
        <v>1547</v>
      </c>
      <c r="G3405" t="s">
        <v>7796</v>
      </c>
      <c r="H3405" t="s">
        <v>15</v>
      </c>
      <c r="I3405" t="s">
        <v>3698</v>
      </c>
      <c r="J3405" t="str">
        <f>RIGHT(D3405,4)</f>
        <v>6260</v>
      </c>
      <c r="K3405" t="str">
        <f>IFERROR(VLOOKUP(VALUE(J3405),'Site Info'!$A:$G,3,FALSE),"")</f>
        <v>8480 HWY 64</v>
      </c>
      <c r="L3405" t="str">
        <f>IFERROR(VLOOKUP(VALUE(J3405),'Site Info'!$A:$G,4,FALSE),"")</f>
        <v>BARTLETT</v>
      </c>
      <c r="M3405" t="str">
        <f>IFERROR(VLOOKUP(VALUE(J3405),'Site Info'!$A:$G,5,FALSE),"")</f>
        <v>TN</v>
      </c>
      <c r="N3405" t="str">
        <f>IFERROR(VLOOKUP(VALUE(J3405),'Site Info'!$A:$G,6,FALSE),"")</f>
        <v>38133-4187</v>
      </c>
      <c r="O3405">
        <f>IFERROR(VLOOKUP(VALUE(J3405),'Site Info'!$A:$G,7,FALSE),"")</f>
        <v>9013849997</v>
      </c>
    </row>
    <row r="3406" spans="1:15" x14ac:dyDescent="0.45">
      <c r="A3406" t="s">
        <v>3693</v>
      </c>
      <c r="B3406" t="s">
        <v>3694</v>
      </c>
      <c r="C3406" t="s">
        <v>3695</v>
      </c>
      <c r="D3406" t="s">
        <v>3696</v>
      </c>
      <c r="E3406" s="1">
        <v>46153.355844907404</v>
      </c>
      <c r="F3406">
        <v>1481</v>
      </c>
      <c r="G3406" t="s">
        <v>3697</v>
      </c>
      <c r="H3406" t="s">
        <v>15</v>
      </c>
      <c r="I3406" t="s">
        <v>3698</v>
      </c>
      <c r="J3406" t="str">
        <f>RIGHT(D3406,4)</f>
        <v>6260</v>
      </c>
      <c r="K3406" t="str">
        <f>IFERROR(VLOOKUP(VALUE(J3406),'Site Info'!$A:$G,3,FALSE),"")</f>
        <v>8480 HWY 64</v>
      </c>
      <c r="L3406" t="str">
        <f>IFERROR(VLOOKUP(VALUE(J3406),'Site Info'!$A:$G,4,FALSE),"")</f>
        <v>BARTLETT</v>
      </c>
      <c r="M3406" t="str">
        <f>IFERROR(VLOOKUP(VALUE(J3406),'Site Info'!$A:$G,5,FALSE),"")</f>
        <v>TN</v>
      </c>
      <c r="N3406" t="str">
        <f>IFERROR(VLOOKUP(VALUE(J3406),'Site Info'!$A:$G,6,FALSE),"")</f>
        <v>38133-4187</v>
      </c>
      <c r="O3406">
        <f>IFERROR(VLOOKUP(VALUE(J3406),'Site Info'!$A:$G,7,FALSE),"")</f>
        <v>9013849997</v>
      </c>
    </row>
    <row r="3407" spans="1:15" x14ac:dyDescent="0.45">
      <c r="A3407" t="s">
        <v>10152</v>
      </c>
      <c r="B3407" t="s">
        <v>10153</v>
      </c>
      <c r="C3407" t="s">
        <v>10154</v>
      </c>
      <c r="D3407" t="s">
        <v>659</v>
      </c>
      <c r="E3407" s="1">
        <v>46151.676678240743</v>
      </c>
      <c r="F3407">
        <v>1547</v>
      </c>
      <c r="G3407" t="s">
        <v>10155</v>
      </c>
      <c r="H3407" t="s">
        <v>15</v>
      </c>
      <c r="I3407" t="s">
        <v>661</v>
      </c>
      <c r="J3407" t="str">
        <f>RIGHT(D3407,4)</f>
        <v>6505</v>
      </c>
      <c r="K3407" t="str">
        <f>IFERROR(VLOOKUP(VALUE(J3407),'Site Info'!$A:$G,3,FALSE),"")</f>
        <v>849 STONERIDGE PARKWAY</v>
      </c>
      <c r="L3407" t="str">
        <f>IFERROR(VLOOKUP(VALUE(J3407),'Site Info'!$A:$G,4,FALSE),"")</f>
        <v>JEFFERSON CITY</v>
      </c>
      <c r="M3407" t="str">
        <f>IFERROR(VLOOKUP(VALUE(J3407),'Site Info'!$A:$G,5,FALSE),"")</f>
        <v>MO</v>
      </c>
      <c r="N3407" t="str">
        <f>IFERROR(VLOOKUP(VALUE(J3407),'Site Info'!$A:$G,6,FALSE),"")</f>
        <v>65109-0000</v>
      </c>
      <c r="O3407">
        <f>IFERROR(VLOOKUP(VALUE(J3407),'Site Info'!$A:$G,7,FALSE),"")</f>
        <v>5734690917</v>
      </c>
    </row>
    <row r="3408" spans="1:15" x14ac:dyDescent="0.45">
      <c r="A3408" t="s">
        <v>5592</v>
      </c>
      <c r="B3408" t="s">
        <v>5593</v>
      </c>
      <c r="C3408" t="s">
        <v>5594</v>
      </c>
      <c r="D3408" t="s">
        <v>659</v>
      </c>
      <c r="E3408" s="1">
        <v>46152.65556712963</v>
      </c>
      <c r="F3408">
        <v>1547</v>
      </c>
      <c r="G3408" t="s">
        <v>5595</v>
      </c>
      <c r="H3408" t="s">
        <v>15</v>
      </c>
      <c r="I3408" t="s">
        <v>661</v>
      </c>
      <c r="J3408" t="str">
        <f>RIGHT(D3408,4)</f>
        <v>6505</v>
      </c>
      <c r="K3408" t="str">
        <f>IFERROR(VLOOKUP(VALUE(J3408),'Site Info'!$A:$G,3,FALSE),"")</f>
        <v>849 STONERIDGE PARKWAY</v>
      </c>
      <c r="L3408" t="str">
        <f>IFERROR(VLOOKUP(VALUE(J3408),'Site Info'!$A:$G,4,FALSE),"")</f>
        <v>JEFFERSON CITY</v>
      </c>
      <c r="M3408" t="str">
        <f>IFERROR(VLOOKUP(VALUE(J3408),'Site Info'!$A:$G,5,FALSE),"")</f>
        <v>MO</v>
      </c>
      <c r="N3408" t="str">
        <f>IFERROR(VLOOKUP(VALUE(J3408),'Site Info'!$A:$G,6,FALSE),"")</f>
        <v>65109-0000</v>
      </c>
      <c r="O3408">
        <f>IFERROR(VLOOKUP(VALUE(J3408),'Site Info'!$A:$G,7,FALSE),"")</f>
        <v>5734690917</v>
      </c>
    </row>
    <row r="3409" spans="1:15" x14ac:dyDescent="0.45">
      <c r="A3409" t="s">
        <v>12420</v>
      </c>
      <c r="B3409" t="s">
        <v>12421</v>
      </c>
      <c r="C3409" t="s">
        <v>12422</v>
      </c>
      <c r="D3409" t="s">
        <v>659</v>
      </c>
      <c r="E3409" s="1">
        <v>46153.361504629633</v>
      </c>
      <c r="F3409">
        <v>1547</v>
      </c>
      <c r="G3409" t="s">
        <v>12423</v>
      </c>
      <c r="H3409" t="s">
        <v>15</v>
      </c>
      <c r="I3409" t="s">
        <v>661</v>
      </c>
      <c r="J3409" t="str">
        <f>RIGHT(D3409,4)</f>
        <v>6505</v>
      </c>
      <c r="K3409" t="str">
        <f>IFERROR(VLOOKUP(VALUE(J3409),'Site Info'!$A:$G,3,FALSE),"")</f>
        <v>849 STONERIDGE PARKWAY</v>
      </c>
      <c r="L3409" t="str">
        <f>IFERROR(VLOOKUP(VALUE(J3409),'Site Info'!$A:$G,4,FALSE),"")</f>
        <v>JEFFERSON CITY</v>
      </c>
      <c r="M3409" t="str">
        <f>IFERROR(VLOOKUP(VALUE(J3409),'Site Info'!$A:$G,5,FALSE),"")</f>
        <v>MO</v>
      </c>
      <c r="N3409" t="str">
        <f>IFERROR(VLOOKUP(VALUE(J3409),'Site Info'!$A:$G,6,FALSE),"")</f>
        <v>65109-0000</v>
      </c>
      <c r="O3409">
        <f>IFERROR(VLOOKUP(VALUE(J3409),'Site Info'!$A:$G,7,FALSE),"")</f>
        <v>5734690917</v>
      </c>
    </row>
    <row r="3410" spans="1:15" x14ac:dyDescent="0.45">
      <c r="A3410" t="s">
        <v>12376</v>
      </c>
      <c r="B3410" t="s">
        <v>12377</v>
      </c>
      <c r="C3410" t="s">
        <v>12378</v>
      </c>
      <c r="D3410" t="s">
        <v>659</v>
      </c>
      <c r="E3410" s="1">
        <v>46153.365648148145</v>
      </c>
      <c r="F3410">
        <v>1547</v>
      </c>
      <c r="G3410" t="s">
        <v>12379</v>
      </c>
      <c r="H3410" t="s">
        <v>15</v>
      </c>
      <c r="I3410" t="s">
        <v>661</v>
      </c>
      <c r="J3410" t="str">
        <f>RIGHT(D3410,4)</f>
        <v>6505</v>
      </c>
      <c r="K3410" t="str">
        <f>IFERROR(VLOOKUP(VALUE(J3410),'Site Info'!$A:$G,3,FALSE),"")</f>
        <v>849 STONERIDGE PARKWAY</v>
      </c>
      <c r="L3410" t="str">
        <f>IFERROR(VLOOKUP(VALUE(J3410),'Site Info'!$A:$G,4,FALSE),"")</f>
        <v>JEFFERSON CITY</v>
      </c>
      <c r="M3410" t="str">
        <f>IFERROR(VLOOKUP(VALUE(J3410),'Site Info'!$A:$G,5,FALSE),"")</f>
        <v>MO</v>
      </c>
      <c r="N3410" t="str">
        <f>IFERROR(VLOOKUP(VALUE(J3410),'Site Info'!$A:$G,6,FALSE),"")</f>
        <v>65109-0000</v>
      </c>
      <c r="O3410">
        <f>IFERROR(VLOOKUP(VALUE(J3410),'Site Info'!$A:$G,7,FALSE),"")</f>
        <v>5734690917</v>
      </c>
    </row>
    <row r="3411" spans="1:15" x14ac:dyDescent="0.45">
      <c r="A3411" t="s">
        <v>656</v>
      </c>
      <c r="B3411" t="s">
        <v>657</v>
      </c>
      <c r="C3411" t="s">
        <v>658</v>
      </c>
      <c r="D3411" t="s">
        <v>659</v>
      </c>
      <c r="E3411" s="1">
        <v>46153.373773148145</v>
      </c>
      <c r="F3411">
        <v>1481</v>
      </c>
      <c r="G3411" t="s">
        <v>660</v>
      </c>
      <c r="H3411" t="s">
        <v>15</v>
      </c>
      <c r="I3411" t="s">
        <v>661</v>
      </c>
      <c r="J3411" t="str">
        <f>RIGHT(D3411,4)</f>
        <v>6505</v>
      </c>
      <c r="K3411" t="str">
        <f>IFERROR(VLOOKUP(VALUE(J3411),'Site Info'!$A:$G,3,FALSE),"")</f>
        <v>849 STONERIDGE PARKWAY</v>
      </c>
      <c r="L3411" t="str">
        <f>IFERROR(VLOOKUP(VALUE(J3411),'Site Info'!$A:$G,4,FALSE),"")</f>
        <v>JEFFERSON CITY</v>
      </c>
      <c r="M3411" t="str">
        <f>IFERROR(VLOOKUP(VALUE(J3411),'Site Info'!$A:$G,5,FALSE),"")</f>
        <v>MO</v>
      </c>
      <c r="N3411" t="str">
        <f>IFERROR(VLOOKUP(VALUE(J3411),'Site Info'!$A:$G,6,FALSE),"")</f>
        <v>65109-0000</v>
      </c>
      <c r="O3411">
        <f>IFERROR(VLOOKUP(VALUE(J3411),'Site Info'!$A:$G,7,FALSE),"")</f>
        <v>5734690917</v>
      </c>
    </row>
    <row r="3412" spans="1:15" x14ac:dyDescent="0.45">
      <c r="A3412" t="s">
        <v>9597</v>
      </c>
      <c r="B3412" t="s">
        <v>9598</v>
      </c>
      <c r="C3412" t="s">
        <v>9599</v>
      </c>
      <c r="D3412" t="s">
        <v>3350</v>
      </c>
      <c r="E3412" s="1">
        <v>46151.810543981483</v>
      </c>
      <c r="F3412">
        <v>1547</v>
      </c>
      <c r="G3412" t="s">
        <v>9600</v>
      </c>
      <c r="H3412" t="s">
        <v>15</v>
      </c>
      <c r="I3412" t="s">
        <v>3352</v>
      </c>
      <c r="J3412" t="str">
        <f>RIGHT(D3412,4)</f>
        <v>6255</v>
      </c>
      <c r="K3412" t="str">
        <f>IFERROR(VLOOKUP(VALUE(J3412),'Site Info'!$A:$G,3,FALSE),"")</f>
        <v>8621 OHIO DR</v>
      </c>
      <c r="L3412" t="str">
        <f>IFERROR(VLOOKUP(VALUE(J3412),'Site Info'!$A:$G,4,FALSE),"")</f>
        <v>PLANO</v>
      </c>
      <c r="M3412" t="str">
        <f>IFERROR(VLOOKUP(VALUE(J3412),'Site Info'!$A:$G,5,FALSE),"")</f>
        <v>TX</v>
      </c>
      <c r="N3412" t="str">
        <f>IFERROR(VLOOKUP(VALUE(J3412),'Site Info'!$A:$G,6,FALSE),"")</f>
        <v>75024-2264</v>
      </c>
      <c r="O3412">
        <f>IFERROR(VLOOKUP(VALUE(J3412),'Site Info'!$A:$G,7,FALSE),"")</f>
        <v>4696330026</v>
      </c>
    </row>
    <row r="3413" spans="1:15" x14ac:dyDescent="0.45">
      <c r="A3413" t="s">
        <v>10825</v>
      </c>
      <c r="B3413" t="s">
        <v>10826</v>
      </c>
      <c r="C3413" t="s">
        <v>10827</v>
      </c>
      <c r="D3413" t="s">
        <v>3350</v>
      </c>
      <c r="E3413" s="1">
        <v>46152.362442129626</v>
      </c>
      <c r="F3413">
        <v>1547</v>
      </c>
      <c r="G3413" t="s">
        <v>10828</v>
      </c>
      <c r="H3413" t="s">
        <v>15</v>
      </c>
      <c r="I3413" t="s">
        <v>3352</v>
      </c>
      <c r="J3413" t="str">
        <f>RIGHT(D3413,4)</f>
        <v>6255</v>
      </c>
      <c r="K3413" t="str">
        <f>IFERROR(VLOOKUP(VALUE(J3413),'Site Info'!$A:$G,3,FALSE),"")</f>
        <v>8621 OHIO DR</v>
      </c>
      <c r="L3413" t="str">
        <f>IFERROR(VLOOKUP(VALUE(J3413),'Site Info'!$A:$G,4,FALSE),"")</f>
        <v>PLANO</v>
      </c>
      <c r="M3413" t="str">
        <f>IFERROR(VLOOKUP(VALUE(J3413),'Site Info'!$A:$G,5,FALSE),"")</f>
        <v>TX</v>
      </c>
      <c r="N3413" t="str">
        <f>IFERROR(VLOOKUP(VALUE(J3413),'Site Info'!$A:$G,6,FALSE),"")</f>
        <v>75024-2264</v>
      </c>
      <c r="O3413">
        <f>IFERROR(VLOOKUP(VALUE(J3413),'Site Info'!$A:$G,7,FALSE),"")</f>
        <v>4696330026</v>
      </c>
    </row>
    <row r="3414" spans="1:15" x14ac:dyDescent="0.45">
      <c r="A3414" t="s">
        <v>9533</v>
      </c>
      <c r="B3414" t="s">
        <v>9534</v>
      </c>
      <c r="C3414" t="s">
        <v>9535</v>
      </c>
      <c r="D3414" t="s">
        <v>3350</v>
      </c>
      <c r="E3414" s="1">
        <v>46152.664826388886</v>
      </c>
      <c r="F3414">
        <v>1547</v>
      </c>
      <c r="G3414" t="s">
        <v>9536</v>
      </c>
      <c r="H3414" t="s">
        <v>15</v>
      </c>
      <c r="I3414" t="s">
        <v>3352</v>
      </c>
      <c r="J3414" t="str">
        <f>RIGHT(D3414,4)</f>
        <v>6255</v>
      </c>
      <c r="K3414" t="str">
        <f>IFERROR(VLOOKUP(VALUE(J3414),'Site Info'!$A:$G,3,FALSE),"")</f>
        <v>8621 OHIO DR</v>
      </c>
      <c r="L3414" t="str">
        <f>IFERROR(VLOOKUP(VALUE(J3414),'Site Info'!$A:$G,4,FALSE),"")</f>
        <v>PLANO</v>
      </c>
      <c r="M3414" t="str">
        <f>IFERROR(VLOOKUP(VALUE(J3414),'Site Info'!$A:$G,5,FALSE),"")</f>
        <v>TX</v>
      </c>
      <c r="N3414" t="str">
        <f>IFERROR(VLOOKUP(VALUE(J3414),'Site Info'!$A:$G,6,FALSE),"")</f>
        <v>75024-2264</v>
      </c>
      <c r="O3414">
        <f>IFERROR(VLOOKUP(VALUE(J3414),'Site Info'!$A:$G,7,FALSE),"")</f>
        <v>4696330026</v>
      </c>
    </row>
    <row r="3415" spans="1:15" x14ac:dyDescent="0.45">
      <c r="A3415" t="s">
        <v>9521</v>
      </c>
      <c r="B3415" t="s">
        <v>9522</v>
      </c>
      <c r="C3415" t="s">
        <v>9523</v>
      </c>
      <c r="D3415" t="s">
        <v>3350</v>
      </c>
      <c r="E3415" s="1">
        <v>46153.009201388886</v>
      </c>
      <c r="F3415">
        <v>1547</v>
      </c>
      <c r="G3415" t="s">
        <v>9524</v>
      </c>
      <c r="H3415" t="s">
        <v>15</v>
      </c>
      <c r="I3415" t="s">
        <v>3352</v>
      </c>
      <c r="J3415" t="str">
        <f>RIGHT(D3415,4)</f>
        <v>6255</v>
      </c>
      <c r="K3415" t="str">
        <f>IFERROR(VLOOKUP(VALUE(J3415),'Site Info'!$A:$G,3,FALSE),"")</f>
        <v>8621 OHIO DR</v>
      </c>
      <c r="L3415" t="str">
        <f>IFERROR(VLOOKUP(VALUE(J3415),'Site Info'!$A:$G,4,FALSE),"")</f>
        <v>PLANO</v>
      </c>
      <c r="M3415" t="str">
        <f>IFERROR(VLOOKUP(VALUE(J3415),'Site Info'!$A:$G,5,FALSE),"")</f>
        <v>TX</v>
      </c>
      <c r="N3415" t="str">
        <f>IFERROR(VLOOKUP(VALUE(J3415),'Site Info'!$A:$G,6,FALSE),"")</f>
        <v>75024-2264</v>
      </c>
      <c r="O3415">
        <f>IFERROR(VLOOKUP(VALUE(J3415),'Site Info'!$A:$G,7,FALSE),"")</f>
        <v>4696330026</v>
      </c>
    </row>
    <row r="3416" spans="1:15" x14ac:dyDescent="0.45">
      <c r="A3416" t="s">
        <v>10841</v>
      </c>
      <c r="B3416" t="s">
        <v>10842</v>
      </c>
      <c r="C3416" t="s">
        <v>10843</v>
      </c>
      <c r="D3416" t="s">
        <v>3350</v>
      </c>
      <c r="E3416" s="1">
        <v>46153.372974537036</v>
      </c>
      <c r="F3416">
        <v>1547</v>
      </c>
      <c r="G3416" t="s">
        <v>10844</v>
      </c>
      <c r="H3416" t="s">
        <v>15</v>
      </c>
      <c r="I3416" t="s">
        <v>3352</v>
      </c>
      <c r="J3416" t="str">
        <f>RIGHT(D3416,4)</f>
        <v>6255</v>
      </c>
      <c r="K3416" t="str">
        <f>IFERROR(VLOOKUP(VALUE(J3416),'Site Info'!$A:$G,3,FALSE),"")</f>
        <v>8621 OHIO DR</v>
      </c>
      <c r="L3416" t="str">
        <f>IFERROR(VLOOKUP(VALUE(J3416),'Site Info'!$A:$G,4,FALSE),"")</f>
        <v>PLANO</v>
      </c>
      <c r="M3416" t="str">
        <f>IFERROR(VLOOKUP(VALUE(J3416),'Site Info'!$A:$G,5,FALSE),"")</f>
        <v>TX</v>
      </c>
      <c r="N3416" t="str">
        <f>IFERROR(VLOOKUP(VALUE(J3416),'Site Info'!$A:$G,6,FALSE),"")</f>
        <v>75024-2264</v>
      </c>
      <c r="O3416">
        <f>IFERROR(VLOOKUP(VALUE(J3416),'Site Info'!$A:$G,7,FALSE),"")</f>
        <v>4696330026</v>
      </c>
    </row>
    <row r="3417" spans="1:15" x14ac:dyDescent="0.45">
      <c r="A3417" t="s">
        <v>3347</v>
      </c>
      <c r="B3417" t="s">
        <v>3348</v>
      </c>
      <c r="C3417" t="s">
        <v>3349</v>
      </c>
      <c r="D3417" t="s">
        <v>3350</v>
      </c>
      <c r="E3417" s="1">
        <v>46153.339872685188</v>
      </c>
      <c r="F3417">
        <v>1481</v>
      </c>
      <c r="G3417" t="s">
        <v>3351</v>
      </c>
      <c r="H3417" t="s">
        <v>15</v>
      </c>
      <c r="I3417" t="s">
        <v>3352</v>
      </c>
      <c r="J3417" t="str">
        <f>RIGHT(D3417,4)</f>
        <v>6255</v>
      </c>
      <c r="K3417" t="str">
        <f>IFERROR(VLOOKUP(VALUE(J3417),'Site Info'!$A:$G,3,FALSE),"")</f>
        <v>8621 OHIO DR</v>
      </c>
      <c r="L3417" t="str">
        <f>IFERROR(VLOOKUP(VALUE(J3417),'Site Info'!$A:$G,4,FALSE),"")</f>
        <v>PLANO</v>
      </c>
      <c r="M3417" t="str">
        <f>IFERROR(VLOOKUP(VALUE(J3417),'Site Info'!$A:$G,5,FALSE),"")</f>
        <v>TX</v>
      </c>
      <c r="N3417" t="str">
        <f>IFERROR(VLOOKUP(VALUE(J3417),'Site Info'!$A:$G,6,FALSE),"")</f>
        <v>75024-2264</v>
      </c>
      <c r="O3417">
        <f>IFERROR(VLOOKUP(VALUE(J3417),'Site Info'!$A:$G,7,FALSE),"")</f>
        <v>4696330026</v>
      </c>
    </row>
    <row r="3418" spans="1:15" x14ac:dyDescent="0.45">
      <c r="A3418" t="s">
        <v>5608</v>
      </c>
      <c r="B3418" t="s">
        <v>5609</v>
      </c>
      <c r="C3418" t="s">
        <v>5610</v>
      </c>
      <c r="D3418" t="s">
        <v>1633</v>
      </c>
      <c r="E3418" s="1">
        <v>46152.747256944444</v>
      </c>
      <c r="F3418">
        <v>1547</v>
      </c>
      <c r="G3418" t="s">
        <v>5611</v>
      </c>
      <c r="H3418" t="s">
        <v>15</v>
      </c>
      <c r="I3418" t="s">
        <v>1635</v>
      </c>
      <c r="J3418" t="str">
        <f>RIGHT(D3418,4)</f>
        <v>6631</v>
      </c>
      <c r="K3418" t="str">
        <f>IFERROR(VLOOKUP(VALUE(J3418),'Site Info'!$A:$G,3,FALSE),"")</f>
        <v>880 S ABILENE ST</v>
      </c>
      <c r="L3418" t="str">
        <f>IFERROR(VLOOKUP(VALUE(J3418),'Site Info'!$A:$G,4,FALSE),"")</f>
        <v>AURORA</v>
      </c>
      <c r="M3418" t="str">
        <f>IFERROR(VLOOKUP(VALUE(J3418),'Site Info'!$A:$G,5,FALSE),"")</f>
        <v>CO</v>
      </c>
      <c r="N3418" t="str">
        <f>IFERROR(VLOOKUP(VALUE(J3418),'Site Info'!$A:$G,6,FALSE),"")</f>
        <v>80012-3684</v>
      </c>
      <c r="O3418">
        <f>IFERROR(VLOOKUP(VALUE(J3418),'Site Info'!$A:$G,7,FALSE),"")</f>
        <v>3036951812</v>
      </c>
    </row>
    <row r="3419" spans="1:15" x14ac:dyDescent="0.45">
      <c r="A3419" t="s">
        <v>5138</v>
      </c>
      <c r="B3419" t="s">
        <v>5139</v>
      </c>
      <c r="C3419" t="s">
        <v>5140</v>
      </c>
      <c r="D3419" t="s">
        <v>1633</v>
      </c>
      <c r="E3419" s="1">
        <v>46153.31931712963</v>
      </c>
      <c r="F3419">
        <v>1547</v>
      </c>
      <c r="G3419" t="s">
        <v>5141</v>
      </c>
      <c r="H3419" t="s">
        <v>15</v>
      </c>
      <c r="I3419" t="s">
        <v>1635</v>
      </c>
      <c r="J3419" t="str">
        <f>RIGHT(D3419,4)</f>
        <v>6631</v>
      </c>
      <c r="K3419" t="str">
        <f>IFERROR(VLOOKUP(VALUE(J3419),'Site Info'!$A:$G,3,FALSE),"")</f>
        <v>880 S ABILENE ST</v>
      </c>
      <c r="L3419" t="str">
        <f>IFERROR(VLOOKUP(VALUE(J3419),'Site Info'!$A:$G,4,FALSE),"")</f>
        <v>AURORA</v>
      </c>
      <c r="M3419" t="str">
        <f>IFERROR(VLOOKUP(VALUE(J3419),'Site Info'!$A:$G,5,FALSE),"")</f>
        <v>CO</v>
      </c>
      <c r="N3419" t="str">
        <f>IFERROR(VLOOKUP(VALUE(J3419),'Site Info'!$A:$G,6,FALSE),"")</f>
        <v>80012-3684</v>
      </c>
      <c r="O3419">
        <f>IFERROR(VLOOKUP(VALUE(J3419),'Site Info'!$A:$G,7,FALSE),"")</f>
        <v>3036951812</v>
      </c>
    </row>
    <row r="3420" spans="1:15" x14ac:dyDescent="0.45">
      <c r="A3420" t="s">
        <v>3707</v>
      </c>
      <c r="B3420" t="s">
        <v>3708</v>
      </c>
      <c r="C3420" t="s">
        <v>3709</v>
      </c>
      <c r="D3420" t="s">
        <v>1633</v>
      </c>
      <c r="E3420" s="1">
        <v>46149.572013888886</v>
      </c>
      <c r="F3420">
        <v>1481</v>
      </c>
      <c r="G3420" t="s">
        <v>3710</v>
      </c>
      <c r="H3420" t="s">
        <v>15</v>
      </c>
      <c r="I3420" t="s">
        <v>1635</v>
      </c>
      <c r="J3420" t="str">
        <f>RIGHT(D3420,4)</f>
        <v>6631</v>
      </c>
      <c r="K3420" t="str">
        <f>IFERROR(VLOOKUP(VALUE(J3420),'Site Info'!$A:$G,3,FALSE),"")</f>
        <v>880 S ABILENE ST</v>
      </c>
      <c r="L3420" t="str">
        <f>IFERROR(VLOOKUP(VALUE(J3420),'Site Info'!$A:$G,4,FALSE),"")</f>
        <v>AURORA</v>
      </c>
      <c r="M3420" t="str">
        <f>IFERROR(VLOOKUP(VALUE(J3420),'Site Info'!$A:$G,5,FALSE),"")</f>
        <v>CO</v>
      </c>
      <c r="N3420" t="str">
        <f>IFERROR(VLOOKUP(VALUE(J3420),'Site Info'!$A:$G,6,FALSE),"")</f>
        <v>80012-3684</v>
      </c>
      <c r="O3420">
        <f>IFERROR(VLOOKUP(VALUE(J3420),'Site Info'!$A:$G,7,FALSE),"")</f>
        <v>3036951812</v>
      </c>
    </row>
    <row r="3421" spans="1:15" x14ac:dyDescent="0.45">
      <c r="A3421" t="s">
        <v>1630</v>
      </c>
      <c r="B3421" t="s">
        <v>1631</v>
      </c>
      <c r="C3421" t="s">
        <v>1632</v>
      </c>
      <c r="D3421" t="s">
        <v>1633</v>
      </c>
      <c r="E3421" s="1">
        <v>46153.371412037035</v>
      </c>
      <c r="F3421">
        <v>1481</v>
      </c>
      <c r="G3421" t="s">
        <v>1634</v>
      </c>
      <c r="H3421" t="s">
        <v>15</v>
      </c>
      <c r="I3421" t="s">
        <v>1635</v>
      </c>
      <c r="J3421" t="str">
        <f>RIGHT(D3421,4)</f>
        <v>6631</v>
      </c>
      <c r="K3421" t="str">
        <f>IFERROR(VLOOKUP(VALUE(J3421),'Site Info'!$A:$G,3,FALSE),"")</f>
        <v>880 S ABILENE ST</v>
      </c>
      <c r="L3421" t="str">
        <f>IFERROR(VLOOKUP(VALUE(J3421),'Site Info'!$A:$G,4,FALSE),"")</f>
        <v>AURORA</v>
      </c>
      <c r="M3421" t="str">
        <f>IFERROR(VLOOKUP(VALUE(J3421),'Site Info'!$A:$G,5,FALSE),"")</f>
        <v>CO</v>
      </c>
      <c r="N3421" t="str">
        <f>IFERROR(VLOOKUP(VALUE(J3421),'Site Info'!$A:$G,6,FALSE),"")</f>
        <v>80012-3684</v>
      </c>
      <c r="O3421">
        <f>IFERROR(VLOOKUP(VALUE(J3421),'Site Info'!$A:$G,7,FALSE),"")</f>
        <v>3036951812</v>
      </c>
    </row>
    <row r="3422" spans="1:15" x14ac:dyDescent="0.45">
      <c r="A3422" t="s">
        <v>7304</v>
      </c>
      <c r="B3422" t="s">
        <v>7305</v>
      </c>
      <c r="C3422" t="s">
        <v>7306</v>
      </c>
      <c r="D3422" t="s">
        <v>1709</v>
      </c>
      <c r="E3422" s="1">
        <v>46151.329606481479</v>
      </c>
      <c r="F3422">
        <v>1547</v>
      </c>
      <c r="G3422" t="s">
        <v>7307</v>
      </c>
      <c r="H3422" t="s">
        <v>15</v>
      </c>
      <c r="I3422" t="s">
        <v>1711</v>
      </c>
      <c r="J3422" t="str">
        <f>RIGHT(D3422,4)</f>
        <v>6369</v>
      </c>
      <c r="K3422" t="str">
        <f>IFERROR(VLOOKUP(VALUE(J3422),'Site Info'!$A:$G,3,FALSE),"")</f>
        <v>883 US ROUTE 1</v>
      </c>
      <c r="L3422" t="str">
        <f>IFERROR(VLOOKUP(VALUE(J3422),'Site Info'!$A:$G,4,FALSE),"")</f>
        <v>EDISON</v>
      </c>
      <c r="M3422" t="str">
        <f>IFERROR(VLOOKUP(VALUE(J3422),'Site Info'!$A:$G,5,FALSE),"")</f>
        <v>NJ</v>
      </c>
      <c r="N3422" t="str">
        <f>IFERROR(VLOOKUP(VALUE(J3422),'Site Info'!$A:$G,6,FALSE),"")</f>
        <v>08817-4677</v>
      </c>
      <c r="O3422">
        <f>IFERROR(VLOOKUP(VALUE(J3422),'Site Info'!$A:$G,7,FALSE),"")</f>
        <v>7323210182</v>
      </c>
    </row>
    <row r="3423" spans="1:15" x14ac:dyDescent="0.45">
      <c r="A3423" t="s">
        <v>9009</v>
      </c>
      <c r="B3423" t="s">
        <v>9010</v>
      </c>
      <c r="C3423" t="s">
        <v>9011</v>
      </c>
      <c r="D3423" t="s">
        <v>1709</v>
      </c>
      <c r="E3423" s="1">
        <v>46153.373495370368</v>
      </c>
      <c r="F3423">
        <v>1547</v>
      </c>
      <c r="G3423" t="s">
        <v>9012</v>
      </c>
      <c r="H3423" t="s">
        <v>15</v>
      </c>
      <c r="I3423" t="s">
        <v>1711</v>
      </c>
      <c r="J3423" t="str">
        <f>RIGHT(D3423,4)</f>
        <v>6369</v>
      </c>
      <c r="K3423" t="str">
        <f>IFERROR(VLOOKUP(VALUE(J3423),'Site Info'!$A:$G,3,FALSE),"")</f>
        <v>883 US ROUTE 1</v>
      </c>
      <c r="L3423" t="str">
        <f>IFERROR(VLOOKUP(VALUE(J3423),'Site Info'!$A:$G,4,FALSE),"")</f>
        <v>EDISON</v>
      </c>
      <c r="M3423" t="str">
        <f>IFERROR(VLOOKUP(VALUE(J3423),'Site Info'!$A:$G,5,FALSE),"")</f>
        <v>NJ</v>
      </c>
      <c r="N3423" t="str">
        <f>IFERROR(VLOOKUP(VALUE(J3423),'Site Info'!$A:$G,6,FALSE),"")</f>
        <v>08817-4677</v>
      </c>
      <c r="O3423">
        <f>IFERROR(VLOOKUP(VALUE(J3423),'Site Info'!$A:$G,7,FALSE),"")</f>
        <v>7323210182</v>
      </c>
    </row>
    <row r="3424" spans="1:15" x14ac:dyDescent="0.45">
      <c r="A3424" t="s">
        <v>3557</v>
      </c>
      <c r="B3424" t="s">
        <v>3558</v>
      </c>
      <c r="C3424" t="s">
        <v>3559</v>
      </c>
      <c r="D3424" t="s">
        <v>1709</v>
      </c>
      <c r="E3424" s="1">
        <v>46149.395752314813</v>
      </c>
      <c r="F3424">
        <v>1481</v>
      </c>
      <c r="G3424" t="s">
        <v>3560</v>
      </c>
      <c r="H3424" t="s">
        <v>15</v>
      </c>
      <c r="I3424" t="s">
        <v>1711</v>
      </c>
      <c r="J3424" t="str">
        <f>RIGHT(D3424,4)</f>
        <v>6369</v>
      </c>
      <c r="K3424" t="str">
        <f>IFERROR(VLOOKUP(VALUE(J3424),'Site Info'!$A:$G,3,FALSE),"")</f>
        <v>883 US ROUTE 1</v>
      </c>
      <c r="L3424" t="str">
        <f>IFERROR(VLOOKUP(VALUE(J3424),'Site Info'!$A:$G,4,FALSE),"")</f>
        <v>EDISON</v>
      </c>
      <c r="M3424" t="str">
        <f>IFERROR(VLOOKUP(VALUE(J3424),'Site Info'!$A:$G,5,FALSE),"")</f>
        <v>NJ</v>
      </c>
      <c r="N3424" t="str">
        <f>IFERROR(VLOOKUP(VALUE(J3424),'Site Info'!$A:$G,6,FALSE),"")</f>
        <v>08817-4677</v>
      </c>
      <c r="O3424">
        <f>IFERROR(VLOOKUP(VALUE(J3424),'Site Info'!$A:$G,7,FALSE),"")</f>
        <v>7323210182</v>
      </c>
    </row>
    <row r="3425" spans="1:15" x14ac:dyDescent="0.45">
      <c r="A3425" t="s">
        <v>1706</v>
      </c>
      <c r="B3425" t="s">
        <v>1707</v>
      </c>
      <c r="C3425" t="s">
        <v>1708</v>
      </c>
      <c r="D3425" t="s">
        <v>1709</v>
      </c>
      <c r="E3425" s="1">
        <v>46150.738935185182</v>
      </c>
      <c r="F3425">
        <v>1481</v>
      </c>
      <c r="G3425" t="s">
        <v>1710</v>
      </c>
      <c r="H3425" t="s">
        <v>15</v>
      </c>
      <c r="I3425" t="s">
        <v>1711</v>
      </c>
      <c r="J3425" t="str">
        <f>RIGHT(D3425,4)</f>
        <v>6369</v>
      </c>
      <c r="K3425" t="str">
        <f>IFERROR(VLOOKUP(VALUE(J3425),'Site Info'!$A:$G,3,FALSE),"")</f>
        <v>883 US ROUTE 1</v>
      </c>
      <c r="L3425" t="str">
        <f>IFERROR(VLOOKUP(VALUE(J3425),'Site Info'!$A:$G,4,FALSE),"")</f>
        <v>EDISON</v>
      </c>
      <c r="M3425" t="str">
        <f>IFERROR(VLOOKUP(VALUE(J3425),'Site Info'!$A:$G,5,FALSE),"")</f>
        <v>NJ</v>
      </c>
      <c r="N3425" t="str">
        <f>IFERROR(VLOOKUP(VALUE(J3425),'Site Info'!$A:$G,6,FALSE),"")</f>
        <v>08817-4677</v>
      </c>
      <c r="O3425">
        <f>IFERROR(VLOOKUP(VALUE(J3425),'Site Info'!$A:$G,7,FALSE),"")</f>
        <v>7323210182</v>
      </c>
    </row>
    <row r="3426" spans="1:15" x14ac:dyDescent="0.45">
      <c r="A3426" t="s">
        <v>16778</v>
      </c>
      <c r="B3426" t="s">
        <v>16779</v>
      </c>
      <c r="C3426" t="s">
        <v>16780</v>
      </c>
      <c r="D3426" t="s">
        <v>1709</v>
      </c>
      <c r="E3426" s="1">
        <v>46152.708090277774</v>
      </c>
      <c r="F3426">
        <v>1863</v>
      </c>
      <c r="G3426" t="s">
        <v>16781</v>
      </c>
      <c r="H3426" t="s">
        <v>136</v>
      </c>
      <c r="I3426" t="s">
        <v>1711</v>
      </c>
      <c r="J3426" t="str">
        <f>RIGHT(D3426,4)</f>
        <v>6369</v>
      </c>
      <c r="K3426" t="str">
        <f>IFERROR(VLOOKUP(VALUE(J3426),'Site Info'!$A:$G,3,FALSE),"")</f>
        <v>883 US ROUTE 1</v>
      </c>
      <c r="L3426" t="str">
        <f>IFERROR(VLOOKUP(VALUE(J3426),'Site Info'!$A:$G,4,FALSE),"")</f>
        <v>EDISON</v>
      </c>
      <c r="M3426" t="str">
        <f>IFERROR(VLOOKUP(VALUE(J3426),'Site Info'!$A:$G,5,FALSE),"")</f>
        <v>NJ</v>
      </c>
      <c r="N3426" t="str">
        <f>IFERROR(VLOOKUP(VALUE(J3426),'Site Info'!$A:$G,6,FALSE),"")</f>
        <v>08817-4677</v>
      </c>
      <c r="O3426">
        <f>IFERROR(VLOOKUP(VALUE(J3426),'Site Info'!$A:$G,7,FALSE),"")</f>
        <v>7323210182</v>
      </c>
    </row>
    <row r="3427" spans="1:15" x14ac:dyDescent="0.45">
      <c r="A3427" t="s">
        <v>16782</v>
      </c>
      <c r="B3427" t="s">
        <v>16783</v>
      </c>
      <c r="C3427" t="s">
        <v>16784</v>
      </c>
      <c r="D3427" t="s">
        <v>1709</v>
      </c>
      <c r="E3427" s="1">
        <v>46152.516203703701</v>
      </c>
      <c r="F3427">
        <v>1547</v>
      </c>
      <c r="G3427" t="s">
        <v>16785</v>
      </c>
      <c r="H3427" t="s">
        <v>15</v>
      </c>
      <c r="I3427" t="s">
        <v>1711</v>
      </c>
      <c r="J3427" t="str">
        <f>RIGHT(D3427,4)</f>
        <v>6369</v>
      </c>
      <c r="K3427" t="str">
        <f>IFERROR(VLOOKUP(VALUE(J3427),'Site Info'!$A:$G,3,FALSE),"")</f>
        <v>883 US ROUTE 1</v>
      </c>
      <c r="L3427" t="str">
        <f>IFERROR(VLOOKUP(VALUE(J3427),'Site Info'!$A:$G,4,FALSE),"")</f>
        <v>EDISON</v>
      </c>
      <c r="M3427" t="str">
        <f>IFERROR(VLOOKUP(VALUE(J3427),'Site Info'!$A:$G,5,FALSE),"")</f>
        <v>NJ</v>
      </c>
      <c r="N3427" t="str">
        <f>IFERROR(VLOOKUP(VALUE(J3427),'Site Info'!$A:$G,6,FALSE),"")</f>
        <v>08817-4677</v>
      </c>
      <c r="O3427">
        <f>IFERROR(VLOOKUP(VALUE(J3427),'Site Info'!$A:$G,7,FALSE),"")</f>
        <v>7323210182</v>
      </c>
    </row>
    <row r="3428" spans="1:15" x14ac:dyDescent="0.45">
      <c r="A3428" t="s">
        <v>16786</v>
      </c>
      <c r="B3428" t="s">
        <v>16787</v>
      </c>
      <c r="C3428" t="s">
        <v>16788</v>
      </c>
      <c r="D3428" t="s">
        <v>1709</v>
      </c>
      <c r="E3428" s="1">
        <v>46153.377708333333</v>
      </c>
      <c r="F3428">
        <v>1547</v>
      </c>
      <c r="G3428" t="s">
        <v>16789</v>
      </c>
      <c r="H3428" t="s">
        <v>15</v>
      </c>
      <c r="I3428" t="s">
        <v>1711</v>
      </c>
      <c r="J3428" t="str">
        <f>RIGHT(D3428,4)</f>
        <v>6369</v>
      </c>
      <c r="K3428" t="str">
        <f>IFERROR(VLOOKUP(VALUE(J3428),'Site Info'!$A:$G,3,FALSE),"")</f>
        <v>883 US ROUTE 1</v>
      </c>
      <c r="L3428" t="str">
        <f>IFERROR(VLOOKUP(VALUE(J3428),'Site Info'!$A:$G,4,FALSE),"")</f>
        <v>EDISON</v>
      </c>
      <c r="M3428" t="str">
        <f>IFERROR(VLOOKUP(VALUE(J3428),'Site Info'!$A:$G,5,FALSE),"")</f>
        <v>NJ</v>
      </c>
      <c r="N3428" t="str">
        <f>IFERROR(VLOOKUP(VALUE(J3428),'Site Info'!$A:$G,6,FALSE),"")</f>
        <v>08817-4677</v>
      </c>
      <c r="O3428">
        <f>IFERROR(VLOOKUP(VALUE(J3428),'Site Info'!$A:$G,7,FALSE),"")</f>
        <v>7323210182</v>
      </c>
    </row>
    <row r="3429" spans="1:15" x14ac:dyDescent="0.45">
      <c r="A3429" t="s">
        <v>10520</v>
      </c>
      <c r="B3429" t="s">
        <v>10521</v>
      </c>
      <c r="C3429" t="s">
        <v>10522</v>
      </c>
      <c r="D3429" t="s">
        <v>683</v>
      </c>
      <c r="E3429" s="1">
        <v>46150.344953703701</v>
      </c>
      <c r="F3429">
        <v>1547</v>
      </c>
      <c r="G3429" t="s">
        <v>10523</v>
      </c>
      <c r="H3429" t="s">
        <v>15</v>
      </c>
      <c r="I3429" t="s">
        <v>685</v>
      </c>
      <c r="J3429" t="str">
        <f>RIGHT(D3429,4)</f>
        <v>6540</v>
      </c>
      <c r="K3429" t="str">
        <f>IFERROR(VLOOKUP(VALUE(J3429),'Site Info'!$A:$G,3,FALSE),"")</f>
        <v>8909 JW CLAY BLVD</v>
      </c>
      <c r="L3429" t="str">
        <f>IFERROR(VLOOKUP(VALUE(J3429),'Site Info'!$A:$G,4,FALSE),"")</f>
        <v>CHARLOTTE</v>
      </c>
      <c r="M3429" t="str">
        <f>IFERROR(VLOOKUP(VALUE(J3429),'Site Info'!$A:$G,5,FALSE),"")</f>
        <v>NC</v>
      </c>
      <c r="N3429" t="str">
        <f>IFERROR(VLOOKUP(VALUE(J3429),'Site Info'!$A:$G,6,FALSE),"")</f>
        <v>28262-5415</v>
      </c>
      <c r="O3429">
        <f>IFERROR(VLOOKUP(VALUE(J3429),'Site Info'!$A:$G,7,FALSE),"")</f>
        <v>7045930227</v>
      </c>
    </row>
    <row r="3430" spans="1:15" x14ac:dyDescent="0.45">
      <c r="A3430" t="s">
        <v>10424</v>
      </c>
      <c r="B3430" t="s">
        <v>10425</v>
      </c>
      <c r="C3430" t="s">
        <v>10426</v>
      </c>
      <c r="D3430" t="s">
        <v>683</v>
      </c>
      <c r="E3430" s="1">
        <v>46151.587222222224</v>
      </c>
      <c r="F3430">
        <v>1547</v>
      </c>
      <c r="G3430" t="s">
        <v>10427</v>
      </c>
      <c r="H3430" t="s">
        <v>15</v>
      </c>
      <c r="I3430" t="s">
        <v>685</v>
      </c>
      <c r="J3430" t="str">
        <f>RIGHT(D3430,4)</f>
        <v>6540</v>
      </c>
      <c r="K3430" t="str">
        <f>IFERROR(VLOOKUP(VALUE(J3430),'Site Info'!$A:$G,3,FALSE),"")</f>
        <v>8909 JW CLAY BLVD</v>
      </c>
      <c r="L3430" t="str">
        <f>IFERROR(VLOOKUP(VALUE(J3430),'Site Info'!$A:$G,4,FALSE),"")</f>
        <v>CHARLOTTE</v>
      </c>
      <c r="M3430" t="str">
        <f>IFERROR(VLOOKUP(VALUE(J3430),'Site Info'!$A:$G,5,FALSE),"")</f>
        <v>NC</v>
      </c>
      <c r="N3430" t="str">
        <f>IFERROR(VLOOKUP(VALUE(J3430),'Site Info'!$A:$G,6,FALSE),"")</f>
        <v>28262-5415</v>
      </c>
      <c r="O3430">
        <f>IFERROR(VLOOKUP(VALUE(J3430),'Site Info'!$A:$G,7,FALSE),"")</f>
        <v>7045930227</v>
      </c>
    </row>
    <row r="3431" spans="1:15" x14ac:dyDescent="0.45">
      <c r="A3431" t="s">
        <v>10428</v>
      </c>
      <c r="B3431" t="s">
        <v>10429</v>
      </c>
      <c r="C3431" t="s">
        <v>10430</v>
      </c>
      <c r="D3431" t="s">
        <v>683</v>
      </c>
      <c r="E3431" s="1">
        <v>46152.455208333333</v>
      </c>
      <c r="F3431">
        <v>1547</v>
      </c>
      <c r="G3431" t="s">
        <v>10431</v>
      </c>
      <c r="H3431" t="s">
        <v>15</v>
      </c>
      <c r="I3431" t="s">
        <v>685</v>
      </c>
      <c r="J3431" t="str">
        <f>RIGHT(D3431,4)</f>
        <v>6540</v>
      </c>
      <c r="K3431" t="str">
        <f>IFERROR(VLOOKUP(VALUE(J3431),'Site Info'!$A:$G,3,FALSE),"")</f>
        <v>8909 JW CLAY BLVD</v>
      </c>
      <c r="L3431" t="str">
        <f>IFERROR(VLOOKUP(VALUE(J3431),'Site Info'!$A:$G,4,FALSE),"")</f>
        <v>CHARLOTTE</v>
      </c>
      <c r="M3431" t="str">
        <f>IFERROR(VLOOKUP(VALUE(J3431),'Site Info'!$A:$G,5,FALSE),"")</f>
        <v>NC</v>
      </c>
      <c r="N3431" t="str">
        <f>IFERROR(VLOOKUP(VALUE(J3431),'Site Info'!$A:$G,6,FALSE),"")</f>
        <v>28262-5415</v>
      </c>
      <c r="O3431">
        <f>IFERROR(VLOOKUP(VALUE(J3431),'Site Info'!$A:$G,7,FALSE),"")</f>
        <v>7045930227</v>
      </c>
    </row>
    <row r="3432" spans="1:15" x14ac:dyDescent="0.45">
      <c r="A3432" t="s">
        <v>680</v>
      </c>
      <c r="B3432" t="s">
        <v>681</v>
      </c>
      <c r="C3432" t="s">
        <v>682</v>
      </c>
      <c r="D3432" t="s">
        <v>683</v>
      </c>
      <c r="E3432" s="1">
        <v>46153.369386574072</v>
      </c>
      <c r="F3432">
        <v>1481</v>
      </c>
      <c r="G3432" t="s">
        <v>684</v>
      </c>
      <c r="H3432" t="s">
        <v>15</v>
      </c>
      <c r="I3432" t="s">
        <v>685</v>
      </c>
      <c r="J3432" t="str">
        <f>RIGHT(D3432,4)</f>
        <v>6540</v>
      </c>
      <c r="K3432" t="str">
        <f>IFERROR(VLOOKUP(VALUE(J3432),'Site Info'!$A:$G,3,FALSE),"")</f>
        <v>8909 JW CLAY BLVD</v>
      </c>
      <c r="L3432" t="str">
        <f>IFERROR(VLOOKUP(VALUE(J3432),'Site Info'!$A:$G,4,FALSE),"")</f>
        <v>CHARLOTTE</v>
      </c>
      <c r="M3432" t="str">
        <f>IFERROR(VLOOKUP(VALUE(J3432),'Site Info'!$A:$G,5,FALSE),"")</f>
        <v>NC</v>
      </c>
      <c r="N3432" t="str">
        <f>IFERROR(VLOOKUP(VALUE(J3432),'Site Info'!$A:$G,6,FALSE),"")</f>
        <v>28262-5415</v>
      </c>
      <c r="O3432">
        <f>IFERROR(VLOOKUP(VALUE(J3432),'Site Info'!$A:$G,7,FALSE),"")</f>
        <v>7045930227</v>
      </c>
    </row>
    <row r="3433" spans="1:15" x14ac:dyDescent="0.45">
      <c r="A3433" t="s">
        <v>9403</v>
      </c>
      <c r="B3433" t="s">
        <v>9404</v>
      </c>
      <c r="C3433" t="s">
        <v>9405</v>
      </c>
      <c r="D3433" t="s">
        <v>2818</v>
      </c>
      <c r="E3433" s="1">
        <v>46147.663206018522</v>
      </c>
      <c r="F3433">
        <v>1547</v>
      </c>
      <c r="G3433" t="s">
        <v>9406</v>
      </c>
      <c r="H3433" t="s">
        <v>15</v>
      </c>
      <c r="I3433" t="s">
        <v>2820</v>
      </c>
      <c r="J3433" t="str">
        <f>RIGHT(D3433,4)</f>
        <v>7676</v>
      </c>
      <c r="K3433" t="str">
        <f>IFERROR(VLOOKUP(VALUE(J3433),'Site Info'!$A:$G,3,FALSE),"")</f>
        <v>8952 WESTGATE PARKWAY WEST</v>
      </c>
      <c r="L3433" t="str">
        <f>IFERROR(VLOOKUP(VALUE(J3433),'Site Info'!$A:$G,4,FALSE),"")</f>
        <v>AMARILLO</v>
      </c>
      <c r="M3433" t="str">
        <f>IFERROR(VLOOKUP(VALUE(J3433),'Site Info'!$A:$G,5,FALSE),"")</f>
        <v>TX</v>
      </c>
      <c r="N3433" t="str">
        <f>IFERROR(VLOOKUP(VALUE(J3433),'Site Info'!$A:$G,6,FALSE),"")</f>
        <v>79124-0000</v>
      </c>
      <c r="O3433">
        <f>IFERROR(VLOOKUP(VALUE(J3433),'Site Info'!$A:$G,7,FALSE),"")</f>
        <v>8065136495</v>
      </c>
    </row>
    <row r="3434" spans="1:15" x14ac:dyDescent="0.45">
      <c r="A3434" t="s">
        <v>9261</v>
      </c>
      <c r="B3434" t="s">
        <v>9262</v>
      </c>
      <c r="C3434" t="s">
        <v>9263</v>
      </c>
      <c r="D3434" t="s">
        <v>2818</v>
      </c>
      <c r="E3434" s="1">
        <v>46151.609363425923</v>
      </c>
      <c r="F3434">
        <v>1547</v>
      </c>
      <c r="G3434" t="s">
        <v>9264</v>
      </c>
      <c r="H3434" t="s">
        <v>15</v>
      </c>
      <c r="I3434" t="s">
        <v>2820</v>
      </c>
      <c r="J3434" t="str">
        <f>RIGHT(D3434,4)</f>
        <v>7676</v>
      </c>
      <c r="K3434" t="str">
        <f>IFERROR(VLOOKUP(VALUE(J3434),'Site Info'!$A:$G,3,FALSE),"")</f>
        <v>8952 WESTGATE PARKWAY WEST</v>
      </c>
      <c r="L3434" t="str">
        <f>IFERROR(VLOOKUP(VALUE(J3434),'Site Info'!$A:$G,4,FALSE),"")</f>
        <v>AMARILLO</v>
      </c>
      <c r="M3434" t="str">
        <f>IFERROR(VLOOKUP(VALUE(J3434),'Site Info'!$A:$G,5,FALSE),"")</f>
        <v>TX</v>
      </c>
      <c r="N3434" t="str">
        <f>IFERROR(VLOOKUP(VALUE(J3434),'Site Info'!$A:$G,6,FALSE),"")</f>
        <v>79124-0000</v>
      </c>
      <c r="O3434">
        <f>IFERROR(VLOOKUP(VALUE(J3434),'Site Info'!$A:$G,7,FALSE),"")</f>
        <v>8065136495</v>
      </c>
    </row>
    <row r="3435" spans="1:15" x14ac:dyDescent="0.45">
      <c r="A3435" t="s">
        <v>9273</v>
      </c>
      <c r="B3435" t="s">
        <v>9274</v>
      </c>
      <c r="C3435" t="s">
        <v>9275</v>
      </c>
      <c r="D3435" t="s">
        <v>2818</v>
      </c>
      <c r="E3435" s="1">
        <v>46152.449733796297</v>
      </c>
      <c r="F3435">
        <v>1547</v>
      </c>
      <c r="G3435" t="s">
        <v>9276</v>
      </c>
      <c r="H3435" t="s">
        <v>15</v>
      </c>
      <c r="I3435" t="s">
        <v>2820</v>
      </c>
      <c r="J3435" t="str">
        <f>RIGHT(D3435,4)</f>
        <v>7676</v>
      </c>
      <c r="K3435" t="str">
        <f>IFERROR(VLOOKUP(VALUE(J3435),'Site Info'!$A:$G,3,FALSE),"")</f>
        <v>8952 WESTGATE PARKWAY WEST</v>
      </c>
      <c r="L3435" t="str">
        <f>IFERROR(VLOOKUP(VALUE(J3435),'Site Info'!$A:$G,4,FALSE),"")</f>
        <v>AMARILLO</v>
      </c>
      <c r="M3435" t="str">
        <f>IFERROR(VLOOKUP(VALUE(J3435),'Site Info'!$A:$G,5,FALSE),"")</f>
        <v>TX</v>
      </c>
      <c r="N3435" t="str">
        <f>IFERROR(VLOOKUP(VALUE(J3435),'Site Info'!$A:$G,6,FALSE),"")</f>
        <v>79124-0000</v>
      </c>
      <c r="O3435">
        <f>IFERROR(VLOOKUP(VALUE(J3435),'Site Info'!$A:$G,7,FALSE),"")</f>
        <v>8065136495</v>
      </c>
    </row>
    <row r="3436" spans="1:15" x14ac:dyDescent="0.45">
      <c r="A3436" t="s">
        <v>9281</v>
      </c>
      <c r="B3436" t="s">
        <v>9282</v>
      </c>
      <c r="C3436" t="s">
        <v>9283</v>
      </c>
      <c r="D3436" t="s">
        <v>2818</v>
      </c>
      <c r="E3436" s="1">
        <v>46152.652083333334</v>
      </c>
      <c r="F3436">
        <v>1547</v>
      </c>
      <c r="G3436" t="s">
        <v>9284</v>
      </c>
      <c r="H3436" t="s">
        <v>15</v>
      </c>
      <c r="I3436" t="s">
        <v>2820</v>
      </c>
      <c r="J3436" t="str">
        <f>RIGHT(D3436,4)</f>
        <v>7676</v>
      </c>
      <c r="K3436" t="str">
        <f>IFERROR(VLOOKUP(VALUE(J3436),'Site Info'!$A:$G,3,FALSE),"")</f>
        <v>8952 WESTGATE PARKWAY WEST</v>
      </c>
      <c r="L3436" t="str">
        <f>IFERROR(VLOOKUP(VALUE(J3436),'Site Info'!$A:$G,4,FALSE),"")</f>
        <v>AMARILLO</v>
      </c>
      <c r="M3436" t="str">
        <f>IFERROR(VLOOKUP(VALUE(J3436),'Site Info'!$A:$G,5,FALSE),"")</f>
        <v>TX</v>
      </c>
      <c r="N3436" t="str">
        <f>IFERROR(VLOOKUP(VALUE(J3436),'Site Info'!$A:$G,6,FALSE),"")</f>
        <v>79124-0000</v>
      </c>
      <c r="O3436">
        <f>IFERROR(VLOOKUP(VALUE(J3436),'Site Info'!$A:$G,7,FALSE),"")</f>
        <v>8065136495</v>
      </c>
    </row>
    <row r="3437" spans="1:15" x14ac:dyDescent="0.45">
      <c r="A3437" t="s">
        <v>9317</v>
      </c>
      <c r="B3437" t="s">
        <v>9318</v>
      </c>
      <c r="C3437" t="s">
        <v>9319</v>
      </c>
      <c r="D3437" t="s">
        <v>2818</v>
      </c>
      <c r="E3437" s="1">
        <v>46152.661180555559</v>
      </c>
      <c r="F3437">
        <v>1547</v>
      </c>
      <c r="G3437" t="s">
        <v>9320</v>
      </c>
      <c r="H3437" t="s">
        <v>15</v>
      </c>
      <c r="I3437" t="s">
        <v>2820</v>
      </c>
      <c r="J3437" t="str">
        <f>RIGHT(D3437,4)</f>
        <v>7676</v>
      </c>
      <c r="K3437" t="str">
        <f>IFERROR(VLOOKUP(VALUE(J3437),'Site Info'!$A:$G,3,FALSE),"")</f>
        <v>8952 WESTGATE PARKWAY WEST</v>
      </c>
      <c r="L3437" t="str">
        <f>IFERROR(VLOOKUP(VALUE(J3437),'Site Info'!$A:$G,4,FALSE),"")</f>
        <v>AMARILLO</v>
      </c>
      <c r="M3437" t="str">
        <f>IFERROR(VLOOKUP(VALUE(J3437),'Site Info'!$A:$G,5,FALSE),"")</f>
        <v>TX</v>
      </c>
      <c r="N3437" t="str">
        <f>IFERROR(VLOOKUP(VALUE(J3437),'Site Info'!$A:$G,6,FALSE),"")</f>
        <v>79124-0000</v>
      </c>
      <c r="O3437">
        <f>IFERROR(VLOOKUP(VALUE(J3437),'Site Info'!$A:$G,7,FALSE),"")</f>
        <v>8065136495</v>
      </c>
    </row>
    <row r="3438" spans="1:15" x14ac:dyDescent="0.45">
      <c r="A3438" t="s">
        <v>9481</v>
      </c>
      <c r="B3438" t="s">
        <v>9482</v>
      </c>
      <c r="C3438" t="s">
        <v>9483</v>
      </c>
      <c r="D3438" t="s">
        <v>2818</v>
      </c>
      <c r="E3438" s="1">
        <v>46153.304652777777</v>
      </c>
      <c r="F3438">
        <v>1547</v>
      </c>
      <c r="G3438" t="s">
        <v>9484</v>
      </c>
      <c r="H3438" t="s">
        <v>15</v>
      </c>
      <c r="I3438" t="s">
        <v>2820</v>
      </c>
      <c r="J3438" t="str">
        <f>RIGHT(D3438,4)</f>
        <v>7676</v>
      </c>
      <c r="K3438" t="str">
        <f>IFERROR(VLOOKUP(VALUE(J3438),'Site Info'!$A:$G,3,FALSE),"")</f>
        <v>8952 WESTGATE PARKWAY WEST</v>
      </c>
      <c r="L3438" t="str">
        <f>IFERROR(VLOOKUP(VALUE(J3438),'Site Info'!$A:$G,4,FALSE),"")</f>
        <v>AMARILLO</v>
      </c>
      <c r="M3438" t="str">
        <f>IFERROR(VLOOKUP(VALUE(J3438),'Site Info'!$A:$G,5,FALSE),"")</f>
        <v>TX</v>
      </c>
      <c r="N3438" t="str">
        <f>IFERROR(VLOOKUP(VALUE(J3438),'Site Info'!$A:$G,6,FALSE),"")</f>
        <v>79124-0000</v>
      </c>
      <c r="O3438">
        <f>IFERROR(VLOOKUP(VALUE(J3438),'Site Info'!$A:$G,7,FALSE),"")</f>
        <v>8065136495</v>
      </c>
    </row>
    <row r="3439" spans="1:15" x14ac:dyDescent="0.45">
      <c r="A3439" t="s">
        <v>2895</v>
      </c>
      <c r="B3439" t="s">
        <v>2896</v>
      </c>
      <c r="C3439" t="s">
        <v>2897</v>
      </c>
      <c r="D3439" t="s">
        <v>2818</v>
      </c>
      <c r="E3439" s="1">
        <v>46152.920567129629</v>
      </c>
      <c r="F3439">
        <v>1481</v>
      </c>
      <c r="G3439" t="s">
        <v>2898</v>
      </c>
      <c r="H3439" t="s">
        <v>15</v>
      </c>
      <c r="I3439" t="s">
        <v>2820</v>
      </c>
      <c r="J3439" t="str">
        <f>RIGHT(D3439,4)</f>
        <v>7676</v>
      </c>
      <c r="K3439" t="str">
        <f>IFERROR(VLOOKUP(VALUE(J3439),'Site Info'!$A:$G,3,FALSE),"")</f>
        <v>8952 WESTGATE PARKWAY WEST</v>
      </c>
      <c r="L3439" t="str">
        <f>IFERROR(VLOOKUP(VALUE(J3439),'Site Info'!$A:$G,4,FALSE),"")</f>
        <v>AMARILLO</v>
      </c>
      <c r="M3439" t="str">
        <f>IFERROR(VLOOKUP(VALUE(J3439),'Site Info'!$A:$G,5,FALSE),"")</f>
        <v>TX</v>
      </c>
      <c r="N3439" t="str">
        <f>IFERROR(VLOOKUP(VALUE(J3439),'Site Info'!$A:$G,6,FALSE),"")</f>
        <v>79124-0000</v>
      </c>
      <c r="O3439">
        <f>IFERROR(VLOOKUP(VALUE(J3439),'Site Info'!$A:$G,7,FALSE),"")</f>
        <v>8065136495</v>
      </c>
    </row>
    <row r="3440" spans="1:15" x14ac:dyDescent="0.45">
      <c r="A3440" t="s">
        <v>2815</v>
      </c>
      <c r="B3440" t="s">
        <v>2816</v>
      </c>
      <c r="C3440" t="s">
        <v>2817</v>
      </c>
      <c r="D3440" t="s">
        <v>2818</v>
      </c>
      <c r="E3440" s="1">
        <v>46153.295787037037</v>
      </c>
      <c r="F3440">
        <v>1481</v>
      </c>
      <c r="G3440" t="s">
        <v>2819</v>
      </c>
      <c r="H3440" t="s">
        <v>15</v>
      </c>
      <c r="I3440" t="s">
        <v>2820</v>
      </c>
      <c r="J3440" t="str">
        <f>RIGHT(D3440,4)</f>
        <v>7676</v>
      </c>
      <c r="K3440" t="str">
        <f>IFERROR(VLOOKUP(VALUE(J3440),'Site Info'!$A:$G,3,FALSE),"")</f>
        <v>8952 WESTGATE PARKWAY WEST</v>
      </c>
      <c r="L3440" t="str">
        <f>IFERROR(VLOOKUP(VALUE(J3440),'Site Info'!$A:$G,4,FALSE),"")</f>
        <v>AMARILLO</v>
      </c>
      <c r="M3440" t="str">
        <f>IFERROR(VLOOKUP(VALUE(J3440),'Site Info'!$A:$G,5,FALSE),"")</f>
        <v>TX</v>
      </c>
      <c r="N3440" t="str">
        <f>IFERROR(VLOOKUP(VALUE(J3440),'Site Info'!$A:$G,6,FALSE),"")</f>
        <v>79124-0000</v>
      </c>
      <c r="O3440">
        <f>IFERROR(VLOOKUP(VALUE(J3440),'Site Info'!$A:$G,7,FALSE),"")</f>
        <v>8065136495</v>
      </c>
    </row>
    <row r="3441" spans="1:15" x14ac:dyDescent="0.45">
      <c r="A3441" t="s">
        <v>13315</v>
      </c>
      <c r="B3441" t="s">
        <v>13316</v>
      </c>
      <c r="C3441" t="s">
        <v>13317</v>
      </c>
      <c r="D3441" t="s">
        <v>2233</v>
      </c>
      <c r="E3441" s="1">
        <v>46152.783819444441</v>
      </c>
      <c r="F3441">
        <v>1547</v>
      </c>
      <c r="G3441" t="s">
        <v>13318</v>
      </c>
      <c r="H3441" t="s">
        <v>15</v>
      </c>
      <c r="I3441" t="s">
        <v>14</v>
      </c>
      <c r="J3441" t="str">
        <f>RIGHT(D3441,4)</f>
        <v>4790</v>
      </c>
      <c r="K3441" t="str">
        <f>IFERROR(VLOOKUP(VALUE(J3441),'Site Info'!$A:$G,3,FALSE),"")</f>
        <v>90 BASS PRO DR</v>
      </c>
      <c r="L3441" t="str">
        <f>IFERROR(VLOOKUP(VALUE(J3441),'Site Info'!$A:$G,4,FALSE),"")</f>
        <v>PEARL</v>
      </c>
      <c r="M3441" t="str">
        <f>IFERROR(VLOOKUP(VALUE(J3441),'Site Info'!$A:$G,5,FALSE),"")</f>
        <v>MS</v>
      </c>
      <c r="N3441" t="str">
        <f>IFERROR(VLOOKUP(VALUE(J3441),'Site Info'!$A:$G,6,FALSE),"")</f>
        <v>39208-9242</v>
      </c>
      <c r="O3441">
        <f>IFERROR(VLOOKUP(VALUE(J3441),'Site Info'!$A:$G,7,FALSE),"")</f>
        <v>6019394161</v>
      </c>
    </row>
    <row r="3442" spans="1:15" x14ac:dyDescent="0.45">
      <c r="A3442" t="s">
        <v>13287</v>
      </c>
      <c r="B3442" t="s">
        <v>13288</v>
      </c>
      <c r="C3442" t="s">
        <v>13289</v>
      </c>
      <c r="D3442" t="s">
        <v>2233</v>
      </c>
      <c r="E3442" s="1">
        <v>46153.148229166669</v>
      </c>
      <c r="F3442">
        <v>1547</v>
      </c>
      <c r="G3442" t="s">
        <v>13290</v>
      </c>
      <c r="H3442" t="s">
        <v>15</v>
      </c>
      <c r="I3442" t="s">
        <v>14</v>
      </c>
      <c r="J3442" t="str">
        <f>RIGHT(D3442,4)</f>
        <v>4790</v>
      </c>
      <c r="K3442" t="str">
        <f>IFERROR(VLOOKUP(VALUE(J3442),'Site Info'!$A:$G,3,FALSE),"")</f>
        <v>90 BASS PRO DR</v>
      </c>
      <c r="L3442" t="str">
        <f>IFERROR(VLOOKUP(VALUE(J3442),'Site Info'!$A:$G,4,FALSE),"")</f>
        <v>PEARL</v>
      </c>
      <c r="M3442" t="str">
        <f>IFERROR(VLOOKUP(VALUE(J3442),'Site Info'!$A:$G,5,FALSE),"")</f>
        <v>MS</v>
      </c>
      <c r="N3442" t="str">
        <f>IFERROR(VLOOKUP(VALUE(J3442),'Site Info'!$A:$G,6,FALSE),"")</f>
        <v>39208-9242</v>
      </c>
      <c r="O3442">
        <f>IFERROR(VLOOKUP(VALUE(J3442),'Site Info'!$A:$G,7,FALSE),"")</f>
        <v>6019394161</v>
      </c>
    </row>
    <row r="3443" spans="1:15" x14ac:dyDescent="0.45">
      <c r="A3443" t="s">
        <v>13535</v>
      </c>
      <c r="B3443" t="s">
        <v>13536</v>
      </c>
      <c r="C3443" t="s">
        <v>13537</v>
      </c>
      <c r="D3443" t="s">
        <v>2233</v>
      </c>
      <c r="E3443" s="1">
        <v>46153.287627314814</v>
      </c>
      <c r="F3443">
        <v>1547</v>
      </c>
      <c r="G3443" t="s">
        <v>13538</v>
      </c>
      <c r="H3443" t="s">
        <v>15</v>
      </c>
      <c r="I3443" t="s">
        <v>14</v>
      </c>
      <c r="J3443" t="str">
        <f>RIGHT(D3443,4)</f>
        <v>4790</v>
      </c>
      <c r="K3443" t="str">
        <f>IFERROR(VLOOKUP(VALUE(J3443),'Site Info'!$A:$G,3,FALSE),"")</f>
        <v>90 BASS PRO DR</v>
      </c>
      <c r="L3443" t="str">
        <f>IFERROR(VLOOKUP(VALUE(J3443),'Site Info'!$A:$G,4,FALSE),"")</f>
        <v>PEARL</v>
      </c>
      <c r="M3443" t="str">
        <f>IFERROR(VLOOKUP(VALUE(J3443),'Site Info'!$A:$G,5,FALSE),"")</f>
        <v>MS</v>
      </c>
      <c r="N3443" t="str">
        <f>IFERROR(VLOOKUP(VALUE(J3443),'Site Info'!$A:$G,6,FALSE),"")</f>
        <v>39208-9242</v>
      </c>
      <c r="O3443">
        <f>IFERROR(VLOOKUP(VALUE(J3443),'Site Info'!$A:$G,7,FALSE),"")</f>
        <v>6019394161</v>
      </c>
    </row>
    <row r="3444" spans="1:15" x14ac:dyDescent="0.45">
      <c r="A3444" t="s">
        <v>2230</v>
      </c>
      <c r="B3444" t="s">
        <v>2231</v>
      </c>
      <c r="C3444" t="s">
        <v>2232</v>
      </c>
      <c r="D3444" t="s">
        <v>2233</v>
      </c>
      <c r="E3444" s="1">
        <v>46152.626817129632</v>
      </c>
      <c r="F3444">
        <v>1481</v>
      </c>
      <c r="G3444" t="s">
        <v>2234</v>
      </c>
      <c r="H3444" t="s">
        <v>15</v>
      </c>
      <c r="I3444" t="s">
        <v>14</v>
      </c>
      <c r="J3444" t="str">
        <f>RIGHT(D3444,4)</f>
        <v>4790</v>
      </c>
      <c r="K3444" t="str">
        <f>IFERROR(VLOOKUP(VALUE(J3444),'Site Info'!$A:$G,3,FALSE),"")</f>
        <v>90 BASS PRO DR</v>
      </c>
      <c r="L3444" t="str">
        <f>IFERROR(VLOOKUP(VALUE(J3444),'Site Info'!$A:$G,4,FALSE),"")</f>
        <v>PEARL</v>
      </c>
      <c r="M3444" t="str">
        <f>IFERROR(VLOOKUP(VALUE(J3444),'Site Info'!$A:$G,5,FALSE),"")</f>
        <v>MS</v>
      </c>
      <c r="N3444" t="str">
        <f>IFERROR(VLOOKUP(VALUE(J3444),'Site Info'!$A:$G,6,FALSE),"")</f>
        <v>39208-9242</v>
      </c>
      <c r="O3444">
        <f>IFERROR(VLOOKUP(VALUE(J3444),'Site Info'!$A:$G,7,FALSE),"")</f>
        <v>6019394161</v>
      </c>
    </row>
    <row r="3445" spans="1:15" x14ac:dyDescent="0.45">
      <c r="A3445" t="s">
        <v>2635</v>
      </c>
      <c r="B3445" t="s">
        <v>2636</v>
      </c>
      <c r="C3445" t="s">
        <v>2637</v>
      </c>
      <c r="D3445" t="s">
        <v>2233</v>
      </c>
      <c r="E3445" s="1">
        <v>46153.160150462965</v>
      </c>
      <c r="F3445">
        <v>1481</v>
      </c>
      <c r="G3445" t="s">
        <v>2638</v>
      </c>
      <c r="H3445" t="s">
        <v>15</v>
      </c>
      <c r="I3445" t="s">
        <v>14</v>
      </c>
      <c r="J3445" t="str">
        <f>RIGHT(D3445,4)</f>
        <v>4790</v>
      </c>
      <c r="K3445" t="str">
        <f>IFERROR(VLOOKUP(VALUE(J3445),'Site Info'!$A:$G,3,FALSE),"")</f>
        <v>90 BASS PRO DR</v>
      </c>
      <c r="L3445" t="str">
        <f>IFERROR(VLOOKUP(VALUE(J3445),'Site Info'!$A:$G,4,FALSE),"")</f>
        <v>PEARL</v>
      </c>
      <c r="M3445" t="str">
        <f>IFERROR(VLOOKUP(VALUE(J3445),'Site Info'!$A:$G,5,FALSE),"")</f>
        <v>MS</v>
      </c>
      <c r="N3445" t="str">
        <f>IFERROR(VLOOKUP(VALUE(J3445),'Site Info'!$A:$G,6,FALSE),"")</f>
        <v>39208-9242</v>
      </c>
      <c r="O3445">
        <f>IFERROR(VLOOKUP(VALUE(J3445),'Site Info'!$A:$G,7,FALSE),"")</f>
        <v>6019394161</v>
      </c>
    </row>
    <row r="3446" spans="1:15" x14ac:dyDescent="0.45">
      <c r="A3446" t="s">
        <v>9</v>
      </c>
      <c r="B3446" t="s">
        <v>10</v>
      </c>
      <c r="C3446" t="s">
        <v>11</v>
      </c>
      <c r="D3446" t="s">
        <v>2233</v>
      </c>
      <c r="E3446" s="1">
        <v>46096.02721064815</v>
      </c>
      <c r="F3446">
        <v>1582</v>
      </c>
      <c r="G3446" t="s">
        <v>12</v>
      </c>
      <c r="H3446" t="s">
        <v>15</v>
      </c>
      <c r="I3446" t="s">
        <v>14</v>
      </c>
      <c r="J3446" t="str">
        <f>RIGHT(D3446,4)</f>
        <v>4790</v>
      </c>
      <c r="K3446" t="str">
        <f>IFERROR(VLOOKUP(VALUE(J3446),'Site Info'!$A:$G,3,FALSE),"")</f>
        <v>90 BASS PRO DR</v>
      </c>
      <c r="L3446" t="str">
        <f>IFERROR(VLOOKUP(VALUE(J3446),'Site Info'!$A:$G,4,FALSE),"")</f>
        <v>PEARL</v>
      </c>
      <c r="M3446" t="str">
        <f>IFERROR(VLOOKUP(VALUE(J3446),'Site Info'!$A:$G,5,FALSE),"")</f>
        <v>MS</v>
      </c>
      <c r="N3446" t="str">
        <f>IFERROR(VLOOKUP(VALUE(J3446),'Site Info'!$A:$G,6,FALSE),"")</f>
        <v>39208-9242</v>
      </c>
      <c r="O3446">
        <f>IFERROR(VLOOKUP(VALUE(J3446),'Site Info'!$A:$G,7,FALSE),"")</f>
        <v>6019394161</v>
      </c>
    </row>
    <row r="3447" spans="1:15" x14ac:dyDescent="0.45">
      <c r="A3447" t="s">
        <v>6156</v>
      </c>
      <c r="B3447" t="s">
        <v>6157</v>
      </c>
      <c r="C3447" t="s">
        <v>6158</v>
      </c>
      <c r="D3447" t="s">
        <v>33</v>
      </c>
      <c r="E3447" s="1">
        <v>46150.864733796298</v>
      </c>
      <c r="F3447">
        <v>1547</v>
      </c>
      <c r="G3447" t="s">
        <v>6159</v>
      </c>
      <c r="H3447" t="s">
        <v>15</v>
      </c>
      <c r="I3447" t="s">
        <v>35</v>
      </c>
      <c r="J3447" t="str">
        <f>RIGHT(D3447,4)</f>
        <v>6405</v>
      </c>
      <c r="K3447" t="str">
        <f>IFERROR(VLOOKUP(VALUE(J3447),'Site Info'!$A:$G,3,FALSE),"")</f>
        <v>900 N WALTON AVE</v>
      </c>
      <c r="L3447" t="str">
        <f>IFERROR(VLOOKUP(VALUE(J3447),'Site Info'!$A:$G,4,FALSE),"")</f>
        <v>YUBA CITY</v>
      </c>
      <c r="M3447" t="str">
        <f>IFERROR(VLOOKUP(VALUE(J3447),'Site Info'!$A:$G,5,FALSE),"")</f>
        <v>CA</v>
      </c>
      <c r="N3447" t="str">
        <f>IFERROR(VLOOKUP(VALUE(J3447),'Site Info'!$A:$G,6,FALSE),"")</f>
        <v>95993-8634</v>
      </c>
      <c r="O3447">
        <f>IFERROR(VLOOKUP(VALUE(J3447),'Site Info'!$A:$G,7,FALSE),"")</f>
        <v>5307511244</v>
      </c>
    </row>
    <row r="3448" spans="1:15" x14ac:dyDescent="0.45">
      <c r="A3448" t="s">
        <v>5978</v>
      </c>
      <c r="B3448" t="s">
        <v>5979</v>
      </c>
      <c r="C3448" t="s">
        <v>5980</v>
      </c>
      <c r="D3448" t="s">
        <v>33</v>
      </c>
      <c r="E3448" s="1">
        <v>46152.755115740743</v>
      </c>
      <c r="F3448">
        <v>1547</v>
      </c>
      <c r="G3448" t="s">
        <v>5981</v>
      </c>
      <c r="H3448" t="s">
        <v>15</v>
      </c>
      <c r="I3448" t="s">
        <v>35</v>
      </c>
      <c r="J3448" t="str">
        <f>RIGHT(D3448,4)</f>
        <v>6405</v>
      </c>
      <c r="K3448" t="str">
        <f>IFERROR(VLOOKUP(VALUE(J3448),'Site Info'!$A:$G,3,FALSE),"")</f>
        <v>900 N WALTON AVE</v>
      </c>
      <c r="L3448" t="str">
        <f>IFERROR(VLOOKUP(VALUE(J3448),'Site Info'!$A:$G,4,FALSE),"")</f>
        <v>YUBA CITY</v>
      </c>
      <c r="M3448" t="str">
        <f>IFERROR(VLOOKUP(VALUE(J3448),'Site Info'!$A:$G,5,FALSE),"")</f>
        <v>CA</v>
      </c>
      <c r="N3448" t="str">
        <f>IFERROR(VLOOKUP(VALUE(J3448),'Site Info'!$A:$G,6,FALSE),"")</f>
        <v>95993-8634</v>
      </c>
      <c r="O3448">
        <f>IFERROR(VLOOKUP(VALUE(J3448),'Site Info'!$A:$G,7,FALSE),"")</f>
        <v>5307511244</v>
      </c>
    </row>
    <row r="3449" spans="1:15" x14ac:dyDescent="0.45">
      <c r="A3449" t="s">
        <v>6078</v>
      </c>
      <c r="B3449" t="s">
        <v>6079</v>
      </c>
      <c r="C3449" t="s">
        <v>6080</v>
      </c>
      <c r="D3449" t="s">
        <v>33</v>
      </c>
      <c r="E3449" s="1">
        <v>46152.838425925926</v>
      </c>
      <c r="F3449">
        <v>1547</v>
      </c>
      <c r="G3449" t="s">
        <v>6081</v>
      </c>
      <c r="H3449" t="s">
        <v>15</v>
      </c>
      <c r="I3449" t="s">
        <v>35</v>
      </c>
      <c r="J3449" t="str">
        <f>RIGHT(D3449,4)</f>
        <v>6405</v>
      </c>
      <c r="K3449" t="str">
        <f>IFERROR(VLOOKUP(VALUE(J3449),'Site Info'!$A:$G,3,FALSE),"")</f>
        <v>900 N WALTON AVE</v>
      </c>
      <c r="L3449" t="str">
        <f>IFERROR(VLOOKUP(VALUE(J3449),'Site Info'!$A:$G,4,FALSE),"")</f>
        <v>YUBA CITY</v>
      </c>
      <c r="M3449" t="str">
        <f>IFERROR(VLOOKUP(VALUE(J3449),'Site Info'!$A:$G,5,FALSE),"")</f>
        <v>CA</v>
      </c>
      <c r="N3449" t="str">
        <f>IFERROR(VLOOKUP(VALUE(J3449),'Site Info'!$A:$G,6,FALSE),"")</f>
        <v>95993-8634</v>
      </c>
      <c r="O3449">
        <f>IFERROR(VLOOKUP(VALUE(J3449),'Site Info'!$A:$G,7,FALSE),"")</f>
        <v>5307511244</v>
      </c>
    </row>
    <row r="3450" spans="1:15" x14ac:dyDescent="0.45">
      <c r="A3450" t="s">
        <v>6196</v>
      </c>
      <c r="B3450" t="s">
        <v>6197</v>
      </c>
      <c r="C3450" t="s">
        <v>6198</v>
      </c>
      <c r="D3450" t="s">
        <v>33</v>
      </c>
      <c r="E3450" s="1">
        <v>46153.267256944448</v>
      </c>
      <c r="F3450">
        <v>1547</v>
      </c>
      <c r="G3450" t="s">
        <v>6199</v>
      </c>
      <c r="H3450" t="s">
        <v>15</v>
      </c>
      <c r="I3450" t="s">
        <v>35</v>
      </c>
      <c r="J3450" t="str">
        <f>RIGHT(D3450,4)</f>
        <v>6405</v>
      </c>
      <c r="K3450" t="str">
        <f>IFERROR(VLOOKUP(VALUE(J3450),'Site Info'!$A:$G,3,FALSE),"")</f>
        <v>900 N WALTON AVE</v>
      </c>
      <c r="L3450" t="str">
        <f>IFERROR(VLOOKUP(VALUE(J3450),'Site Info'!$A:$G,4,FALSE),"")</f>
        <v>YUBA CITY</v>
      </c>
      <c r="M3450" t="str">
        <f>IFERROR(VLOOKUP(VALUE(J3450),'Site Info'!$A:$G,5,FALSE),"")</f>
        <v>CA</v>
      </c>
      <c r="N3450" t="str">
        <f>IFERROR(VLOOKUP(VALUE(J3450),'Site Info'!$A:$G,6,FALSE),"")</f>
        <v>95993-8634</v>
      </c>
      <c r="O3450">
        <f>IFERROR(VLOOKUP(VALUE(J3450),'Site Info'!$A:$G,7,FALSE),"")</f>
        <v>5307511244</v>
      </c>
    </row>
    <row r="3451" spans="1:15" x14ac:dyDescent="0.45">
      <c r="A3451" t="s">
        <v>3183</v>
      </c>
      <c r="B3451" t="s">
        <v>3184</v>
      </c>
      <c r="C3451" t="s">
        <v>3185</v>
      </c>
      <c r="D3451" t="s">
        <v>33</v>
      </c>
      <c r="E3451" s="1">
        <v>46152.959791666668</v>
      </c>
      <c r="F3451">
        <v>1481</v>
      </c>
      <c r="G3451" t="s">
        <v>3186</v>
      </c>
      <c r="H3451" t="s">
        <v>15</v>
      </c>
      <c r="I3451" t="s">
        <v>35</v>
      </c>
      <c r="J3451" t="str">
        <f>RIGHT(D3451,4)</f>
        <v>6405</v>
      </c>
      <c r="K3451" t="str">
        <f>IFERROR(VLOOKUP(VALUE(J3451),'Site Info'!$A:$G,3,FALSE),"")</f>
        <v>900 N WALTON AVE</v>
      </c>
      <c r="L3451" t="str">
        <f>IFERROR(VLOOKUP(VALUE(J3451),'Site Info'!$A:$G,4,FALSE),"")</f>
        <v>YUBA CITY</v>
      </c>
      <c r="M3451" t="str">
        <f>IFERROR(VLOOKUP(VALUE(J3451),'Site Info'!$A:$G,5,FALSE),"")</f>
        <v>CA</v>
      </c>
      <c r="N3451" t="str">
        <f>IFERROR(VLOOKUP(VALUE(J3451),'Site Info'!$A:$G,6,FALSE),"")</f>
        <v>95993-8634</v>
      </c>
      <c r="O3451">
        <f>IFERROR(VLOOKUP(VALUE(J3451),'Site Info'!$A:$G,7,FALSE),"")</f>
        <v>5307511244</v>
      </c>
    </row>
    <row r="3452" spans="1:15" x14ac:dyDescent="0.45">
      <c r="A3452" t="s">
        <v>30</v>
      </c>
      <c r="B3452" t="s">
        <v>31</v>
      </c>
      <c r="C3452" t="s">
        <v>32</v>
      </c>
      <c r="D3452" t="s">
        <v>33</v>
      </c>
      <c r="E3452" s="1">
        <v>46153.263738425929</v>
      </c>
      <c r="F3452">
        <v>1481</v>
      </c>
      <c r="G3452" t="s">
        <v>34</v>
      </c>
      <c r="H3452" t="s">
        <v>15</v>
      </c>
      <c r="I3452" t="s">
        <v>35</v>
      </c>
      <c r="J3452" t="str">
        <f>RIGHT(D3452,4)</f>
        <v>6405</v>
      </c>
      <c r="K3452" t="str">
        <f>IFERROR(VLOOKUP(VALUE(J3452),'Site Info'!$A:$G,3,FALSE),"")</f>
        <v>900 N WALTON AVE</v>
      </c>
      <c r="L3452" t="str">
        <f>IFERROR(VLOOKUP(VALUE(J3452),'Site Info'!$A:$G,4,FALSE),"")</f>
        <v>YUBA CITY</v>
      </c>
      <c r="M3452" t="str">
        <f>IFERROR(VLOOKUP(VALUE(J3452),'Site Info'!$A:$G,5,FALSE),"")</f>
        <v>CA</v>
      </c>
      <c r="N3452" t="str">
        <f>IFERROR(VLOOKUP(VALUE(J3452),'Site Info'!$A:$G,6,FALSE),"")</f>
        <v>95993-8634</v>
      </c>
      <c r="O3452">
        <f>IFERROR(VLOOKUP(VALUE(J3452),'Site Info'!$A:$G,7,FALSE),"")</f>
        <v>5307511244</v>
      </c>
    </row>
    <row r="3453" spans="1:15" x14ac:dyDescent="0.45">
      <c r="A3453" t="s">
        <v>2995</v>
      </c>
      <c r="B3453" t="s">
        <v>2996</v>
      </c>
      <c r="C3453" t="s">
        <v>2997</v>
      </c>
      <c r="D3453" t="s">
        <v>33</v>
      </c>
      <c r="E3453" s="1">
        <v>46153.34002314815</v>
      </c>
      <c r="F3453">
        <v>1481</v>
      </c>
      <c r="G3453" t="s">
        <v>2998</v>
      </c>
      <c r="H3453" t="s">
        <v>15</v>
      </c>
      <c r="I3453" t="s">
        <v>35</v>
      </c>
      <c r="J3453" t="str">
        <f>RIGHT(D3453,4)</f>
        <v>6405</v>
      </c>
      <c r="K3453" t="str">
        <f>IFERROR(VLOOKUP(VALUE(J3453),'Site Info'!$A:$G,3,FALSE),"")</f>
        <v>900 N WALTON AVE</v>
      </c>
      <c r="L3453" t="str">
        <f>IFERROR(VLOOKUP(VALUE(J3453),'Site Info'!$A:$G,4,FALSE),"")</f>
        <v>YUBA CITY</v>
      </c>
      <c r="M3453" t="str">
        <f>IFERROR(VLOOKUP(VALUE(J3453),'Site Info'!$A:$G,5,FALSE),"")</f>
        <v>CA</v>
      </c>
      <c r="N3453" t="str">
        <f>IFERROR(VLOOKUP(VALUE(J3453),'Site Info'!$A:$G,6,FALSE),"")</f>
        <v>95993-8634</v>
      </c>
      <c r="O3453">
        <f>IFERROR(VLOOKUP(VALUE(J3453),'Site Info'!$A:$G,7,FALSE),"")</f>
        <v>5307511244</v>
      </c>
    </row>
    <row r="3454" spans="1:15" x14ac:dyDescent="0.45">
      <c r="A3454" t="s">
        <v>14171</v>
      </c>
      <c r="B3454" t="s">
        <v>14172</v>
      </c>
      <c r="C3454" t="s">
        <v>14173</v>
      </c>
      <c r="D3454" t="s">
        <v>45</v>
      </c>
      <c r="E3454" s="1">
        <v>46153.187905092593</v>
      </c>
      <c r="F3454">
        <v>1863</v>
      </c>
      <c r="G3454" t="s">
        <v>14174</v>
      </c>
      <c r="H3454" t="s">
        <v>136</v>
      </c>
      <c r="I3454" t="s">
        <v>47</v>
      </c>
      <c r="J3454" t="str">
        <f>RIGHT(D3454,4)</f>
        <v>8104</v>
      </c>
      <c r="K3454" t="str">
        <f>IFERROR(VLOOKUP(VALUE(J3454),'Site Info'!$A:$G,3,FALSE),"")</f>
        <v>900 S BOWMAN RD</v>
      </c>
      <c r="L3454" t="str">
        <f>IFERROR(VLOOKUP(VALUE(J3454),'Site Info'!$A:$G,4,FALSE),"")</f>
        <v>LITTLE ROCK</v>
      </c>
      <c r="M3454" t="str">
        <f>IFERROR(VLOOKUP(VALUE(J3454),'Site Info'!$A:$G,5,FALSE),"")</f>
        <v>AR</v>
      </c>
      <c r="N3454" t="str">
        <f>IFERROR(VLOOKUP(VALUE(J3454),'Site Info'!$A:$G,6,FALSE),"")</f>
        <v>72211-3617</v>
      </c>
      <c r="O3454">
        <f>IFERROR(VLOOKUP(VALUE(J3454),'Site Info'!$A:$G,7,FALSE),"")</f>
        <v>5012277119</v>
      </c>
    </row>
    <row r="3455" spans="1:15" x14ac:dyDescent="0.45">
      <c r="A3455" t="s">
        <v>14237</v>
      </c>
      <c r="B3455" t="s">
        <v>14238</v>
      </c>
      <c r="C3455" t="s">
        <v>14239</v>
      </c>
      <c r="D3455" t="s">
        <v>45</v>
      </c>
      <c r="E3455" s="1">
        <v>46153.339305555557</v>
      </c>
      <c r="F3455">
        <v>1863</v>
      </c>
      <c r="G3455" t="s">
        <v>14240</v>
      </c>
      <c r="H3455" t="s">
        <v>136</v>
      </c>
      <c r="I3455" t="s">
        <v>47</v>
      </c>
      <c r="J3455" t="str">
        <f>RIGHT(D3455,4)</f>
        <v>8104</v>
      </c>
      <c r="K3455" t="str">
        <f>IFERROR(VLOOKUP(VALUE(J3455),'Site Info'!$A:$G,3,FALSE),"")</f>
        <v>900 S BOWMAN RD</v>
      </c>
      <c r="L3455" t="str">
        <f>IFERROR(VLOOKUP(VALUE(J3455),'Site Info'!$A:$G,4,FALSE),"")</f>
        <v>LITTLE ROCK</v>
      </c>
      <c r="M3455" t="str">
        <f>IFERROR(VLOOKUP(VALUE(J3455),'Site Info'!$A:$G,5,FALSE),"")</f>
        <v>AR</v>
      </c>
      <c r="N3455" t="str">
        <f>IFERROR(VLOOKUP(VALUE(J3455),'Site Info'!$A:$G,6,FALSE),"")</f>
        <v>72211-3617</v>
      </c>
      <c r="O3455">
        <f>IFERROR(VLOOKUP(VALUE(J3455),'Site Info'!$A:$G,7,FALSE),"")</f>
        <v>5012277119</v>
      </c>
    </row>
    <row r="3456" spans="1:15" x14ac:dyDescent="0.45">
      <c r="A3456" t="s">
        <v>13311</v>
      </c>
      <c r="B3456" t="s">
        <v>13312</v>
      </c>
      <c r="C3456" t="s">
        <v>13313</v>
      </c>
      <c r="D3456" t="s">
        <v>45</v>
      </c>
      <c r="E3456" s="1">
        <v>46149.554340277777</v>
      </c>
      <c r="F3456">
        <v>1547</v>
      </c>
      <c r="G3456" t="s">
        <v>13314</v>
      </c>
      <c r="H3456" t="s">
        <v>15</v>
      </c>
      <c r="I3456" t="s">
        <v>47</v>
      </c>
      <c r="J3456" t="str">
        <f>RIGHT(D3456,4)</f>
        <v>8104</v>
      </c>
      <c r="K3456" t="str">
        <f>IFERROR(VLOOKUP(VALUE(J3456),'Site Info'!$A:$G,3,FALSE),"")</f>
        <v>900 S BOWMAN RD</v>
      </c>
      <c r="L3456" t="str">
        <f>IFERROR(VLOOKUP(VALUE(J3456),'Site Info'!$A:$G,4,FALSE),"")</f>
        <v>LITTLE ROCK</v>
      </c>
      <c r="M3456" t="str">
        <f>IFERROR(VLOOKUP(VALUE(J3456),'Site Info'!$A:$G,5,FALSE),"")</f>
        <v>AR</v>
      </c>
      <c r="N3456" t="str">
        <f>IFERROR(VLOOKUP(VALUE(J3456),'Site Info'!$A:$G,6,FALSE),"")</f>
        <v>72211-3617</v>
      </c>
      <c r="O3456">
        <f>IFERROR(VLOOKUP(VALUE(J3456),'Site Info'!$A:$G,7,FALSE),"")</f>
        <v>5012277119</v>
      </c>
    </row>
    <row r="3457" spans="1:15" x14ac:dyDescent="0.45">
      <c r="A3457" t="s">
        <v>9776</v>
      </c>
      <c r="B3457" t="s">
        <v>9777</v>
      </c>
      <c r="C3457" t="s">
        <v>9778</v>
      </c>
      <c r="D3457" t="s">
        <v>45</v>
      </c>
      <c r="E3457" s="1">
        <v>46151.757604166669</v>
      </c>
      <c r="F3457">
        <v>1547</v>
      </c>
      <c r="G3457" t="s">
        <v>9779</v>
      </c>
      <c r="H3457" t="s">
        <v>15</v>
      </c>
      <c r="I3457" t="s">
        <v>47</v>
      </c>
      <c r="J3457" t="str">
        <f>RIGHT(D3457,4)</f>
        <v>8104</v>
      </c>
      <c r="K3457" t="str">
        <f>IFERROR(VLOOKUP(VALUE(J3457),'Site Info'!$A:$G,3,FALSE),"")</f>
        <v>900 S BOWMAN RD</v>
      </c>
      <c r="L3457" t="str">
        <f>IFERROR(VLOOKUP(VALUE(J3457),'Site Info'!$A:$G,4,FALSE),"")</f>
        <v>LITTLE ROCK</v>
      </c>
      <c r="M3457" t="str">
        <f>IFERROR(VLOOKUP(VALUE(J3457),'Site Info'!$A:$G,5,FALSE),"")</f>
        <v>AR</v>
      </c>
      <c r="N3457" t="str">
        <f>IFERROR(VLOOKUP(VALUE(J3457),'Site Info'!$A:$G,6,FALSE),"")</f>
        <v>72211-3617</v>
      </c>
      <c r="O3457">
        <f>IFERROR(VLOOKUP(VALUE(J3457),'Site Info'!$A:$G,7,FALSE),"")</f>
        <v>5012277119</v>
      </c>
    </row>
    <row r="3458" spans="1:15" x14ac:dyDescent="0.45">
      <c r="A3458" t="s">
        <v>42</v>
      </c>
      <c r="B3458" t="s">
        <v>43</v>
      </c>
      <c r="C3458" t="s">
        <v>44</v>
      </c>
      <c r="D3458" t="s">
        <v>45</v>
      </c>
      <c r="E3458" s="1">
        <v>46153.249097222222</v>
      </c>
      <c r="F3458">
        <v>1547</v>
      </c>
      <c r="G3458" t="s">
        <v>46</v>
      </c>
      <c r="H3458" t="s">
        <v>15</v>
      </c>
      <c r="I3458" t="s">
        <v>47</v>
      </c>
      <c r="J3458" t="str">
        <f>RIGHT(D3458,4)</f>
        <v>8104</v>
      </c>
      <c r="K3458" t="str">
        <f>IFERROR(VLOOKUP(VALUE(J3458),'Site Info'!$A:$G,3,FALSE),"")</f>
        <v>900 S BOWMAN RD</v>
      </c>
      <c r="L3458" t="str">
        <f>IFERROR(VLOOKUP(VALUE(J3458),'Site Info'!$A:$G,4,FALSE),"")</f>
        <v>LITTLE ROCK</v>
      </c>
      <c r="M3458" t="str">
        <f>IFERROR(VLOOKUP(VALUE(J3458),'Site Info'!$A:$G,5,FALSE),"")</f>
        <v>AR</v>
      </c>
      <c r="N3458" t="str">
        <f>IFERROR(VLOOKUP(VALUE(J3458),'Site Info'!$A:$G,6,FALSE),"")</f>
        <v>72211-3617</v>
      </c>
      <c r="O3458">
        <f>IFERROR(VLOOKUP(VALUE(J3458),'Site Info'!$A:$G,7,FALSE),"")</f>
        <v>5012277119</v>
      </c>
    </row>
    <row r="3459" spans="1:15" x14ac:dyDescent="0.45">
      <c r="A3459" t="s">
        <v>13279</v>
      </c>
      <c r="B3459" t="s">
        <v>13280</v>
      </c>
      <c r="C3459" t="s">
        <v>13281</v>
      </c>
      <c r="D3459" t="s">
        <v>45</v>
      </c>
      <c r="E3459" s="1">
        <v>46153.365023148152</v>
      </c>
      <c r="F3459">
        <v>1547</v>
      </c>
      <c r="G3459" t="s">
        <v>13282</v>
      </c>
      <c r="H3459" t="s">
        <v>15</v>
      </c>
      <c r="I3459" t="s">
        <v>47</v>
      </c>
      <c r="J3459" t="str">
        <f>RIGHT(D3459,4)</f>
        <v>8104</v>
      </c>
      <c r="K3459" t="str">
        <f>IFERROR(VLOOKUP(VALUE(J3459),'Site Info'!$A:$G,3,FALSE),"")</f>
        <v>900 S BOWMAN RD</v>
      </c>
      <c r="L3459" t="str">
        <f>IFERROR(VLOOKUP(VALUE(J3459),'Site Info'!$A:$G,4,FALSE),"")</f>
        <v>LITTLE ROCK</v>
      </c>
      <c r="M3459" t="str">
        <f>IFERROR(VLOOKUP(VALUE(J3459),'Site Info'!$A:$G,5,FALSE),"")</f>
        <v>AR</v>
      </c>
      <c r="N3459" t="str">
        <f>IFERROR(VLOOKUP(VALUE(J3459),'Site Info'!$A:$G,6,FALSE),"")</f>
        <v>72211-3617</v>
      </c>
      <c r="O3459">
        <f>IFERROR(VLOOKUP(VALUE(J3459),'Site Info'!$A:$G,7,FALSE),"")</f>
        <v>5012277119</v>
      </c>
    </row>
    <row r="3460" spans="1:15" x14ac:dyDescent="0.45">
      <c r="A3460" t="s">
        <v>96</v>
      </c>
      <c r="B3460" t="s">
        <v>268</v>
      </c>
      <c r="C3460" t="s">
        <v>269</v>
      </c>
      <c r="D3460" t="s">
        <v>45</v>
      </c>
      <c r="E3460" s="1">
        <v>46153.373807870368</v>
      </c>
      <c r="F3460">
        <v>1547</v>
      </c>
      <c r="G3460" t="s">
        <v>270</v>
      </c>
      <c r="H3460" t="s">
        <v>15</v>
      </c>
      <c r="I3460" t="s">
        <v>47</v>
      </c>
      <c r="J3460" t="str">
        <f>RIGHT(D3460,4)</f>
        <v>8104</v>
      </c>
      <c r="K3460" t="str">
        <f>IFERROR(VLOOKUP(VALUE(J3460),'Site Info'!$A:$G,3,FALSE),"")</f>
        <v>900 S BOWMAN RD</v>
      </c>
      <c r="L3460" t="str">
        <f>IFERROR(VLOOKUP(VALUE(J3460),'Site Info'!$A:$G,4,FALSE),"")</f>
        <v>LITTLE ROCK</v>
      </c>
      <c r="M3460" t="str">
        <f>IFERROR(VLOOKUP(VALUE(J3460),'Site Info'!$A:$G,5,FALSE),"")</f>
        <v>AR</v>
      </c>
      <c r="N3460" t="str">
        <f>IFERROR(VLOOKUP(VALUE(J3460),'Site Info'!$A:$G,6,FALSE),"")</f>
        <v>72211-3617</v>
      </c>
      <c r="O3460">
        <f>IFERROR(VLOOKUP(VALUE(J3460),'Site Info'!$A:$G,7,FALSE),"")</f>
        <v>5012277119</v>
      </c>
    </row>
    <row r="3461" spans="1:15" x14ac:dyDescent="0.45">
      <c r="A3461" t="s">
        <v>10604</v>
      </c>
      <c r="B3461" t="s">
        <v>10605</v>
      </c>
      <c r="C3461" t="s">
        <v>10606</v>
      </c>
      <c r="D3461" t="s">
        <v>813</v>
      </c>
      <c r="E3461" s="1">
        <v>46152.734085648146</v>
      </c>
      <c r="F3461">
        <v>1547</v>
      </c>
      <c r="G3461" t="s">
        <v>10607</v>
      </c>
      <c r="H3461" t="s">
        <v>15</v>
      </c>
      <c r="I3461" t="s">
        <v>815</v>
      </c>
      <c r="J3461" t="str">
        <f>RIGHT(D3461,4)</f>
        <v>4731</v>
      </c>
      <c r="K3461" t="str">
        <f>IFERROR(VLOOKUP(VALUE(J3461),'Site Info'!$A:$G,3,FALSE),"")</f>
        <v>9000 NW PASSAGE</v>
      </c>
      <c r="L3461" t="str">
        <f>IFERROR(VLOOKUP(VALUE(J3461),'Site Info'!$A:$G,4,FALSE),"")</f>
        <v>OKLAHOMA CITY</v>
      </c>
      <c r="M3461" t="str">
        <f>IFERROR(VLOOKUP(VALUE(J3461),'Site Info'!$A:$G,5,FALSE),"")</f>
        <v>OK</v>
      </c>
      <c r="N3461" t="str">
        <f>IFERROR(VLOOKUP(VALUE(J3461),'Site Info'!$A:$G,6,FALSE),"")</f>
        <v>73132-3414</v>
      </c>
      <c r="O3461">
        <f>IFERROR(VLOOKUP(VALUE(J3461),'Site Info'!$A:$G,7,FALSE),"")</f>
        <v>4057733602</v>
      </c>
    </row>
    <row r="3462" spans="1:15" x14ac:dyDescent="0.45">
      <c r="A3462" t="s">
        <v>9489</v>
      </c>
      <c r="B3462" t="s">
        <v>9490</v>
      </c>
      <c r="C3462" t="s">
        <v>9491</v>
      </c>
      <c r="D3462" t="s">
        <v>813</v>
      </c>
      <c r="E3462" s="1">
        <v>46153.325381944444</v>
      </c>
      <c r="F3462">
        <v>1547</v>
      </c>
      <c r="G3462" t="s">
        <v>9492</v>
      </c>
      <c r="H3462" t="s">
        <v>15</v>
      </c>
      <c r="I3462" t="s">
        <v>815</v>
      </c>
      <c r="J3462" t="str">
        <f>RIGHT(D3462,4)</f>
        <v>4731</v>
      </c>
      <c r="K3462" t="str">
        <f>IFERROR(VLOOKUP(VALUE(J3462),'Site Info'!$A:$G,3,FALSE),"")</f>
        <v>9000 NW PASSAGE</v>
      </c>
      <c r="L3462" t="str">
        <f>IFERROR(VLOOKUP(VALUE(J3462),'Site Info'!$A:$G,4,FALSE),"")</f>
        <v>OKLAHOMA CITY</v>
      </c>
      <c r="M3462" t="str">
        <f>IFERROR(VLOOKUP(VALUE(J3462),'Site Info'!$A:$G,5,FALSE),"")</f>
        <v>OK</v>
      </c>
      <c r="N3462" t="str">
        <f>IFERROR(VLOOKUP(VALUE(J3462),'Site Info'!$A:$G,6,FALSE),"")</f>
        <v>73132-3414</v>
      </c>
      <c r="O3462">
        <f>IFERROR(VLOOKUP(VALUE(J3462),'Site Info'!$A:$G,7,FALSE),"")</f>
        <v>4057733602</v>
      </c>
    </row>
    <row r="3463" spans="1:15" x14ac:dyDescent="0.45">
      <c r="A3463" t="s">
        <v>810</v>
      </c>
      <c r="B3463" t="s">
        <v>811</v>
      </c>
      <c r="C3463" t="s">
        <v>812</v>
      </c>
      <c r="D3463" t="s">
        <v>813</v>
      </c>
      <c r="E3463" s="1">
        <v>46152.838796296295</v>
      </c>
      <c r="F3463">
        <v>1481</v>
      </c>
      <c r="G3463" t="s">
        <v>814</v>
      </c>
      <c r="H3463" t="s">
        <v>15</v>
      </c>
      <c r="I3463" t="s">
        <v>815</v>
      </c>
      <c r="J3463" t="str">
        <f>RIGHT(D3463,4)</f>
        <v>4731</v>
      </c>
      <c r="K3463" t="str">
        <f>IFERROR(VLOOKUP(VALUE(J3463),'Site Info'!$A:$G,3,FALSE),"")</f>
        <v>9000 NW PASSAGE</v>
      </c>
      <c r="L3463" t="str">
        <f>IFERROR(VLOOKUP(VALUE(J3463),'Site Info'!$A:$G,4,FALSE),"")</f>
        <v>OKLAHOMA CITY</v>
      </c>
      <c r="M3463" t="str">
        <f>IFERROR(VLOOKUP(VALUE(J3463),'Site Info'!$A:$G,5,FALSE),"")</f>
        <v>OK</v>
      </c>
      <c r="N3463" t="str">
        <f>IFERROR(VLOOKUP(VALUE(J3463),'Site Info'!$A:$G,6,FALSE),"")</f>
        <v>73132-3414</v>
      </c>
      <c r="O3463">
        <f>IFERROR(VLOOKUP(VALUE(J3463),'Site Info'!$A:$G,7,FALSE),"")</f>
        <v>4057733602</v>
      </c>
    </row>
    <row r="3464" spans="1:15" x14ac:dyDescent="0.45">
      <c r="A3464" t="s">
        <v>6873</v>
      </c>
      <c r="B3464" t="s">
        <v>6874</v>
      </c>
      <c r="C3464" t="s">
        <v>6875</v>
      </c>
      <c r="D3464" t="s">
        <v>1289</v>
      </c>
      <c r="E3464" s="1">
        <v>46113.438298611109</v>
      </c>
      <c r="F3464">
        <v>1547</v>
      </c>
      <c r="G3464" t="s">
        <v>6876</v>
      </c>
      <c r="H3464" t="s">
        <v>15</v>
      </c>
      <c r="I3464" t="s">
        <v>1291</v>
      </c>
      <c r="J3464" t="str">
        <f>RIGHT(D3464,4)</f>
        <v>6536</v>
      </c>
      <c r="K3464" t="str">
        <f>IFERROR(VLOOKUP(VALUE(J3464),'Site Info'!$A:$G,3,FALSE),"")</f>
        <v>901 AIRPORT CENTER DR</v>
      </c>
      <c r="L3464" t="str">
        <f>IFERROR(VLOOKUP(VALUE(J3464),'Site Info'!$A:$G,4,FALSE),"")</f>
        <v>ALLENTOWN</v>
      </c>
      <c r="M3464" t="str">
        <f>IFERROR(VLOOKUP(VALUE(J3464),'Site Info'!$A:$G,5,FALSE),"")</f>
        <v>PA</v>
      </c>
      <c r="N3464" t="str">
        <f>IFERROR(VLOOKUP(VALUE(J3464),'Site Info'!$A:$G,6,FALSE),"")</f>
        <v>18109-9384</v>
      </c>
      <c r="O3464">
        <f>IFERROR(VLOOKUP(VALUE(J3464),'Site Info'!$A:$G,7,FALSE),"")</f>
        <v>6102667127</v>
      </c>
    </row>
    <row r="3465" spans="1:15" x14ac:dyDescent="0.45">
      <c r="A3465" t="s">
        <v>7393</v>
      </c>
      <c r="B3465" t="s">
        <v>7394</v>
      </c>
      <c r="C3465" t="s">
        <v>7395</v>
      </c>
      <c r="D3465" t="s">
        <v>1289</v>
      </c>
      <c r="E3465" s="1">
        <v>46151.632430555554</v>
      </c>
      <c r="F3465">
        <v>1547</v>
      </c>
      <c r="G3465" t="s">
        <v>7396</v>
      </c>
      <c r="H3465" t="s">
        <v>15</v>
      </c>
      <c r="I3465" t="s">
        <v>1291</v>
      </c>
      <c r="J3465" t="str">
        <f>RIGHT(D3465,4)</f>
        <v>6536</v>
      </c>
      <c r="K3465" t="str">
        <f>IFERROR(VLOOKUP(VALUE(J3465),'Site Info'!$A:$G,3,FALSE),"")</f>
        <v>901 AIRPORT CENTER DR</v>
      </c>
      <c r="L3465" t="str">
        <f>IFERROR(VLOOKUP(VALUE(J3465),'Site Info'!$A:$G,4,FALSE),"")</f>
        <v>ALLENTOWN</v>
      </c>
      <c r="M3465" t="str">
        <f>IFERROR(VLOOKUP(VALUE(J3465),'Site Info'!$A:$G,5,FALSE),"")</f>
        <v>PA</v>
      </c>
      <c r="N3465" t="str">
        <f>IFERROR(VLOOKUP(VALUE(J3465),'Site Info'!$A:$G,6,FALSE),"")</f>
        <v>18109-9384</v>
      </c>
      <c r="O3465">
        <f>IFERROR(VLOOKUP(VALUE(J3465),'Site Info'!$A:$G,7,FALSE),"")</f>
        <v>6102667127</v>
      </c>
    </row>
    <row r="3466" spans="1:15" x14ac:dyDescent="0.45">
      <c r="A3466" t="s">
        <v>7637</v>
      </c>
      <c r="B3466" t="s">
        <v>7638</v>
      </c>
      <c r="C3466" t="s">
        <v>7639</v>
      </c>
      <c r="D3466" t="s">
        <v>1289</v>
      </c>
      <c r="E3466" s="1">
        <v>46152.410266203704</v>
      </c>
      <c r="F3466">
        <v>1547</v>
      </c>
      <c r="G3466" t="s">
        <v>7640</v>
      </c>
      <c r="H3466" t="s">
        <v>15</v>
      </c>
      <c r="I3466" t="s">
        <v>1291</v>
      </c>
      <c r="J3466" t="str">
        <f>RIGHT(D3466,4)</f>
        <v>6536</v>
      </c>
      <c r="K3466" t="str">
        <f>IFERROR(VLOOKUP(VALUE(J3466),'Site Info'!$A:$G,3,FALSE),"")</f>
        <v>901 AIRPORT CENTER DR</v>
      </c>
      <c r="L3466" t="str">
        <f>IFERROR(VLOOKUP(VALUE(J3466),'Site Info'!$A:$G,4,FALSE),"")</f>
        <v>ALLENTOWN</v>
      </c>
      <c r="M3466" t="str">
        <f>IFERROR(VLOOKUP(VALUE(J3466),'Site Info'!$A:$G,5,FALSE),"")</f>
        <v>PA</v>
      </c>
      <c r="N3466" t="str">
        <f>IFERROR(VLOOKUP(VALUE(J3466),'Site Info'!$A:$G,6,FALSE),"")</f>
        <v>18109-9384</v>
      </c>
      <c r="O3466">
        <f>IFERROR(VLOOKUP(VALUE(J3466),'Site Info'!$A:$G,7,FALSE),"")</f>
        <v>6102667127</v>
      </c>
    </row>
    <row r="3467" spans="1:15" x14ac:dyDescent="0.45">
      <c r="A3467" t="s">
        <v>7609</v>
      </c>
      <c r="B3467" t="s">
        <v>7610</v>
      </c>
      <c r="C3467" t="s">
        <v>7611</v>
      </c>
      <c r="D3467" t="s">
        <v>1289</v>
      </c>
      <c r="E3467" s="1">
        <v>46152.542534722219</v>
      </c>
      <c r="F3467">
        <v>1547</v>
      </c>
      <c r="G3467" t="s">
        <v>7612</v>
      </c>
      <c r="H3467" t="s">
        <v>15</v>
      </c>
      <c r="I3467" t="s">
        <v>1291</v>
      </c>
      <c r="J3467" t="str">
        <f>RIGHT(D3467,4)</f>
        <v>6536</v>
      </c>
      <c r="K3467" t="str">
        <f>IFERROR(VLOOKUP(VALUE(J3467),'Site Info'!$A:$G,3,FALSE),"")</f>
        <v>901 AIRPORT CENTER DR</v>
      </c>
      <c r="L3467" t="str">
        <f>IFERROR(VLOOKUP(VALUE(J3467),'Site Info'!$A:$G,4,FALSE),"")</f>
        <v>ALLENTOWN</v>
      </c>
      <c r="M3467" t="str">
        <f>IFERROR(VLOOKUP(VALUE(J3467),'Site Info'!$A:$G,5,FALSE),"")</f>
        <v>PA</v>
      </c>
      <c r="N3467" t="str">
        <f>IFERROR(VLOOKUP(VALUE(J3467),'Site Info'!$A:$G,6,FALSE),"")</f>
        <v>18109-9384</v>
      </c>
      <c r="O3467">
        <f>IFERROR(VLOOKUP(VALUE(J3467),'Site Info'!$A:$G,7,FALSE),"")</f>
        <v>6102667127</v>
      </c>
    </row>
    <row r="3468" spans="1:15" x14ac:dyDescent="0.45">
      <c r="A3468" t="s">
        <v>7202</v>
      </c>
      <c r="B3468" t="s">
        <v>7203</v>
      </c>
      <c r="C3468" t="s">
        <v>7204</v>
      </c>
      <c r="D3468" t="s">
        <v>1289</v>
      </c>
      <c r="E3468" s="1">
        <v>46153.240532407406</v>
      </c>
      <c r="F3468">
        <v>1547</v>
      </c>
      <c r="G3468" t="s">
        <v>7205</v>
      </c>
      <c r="H3468" t="s">
        <v>15</v>
      </c>
      <c r="I3468" t="s">
        <v>1291</v>
      </c>
      <c r="J3468" t="str">
        <f>RIGHT(D3468,4)</f>
        <v>6536</v>
      </c>
      <c r="K3468" t="str">
        <f>IFERROR(VLOOKUP(VALUE(J3468),'Site Info'!$A:$G,3,FALSE),"")</f>
        <v>901 AIRPORT CENTER DR</v>
      </c>
      <c r="L3468" t="str">
        <f>IFERROR(VLOOKUP(VALUE(J3468),'Site Info'!$A:$G,4,FALSE),"")</f>
        <v>ALLENTOWN</v>
      </c>
      <c r="M3468" t="str">
        <f>IFERROR(VLOOKUP(VALUE(J3468),'Site Info'!$A:$G,5,FALSE),"")</f>
        <v>PA</v>
      </c>
      <c r="N3468" t="str">
        <f>IFERROR(VLOOKUP(VALUE(J3468),'Site Info'!$A:$G,6,FALSE),"")</f>
        <v>18109-9384</v>
      </c>
      <c r="O3468">
        <f>IFERROR(VLOOKUP(VALUE(J3468),'Site Info'!$A:$G,7,FALSE),"")</f>
        <v>6102667127</v>
      </c>
    </row>
    <row r="3469" spans="1:15" x14ac:dyDescent="0.45">
      <c r="A3469" t="s">
        <v>1286</v>
      </c>
      <c r="B3469" t="s">
        <v>1287</v>
      </c>
      <c r="C3469" t="s">
        <v>1288</v>
      </c>
      <c r="D3469" t="s">
        <v>1289</v>
      </c>
      <c r="E3469" s="1">
        <v>46150.47991898148</v>
      </c>
      <c r="F3469">
        <v>1481</v>
      </c>
      <c r="G3469" t="s">
        <v>1290</v>
      </c>
      <c r="H3469" t="s">
        <v>15</v>
      </c>
      <c r="I3469" t="s">
        <v>1291</v>
      </c>
      <c r="J3469" t="str">
        <f>RIGHT(D3469,4)</f>
        <v>6536</v>
      </c>
      <c r="K3469" t="str">
        <f>IFERROR(VLOOKUP(VALUE(J3469),'Site Info'!$A:$G,3,FALSE),"")</f>
        <v>901 AIRPORT CENTER DR</v>
      </c>
      <c r="L3469" t="str">
        <f>IFERROR(VLOOKUP(VALUE(J3469),'Site Info'!$A:$G,4,FALSE),"")</f>
        <v>ALLENTOWN</v>
      </c>
      <c r="M3469" t="str">
        <f>IFERROR(VLOOKUP(VALUE(J3469),'Site Info'!$A:$G,5,FALSE),"")</f>
        <v>PA</v>
      </c>
      <c r="N3469" t="str">
        <f>IFERROR(VLOOKUP(VALUE(J3469),'Site Info'!$A:$G,6,FALSE),"")</f>
        <v>18109-9384</v>
      </c>
      <c r="O3469">
        <f>IFERROR(VLOOKUP(VALUE(J3469),'Site Info'!$A:$G,7,FALSE),"")</f>
        <v>6102667127</v>
      </c>
    </row>
    <row r="3470" spans="1:15" x14ac:dyDescent="0.45">
      <c r="A3470" t="s">
        <v>3279</v>
      </c>
      <c r="B3470" t="s">
        <v>3280</v>
      </c>
      <c r="C3470" t="s">
        <v>3281</v>
      </c>
      <c r="D3470" t="s">
        <v>1289</v>
      </c>
      <c r="E3470" s="1">
        <v>46153.18582175926</v>
      </c>
      <c r="F3470">
        <v>1481</v>
      </c>
      <c r="G3470" t="s">
        <v>3282</v>
      </c>
      <c r="H3470" t="s">
        <v>15</v>
      </c>
      <c r="I3470" t="s">
        <v>1291</v>
      </c>
      <c r="J3470" t="str">
        <f>RIGHT(D3470,4)</f>
        <v>6536</v>
      </c>
      <c r="K3470" t="str">
        <f>IFERROR(VLOOKUP(VALUE(J3470),'Site Info'!$A:$G,3,FALSE),"")</f>
        <v>901 AIRPORT CENTER DR</v>
      </c>
      <c r="L3470" t="str">
        <f>IFERROR(VLOOKUP(VALUE(J3470),'Site Info'!$A:$G,4,FALSE),"")</f>
        <v>ALLENTOWN</v>
      </c>
      <c r="M3470" t="str">
        <f>IFERROR(VLOOKUP(VALUE(J3470),'Site Info'!$A:$G,5,FALSE),"")</f>
        <v>PA</v>
      </c>
      <c r="N3470" t="str">
        <f>IFERROR(VLOOKUP(VALUE(J3470),'Site Info'!$A:$G,6,FALSE),"")</f>
        <v>18109-9384</v>
      </c>
      <c r="O3470">
        <f>IFERROR(VLOOKUP(VALUE(J3470),'Site Info'!$A:$G,7,FALSE),"")</f>
        <v>6102667127</v>
      </c>
    </row>
    <row r="3471" spans="1:15" x14ac:dyDescent="0.45">
      <c r="A3471" t="s">
        <v>5826</v>
      </c>
      <c r="B3471" t="s">
        <v>5827</v>
      </c>
      <c r="C3471" t="s">
        <v>5828</v>
      </c>
      <c r="D3471" t="s">
        <v>5725</v>
      </c>
      <c r="E3471" s="1">
        <v>46152.555266203701</v>
      </c>
      <c r="F3471">
        <v>1548</v>
      </c>
      <c r="G3471" t="s">
        <v>5829</v>
      </c>
      <c r="H3471" t="s">
        <v>15</v>
      </c>
      <c r="I3471" t="s">
        <v>5727</v>
      </c>
      <c r="J3471" t="str">
        <f>RIGHT(D3471,4)</f>
        <v>6354</v>
      </c>
      <c r="K3471" t="str">
        <f>IFERROR(VLOOKUP(VALUE(J3471),'Site Info'!$A:$G,3,FALSE),"")</f>
        <v>901 WALMART WAY</v>
      </c>
      <c r="L3471" t="str">
        <f>IFERROR(VLOOKUP(VALUE(J3471),'Site Info'!$A:$G,4,FALSE),"")</f>
        <v>MIDLOTHIAN</v>
      </c>
      <c r="M3471" t="str">
        <f>IFERROR(VLOOKUP(VALUE(J3471),'Site Info'!$A:$G,5,FALSE),"")</f>
        <v>VA</v>
      </c>
      <c r="N3471" t="str">
        <f>IFERROR(VLOOKUP(VALUE(J3471),'Site Info'!$A:$G,6,FALSE),"")</f>
        <v>23113-2600</v>
      </c>
      <c r="O3471">
        <f>IFERROR(VLOOKUP(VALUE(J3471),'Site Info'!$A:$G,7,FALSE),"")</f>
        <v>8043787654</v>
      </c>
    </row>
    <row r="3472" spans="1:15" x14ac:dyDescent="0.45">
      <c r="A3472" t="s">
        <v>9179</v>
      </c>
      <c r="B3472" t="s">
        <v>9180</v>
      </c>
      <c r="C3472" t="s">
        <v>9181</v>
      </c>
      <c r="D3472" t="s">
        <v>5725</v>
      </c>
      <c r="E3472" s="1">
        <v>46151.457280092596</v>
      </c>
      <c r="F3472">
        <v>1547</v>
      </c>
      <c r="G3472" t="s">
        <v>9182</v>
      </c>
      <c r="H3472" t="s">
        <v>15</v>
      </c>
      <c r="I3472" t="s">
        <v>5727</v>
      </c>
      <c r="J3472" t="str">
        <f>RIGHT(D3472,4)</f>
        <v>6354</v>
      </c>
      <c r="K3472" t="str">
        <f>IFERROR(VLOOKUP(VALUE(J3472),'Site Info'!$A:$G,3,FALSE),"")</f>
        <v>901 WALMART WAY</v>
      </c>
      <c r="L3472" t="str">
        <f>IFERROR(VLOOKUP(VALUE(J3472),'Site Info'!$A:$G,4,FALSE),"")</f>
        <v>MIDLOTHIAN</v>
      </c>
      <c r="M3472" t="str">
        <f>IFERROR(VLOOKUP(VALUE(J3472),'Site Info'!$A:$G,5,FALSE),"")</f>
        <v>VA</v>
      </c>
      <c r="N3472" t="str">
        <f>IFERROR(VLOOKUP(VALUE(J3472),'Site Info'!$A:$G,6,FALSE),"")</f>
        <v>23113-2600</v>
      </c>
      <c r="O3472">
        <f>IFERROR(VLOOKUP(VALUE(J3472),'Site Info'!$A:$G,7,FALSE),"")</f>
        <v>8043787654</v>
      </c>
    </row>
    <row r="3473" spans="1:15" x14ac:dyDescent="0.45">
      <c r="A3473" t="s">
        <v>7407</v>
      </c>
      <c r="B3473" t="s">
        <v>7408</v>
      </c>
      <c r="C3473" t="s">
        <v>7409</v>
      </c>
      <c r="D3473" t="s">
        <v>5725</v>
      </c>
      <c r="E3473" s="1">
        <v>46151.851712962962</v>
      </c>
      <c r="F3473">
        <v>1547</v>
      </c>
      <c r="G3473" t="s">
        <v>7410</v>
      </c>
      <c r="H3473" t="s">
        <v>15</v>
      </c>
      <c r="I3473" t="s">
        <v>5727</v>
      </c>
      <c r="J3473" t="str">
        <f>RIGHT(D3473,4)</f>
        <v>6354</v>
      </c>
      <c r="K3473" t="str">
        <f>IFERROR(VLOOKUP(VALUE(J3473),'Site Info'!$A:$G,3,FALSE),"")</f>
        <v>901 WALMART WAY</v>
      </c>
      <c r="L3473" t="str">
        <f>IFERROR(VLOOKUP(VALUE(J3473),'Site Info'!$A:$G,4,FALSE),"")</f>
        <v>MIDLOTHIAN</v>
      </c>
      <c r="M3473" t="str">
        <f>IFERROR(VLOOKUP(VALUE(J3473),'Site Info'!$A:$G,5,FALSE),"")</f>
        <v>VA</v>
      </c>
      <c r="N3473" t="str">
        <f>IFERROR(VLOOKUP(VALUE(J3473),'Site Info'!$A:$G,6,FALSE),"")</f>
        <v>23113-2600</v>
      </c>
      <c r="O3473">
        <f>IFERROR(VLOOKUP(VALUE(J3473),'Site Info'!$A:$G,7,FALSE),"")</f>
        <v>8043787654</v>
      </c>
    </row>
    <row r="3474" spans="1:15" x14ac:dyDescent="0.45">
      <c r="A3474" t="s">
        <v>5822</v>
      </c>
      <c r="B3474" t="s">
        <v>5823</v>
      </c>
      <c r="C3474" t="s">
        <v>5824</v>
      </c>
      <c r="D3474" t="s">
        <v>5725</v>
      </c>
      <c r="E3474" s="1">
        <v>46152.235717592594</v>
      </c>
      <c r="F3474">
        <v>1547</v>
      </c>
      <c r="G3474" t="s">
        <v>5825</v>
      </c>
      <c r="H3474" t="s">
        <v>15</v>
      </c>
      <c r="I3474" t="s">
        <v>5727</v>
      </c>
      <c r="J3474" t="str">
        <f>RIGHT(D3474,4)</f>
        <v>6354</v>
      </c>
      <c r="K3474" t="str">
        <f>IFERROR(VLOOKUP(VALUE(J3474),'Site Info'!$A:$G,3,FALSE),"")</f>
        <v>901 WALMART WAY</v>
      </c>
      <c r="L3474" t="str">
        <f>IFERROR(VLOOKUP(VALUE(J3474),'Site Info'!$A:$G,4,FALSE),"")</f>
        <v>MIDLOTHIAN</v>
      </c>
      <c r="M3474" t="str">
        <f>IFERROR(VLOOKUP(VALUE(J3474),'Site Info'!$A:$G,5,FALSE),"")</f>
        <v>VA</v>
      </c>
      <c r="N3474" t="str">
        <f>IFERROR(VLOOKUP(VALUE(J3474),'Site Info'!$A:$G,6,FALSE),"")</f>
        <v>23113-2600</v>
      </c>
      <c r="O3474">
        <f>IFERROR(VLOOKUP(VALUE(J3474),'Site Info'!$A:$G,7,FALSE),"")</f>
        <v>8043787654</v>
      </c>
    </row>
    <row r="3475" spans="1:15" x14ac:dyDescent="0.45">
      <c r="A3475" t="s">
        <v>5764</v>
      </c>
      <c r="B3475" t="s">
        <v>5765</v>
      </c>
      <c r="C3475" t="s">
        <v>5766</v>
      </c>
      <c r="D3475" t="s">
        <v>5725</v>
      </c>
      <c r="E3475" s="1">
        <v>46153.273148148146</v>
      </c>
      <c r="F3475">
        <v>1547</v>
      </c>
      <c r="G3475" t="s">
        <v>5767</v>
      </c>
      <c r="H3475" t="s">
        <v>15</v>
      </c>
      <c r="I3475" t="s">
        <v>5727</v>
      </c>
      <c r="J3475" t="str">
        <f>RIGHT(D3475,4)</f>
        <v>6354</v>
      </c>
      <c r="K3475" t="str">
        <f>IFERROR(VLOOKUP(VALUE(J3475),'Site Info'!$A:$G,3,FALSE),"")</f>
        <v>901 WALMART WAY</v>
      </c>
      <c r="L3475" t="str">
        <f>IFERROR(VLOOKUP(VALUE(J3475),'Site Info'!$A:$G,4,FALSE),"")</f>
        <v>MIDLOTHIAN</v>
      </c>
      <c r="M3475" t="str">
        <f>IFERROR(VLOOKUP(VALUE(J3475),'Site Info'!$A:$G,5,FALSE),"")</f>
        <v>VA</v>
      </c>
      <c r="N3475" t="str">
        <f>IFERROR(VLOOKUP(VALUE(J3475),'Site Info'!$A:$G,6,FALSE),"")</f>
        <v>23113-2600</v>
      </c>
      <c r="O3475">
        <f>IFERROR(VLOOKUP(VALUE(J3475),'Site Info'!$A:$G,7,FALSE),"")</f>
        <v>8043787654</v>
      </c>
    </row>
    <row r="3476" spans="1:15" x14ac:dyDescent="0.45">
      <c r="A3476" t="s">
        <v>5722</v>
      </c>
      <c r="B3476" t="s">
        <v>5723</v>
      </c>
      <c r="C3476" t="s">
        <v>5724</v>
      </c>
      <c r="D3476" t="s">
        <v>5725</v>
      </c>
      <c r="E3476" s="1">
        <v>46153.311712962961</v>
      </c>
      <c r="F3476">
        <v>1547</v>
      </c>
      <c r="G3476" t="s">
        <v>5726</v>
      </c>
      <c r="H3476" t="s">
        <v>15</v>
      </c>
      <c r="I3476" t="s">
        <v>5727</v>
      </c>
      <c r="J3476" t="str">
        <f>RIGHT(D3476,4)</f>
        <v>6354</v>
      </c>
      <c r="K3476" t="str">
        <f>IFERROR(VLOOKUP(VALUE(J3476),'Site Info'!$A:$G,3,FALSE),"")</f>
        <v>901 WALMART WAY</v>
      </c>
      <c r="L3476" t="str">
        <f>IFERROR(VLOOKUP(VALUE(J3476),'Site Info'!$A:$G,4,FALSE),"")</f>
        <v>MIDLOTHIAN</v>
      </c>
      <c r="M3476" t="str">
        <f>IFERROR(VLOOKUP(VALUE(J3476),'Site Info'!$A:$G,5,FALSE),"")</f>
        <v>VA</v>
      </c>
      <c r="N3476" t="str">
        <f>IFERROR(VLOOKUP(VALUE(J3476),'Site Info'!$A:$G,6,FALSE),"")</f>
        <v>23113-2600</v>
      </c>
      <c r="O3476">
        <f>IFERROR(VLOOKUP(VALUE(J3476),'Site Info'!$A:$G,7,FALSE),"")</f>
        <v>8043787654</v>
      </c>
    </row>
    <row r="3477" spans="1:15" x14ac:dyDescent="0.45">
      <c r="A3477" t="s">
        <v>14083</v>
      </c>
      <c r="B3477" t="s">
        <v>14084</v>
      </c>
      <c r="C3477" t="s">
        <v>14085</v>
      </c>
      <c r="D3477" t="s">
        <v>5725</v>
      </c>
      <c r="E3477" s="1">
        <v>46153.36005787037</v>
      </c>
      <c r="F3477">
        <v>1547</v>
      </c>
      <c r="G3477" t="s">
        <v>14086</v>
      </c>
      <c r="H3477" t="s">
        <v>15</v>
      </c>
      <c r="I3477" t="s">
        <v>5727</v>
      </c>
      <c r="J3477" t="str">
        <f>RIGHT(D3477,4)</f>
        <v>6354</v>
      </c>
      <c r="K3477" t="str">
        <f>IFERROR(VLOOKUP(VALUE(J3477),'Site Info'!$A:$G,3,FALSE),"")</f>
        <v>901 WALMART WAY</v>
      </c>
      <c r="L3477" t="str">
        <f>IFERROR(VLOOKUP(VALUE(J3477),'Site Info'!$A:$G,4,FALSE),"")</f>
        <v>MIDLOTHIAN</v>
      </c>
      <c r="M3477" t="str">
        <f>IFERROR(VLOOKUP(VALUE(J3477),'Site Info'!$A:$G,5,FALSE),"")</f>
        <v>VA</v>
      </c>
      <c r="N3477" t="str">
        <f>IFERROR(VLOOKUP(VALUE(J3477),'Site Info'!$A:$G,6,FALSE),"")</f>
        <v>23113-2600</v>
      </c>
      <c r="O3477">
        <f>IFERROR(VLOOKUP(VALUE(J3477),'Site Info'!$A:$G,7,FALSE),"")</f>
        <v>8043787654</v>
      </c>
    </row>
    <row r="3478" spans="1:15" x14ac:dyDescent="0.45">
      <c r="A3478" t="s">
        <v>12196</v>
      </c>
      <c r="B3478" t="s">
        <v>12197</v>
      </c>
      <c r="C3478" t="s">
        <v>12198</v>
      </c>
      <c r="D3478" t="s">
        <v>2518</v>
      </c>
      <c r="E3478" s="1">
        <v>46151.565671296295</v>
      </c>
      <c r="F3478">
        <v>1547</v>
      </c>
      <c r="G3478" t="s">
        <v>12199</v>
      </c>
      <c r="H3478" t="s">
        <v>15</v>
      </c>
      <c r="I3478" t="s">
        <v>2520</v>
      </c>
      <c r="J3478" t="str">
        <f>RIGHT(D3478,4)</f>
        <v>6621</v>
      </c>
      <c r="K3478" t="str">
        <f>IFERROR(VLOOKUP(VALUE(J3478),'Site Info'!$A:$G,3,FALSE),"")</f>
        <v>904 PLEASANT GROVE BLVD</v>
      </c>
      <c r="L3478" t="str">
        <f>IFERROR(VLOOKUP(VALUE(J3478),'Site Info'!$A:$G,4,FALSE),"")</f>
        <v>ROSEVILLE</v>
      </c>
      <c r="M3478" t="str">
        <f>IFERROR(VLOOKUP(VALUE(J3478),'Site Info'!$A:$G,5,FALSE),"")</f>
        <v>CA</v>
      </c>
      <c r="N3478" t="str">
        <f>IFERROR(VLOOKUP(VALUE(J3478),'Site Info'!$A:$G,6,FALSE),"")</f>
        <v>95678-6126</v>
      </c>
      <c r="O3478">
        <f>IFERROR(VLOOKUP(VALUE(J3478),'Site Info'!$A:$G,7,FALSE),"")</f>
        <v>9167818160</v>
      </c>
    </row>
    <row r="3479" spans="1:15" x14ac:dyDescent="0.45">
      <c r="A3479" t="s">
        <v>10320</v>
      </c>
      <c r="B3479" t="s">
        <v>10321</v>
      </c>
      <c r="C3479" t="s">
        <v>10322</v>
      </c>
      <c r="D3479" t="s">
        <v>2518</v>
      </c>
      <c r="E3479" s="1">
        <v>46152.787523148145</v>
      </c>
      <c r="F3479">
        <v>1547</v>
      </c>
      <c r="G3479" t="s">
        <v>10323</v>
      </c>
      <c r="H3479" t="s">
        <v>15</v>
      </c>
      <c r="I3479" t="s">
        <v>2520</v>
      </c>
      <c r="J3479" t="str">
        <f>RIGHT(D3479,4)</f>
        <v>6621</v>
      </c>
      <c r="K3479" t="str">
        <f>IFERROR(VLOOKUP(VALUE(J3479),'Site Info'!$A:$G,3,FALSE),"")</f>
        <v>904 PLEASANT GROVE BLVD</v>
      </c>
      <c r="L3479" t="str">
        <f>IFERROR(VLOOKUP(VALUE(J3479),'Site Info'!$A:$G,4,FALSE),"")</f>
        <v>ROSEVILLE</v>
      </c>
      <c r="M3479" t="str">
        <f>IFERROR(VLOOKUP(VALUE(J3479),'Site Info'!$A:$G,5,FALSE),"")</f>
        <v>CA</v>
      </c>
      <c r="N3479" t="str">
        <f>IFERROR(VLOOKUP(VALUE(J3479),'Site Info'!$A:$G,6,FALSE),"")</f>
        <v>95678-6126</v>
      </c>
      <c r="O3479">
        <f>IFERROR(VLOOKUP(VALUE(J3479),'Site Info'!$A:$G,7,FALSE),"")</f>
        <v>9167818160</v>
      </c>
    </row>
    <row r="3480" spans="1:15" x14ac:dyDescent="0.45">
      <c r="A3480" t="s">
        <v>12456</v>
      </c>
      <c r="B3480" t="s">
        <v>12457</v>
      </c>
      <c r="C3480" t="s">
        <v>12458</v>
      </c>
      <c r="D3480" t="s">
        <v>2518</v>
      </c>
      <c r="E3480" s="1">
        <v>46153.251458333332</v>
      </c>
      <c r="F3480">
        <v>1547</v>
      </c>
      <c r="G3480" t="s">
        <v>12459</v>
      </c>
      <c r="H3480" t="s">
        <v>15</v>
      </c>
      <c r="I3480" t="s">
        <v>2520</v>
      </c>
      <c r="J3480" t="str">
        <f>RIGHT(D3480,4)</f>
        <v>6621</v>
      </c>
      <c r="K3480" t="str">
        <f>IFERROR(VLOOKUP(VALUE(J3480),'Site Info'!$A:$G,3,FALSE),"")</f>
        <v>904 PLEASANT GROVE BLVD</v>
      </c>
      <c r="L3480" t="str">
        <f>IFERROR(VLOOKUP(VALUE(J3480),'Site Info'!$A:$G,4,FALSE),"")</f>
        <v>ROSEVILLE</v>
      </c>
      <c r="M3480" t="str">
        <f>IFERROR(VLOOKUP(VALUE(J3480),'Site Info'!$A:$G,5,FALSE),"")</f>
        <v>CA</v>
      </c>
      <c r="N3480" t="str">
        <f>IFERROR(VLOOKUP(VALUE(J3480),'Site Info'!$A:$G,6,FALSE),"")</f>
        <v>95678-6126</v>
      </c>
      <c r="O3480">
        <f>IFERROR(VLOOKUP(VALUE(J3480),'Site Info'!$A:$G,7,FALSE),"")</f>
        <v>9167818160</v>
      </c>
    </row>
    <row r="3481" spans="1:15" x14ac:dyDescent="0.45">
      <c r="A3481" t="s">
        <v>9383</v>
      </c>
      <c r="B3481" t="s">
        <v>9384</v>
      </c>
      <c r="C3481" t="s">
        <v>9385</v>
      </c>
      <c r="D3481" t="s">
        <v>2518</v>
      </c>
      <c r="E3481" s="1">
        <v>46153.280219907407</v>
      </c>
      <c r="F3481">
        <v>1547</v>
      </c>
      <c r="G3481" t="s">
        <v>9386</v>
      </c>
      <c r="H3481" t="s">
        <v>15</v>
      </c>
      <c r="I3481" t="s">
        <v>2520</v>
      </c>
      <c r="J3481" t="str">
        <f>RIGHT(D3481,4)</f>
        <v>6621</v>
      </c>
      <c r="K3481" t="str">
        <f>IFERROR(VLOOKUP(VALUE(J3481),'Site Info'!$A:$G,3,FALSE),"")</f>
        <v>904 PLEASANT GROVE BLVD</v>
      </c>
      <c r="L3481" t="str">
        <f>IFERROR(VLOOKUP(VALUE(J3481),'Site Info'!$A:$G,4,FALSE),"")</f>
        <v>ROSEVILLE</v>
      </c>
      <c r="M3481" t="str">
        <f>IFERROR(VLOOKUP(VALUE(J3481),'Site Info'!$A:$G,5,FALSE),"")</f>
        <v>CA</v>
      </c>
      <c r="N3481" t="str">
        <f>IFERROR(VLOOKUP(VALUE(J3481),'Site Info'!$A:$G,6,FALSE),"")</f>
        <v>95678-6126</v>
      </c>
      <c r="O3481">
        <f>IFERROR(VLOOKUP(VALUE(J3481),'Site Info'!$A:$G,7,FALSE),"")</f>
        <v>9167818160</v>
      </c>
    </row>
    <row r="3482" spans="1:15" x14ac:dyDescent="0.45">
      <c r="A3482" t="s">
        <v>3645</v>
      </c>
      <c r="B3482" t="s">
        <v>3646</v>
      </c>
      <c r="C3482" t="s">
        <v>3647</v>
      </c>
      <c r="D3482" t="s">
        <v>2518</v>
      </c>
      <c r="E3482" s="1">
        <v>46152.500555555554</v>
      </c>
      <c r="F3482">
        <v>1481</v>
      </c>
      <c r="G3482" t="s">
        <v>3648</v>
      </c>
      <c r="H3482" t="s">
        <v>15</v>
      </c>
      <c r="I3482" t="s">
        <v>2520</v>
      </c>
      <c r="J3482" t="str">
        <f>RIGHT(D3482,4)</f>
        <v>6621</v>
      </c>
      <c r="K3482" t="str">
        <f>IFERROR(VLOOKUP(VALUE(J3482),'Site Info'!$A:$G,3,FALSE),"")</f>
        <v>904 PLEASANT GROVE BLVD</v>
      </c>
      <c r="L3482" t="str">
        <f>IFERROR(VLOOKUP(VALUE(J3482),'Site Info'!$A:$G,4,FALSE),"")</f>
        <v>ROSEVILLE</v>
      </c>
      <c r="M3482" t="str">
        <f>IFERROR(VLOOKUP(VALUE(J3482),'Site Info'!$A:$G,5,FALSE),"")</f>
        <v>CA</v>
      </c>
      <c r="N3482" t="str">
        <f>IFERROR(VLOOKUP(VALUE(J3482),'Site Info'!$A:$G,6,FALSE),"")</f>
        <v>95678-6126</v>
      </c>
      <c r="O3482">
        <f>IFERROR(VLOOKUP(VALUE(J3482),'Site Info'!$A:$G,7,FALSE),"")</f>
        <v>9167818160</v>
      </c>
    </row>
    <row r="3483" spans="1:15" x14ac:dyDescent="0.45">
      <c r="A3483" t="s">
        <v>2515</v>
      </c>
      <c r="B3483" t="s">
        <v>2516</v>
      </c>
      <c r="C3483" t="s">
        <v>2517</v>
      </c>
      <c r="D3483" t="s">
        <v>2518</v>
      </c>
      <c r="E3483" s="1">
        <v>46153.243923611109</v>
      </c>
      <c r="F3483">
        <v>1481</v>
      </c>
      <c r="G3483" t="s">
        <v>2519</v>
      </c>
      <c r="H3483" t="s">
        <v>15</v>
      </c>
      <c r="I3483" t="s">
        <v>2520</v>
      </c>
      <c r="J3483" t="str">
        <f>RIGHT(D3483,4)</f>
        <v>6621</v>
      </c>
      <c r="K3483" t="str">
        <f>IFERROR(VLOOKUP(VALUE(J3483),'Site Info'!$A:$G,3,FALSE),"")</f>
        <v>904 PLEASANT GROVE BLVD</v>
      </c>
      <c r="L3483" t="str">
        <f>IFERROR(VLOOKUP(VALUE(J3483),'Site Info'!$A:$G,4,FALSE),"")</f>
        <v>ROSEVILLE</v>
      </c>
      <c r="M3483" t="str">
        <f>IFERROR(VLOOKUP(VALUE(J3483),'Site Info'!$A:$G,5,FALSE),"")</f>
        <v>CA</v>
      </c>
      <c r="N3483" t="str">
        <f>IFERROR(VLOOKUP(VALUE(J3483),'Site Info'!$A:$G,6,FALSE),"")</f>
        <v>95678-6126</v>
      </c>
      <c r="O3483">
        <f>IFERROR(VLOOKUP(VALUE(J3483),'Site Info'!$A:$G,7,FALSE),"")</f>
        <v>9167818160</v>
      </c>
    </row>
    <row r="3484" spans="1:15" x14ac:dyDescent="0.45">
      <c r="A3484" t="s">
        <v>3023</v>
      </c>
      <c r="B3484" t="s">
        <v>3024</v>
      </c>
      <c r="C3484" t="s">
        <v>3025</v>
      </c>
      <c r="D3484" t="s">
        <v>2518</v>
      </c>
      <c r="E3484" s="1">
        <v>46153.273252314815</v>
      </c>
      <c r="F3484">
        <v>1481</v>
      </c>
      <c r="G3484" t="s">
        <v>3026</v>
      </c>
      <c r="H3484" t="s">
        <v>15</v>
      </c>
      <c r="I3484" t="s">
        <v>2520</v>
      </c>
      <c r="J3484" t="str">
        <f>RIGHT(D3484,4)</f>
        <v>6621</v>
      </c>
      <c r="K3484" t="str">
        <f>IFERROR(VLOOKUP(VALUE(J3484),'Site Info'!$A:$G,3,FALSE),"")</f>
        <v>904 PLEASANT GROVE BLVD</v>
      </c>
      <c r="L3484" t="str">
        <f>IFERROR(VLOOKUP(VALUE(J3484),'Site Info'!$A:$G,4,FALSE),"")</f>
        <v>ROSEVILLE</v>
      </c>
      <c r="M3484" t="str">
        <f>IFERROR(VLOOKUP(VALUE(J3484),'Site Info'!$A:$G,5,FALSE),"")</f>
        <v>CA</v>
      </c>
      <c r="N3484" t="str">
        <f>IFERROR(VLOOKUP(VALUE(J3484),'Site Info'!$A:$G,6,FALSE),"")</f>
        <v>95678-6126</v>
      </c>
      <c r="O3484">
        <f>IFERROR(VLOOKUP(VALUE(J3484),'Site Info'!$A:$G,7,FALSE),"")</f>
        <v>9167818160</v>
      </c>
    </row>
    <row r="3485" spans="1:15" x14ac:dyDescent="0.45">
      <c r="A3485" t="s">
        <v>4110</v>
      </c>
      <c r="B3485" t="s">
        <v>4111</v>
      </c>
      <c r="C3485" t="s">
        <v>4112</v>
      </c>
      <c r="D3485" t="s">
        <v>4113</v>
      </c>
      <c r="E3485" s="1">
        <v>46136.340069444443</v>
      </c>
      <c r="F3485">
        <v>1547</v>
      </c>
      <c r="G3485" t="s">
        <v>4114</v>
      </c>
      <c r="H3485" t="s">
        <v>15</v>
      </c>
      <c r="I3485" t="s">
        <v>4115</v>
      </c>
      <c r="J3485" t="str">
        <f>RIGHT(D3485,4)</f>
        <v>8197</v>
      </c>
      <c r="K3485" t="str">
        <f>IFERROR(VLOOKUP(VALUE(J3485),'Site Info'!$A:$G,3,FALSE),"")</f>
        <v>915 W MARKETVIEW DR</v>
      </c>
      <c r="L3485" t="str">
        <f>IFERROR(VLOOKUP(VALUE(J3485),'Site Info'!$A:$G,4,FALSE),"")</f>
        <v>CHAMPAIGN</v>
      </c>
      <c r="M3485" t="str">
        <f>IFERROR(VLOOKUP(VALUE(J3485),'Site Info'!$A:$G,5,FALSE),"")</f>
        <v>IL</v>
      </c>
      <c r="N3485" t="str">
        <f>IFERROR(VLOOKUP(VALUE(J3485),'Site Info'!$A:$G,6,FALSE),"")</f>
        <v>61822-1221</v>
      </c>
      <c r="O3485">
        <f>IFERROR(VLOOKUP(VALUE(J3485),'Site Info'!$A:$G,7,FALSE),"")</f>
        <v>2173552223</v>
      </c>
    </row>
    <row r="3486" spans="1:15" x14ac:dyDescent="0.45">
      <c r="A3486" t="s">
        <v>4340</v>
      </c>
      <c r="B3486" t="s">
        <v>4341</v>
      </c>
      <c r="C3486" t="s">
        <v>4342</v>
      </c>
      <c r="D3486" t="s">
        <v>4113</v>
      </c>
      <c r="E3486" s="1">
        <v>46152.41</v>
      </c>
      <c r="F3486">
        <v>1547</v>
      </c>
      <c r="G3486" t="s">
        <v>4343</v>
      </c>
      <c r="H3486" t="s">
        <v>15</v>
      </c>
      <c r="I3486" t="s">
        <v>4115</v>
      </c>
      <c r="J3486" t="str">
        <f>RIGHT(D3486,4)</f>
        <v>8197</v>
      </c>
      <c r="K3486" t="str">
        <f>IFERROR(VLOOKUP(VALUE(J3486),'Site Info'!$A:$G,3,FALSE),"")</f>
        <v>915 W MARKETVIEW DR</v>
      </c>
      <c r="L3486" t="str">
        <f>IFERROR(VLOOKUP(VALUE(J3486),'Site Info'!$A:$G,4,FALSE),"")</f>
        <v>CHAMPAIGN</v>
      </c>
      <c r="M3486" t="str">
        <f>IFERROR(VLOOKUP(VALUE(J3486),'Site Info'!$A:$G,5,FALSE),"")</f>
        <v>IL</v>
      </c>
      <c r="N3486" t="str">
        <f>IFERROR(VLOOKUP(VALUE(J3486),'Site Info'!$A:$G,6,FALSE),"")</f>
        <v>61822-1221</v>
      </c>
      <c r="O3486">
        <f>IFERROR(VLOOKUP(VALUE(J3486),'Site Info'!$A:$G,7,FALSE),"")</f>
        <v>2173552223</v>
      </c>
    </row>
    <row r="3487" spans="1:15" x14ac:dyDescent="0.45">
      <c r="A3487" t="s">
        <v>4368</v>
      </c>
      <c r="B3487" t="s">
        <v>4369</v>
      </c>
      <c r="C3487" t="s">
        <v>4370</v>
      </c>
      <c r="D3487" t="s">
        <v>4113</v>
      </c>
      <c r="E3487" s="1">
        <v>46152.45521990741</v>
      </c>
      <c r="F3487">
        <v>1547</v>
      </c>
      <c r="G3487" t="s">
        <v>4371</v>
      </c>
      <c r="H3487" t="s">
        <v>15</v>
      </c>
      <c r="I3487" t="s">
        <v>4115</v>
      </c>
      <c r="J3487" t="str">
        <f>RIGHT(D3487,4)</f>
        <v>8197</v>
      </c>
      <c r="K3487" t="str">
        <f>IFERROR(VLOOKUP(VALUE(J3487),'Site Info'!$A:$G,3,FALSE),"")</f>
        <v>915 W MARKETVIEW DR</v>
      </c>
      <c r="L3487" t="str">
        <f>IFERROR(VLOOKUP(VALUE(J3487),'Site Info'!$A:$G,4,FALSE),"")</f>
        <v>CHAMPAIGN</v>
      </c>
      <c r="M3487" t="str">
        <f>IFERROR(VLOOKUP(VALUE(J3487),'Site Info'!$A:$G,5,FALSE),"")</f>
        <v>IL</v>
      </c>
      <c r="N3487" t="str">
        <f>IFERROR(VLOOKUP(VALUE(J3487),'Site Info'!$A:$G,6,FALSE),"")</f>
        <v>61822-1221</v>
      </c>
      <c r="O3487">
        <f>IFERROR(VLOOKUP(VALUE(J3487),'Site Info'!$A:$G,7,FALSE),"")</f>
        <v>2173552223</v>
      </c>
    </row>
    <row r="3488" spans="1:15" x14ac:dyDescent="0.45">
      <c r="A3488" t="s">
        <v>12680</v>
      </c>
      <c r="B3488" t="s">
        <v>12681</v>
      </c>
      <c r="C3488" t="s">
        <v>12682</v>
      </c>
      <c r="D3488" t="s">
        <v>4113</v>
      </c>
      <c r="E3488" s="1">
        <v>46152.576597222222</v>
      </c>
      <c r="F3488">
        <v>1547</v>
      </c>
      <c r="G3488" t="s">
        <v>12683</v>
      </c>
      <c r="H3488" t="s">
        <v>15</v>
      </c>
      <c r="I3488" t="s">
        <v>4115</v>
      </c>
      <c r="J3488" t="str">
        <f>RIGHT(D3488,4)</f>
        <v>8197</v>
      </c>
      <c r="K3488" t="str">
        <f>IFERROR(VLOOKUP(VALUE(J3488),'Site Info'!$A:$G,3,FALSE),"")</f>
        <v>915 W MARKETVIEW DR</v>
      </c>
      <c r="L3488" t="str">
        <f>IFERROR(VLOOKUP(VALUE(J3488),'Site Info'!$A:$G,4,FALSE),"")</f>
        <v>CHAMPAIGN</v>
      </c>
      <c r="M3488" t="str">
        <f>IFERROR(VLOOKUP(VALUE(J3488),'Site Info'!$A:$G,5,FALSE),"")</f>
        <v>IL</v>
      </c>
      <c r="N3488" t="str">
        <f>IFERROR(VLOOKUP(VALUE(J3488),'Site Info'!$A:$G,6,FALSE),"")</f>
        <v>61822-1221</v>
      </c>
      <c r="O3488">
        <f>IFERROR(VLOOKUP(VALUE(J3488),'Site Info'!$A:$G,7,FALSE),"")</f>
        <v>2173552223</v>
      </c>
    </row>
    <row r="3489" spans="1:15" x14ac:dyDescent="0.45">
      <c r="A3489" t="s">
        <v>4120</v>
      </c>
      <c r="B3489" t="s">
        <v>4121</v>
      </c>
      <c r="C3489" t="s">
        <v>4122</v>
      </c>
      <c r="D3489" t="s">
        <v>4113</v>
      </c>
      <c r="E3489" s="1">
        <v>46153.371504629627</v>
      </c>
      <c r="F3489">
        <v>1547</v>
      </c>
      <c r="G3489" t="s">
        <v>4123</v>
      </c>
      <c r="H3489" t="s">
        <v>15</v>
      </c>
      <c r="I3489" t="s">
        <v>4115</v>
      </c>
      <c r="J3489" t="str">
        <f>RIGHT(D3489,4)</f>
        <v>8197</v>
      </c>
      <c r="K3489" t="str">
        <f>IFERROR(VLOOKUP(VALUE(J3489),'Site Info'!$A:$G,3,FALSE),"")</f>
        <v>915 W MARKETVIEW DR</v>
      </c>
      <c r="L3489" t="str">
        <f>IFERROR(VLOOKUP(VALUE(J3489),'Site Info'!$A:$G,4,FALSE),"")</f>
        <v>CHAMPAIGN</v>
      </c>
      <c r="M3489" t="str">
        <f>IFERROR(VLOOKUP(VALUE(J3489),'Site Info'!$A:$G,5,FALSE),"")</f>
        <v>IL</v>
      </c>
      <c r="N3489" t="str">
        <f>IFERROR(VLOOKUP(VALUE(J3489),'Site Info'!$A:$G,6,FALSE),"")</f>
        <v>61822-1221</v>
      </c>
      <c r="O3489">
        <f>IFERROR(VLOOKUP(VALUE(J3489),'Site Info'!$A:$G,7,FALSE),"")</f>
        <v>2173552223</v>
      </c>
    </row>
    <row r="3490" spans="1:15" x14ac:dyDescent="0.45">
      <c r="A3490" t="s">
        <v>4440</v>
      </c>
      <c r="B3490" t="s">
        <v>4441</v>
      </c>
      <c r="C3490" t="s">
        <v>4442</v>
      </c>
      <c r="D3490" t="s">
        <v>1121</v>
      </c>
      <c r="E3490" s="1">
        <v>46153.290254629632</v>
      </c>
      <c r="F3490">
        <v>1547</v>
      </c>
      <c r="G3490" t="s">
        <v>4443</v>
      </c>
      <c r="H3490" t="s">
        <v>15</v>
      </c>
      <c r="I3490" t="s">
        <v>1123</v>
      </c>
      <c r="J3490" t="str">
        <f>RIGHT(D3490,4)</f>
        <v>6471</v>
      </c>
      <c r="K3490" t="str">
        <f>IFERROR(VLOOKUP(VALUE(J3490),'Site Info'!$A:$G,3,FALSE),"")</f>
        <v>9202 N NAVARRO ST</v>
      </c>
      <c r="L3490" t="str">
        <f>IFERROR(VLOOKUP(VALUE(J3490),'Site Info'!$A:$G,4,FALSE),"")</f>
        <v>VICTORIA</v>
      </c>
      <c r="M3490" t="str">
        <f>IFERROR(VLOOKUP(VALUE(J3490),'Site Info'!$A:$G,5,FALSE),"")</f>
        <v>TX</v>
      </c>
      <c r="N3490" t="str">
        <f>IFERROR(VLOOKUP(VALUE(J3490),'Site Info'!$A:$G,6,FALSE),"")</f>
        <v>77904-1435</v>
      </c>
      <c r="O3490">
        <f>IFERROR(VLOOKUP(VALUE(J3490),'Site Info'!$A:$G,7,FALSE),"")</f>
        <v>3615720043</v>
      </c>
    </row>
    <row r="3491" spans="1:15" x14ac:dyDescent="0.45">
      <c r="A3491" t="s">
        <v>4458</v>
      </c>
      <c r="B3491" t="s">
        <v>4459</v>
      </c>
      <c r="C3491" t="s">
        <v>4460</v>
      </c>
      <c r="D3491" t="s">
        <v>1121</v>
      </c>
      <c r="E3491" s="1">
        <v>46153.335092592592</v>
      </c>
      <c r="F3491">
        <v>1547</v>
      </c>
      <c r="G3491" t="s">
        <v>4461</v>
      </c>
      <c r="H3491" t="s">
        <v>15</v>
      </c>
      <c r="I3491" t="s">
        <v>1123</v>
      </c>
      <c r="J3491" t="str">
        <f>RIGHT(D3491,4)</f>
        <v>6471</v>
      </c>
      <c r="K3491" t="str">
        <f>IFERROR(VLOOKUP(VALUE(J3491),'Site Info'!$A:$G,3,FALSE),"")</f>
        <v>9202 N NAVARRO ST</v>
      </c>
      <c r="L3491" t="str">
        <f>IFERROR(VLOOKUP(VALUE(J3491),'Site Info'!$A:$G,4,FALSE),"")</f>
        <v>VICTORIA</v>
      </c>
      <c r="M3491" t="str">
        <f>IFERROR(VLOOKUP(VALUE(J3491),'Site Info'!$A:$G,5,FALSE),"")</f>
        <v>TX</v>
      </c>
      <c r="N3491" t="str">
        <f>IFERROR(VLOOKUP(VALUE(J3491),'Site Info'!$A:$G,6,FALSE),"")</f>
        <v>77904-1435</v>
      </c>
      <c r="O3491">
        <f>IFERROR(VLOOKUP(VALUE(J3491),'Site Info'!$A:$G,7,FALSE),"")</f>
        <v>3615720043</v>
      </c>
    </row>
    <row r="3492" spans="1:15" x14ac:dyDescent="0.45">
      <c r="A3492" t="s">
        <v>4778</v>
      </c>
      <c r="B3492" t="s">
        <v>4779</v>
      </c>
      <c r="C3492" t="s">
        <v>4780</v>
      </c>
      <c r="D3492" t="s">
        <v>1121</v>
      </c>
      <c r="E3492" s="1">
        <v>46153.367569444446</v>
      </c>
      <c r="F3492">
        <v>1547</v>
      </c>
      <c r="G3492" t="s">
        <v>4781</v>
      </c>
      <c r="H3492" t="s">
        <v>15</v>
      </c>
      <c r="I3492" t="s">
        <v>1123</v>
      </c>
      <c r="J3492" t="str">
        <f>RIGHT(D3492,4)</f>
        <v>6471</v>
      </c>
      <c r="K3492" t="str">
        <f>IFERROR(VLOOKUP(VALUE(J3492),'Site Info'!$A:$G,3,FALSE),"")</f>
        <v>9202 N NAVARRO ST</v>
      </c>
      <c r="L3492" t="str">
        <f>IFERROR(VLOOKUP(VALUE(J3492),'Site Info'!$A:$G,4,FALSE),"")</f>
        <v>VICTORIA</v>
      </c>
      <c r="M3492" t="str">
        <f>IFERROR(VLOOKUP(VALUE(J3492),'Site Info'!$A:$G,5,FALSE),"")</f>
        <v>TX</v>
      </c>
      <c r="N3492" t="str">
        <f>IFERROR(VLOOKUP(VALUE(J3492),'Site Info'!$A:$G,6,FALSE),"")</f>
        <v>77904-1435</v>
      </c>
      <c r="O3492">
        <f>IFERROR(VLOOKUP(VALUE(J3492),'Site Info'!$A:$G,7,FALSE),"")</f>
        <v>3615720043</v>
      </c>
    </row>
    <row r="3493" spans="1:15" x14ac:dyDescent="0.45">
      <c r="A3493" t="s">
        <v>1118</v>
      </c>
      <c r="B3493" t="s">
        <v>1119</v>
      </c>
      <c r="C3493" t="s">
        <v>1120</v>
      </c>
      <c r="D3493" t="s">
        <v>1121</v>
      </c>
      <c r="E3493" s="1">
        <v>46153.307291666664</v>
      </c>
      <c r="F3493">
        <v>1481</v>
      </c>
      <c r="G3493" t="s">
        <v>1122</v>
      </c>
      <c r="H3493" t="s">
        <v>15</v>
      </c>
      <c r="I3493" t="s">
        <v>1123</v>
      </c>
      <c r="J3493" t="str">
        <f>RIGHT(D3493,4)</f>
        <v>6471</v>
      </c>
      <c r="K3493" t="str">
        <f>IFERROR(VLOOKUP(VALUE(J3493),'Site Info'!$A:$G,3,FALSE),"")</f>
        <v>9202 N NAVARRO ST</v>
      </c>
      <c r="L3493" t="str">
        <f>IFERROR(VLOOKUP(VALUE(J3493),'Site Info'!$A:$G,4,FALSE),"")</f>
        <v>VICTORIA</v>
      </c>
      <c r="M3493" t="str">
        <f>IFERROR(VLOOKUP(VALUE(J3493),'Site Info'!$A:$G,5,FALSE),"")</f>
        <v>TX</v>
      </c>
      <c r="N3493" t="str">
        <f>IFERROR(VLOOKUP(VALUE(J3493),'Site Info'!$A:$G,6,FALSE),"")</f>
        <v>77904-1435</v>
      </c>
      <c r="O3493">
        <f>IFERROR(VLOOKUP(VALUE(J3493),'Site Info'!$A:$G,7,FALSE),"")</f>
        <v>3615720043</v>
      </c>
    </row>
    <row r="3494" spans="1:15" x14ac:dyDescent="0.45">
      <c r="A3494" t="s">
        <v>16899</v>
      </c>
      <c r="B3494" t="s">
        <v>16900</v>
      </c>
      <c r="C3494" t="s">
        <v>16901</v>
      </c>
      <c r="D3494" t="s">
        <v>1121</v>
      </c>
      <c r="E3494" s="1">
        <v>46152.554756944446</v>
      </c>
      <c r="F3494">
        <v>1628</v>
      </c>
      <c r="G3494" t="s">
        <v>16902</v>
      </c>
      <c r="H3494" t="s">
        <v>13988</v>
      </c>
      <c r="I3494" t="s">
        <v>1123</v>
      </c>
      <c r="J3494" t="str">
        <f>RIGHT(D3494,4)</f>
        <v>6471</v>
      </c>
      <c r="K3494" t="str">
        <f>IFERROR(VLOOKUP(VALUE(J3494),'Site Info'!$A:$G,3,FALSE),"")</f>
        <v>9202 N NAVARRO ST</v>
      </c>
      <c r="L3494" t="str">
        <f>IFERROR(VLOOKUP(VALUE(J3494),'Site Info'!$A:$G,4,FALSE),"")</f>
        <v>VICTORIA</v>
      </c>
      <c r="M3494" t="str">
        <f>IFERROR(VLOOKUP(VALUE(J3494),'Site Info'!$A:$G,5,FALSE),"")</f>
        <v>TX</v>
      </c>
      <c r="N3494" t="str">
        <f>IFERROR(VLOOKUP(VALUE(J3494),'Site Info'!$A:$G,6,FALSE),"")</f>
        <v>77904-1435</v>
      </c>
      <c r="O3494">
        <f>IFERROR(VLOOKUP(VALUE(J3494),'Site Info'!$A:$G,7,FALSE),"")</f>
        <v>3615720043</v>
      </c>
    </row>
    <row r="3495" spans="1:15" x14ac:dyDescent="0.45">
      <c r="A3495" t="s">
        <v>7809</v>
      </c>
      <c r="B3495" t="s">
        <v>7810</v>
      </c>
      <c r="C3495" t="s">
        <v>7811</v>
      </c>
      <c r="D3495" t="s">
        <v>7812</v>
      </c>
      <c r="E3495" s="1">
        <v>46153.318784722222</v>
      </c>
      <c r="F3495">
        <v>1547</v>
      </c>
      <c r="G3495" t="s">
        <v>7813</v>
      </c>
      <c r="H3495" t="s">
        <v>15</v>
      </c>
      <c r="I3495" t="s">
        <v>7814</v>
      </c>
      <c r="J3495" t="str">
        <f>RIGHT(D3495,4)</f>
        <v>6581</v>
      </c>
      <c r="K3495" t="str">
        <f>IFERROR(VLOOKUP(VALUE(J3495),'Site Info'!$A:$G,3,FALSE),"")</f>
        <v>921 VIEWMONT DR</v>
      </c>
      <c r="L3495" t="str">
        <f>IFERROR(VLOOKUP(VALUE(J3495),'Site Info'!$A:$G,4,FALSE),"")</f>
        <v>SCRANTON DICKSON CITY</v>
      </c>
      <c r="M3495" t="str">
        <f>IFERROR(VLOOKUP(VALUE(J3495),'Site Info'!$A:$G,5,FALSE),"")</f>
        <v>PA</v>
      </c>
      <c r="N3495" t="str">
        <f>IFERROR(VLOOKUP(VALUE(J3495),'Site Info'!$A:$G,6,FALSE),"")</f>
        <v>18519-1663</v>
      </c>
      <c r="O3495">
        <f>IFERROR(VLOOKUP(VALUE(J3495),'Site Info'!$A:$G,7,FALSE),"")</f>
        <v>5703474847</v>
      </c>
    </row>
    <row r="3496" spans="1:15" x14ac:dyDescent="0.45">
      <c r="A3496" t="s">
        <v>8425</v>
      </c>
      <c r="B3496" t="s">
        <v>8426</v>
      </c>
      <c r="C3496" t="s">
        <v>8427</v>
      </c>
      <c r="D3496" t="s">
        <v>7812</v>
      </c>
      <c r="E3496" s="1">
        <v>46153.367569444446</v>
      </c>
      <c r="F3496">
        <v>1547</v>
      </c>
      <c r="G3496" t="s">
        <v>8428</v>
      </c>
      <c r="H3496" t="s">
        <v>15</v>
      </c>
      <c r="I3496" t="s">
        <v>7814</v>
      </c>
      <c r="J3496" t="str">
        <f>RIGHT(D3496,4)</f>
        <v>6581</v>
      </c>
      <c r="K3496" t="str">
        <f>IFERROR(VLOOKUP(VALUE(J3496),'Site Info'!$A:$G,3,FALSE),"")</f>
        <v>921 VIEWMONT DR</v>
      </c>
      <c r="L3496" t="str">
        <f>IFERROR(VLOOKUP(VALUE(J3496),'Site Info'!$A:$G,4,FALSE),"")</f>
        <v>SCRANTON DICKSON CITY</v>
      </c>
      <c r="M3496" t="str">
        <f>IFERROR(VLOOKUP(VALUE(J3496),'Site Info'!$A:$G,5,FALSE),"")</f>
        <v>PA</v>
      </c>
      <c r="N3496" t="str">
        <f>IFERROR(VLOOKUP(VALUE(J3496),'Site Info'!$A:$G,6,FALSE),"")</f>
        <v>18519-1663</v>
      </c>
      <c r="O3496">
        <f>IFERROR(VLOOKUP(VALUE(J3496),'Site Info'!$A:$G,7,FALSE),"")</f>
        <v>5703474847</v>
      </c>
    </row>
    <row r="3497" spans="1:15" x14ac:dyDescent="0.45">
      <c r="A3497" t="s">
        <v>8493</v>
      </c>
      <c r="B3497" t="s">
        <v>8494</v>
      </c>
      <c r="C3497" t="s">
        <v>8495</v>
      </c>
      <c r="D3497" t="s">
        <v>7812</v>
      </c>
      <c r="E3497" s="1">
        <v>46153.36928240741</v>
      </c>
      <c r="F3497">
        <v>1547</v>
      </c>
      <c r="G3497" t="s">
        <v>8496</v>
      </c>
      <c r="H3497" t="s">
        <v>15</v>
      </c>
      <c r="I3497" t="s">
        <v>7814</v>
      </c>
      <c r="J3497" t="str">
        <f>RIGHT(D3497,4)</f>
        <v>6581</v>
      </c>
      <c r="K3497" t="str">
        <f>IFERROR(VLOOKUP(VALUE(J3497),'Site Info'!$A:$G,3,FALSE),"")</f>
        <v>921 VIEWMONT DR</v>
      </c>
      <c r="L3497" t="str">
        <f>IFERROR(VLOOKUP(VALUE(J3497),'Site Info'!$A:$G,4,FALSE),"")</f>
        <v>SCRANTON DICKSON CITY</v>
      </c>
      <c r="M3497" t="str">
        <f>IFERROR(VLOOKUP(VALUE(J3497),'Site Info'!$A:$G,5,FALSE),"")</f>
        <v>PA</v>
      </c>
      <c r="N3497" t="str">
        <f>IFERROR(VLOOKUP(VALUE(J3497),'Site Info'!$A:$G,6,FALSE),"")</f>
        <v>18519-1663</v>
      </c>
      <c r="O3497">
        <f>IFERROR(VLOOKUP(VALUE(J3497),'Site Info'!$A:$G,7,FALSE),"")</f>
        <v>5703474847</v>
      </c>
    </row>
    <row r="3498" spans="1:15" x14ac:dyDescent="0.45">
      <c r="A3498" t="s">
        <v>8111</v>
      </c>
      <c r="B3498" t="s">
        <v>8112</v>
      </c>
      <c r="C3498" t="s">
        <v>8113</v>
      </c>
      <c r="D3498" t="s">
        <v>7812</v>
      </c>
      <c r="E3498" s="1">
        <v>46153.371608796297</v>
      </c>
      <c r="F3498">
        <v>1547</v>
      </c>
      <c r="G3498" t="s">
        <v>8114</v>
      </c>
      <c r="H3498" t="s">
        <v>15</v>
      </c>
      <c r="I3498" t="s">
        <v>7814</v>
      </c>
      <c r="J3498" t="str">
        <f>RIGHT(D3498,4)</f>
        <v>6581</v>
      </c>
      <c r="K3498" t="str">
        <f>IFERROR(VLOOKUP(VALUE(J3498),'Site Info'!$A:$G,3,FALSE),"")</f>
        <v>921 VIEWMONT DR</v>
      </c>
      <c r="L3498" t="str">
        <f>IFERROR(VLOOKUP(VALUE(J3498),'Site Info'!$A:$G,4,FALSE),"")</f>
        <v>SCRANTON DICKSON CITY</v>
      </c>
      <c r="M3498" t="str">
        <f>IFERROR(VLOOKUP(VALUE(J3498),'Site Info'!$A:$G,5,FALSE),"")</f>
        <v>PA</v>
      </c>
      <c r="N3498" t="str">
        <f>IFERROR(VLOOKUP(VALUE(J3498),'Site Info'!$A:$G,6,FALSE),"")</f>
        <v>18519-1663</v>
      </c>
      <c r="O3498">
        <f>IFERROR(VLOOKUP(VALUE(J3498),'Site Info'!$A:$G,7,FALSE),"")</f>
        <v>5703474847</v>
      </c>
    </row>
    <row r="3499" spans="1:15" x14ac:dyDescent="0.45">
      <c r="A3499" t="s">
        <v>8619</v>
      </c>
      <c r="B3499" t="s">
        <v>8620</v>
      </c>
      <c r="C3499" t="s">
        <v>8621</v>
      </c>
      <c r="D3499" t="s">
        <v>7812</v>
      </c>
      <c r="E3499" s="1">
        <v>46153.372013888889</v>
      </c>
      <c r="F3499">
        <v>1547</v>
      </c>
      <c r="G3499" t="s">
        <v>8622</v>
      </c>
      <c r="H3499" t="s">
        <v>15</v>
      </c>
      <c r="I3499" t="s">
        <v>7814</v>
      </c>
      <c r="J3499" t="str">
        <f>RIGHT(D3499,4)</f>
        <v>6581</v>
      </c>
      <c r="K3499" t="str">
        <f>IFERROR(VLOOKUP(VALUE(J3499),'Site Info'!$A:$G,3,FALSE),"")</f>
        <v>921 VIEWMONT DR</v>
      </c>
      <c r="L3499" t="str">
        <f>IFERROR(VLOOKUP(VALUE(J3499),'Site Info'!$A:$G,4,FALSE),"")</f>
        <v>SCRANTON DICKSON CITY</v>
      </c>
      <c r="M3499" t="str">
        <f>IFERROR(VLOOKUP(VALUE(J3499),'Site Info'!$A:$G,5,FALSE),"")</f>
        <v>PA</v>
      </c>
      <c r="N3499" t="str">
        <f>IFERROR(VLOOKUP(VALUE(J3499),'Site Info'!$A:$G,6,FALSE),"")</f>
        <v>18519-1663</v>
      </c>
      <c r="O3499">
        <f>IFERROR(VLOOKUP(VALUE(J3499),'Site Info'!$A:$G,7,FALSE),"")</f>
        <v>5703474847</v>
      </c>
    </row>
    <row r="3500" spans="1:15" x14ac:dyDescent="0.45">
      <c r="A3500" t="s">
        <v>7903</v>
      </c>
      <c r="B3500" t="s">
        <v>7904</v>
      </c>
      <c r="C3500" t="s">
        <v>7905</v>
      </c>
      <c r="D3500" t="s">
        <v>633</v>
      </c>
      <c r="E3500" s="1">
        <v>46151.732592592591</v>
      </c>
      <c r="F3500">
        <v>1547</v>
      </c>
      <c r="G3500" t="s">
        <v>7906</v>
      </c>
      <c r="H3500" t="s">
        <v>15</v>
      </c>
      <c r="I3500" t="s">
        <v>635</v>
      </c>
      <c r="J3500" t="str">
        <f>RIGHT(D3500,4)</f>
        <v>6565</v>
      </c>
      <c r="K3500" t="str">
        <f>IFERROR(VLOOKUP(VALUE(J3500),'Site Info'!$A:$G,3,FALSE),"")</f>
        <v>925 EGLIN ST</v>
      </c>
      <c r="L3500" t="str">
        <f>IFERROR(VLOOKUP(VALUE(J3500),'Site Info'!$A:$G,4,FALSE),"")</f>
        <v>RAPID CITY</v>
      </c>
      <c r="M3500" t="str">
        <f>IFERROR(VLOOKUP(VALUE(J3500),'Site Info'!$A:$G,5,FALSE),"")</f>
        <v>SD</v>
      </c>
      <c r="N3500" t="str">
        <f>IFERROR(VLOOKUP(VALUE(J3500),'Site Info'!$A:$G,6,FALSE),"")</f>
        <v>57701-6962</v>
      </c>
      <c r="O3500">
        <f>IFERROR(VLOOKUP(VALUE(J3500),'Site Info'!$A:$G,7,FALSE),"")</f>
        <v>6058773051</v>
      </c>
    </row>
    <row r="3501" spans="1:15" x14ac:dyDescent="0.45">
      <c r="A3501" t="s">
        <v>7855</v>
      </c>
      <c r="B3501" t="s">
        <v>7856</v>
      </c>
      <c r="C3501" t="s">
        <v>7857</v>
      </c>
      <c r="D3501" t="s">
        <v>633</v>
      </c>
      <c r="E3501" s="1">
        <v>46151.818761574075</v>
      </c>
      <c r="F3501">
        <v>1547</v>
      </c>
      <c r="G3501" t="s">
        <v>7858</v>
      </c>
      <c r="H3501" t="s">
        <v>15</v>
      </c>
      <c r="I3501" t="s">
        <v>635</v>
      </c>
      <c r="J3501" t="str">
        <f>RIGHT(D3501,4)</f>
        <v>6565</v>
      </c>
      <c r="K3501" t="str">
        <f>IFERROR(VLOOKUP(VALUE(J3501),'Site Info'!$A:$G,3,FALSE),"")</f>
        <v>925 EGLIN ST</v>
      </c>
      <c r="L3501" t="str">
        <f>IFERROR(VLOOKUP(VALUE(J3501),'Site Info'!$A:$G,4,FALSE),"")</f>
        <v>RAPID CITY</v>
      </c>
      <c r="M3501" t="str">
        <f>IFERROR(VLOOKUP(VALUE(J3501),'Site Info'!$A:$G,5,FALSE),"")</f>
        <v>SD</v>
      </c>
      <c r="N3501" t="str">
        <f>IFERROR(VLOOKUP(VALUE(J3501),'Site Info'!$A:$G,6,FALSE),"")</f>
        <v>57701-6962</v>
      </c>
      <c r="O3501">
        <f>IFERROR(VLOOKUP(VALUE(J3501),'Site Info'!$A:$G,7,FALSE),"")</f>
        <v>6058773051</v>
      </c>
    </row>
    <row r="3502" spans="1:15" x14ac:dyDescent="0.45">
      <c r="A3502" t="s">
        <v>11698</v>
      </c>
      <c r="B3502" t="s">
        <v>11699</v>
      </c>
      <c r="C3502" t="s">
        <v>11700</v>
      </c>
      <c r="D3502" t="s">
        <v>633</v>
      </c>
      <c r="E3502" s="1">
        <v>46153.341331018521</v>
      </c>
      <c r="F3502">
        <v>1547</v>
      </c>
      <c r="G3502" t="s">
        <v>11701</v>
      </c>
      <c r="H3502" t="s">
        <v>15</v>
      </c>
      <c r="I3502" t="s">
        <v>635</v>
      </c>
      <c r="J3502" t="str">
        <f>RIGHT(D3502,4)</f>
        <v>6565</v>
      </c>
      <c r="K3502" t="str">
        <f>IFERROR(VLOOKUP(VALUE(J3502),'Site Info'!$A:$G,3,FALSE),"")</f>
        <v>925 EGLIN ST</v>
      </c>
      <c r="L3502" t="str">
        <f>IFERROR(VLOOKUP(VALUE(J3502),'Site Info'!$A:$G,4,FALSE),"")</f>
        <v>RAPID CITY</v>
      </c>
      <c r="M3502" t="str">
        <f>IFERROR(VLOOKUP(VALUE(J3502),'Site Info'!$A:$G,5,FALSE),"")</f>
        <v>SD</v>
      </c>
      <c r="N3502" t="str">
        <f>IFERROR(VLOOKUP(VALUE(J3502),'Site Info'!$A:$G,6,FALSE),"")</f>
        <v>57701-6962</v>
      </c>
      <c r="O3502">
        <f>IFERROR(VLOOKUP(VALUE(J3502),'Site Info'!$A:$G,7,FALSE),"")</f>
        <v>6058773051</v>
      </c>
    </row>
    <row r="3503" spans="1:15" x14ac:dyDescent="0.45">
      <c r="A3503" t="s">
        <v>11542</v>
      </c>
      <c r="B3503" t="s">
        <v>11543</v>
      </c>
      <c r="C3503" t="s">
        <v>11544</v>
      </c>
      <c r="D3503" t="s">
        <v>633</v>
      </c>
      <c r="E3503" s="1">
        <v>46153.358807870369</v>
      </c>
      <c r="F3503">
        <v>1547</v>
      </c>
      <c r="G3503" t="s">
        <v>11545</v>
      </c>
      <c r="H3503" t="s">
        <v>15</v>
      </c>
      <c r="I3503" t="s">
        <v>635</v>
      </c>
      <c r="J3503" t="str">
        <f>RIGHT(D3503,4)</f>
        <v>6565</v>
      </c>
      <c r="K3503" t="str">
        <f>IFERROR(VLOOKUP(VALUE(J3503),'Site Info'!$A:$G,3,FALSE),"")</f>
        <v>925 EGLIN ST</v>
      </c>
      <c r="L3503" t="str">
        <f>IFERROR(VLOOKUP(VALUE(J3503),'Site Info'!$A:$G,4,FALSE),"")</f>
        <v>RAPID CITY</v>
      </c>
      <c r="M3503" t="str">
        <f>IFERROR(VLOOKUP(VALUE(J3503),'Site Info'!$A:$G,5,FALSE),"")</f>
        <v>SD</v>
      </c>
      <c r="N3503" t="str">
        <f>IFERROR(VLOOKUP(VALUE(J3503),'Site Info'!$A:$G,6,FALSE),"")</f>
        <v>57701-6962</v>
      </c>
      <c r="O3503">
        <f>IFERROR(VLOOKUP(VALUE(J3503),'Site Info'!$A:$G,7,FALSE),"")</f>
        <v>6058773051</v>
      </c>
    </row>
    <row r="3504" spans="1:15" x14ac:dyDescent="0.45">
      <c r="A3504" t="s">
        <v>7531</v>
      </c>
      <c r="B3504" t="s">
        <v>7532</v>
      </c>
      <c r="C3504" t="s">
        <v>7533</v>
      </c>
      <c r="D3504" t="s">
        <v>633</v>
      </c>
      <c r="E3504" s="1">
        <v>46153.373460648145</v>
      </c>
      <c r="F3504">
        <v>1547</v>
      </c>
      <c r="G3504" t="s">
        <v>7534</v>
      </c>
      <c r="H3504" t="s">
        <v>15</v>
      </c>
      <c r="I3504" t="s">
        <v>635</v>
      </c>
      <c r="J3504" t="str">
        <f>RIGHT(D3504,4)</f>
        <v>6565</v>
      </c>
      <c r="K3504" t="str">
        <f>IFERROR(VLOOKUP(VALUE(J3504),'Site Info'!$A:$G,3,FALSE),"")</f>
        <v>925 EGLIN ST</v>
      </c>
      <c r="L3504" t="str">
        <f>IFERROR(VLOOKUP(VALUE(J3504),'Site Info'!$A:$G,4,FALSE),"")</f>
        <v>RAPID CITY</v>
      </c>
      <c r="M3504" t="str">
        <f>IFERROR(VLOOKUP(VALUE(J3504),'Site Info'!$A:$G,5,FALSE),"")</f>
        <v>SD</v>
      </c>
      <c r="N3504" t="str">
        <f>IFERROR(VLOOKUP(VALUE(J3504),'Site Info'!$A:$G,6,FALSE),"")</f>
        <v>57701-6962</v>
      </c>
      <c r="O3504">
        <f>IFERROR(VLOOKUP(VALUE(J3504),'Site Info'!$A:$G,7,FALSE),"")</f>
        <v>6058773051</v>
      </c>
    </row>
    <row r="3505" spans="1:15" x14ac:dyDescent="0.45">
      <c r="A3505" t="s">
        <v>1528</v>
      </c>
      <c r="B3505" t="s">
        <v>1529</v>
      </c>
      <c r="C3505" t="s">
        <v>1530</v>
      </c>
      <c r="D3505" t="s">
        <v>633</v>
      </c>
      <c r="E3505" s="1">
        <v>46150.502071759256</v>
      </c>
      <c r="F3505">
        <v>1481</v>
      </c>
      <c r="G3505" t="s">
        <v>1531</v>
      </c>
      <c r="H3505" t="s">
        <v>15</v>
      </c>
      <c r="I3505" t="s">
        <v>635</v>
      </c>
      <c r="J3505" t="str">
        <f>RIGHT(D3505,4)</f>
        <v>6565</v>
      </c>
      <c r="K3505" t="str">
        <f>IFERROR(VLOOKUP(VALUE(J3505),'Site Info'!$A:$G,3,FALSE),"")</f>
        <v>925 EGLIN ST</v>
      </c>
      <c r="L3505" t="str">
        <f>IFERROR(VLOOKUP(VALUE(J3505),'Site Info'!$A:$G,4,FALSE),"")</f>
        <v>RAPID CITY</v>
      </c>
      <c r="M3505" t="str">
        <f>IFERROR(VLOOKUP(VALUE(J3505),'Site Info'!$A:$G,5,FALSE),"")</f>
        <v>SD</v>
      </c>
      <c r="N3505" t="str">
        <f>IFERROR(VLOOKUP(VALUE(J3505),'Site Info'!$A:$G,6,FALSE),"")</f>
        <v>57701-6962</v>
      </c>
      <c r="O3505">
        <f>IFERROR(VLOOKUP(VALUE(J3505),'Site Info'!$A:$G,7,FALSE),"")</f>
        <v>6058773051</v>
      </c>
    </row>
    <row r="3506" spans="1:15" x14ac:dyDescent="0.45">
      <c r="A3506" t="s">
        <v>630</v>
      </c>
      <c r="B3506" t="s">
        <v>631</v>
      </c>
      <c r="C3506" t="s">
        <v>632</v>
      </c>
      <c r="D3506" t="s">
        <v>633</v>
      </c>
      <c r="E3506" s="1">
        <v>46152.809837962966</v>
      </c>
      <c r="F3506">
        <v>1481</v>
      </c>
      <c r="G3506" t="s">
        <v>634</v>
      </c>
      <c r="H3506" t="s">
        <v>15</v>
      </c>
      <c r="I3506" t="s">
        <v>635</v>
      </c>
      <c r="J3506" t="str">
        <f>RIGHT(D3506,4)</f>
        <v>6565</v>
      </c>
      <c r="K3506" t="str">
        <f>IFERROR(VLOOKUP(VALUE(J3506),'Site Info'!$A:$G,3,FALSE),"")</f>
        <v>925 EGLIN ST</v>
      </c>
      <c r="L3506" t="str">
        <f>IFERROR(VLOOKUP(VALUE(J3506),'Site Info'!$A:$G,4,FALSE),"")</f>
        <v>RAPID CITY</v>
      </c>
      <c r="M3506" t="str">
        <f>IFERROR(VLOOKUP(VALUE(J3506),'Site Info'!$A:$G,5,FALSE),"")</f>
        <v>SD</v>
      </c>
      <c r="N3506" t="str">
        <f>IFERROR(VLOOKUP(VALUE(J3506),'Site Info'!$A:$G,6,FALSE),"")</f>
        <v>57701-6962</v>
      </c>
      <c r="O3506">
        <f>IFERROR(VLOOKUP(VALUE(J3506),'Site Info'!$A:$G,7,FALSE),"")</f>
        <v>6058773051</v>
      </c>
    </row>
    <row r="3507" spans="1:15" x14ac:dyDescent="0.45">
      <c r="A3507" t="s">
        <v>16899</v>
      </c>
      <c r="B3507" t="s">
        <v>16942</v>
      </c>
      <c r="C3507" t="s">
        <v>16943</v>
      </c>
      <c r="D3507" t="s">
        <v>633</v>
      </c>
      <c r="E3507" s="1">
        <v>46153.020196759258</v>
      </c>
      <c r="F3507">
        <v>1896</v>
      </c>
      <c r="G3507" t="s">
        <v>16944</v>
      </c>
      <c r="H3507" t="s">
        <v>16945</v>
      </c>
      <c r="I3507" t="s">
        <v>635</v>
      </c>
      <c r="J3507" t="str">
        <f>RIGHT(D3507,4)</f>
        <v>6565</v>
      </c>
      <c r="K3507" t="str">
        <f>IFERROR(VLOOKUP(VALUE(J3507),'Site Info'!$A:$G,3,FALSE),"")</f>
        <v>925 EGLIN ST</v>
      </c>
      <c r="L3507" t="str">
        <f>IFERROR(VLOOKUP(VALUE(J3507),'Site Info'!$A:$G,4,FALSE),"")</f>
        <v>RAPID CITY</v>
      </c>
      <c r="M3507" t="str">
        <f>IFERROR(VLOOKUP(VALUE(J3507),'Site Info'!$A:$G,5,FALSE),"")</f>
        <v>SD</v>
      </c>
      <c r="N3507" t="str">
        <f>IFERROR(VLOOKUP(VALUE(J3507),'Site Info'!$A:$G,6,FALSE),"")</f>
        <v>57701-6962</v>
      </c>
      <c r="O3507">
        <f>IFERROR(VLOOKUP(VALUE(J3507),'Site Info'!$A:$G,7,FALSE),"")</f>
        <v>6058773051</v>
      </c>
    </row>
    <row r="3508" spans="1:15" x14ac:dyDescent="0.45">
      <c r="A3508" t="s">
        <v>9379</v>
      </c>
      <c r="B3508" t="s">
        <v>9380</v>
      </c>
      <c r="C3508" t="s">
        <v>9381</v>
      </c>
      <c r="D3508" t="s">
        <v>6768</v>
      </c>
      <c r="E3508" s="1">
        <v>46148.369201388887</v>
      </c>
      <c r="F3508">
        <v>1547</v>
      </c>
      <c r="G3508" t="s">
        <v>9382</v>
      </c>
      <c r="H3508" t="s">
        <v>15</v>
      </c>
      <c r="I3508" t="s">
        <v>6770</v>
      </c>
      <c r="J3508" t="str">
        <f>RIGHT(D3508,4)</f>
        <v>8228</v>
      </c>
      <c r="K3508" t="str">
        <f>IFERROR(VLOOKUP(VALUE(J3508),'Site Info'!$A:$G,3,FALSE),"")</f>
        <v>930 HANES MALL BLVD</v>
      </c>
      <c r="L3508" t="str">
        <f>IFERROR(VLOOKUP(VALUE(J3508),'Site Info'!$A:$G,4,FALSE),"")</f>
        <v>WINSTON SALEM</v>
      </c>
      <c r="M3508" t="str">
        <f>IFERROR(VLOOKUP(VALUE(J3508),'Site Info'!$A:$G,5,FALSE),"")</f>
        <v>NC</v>
      </c>
      <c r="N3508" t="str">
        <f>IFERROR(VLOOKUP(VALUE(J3508),'Site Info'!$A:$G,6,FALSE),"")</f>
        <v>27103-5527</v>
      </c>
      <c r="O3508">
        <f>IFERROR(VLOOKUP(VALUE(J3508),'Site Info'!$A:$G,7,FALSE),"")</f>
        <v>3367653590</v>
      </c>
    </row>
    <row r="3509" spans="1:15" x14ac:dyDescent="0.45">
      <c r="A3509" t="s">
        <v>6765</v>
      </c>
      <c r="B3509" t="s">
        <v>6766</v>
      </c>
      <c r="C3509" t="s">
        <v>6767</v>
      </c>
      <c r="D3509" t="s">
        <v>6768</v>
      </c>
      <c r="E3509" s="1">
        <v>46150.545902777776</v>
      </c>
      <c r="F3509">
        <v>1547</v>
      </c>
      <c r="G3509" t="s">
        <v>6769</v>
      </c>
      <c r="H3509" t="s">
        <v>15</v>
      </c>
      <c r="I3509" t="s">
        <v>6770</v>
      </c>
      <c r="J3509" t="str">
        <f>RIGHT(D3509,4)</f>
        <v>8228</v>
      </c>
      <c r="K3509" t="str">
        <f>IFERROR(VLOOKUP(VALUE(J3509),'Site Info'!$A:$G,3,FALSE),"")</f>
        <v>930 HANES MALL BLVD</v>
      </c>
      <c r="L3509" t="str">
        <f>IFERROR(VLOOKUP(VALUE(J3509),'Site Info'!$A:$G,4,FALSE),"")</f>
        <v>WINSTON SALEM</v>
      </c>
      <c r="M3509" t="str">
        <f>IFERROR(VLOOKUP(VALUE(J3509),'Site Info'!$A:$G,5,FALSE),"")</f>
        <v>NC</v>
      </c>
      <c r="N3509" t="str">
        <f>IFERROR(VLOOKUP(VALUE(J3509),'Site Info'!$A:$G,6,FALSE),"")</f>
        <v>27103-5527</v>
      </c>
      <c r="O3509">
        <f>IFERROR(VLOOKUP(VALUE(J3509),'Site Info'!$A:$G,7,FALSE),"")</f>
        <v>3367653590</v>
      </c>
    </row>
    <row r="3510" spans="1:15" x14ac:dyDescent="0.45">
      <c r="A3510" t="s">
        <v>11356</v>
      </c>
      <c r="B3510" t="s">
        <v>11357</v>
      </c>
      <c r="C3510" t="s">
        <v>11358</v>
      </c>
      <c r="D3510" t="s">
        <v>6768</v>
      </c>
      <c r="E3510" s="1">
        <v>46151.396562499998</v>
      </c>
      <c r="F3510">
        <v>1547</v>
      </c>
      <c r="G3510" t="s">
        <v>11359</v>
      </c>
      <c r="H3510" t="s">
        <v>15</v>
      </c>
      <c r="I3510" t="s">
        <v>6770</v>
      </c>
      <c r="J3510" t="str">
        <f>RIGHT(D3510,4)</f>
        <v>8228</v>
      </c>
      <c r="K3510" t="str">
        <f>IFERROR(VLOOKUP(VALUE(J3510),'Site Info'!$A:$G,3,FALSE),"")</f>
        <v>930 HANES MALL BLVD</v>
      </c>
      <c r="L3510" t="str">
        <f>IFERROR(VLOOKUP(VALUE(J3510),'Site Info'!$A:$G,4,FALSE),"")</f>
        <v>WINSTON SALEM</v>
      </c>
      <c r="M3510" t="str">
        <f>IFERROR(VLOOKUP(VALUE(J3510),'Site Info'!$A:$G,5,FALSE),"")</f>
        <v>NC</v>
      </c>
      <c r="N3510" t="str">
        <f>IFERROR(VLOOKUP(VALUE(J3510),'Site Info'!$A:$G,6,FALSE),"")</f>
        <v>27103-5527</v>
      </c>
      <c r="O3510">
        <f>IFERROR(VLOOKUP(VALUE(J3510),'Site Info'!$A:$G,7,FALSE),"")</f>
        <v>3367653590</v>
      </c>
    </row>
    <row r="3511" spans="1:15" x14ac:dyDescent="0.45">
      <c r="A3511" t="s">
        <v>11280</v>
      </c>
      <c r="B3511" t="s">
        <v>11281</v>
      </c>
      <c r="C3511" t="s">
        <v>11282</v>
      </c>
      <c r="D3511" t="s">
        <v>6768</v>
      </c>
      <c r="E3511" s="1">
        <v>46151.463993055557</v>
      </c>
      <c r="F3511">
        <v>1547</v>
      </c>
      <c r="G3511" t="s">
        <v>11283</v>
      </c>
      <c r="H3511" t="s">
        <v>15</v>
      </c>
      <c r="I3511" t="s">
        <v>6770</v>
      </c>
      <c r="J3511" t="str">
        <f>RIGHT(D3511,4)</f>
        <v>8228</v>
      </c>
      <c r="K3511" t="str">
        <f>IFERROR(VLOOKUP(VALUE(J3511),'Site Info'!$A:$G,3,FALSE),"")</f>
        <v>930 HANES MALL BLVD</v>
      </c>
      <c r="L3511" t="str">
        <f>IFERROR(VLOOKUP(VALUE(J3511),'Site Info'!$A:$G,4,FALSE),"")</f>
        <v>WINSTON SALEM</v>
      </c>
      <c r="M3511" t="str">
        <f>IFERROR(VLOOKUP(VALUE(J3511),'Site Info'!$A:$G,5,FALSE),"")</f>
        <v>NC</v>
      </c>
      <c r="N3511" t="str">
        <f>IFERROR(VLOOKUP(VALUE(J3511),'Site Info'!$A:$G,6,FALSE),"")</f>
        <v>27103-5527</v>
      </c>
      <c r="O3511">
        <f>IFERROR(VLOOKUP(VALUE(J3511),'Site Info'!$A:$G,7,FALSE),"")</f>
        <v>3367653590</v>
      </c>
    </row>
    <row r="3512" spans="1:15" x14ac:dyDescent="0.45">
      <c r="A3512" t="s">
        <v>14039</v>
      </c>
      <c r="B3512" t="s">
        <v>14040</v>
      </c>
      <c r="C3512" t="s">
        <v>14041</v>
      </c>
      <c r="D3512" t="s">
        <v>6768</v>
      </c>
      <c r="E3512" s="1">
        <v>46151.543217592596</v>
      </c>
      <c r="F3512">
        <v>1547</v>
      </c>
      <c r="G3512" t="s">
        <v>14042</v>
      </c>
      <c r="H3512" t="s">
        <v>15</v>
      </c>
      <c r="I3512" t="s">
        <v>6770</v>
      </c>
      <c r="J3512" t="str">
        <f>RIGHT(D3512,4)</f>
        <v>8228</v>
      </c>
      <c r="K3512" t="str">
        <f>IFERROR(VLOOKUP(VALUE(J3512),'Site Info'!$A:$G,3,FALSE),"")</f>
        <v>930 HANES MALL BLVD</v>
      </c>
      <c r="L3512" t="str">
        <f>IFERROR(VLOOKUP(VALUE(J3512),'Site Info'!$A:$G,4,FALSE),"")</f>
        <v>WINSTON SALEM</v>
      </c>
      <c r="M3512" t="str">
        <f>IFERROR(VLOOKUP(VALUE(J3512),'Site Info'!$A:$G,5,FALSE),"")</f>
        <v>NC</v>
      </c>
      <c r="N3512" t="str">
        <f>IFERROR(VLOOKUP(VALUE(J3512),'Site Info'!$A:$G,6,FALSE),"")</f>
        <v>27103-5527</v>
      </c>
      <c r="O3512">
        <f>IFERROR(VLOOKUP(VALUE(J3512),'Site Info'!$A:$G,7,FALSE),"")</f>
        <v>3367653590</v>
      </c>
    </row>
    <row r="3513" spans="1:15" x14ac:dyDescent="0.45">
      <c r="A3513" t="s">
        <v>11512</v>
      </c>
      <c r="B3513" t="s">
        <v>11513</v>
      </c>
      <c r="C3513" t="s">
        <v>11514</v>
      </c>
      <c r="D3513" t="s">
        <v>6768</v>
      </c>
      <c r="E3513" s="1">
        <v>46153.264409722222</v>
      </c>
      <c r="F3513">
        <v>1547</v>
      </c>
      <c r="G3513" t="s">
        <v>11515</v>
      </c>
      <c r="H3513" t="s">
        <v>15</v>
      </c>
      <c r="I3513" t="s">
        <v>6770</v>
      </c>
      <c r="J3513" t="str">
        <f>RIGHT(D3513,4)</f>
        <v>8228</v>
      </c>
      <c r="K3513" t="str">
        <f>IFERROR(VLOOKUP(VALUE(J3513),'Site Info'!$A:$G,3,FALSE),"")</f>
        <v>930 HANES MALL BLVD</v>
      </c>
      <c r="L3513" t="str">
        <f>IFERROR(VLOOKUP(VALUE(J3513),'Site Info'!$A:$G,4,FALSE),"")</f>
        <v>WINSTON SALEM</v>
      </c>
      <c r="M3513" t="str">
        <f>IFERROR(VLOOKUP(VALUE(J3513),'Site Info'!$A:$G,5,FALSE),"")</f>
        <v>NC</v>
      </c>
      <c r="N3513" t="str">
        <f>IFERROR(VLOOKUP(VALUE(J3513),'Site Info'!$A:$G,6,FALSE),"")</f>
        <v>27103-5527</v>
      </c>
      <c r="O3513">
        <f>IFERROR(VLOOKUP(VALUE(J3513),'Site Info'!$A:$G,7,FALSE),"")</f>
        <v>3367653590</v>
      </c>
    </row>
    <row r="3514" spans="1:15" x14ac:dyDescent="0.45">
      <c r="A3514" t="s">
        <v>10750</v>
      </c>
      <c r="B3514" t="s">
        <v>10751</v>
      </c>
      <c r="C3514" t="s">
        <v>10752</v>
      </c>
      <c r="D3514" t="s">
        <v>6768</v>
      </c>
      <c r="E3514" s="1">
        <v>46153.370428240742</v>
      </c>
      <c r="F3514">
        <v>1547</v>
      </c>
      <c r="G3514" t="s">
        <v>10753</v>
      </c>
      <c r="H3514" t="s">
        <v>15</v>
      </c>
      <c r="I3514" t="s">
        <v>10754</v>
      </c>
      <c r="J3514" t="str">
        <f>RIGHT(D3514,4)</f>
        <v>8228</v>
      </c>
      <c r="K3514" t="str">
        <f>IFERROR(VLOOKUP(VALUE(J3514),'Site Info'!$A:$G,3,FALSE),"")</f>
        <v>930 HANES MALL BLVD</v>
      </c>
      <c r="L3514" t="str">
        <f>IFERROR(VLOOKUP(VALUE(J3514),'Site Info'!$A:$G,4,FALSE),"")</f>
        <v>WINSTON SALEM</v>
      </c>
      <c r="M3514" t="str">
        <f>IFERROR(VLOOKUP(VALUE(J3514),'Site Info'!$A:$G,5,FALSE),"")</f>
        <v>NC</v>
      </c>
      <c r="N3514" t="str">
        <f>IFERROR(VLOOKUP(VALUE(J3514),'Site Info'!$A:$G,6,FALSE),"")</f>
        <v>27103-5527</v>
      </c>
      <c r="O3514">
        <f>IFERROR(VLOOKUP(VALUE(J3514),'Site Info'!$A:$G,7,FALSE),"")</f>
        <v>3367653590</v>
      </c>
    </row>
    <row r="3515" spans="1:15" x14ac:dyDescent="0.45">
      <c r="A3515" t="s">
        <v>16802</v>
      </c>
      <c r="B3515" t="s">
        <v>17189</v>
      </c>
      <c r="C3515" t="s">
        <v>17190</v>
      </c>
      <c r="D3515" t="s">
        <v>6768</v>
      </c>
      <c r="E3515" s="1">
        <v>46153.317361111112</v>
      </c>
      <c r="F3515">
        <v>1628</v>
      </c>
      <c r="G3515" t="s">
        <v>17191</v>
      </c>
      <c r="H3515" t="s">
        <v>13988</v>
      </c>
      <c r="I3515" t="s">
        <v>6770</v>
      </c>
      <c r="J3515" t="str">
        <f>RIGHT(D3515,4)</f>
        <v>8228</v>
      </c>
      <c r="K3515" t="str">
        <f>IFERROR(VLOOKUP(VALUE(J3515),'Site Info'!$A:$G,3,FALSE),"")</f>
        <v>930 HANES MALL BLVD</v>
      </c>
      <c r="L3515" t="str">
        <f>IFERROR(VLOOKUP(VALUE(J3515),'Site Info'!$A:$G,4,FALSE),"")</f>
        <v>WINSTON SALEM</v>
      </c>
      <c r="M3515" t="str">
        <f>IFERROR(VLOOKUP(VALUE(J3515),'Site Info'!$A:$G,5,FALSE),"")</f>
        <v>NC</v>
      </c>
      <c r="N3515" t="str">
        <f>IFERROR(VLOOKUP(VALUE(J3515),'Site Info'!$A:$G,6,FALSE),"")</f>
        <v>27103-5527</v>
      </c>
      <c r="O3515">
        <f>IFERROR(VLOOKUP(VALUE(J3515),'Site Info'!$A:$G,7,FALSE),"")</f>
        <v>3367653590</v>
      </c>
    </row>
    <row r="3516" spans="1:15" x14ac:dyDescent="0.45">
      <c r="A3516" t="s">
        <v>5058</v>
      </c>
      <c r="B3516" t="s">
        <v>5059</v>
      </c>
      <c r="C3516" t="s">
        <v>5060</v>
      </c>
      <c r="D3516" t="s">
        <v>1887</v>
      </c>
      <c r="E3516" s="1">
        <v>46149.579062500001</v>
      </c>
      <c r="F3516">
        <v>1547</v>
      </c>
      <c r="G3516" t="s">
        <v>5061</v>
      </c>
      <c r="H3516" t="s">
        <v>15</v>
      </c>
      <c r="I3516" t="s">
        <v>1889</v>
      </c>
      <c r="J3516" t="str">
        <f>RIGHT(D3516,4)</f>
        <v>6349</v>
      </c>
      <c r="K3516" t="str">
        <f>IFERROR(VLOOKUP(VALUE(J3516),'Site Info'!$A:$G,3,FALSE),"")</f>
        <v>9400 SOUTHWESTERN AVE</v>
      </c>
      <c r="L3516" t="str">
        <f>IFERROR(VLOOKUP(VALUE(J3516),'Site Info'!$A:$G,4,FALSE),"")</f>
        <v>EVERGREEN PARK</v>
      </c>
      <c r="M3516" t="str">
        <f>IFERROR(VLOOKUP(VALUE(J3516),'Site Info'!$A:$G,5,FALSE),"")</f>
        <v>IL</v>
      </c>
      <c r="N3516" t="str">
        <f>IFERROR(VLOOKUP(VALUE(J3516),'Site Info'!$A:$G,6,FALSE),"")</f>
        <v>60805-2509</v>
      </c>
      <c r="O3516">
        <f>IFERROR(VLOOKUP(VALUE(J3516),'Site Info'!$A:$G,7,FALSE),"")</f>
        <v>7084227417</v>
      </c>
    </row>
    <row r="3517" spans="1:15" x14ac:dyDescent="0.45">
      <c r="A3517" t="s">
        <v>5042</v>
      </c>
      <c r="B3517" t="s">
        <v>5043</v>
      </c>
      <c r="C3517" t="s">
        <v>5044</v>
      </c>
      <c r="D3517" t="s">
        <v>1887</v>
      </c>
      <c r="E3517" s="1">
        <v>46151.665601851855</v>
      </c>
      <c r="F3517">
        <v>1547</v>
      </c>
      <c r="G3517" t="s">
        <v>5045</v>
      </c>
      <c r="H3517" t="s">
        <v>15</v>
      </c>
      <c r="I3517" t="s">
        <v>1889</v>
      </c>
      <c r="J3517" t="str">
        <f>RIGHT(D3517,4)</f>
        <v>6349</v>
      </c>
      <c r="K3517" t="str">
        <f>IFERROR(VLOOKUP(VALUE(J3517),'Site Info'!$A:$G,3,FALSE),"")</f>
        <v>9400 SOUTHWESTERN AVE</v>
      </c>
      <c r="L3517" t="str">
        <f>IFERROR(VLOOKUP(VALUE(J3517),'Site Info'!$A:$G,4,FALSE),"")</f>
        <v>EVERGREEN PARK</v>
      </c>
      <c r="M3517" t="str">
        <f>IFERROR(VLOOKUP(VALUE(J3517),'Site Info'!$A:$G,5,FALSE),"")</f>
        <v>IL</v>
      </c>
      <c r="N3517" t="str">
        <f>IFERROR(VLOOKUP(VALUE(J3517),'Site Info'!$A:$G,6,FALSE),"")</f>
        <v>60805-2509</v>
      </c>
      <c r="O3517">
        <f>IFERROR(VLOOKUP(VALUE(J3517),'Site Info'!$A:$G,7,FALSE),"")</f>
        <v>7084227417</v>
      </c>
    </row>
    <row r="3518" spans="1:15" x14ac:dyDescent="0.45">
      <c r="A3518" t="s">
        <v>5054</v>
      </c>
      <c r="B3518" t="s">
        <v>5055</v>
      </c>
      <c r="C3518" t="s">
        <v>5056</v>
      </c>
      <c r="D3518" t="s">
        <v>1887</v>
      </c>
      <c r="E3518" s="1">
        <v>46152.561932870369</v>
      </c>
      <c r="F3518">
        <v>1547</v>
      </c>
      <c r="G3518" t="s">
        <v>5057</v>
      </c>
      <c r="H3518" t="s">
        <v>15</v>
      </c>
      <c r="I3518" t="s">
        <v>1889</v>
      </c>
      <c r="J3518" t="str">
        <f>RIGHT(D3518,4)</f>
        <v>6349</v>
      </c>
      <c r="K3518" t="str">
        <f>IFERROR(VLOOKUP(VALUE(J3518),'Site Info'!$A:$G,3,FALSE),"")</f>
        <v>9400 SOUTHWESTERN AVE</v>
      </c>
      <c r="L3518" t="str">
        <f>IFERROR(VLOOKUP(VALUE(J3518),'Site Info'!$A:$G,4,FALSE),"")</f>
        <v>EVERGREEN PARK</v>
      </c>
      <c r="M3518" t="str">
        <f>IFERROR(VLOOKUP(VALUE(J3518),'Site Info'!$A:$G,5,FALSE),"")</f>
        <v>IL</v>
      </c>
      <c r="N3518" t="str">
        <f>IFERROR(VLOOKUP(VALUE(J3518),'Site Info'!$A:$G,6,FALSE),"")</f>
        <v>60805-2509</v>
      </c>
      <c r="O3518">
        <f>IFERROR(VLOOKUP(VALUE(J3518),'Site Info'!$A:$G,7,FALSE),"")</f>
        <v>7084227417</v>
      </c>
    </row>
    <row r="3519" spans="1:15" x14ac:dyDescent="0.45">
      <c r="A3519" t="s">
        <v>5420</v>
      </c>
      <c r="B3519" t="s">
        <v>5421</v>
      </c>
      <c r="C3519" t="s">
        <v>5422</v>
      </c>
      <c r="D3519" t="s">
        <v>1887</v>
      </c>
      <c r="E3519" s="1">
        <v>46153.311053240737</v>
      </c>
      <c r="F3519">
        <v>1547</v>
      </c>
      <c r="G3519" t="s">
        <v>5423</v>
      </c>
      <c r="H3519" t="s">
        <v>15</v>
      </c>
      <c r="I3519" t="s">
        <v>1889</v>
      </c>
      <c r="J3519" t="str">
        <f>RIGHT(D3519,4)</f>
        <v>6349</v>
      </c>
      <c r="K3519" t="str">
        <f>IFERROR(VLOOKUP(VALUE(J3519),'Site Info'!$A:$G,3,FALSE),"")</f>
        <v>9400 SOUTHWESTERN AVE</v>
      </c>
      <c r="L3519" t="str">
        <f>IFERROR(VLOOKUP(VALUE(J3519),'Site Info'!$A:$G,4,FALSE),"")</f>
        <v>EVERGREEN PARK</v>
      </c>
      <c r="M3519" t="str">
        <f>IFERROR(VLOOKUP(VALUE(J3519),'Site Info'!$A:$G,5,FALSE),"")</f>
        <v>IL</v>
      </c>
      <c r="N3519" t="str">
        <f>IFERROR(VLOOKUP(VALUE(J3519),'Site Info'!$A:$G,6,FALSE),"")</f>
        <v>60805-2509</v>
      </c>
      <c r="O3519">
        <f>IFERROR(VLOOKUP(VALUE(J3519),'Site Info'!$A:$G,7,FALSE),"")</f>
        <v>7084227417</v>
      </c>
    </row>
    <row r="3520" spans="1:15" x14ac:dyDescent="0.45">
      <c r="A3520" t="s">
        <v>4023</v>
      </c>
      <c r="B3520" t="s">
        <v>4024</v>
      </c>
      <c r="C3520" t="s">
        <v>4025</v>
      </c>
      <c r="D3520" t="s">
        <v>1887</v>
      </c>
      <c r="E3520" s="1">
        <v>46153.185277777775</v>
      </c>
      <c r="F3520">
        <v>1481</v>
      </c>
      <c r="G3520" t="s">
        <v>4026</v>
      </c>
      <c r="H3520" t="s">
        <v>15</v>
      </c>
      <c r="I3520" t="s">
        <v>1889</v>
      </c>
      <c r="J3520" t="str">
        <f>RIGHT(D3520,4)</f>
        <v>6349</v>
      </c>
      <c r="K3520" t="str">
        <f>IFERROR(VLOOKUP(VALUE(J3520),'Site Info'!$A:$G,3,FALSE),"")</f>
        <v>9400 SOUTHWESTERN AVE</v>
      </c>
      <c r="L3520" t="str">
        <f>IFERROR(VLOOKUP(VALUE(J3520),'Site Info'!$A:$G,4,FALSE),"")</f>
        <v>EVERGREEN PARK</v>
      </c>
      <c r="M3520" t="str">
        <f>IFERROR(VLOOKUP(VALUE(J3520),'Site Info'!$A:$G,5,FALSE),"")</f>
        <v>IL</v>
      </c>
      <c r="N3520" t="str">
        <f>IFERROR(VLOOKUP(VALUE(J3520),'Site Info'!$A:$G,6,FALSE),"")</f>
        <v>60805-2509</v>
      </c>
      <c r="O3520">
        <f>IFERROR(VLOOKUP(VALUE(J3520),'Site Info'!$A:$G,7,FALSE),"")</f>
        <v>7084227417</v>
      </c>
    </row>
    <row r="3521" spans="1:15" x14ac:dyDescent="0.45">
      <c r="A3521" t="s">
        <v>1920</v>
      </c>
      <c r="B3521" t="s">
        <v>1921</v>
      </c>
      <c r="C3521" t="s">
        <v>1922</v>
      </c>
      <c r="D3521" t="s">
        <v>1887</v>
      </c>
      <c r="E3521" s="1">
        <v>46153.327627314815</v>
      </c>
      <c r="F3521">
        <v>1481</v>
      </c>
      <c r="G3521" t="s">
        <v>1923</v>
      </c>
      <c r="H3521" t="s">
        <v>15</v>
      </c>
      <c r="I3521" t="s">
        <v>1889</v>
      </c>
      <c r="J3521" t="str">
        <f>RIGHT(D3521,4)</f>
        <v>6349</v>
      </c>
      <c r="K3521" t="str">
        <f>IFERROR(VLOOKUP(VALUE(J3521),'Site Info'!$A:$G,3,FALSE),"")</f>
        <v>9400 SOUTHWESTERN AVE</v>
      </c>
      <c r="L3521" t="str">
        <f>IFERROR(VLOOKUP(VALUE(J3521),'Site Info'!$A:$G,4,FALSE),"")</f>
        <v>EVERGREEN PARK</v>
      </c>
      <c r="M3521" t="str">
        <f>IFERROR(VLOOKUP(VALUE(J3521),'Site Info'!$A:$G,5,FALSE),"")</f>
        <v>IL</v>
      </c>
      <c r="N3521" t="str">
        <f>IFERROR(VLOOKUP(VALUE(J3521),'Site Info'!$A:$G,6,FALSE),"")</f>
        <v>60805-2509</v>
      </c>
      <c r="O3521">
        <f>IFERROR(VLOOKUP(VALUE(J3521),'Site Info'!$A:$G,7,FALSE),"")</f>
        <v>7084227417</v>
      </c>
    </row>
    <row r="3522" spans="1:15" x14ac:dyDescent="0.45">
      <c r="A3522" t="s">
        <v>1884</v>
      </c>
      <c r="B3522" t="s">
        <v>1885</v>
      </c>
      <c r="C3522" t="s">
        <v>1886</v>
      </c>
      <c r="D3522" t="s">
        <v>1887</v>
      </c>
      <c r="E3522" s="1">
        <v>46153.368564814817</v>
      </c>
      <c r="F3522">
        <v>1481</v>
      </c>
      <c r="G3522" t="s">
        <v>1888</v>
      </c>
      <c r="H3522" t="s">
        <v>15</v>
      </c>
      <c r="I3522" t="s">
        <v>1889</v>
      </c>
      <c r="J3522" t="str">
        <f>RIGHT(D3522,4)</f>
        <v>6349</v>
      </c>
      <c r="K3522" t="str">
        <f>IFERROR(VLOOKUP(VALUE(J3522),'Site Info'!$A:$G,3,FALSE),"")</f>
        <v>9400 SOUTHWESTERN AVE</v>
      </c>
      <c r="L3522" t="str">
        <f>IFERROR(VLOOKUP(VALUE(J3522),'Site Info'!$A:$G,4,FALSE),"")</f>
        <v>EVERGREEN PARK</v>
      </c>
      <c r="M3522" t="str">
        <f>IFERROR(VLOOKUP(VALUE(J3522),'Site Info'!$A:$G,5,FALSE),"")</f>
        <v>IL</v>
      </c>
      <c r="N3522" t="str">
        <f>IFERROR(VLOOKUP(VALUE(J3522),'Site Info'!$A:$G,6,FALSE),"")</f>
        <v>60805-2509</v>
      </c>
      <c r="O3522">
        <f>IFERROR(VLOOKUP(VALUE(J3522),'Site Info'!$A:$G,7,FALSE),"")</f>
        <v>7084227417</v>
      </c>
    </row>
    <row r="3523" spans="1:15" x14ac:dyDescent="0.45">
      <c r="A3523" t="s">
        <v>3799</v>
      </c>
      <c r="B3523" t="s">
        <v>3800</v>
      </c>
      <c r="C3523" t="s">
        <v>3801</v>
      </c>
      <c r="D3523" t="s">
        <v>1887</v>
      </c>
      <c r="E3523" s="1">
        <v>46153.021168981482</v>
      </c>
      <c r="F3523">
        <v>1515</v>
      </c>
      <c r="G3523" t="s">
        <v>3802</v>
      </c>
      <c r="H3523" t="s">
        <v>15</v>
      </c>
      <c r="I3523" t="s">
        <v>1889</v>
      </c>
      <c r="J3523" t="str">
        <f>RIGHT(D3523,4)</f>
        <v>6349</v>
      </c>
      <c r="K3523" t="str">
        <f>IFERROR(VLOOKUP(VALUE(J3523),'Site Info'!$A:$G,3,FALSE),"")</f>
        <v>9400 SOUTHWESTERN AVE</v>
      </c>
      <c r="L3523" t="str">
        <f>IFERROR(VLOOKUP(VALUE(J3523),'Site Info'!$A:$G,4,FALSE),"")</f>
        <v>EVERGREEN PARK</v>
      </c>
      <c r="M3523" t="str">
        <f>IFERROR(VLOOKUP(VALUE(J3523),'Site Info'!$A:$G,5,FALSE),"")</f>
        <v>IL</v>
      </c>
      <c r="N3523" t="str">
        <f>IFERROR(VLOOKUP(VALUE(J3523),'Site Info'!$A:$G,6,FALSE),"")</f>
        <v>60805-2509</v>
      </c>
      <c r="O3523">
        <f>IFERROR(VLOOKUP(VALUE(J3523),'Site Info'!$A:$G,7,FALSE),"")</f>
        <v>7084227417</v>
      </c>
    </row>
    <row r="3524" spans="1:15" x14ac:dyDescent="0.45">
      <c r="A3524" t="s">
        <v>12492</v>
      </c>
      <c r="B3524" t="s">
        <v>12493</v>
      </c>
      <c r="C3524" t="s">
        <v>12494</v>
      </c>
      <c r="D3524" t="s">
        <v>1733</v>
      </c>
      <c r="E3524" s="1">
        <v>46152.534212962964</v>
      </c>
      <c r="F3524">
        <v>1547</v>
      </c>
      <c r="G3524" t="s">
        <v>12495</v>
      </c>
      <c r="H3524" t="s">
        <v>15</v>
      </c>
      <c r="I3524" t="s">
        <v>1735</v>
      </c>
      <c r="J3524" t="str">
        <f>RIGHT(D3524,4)</f>
        <v>6343</v>
      </c>
      <c r="K3524" t="str">
        <f>IFERROR(VLOOKUP(VALUE(J3524),'Site Info'!$A:$G,3,FALSE),"")</f>
        <v>9440 W BROAD ST</v>
      </c>
      <c r="L3524" t="str">
        <f>IFERROR(VLOOKUP(VALUE(J3524),'Site Info'!$A:$G,4,FALSE),"")</f>
        <v>RICHMOND</v>
      </c>
      <c r="M3524" t="str">
        <f>IFERROR(VLOOKUP(VALUE(J3524),'Site Info'!$A:$G,5,FALSE),"")</f>
        <v>VA</v>
      </c>
      <c r="N3524" t="str">
        <f>IFERROR(VLOOKUP(VALUE(J3524),'Site Info'!$A:$G,6,FALSE),"")</f>
        <v>23294-5330</v>
      </c>
      <c r="O3524">
        <f>IFERROR(VLOOKUP(VALUE(J3524),'Site Info'!$A:$G,7,FALSE),"")</f>
        <v>8043463031</v>
      </c>
    </row>
    <row r="3525" spans="1:15" x14ac:dyDescent="0.45">
      <c r="A3525" t="s">
        <v>11928</v>
      </c>
      <c r="B3525" t="s">
        <v>11929</v>
      </c>
      <c r="C3525" t="s">
        <v>11930</v>
      </c>
      <c r="D3525" t="s">
        <v>1733</v>
      </c>
      <c r="E3525" s="1">
        <v>46153.332349537035</v>
      </c>
      <c r="F3525">
        <v>1547</v>
      </c>
      <c r="G3525" t="s">
        <v>11931</v>
      </c>
      <c r="H3525" t="s">
        <v>15</v>
      </c>
      <c r="I3525" t="s">
        <v>1735</v>
      </c>
      <c r="J3525" t="str">
        <f>RIGHT(D3525,4)</f>
        <v>6343</v>
      </c>
      <c r="K3525" t="str">
        <f>IFERROR(VLOOKUP(VALUE(J3525),'Site Info'!$A:$G,3,FALSE),"")</f>
        <v>9440 W BROAD ST</v>
      </c>
      <c r="L3525" t="str">
        <f>IFERROR(VLOOKUP(VALUE(J3525),'Site Info'!$A:$G,4,FALSE),"")</f>
        <v>RICHMOND</v>
      </c>
      <c r="M3525" t="str">
        <f>IFERROR(VLOOKUP(VALUE(J3525),'Site Info'!$A:$G,5,FALSE),"")</f>
        <v>VA</v>
      </c>
      <c r="N3525" t="str">
        <f>IFERROR(VLOOKUP(VALUE(J3525),'Site Info'!$A:$G,6,FALSE),"")</f>
        <v>23294-5330</v>
      </c>
      <c r="O3525">
        <f>IFERROR(VLOOKUP(VALUE(J3525),'Site Info'!$A:$G,7,FALSE),"")</f>
        <v>8043463031</v>
      </c>
    </row>
    <row r="3526" spans="1:15" x14ac:dyDescent="0.45">
      <c r="A3526" t="s">
        <v>3271</v>
      </c>
      <c r="B3526" t="s">
        <v>3272</v>
      </c>
      <c r="C3526" t="s">
        <v>3273</v>
      </c>
      <c r="D3526" t="s">
        <v>1733</v>
      </c>
      <c r="E3526" s="1">
        <v>46151.783784722225</v>
      </c>
      <c r="F3526">
        <v>1481</v>
      </c>
      <c r="G3526" t="s">
        <v>3274</v>
      </c>
      <c r="H3526" t="s">
        <v>15</v>
      </c>
      <c r="I3526" t="s">
        <v>1735</v>
      </c>
      <c r="J3526" t="str">
        <f>RIGHT(D3526,4)</f>
        <v>6343</v>
      </c>
      <c r="K3526" t="str">
        <f>IFERROR(VLOOKUP(VALUE(J3526),'Site Info'!$A:$G,3,FALSE),"")</f>
        <v>9440 W BROAD ST</v>
      </c>
      <c r="L3526" t="str">
        <f>IFERROR(VLOOKUP(VALUE(J3526),'Site Info'!$A:$G,4,FALSE),"")</f>
        <v>RICHMOND</v>
      </c>
      <c r="M3526" t="str">
        <f>IFERROR(VLOOKUP(VALUE(J3526),'Site Info'!$A:$G,5,FALSE),"")</f>
        <v>VA</v>
      </c>
      <c r="N3526" t="str">
        <f>IFERROR(VLOOKUP(VALUE(J3526),'Site Info'!$A:$G,6,FALSE),"")</f>
        <v>23294-5330</v>
      </c>
      <c r="O3526">
        <f>IFERROR(VLOOKUP(VALUE(J3526),'Site Info'!$A:$G,7,FALSE),"")</f>
        <v>8043463031</v>
      </c>
    </row>
    <row r="3527" spans="1:15" x14ac:dyDescent="0.45">
      <c r="A3527" t="s">
        <v>1730</v>
      </c>
      <c r="B3527" t="s">
        <v>1731</v>
      </c>
      <c r="C3527" t="s">
        <v>1732</v>
      </c>
      <c r="D3527" t="s">
        <v>1733</v>
      </c>
      <c r="E3527" s="1">
        <v>46153.356574074074</v>
      </c>
      <c r="F3527">
        <v>1481</v>
      </c>
      <c r="G3527" t="s">
        <v>1734</v>
      </c>
      <c r="H3527" t="s">
        <v>15</v>
      </c>
      <c r="I3527" t="s">
        <v>1735</v>
      </c>
      <c r="J3527" t="str">
        <f>RIGHT(D3527,4)</f>
        <v>6343</v>
      </c>
      <c r="K3527" t="str">
        <f>IFERROR(VLOOKUP(VALUE(J3527),'Site Info'!$A:$G,3,FALSE),"")</f>
        <v>9440 W BROAD ST</v>
      </c>
      <c r="L3527" t="str">
        <f>IFERROR(VLOOKUP(VALUE(J3527),'Site Info'!$A:$G,4,FALSE),"")</f>
        <v>RICHMOND</v>
      </c>
      <c r="M3527" t="str">
        <f>IFERROR(VLOOKUP(VALUE(J3527),'Site Info'!$A:$G,5,FALSE),"")</f>
        <v>VA</v>
      </c>
      <c r="N3527" t="str">
        <f>IFERROR(VLOOKUP(VALUE(J3527),'Site Info'!$A:$G,6,FALSE),"")</f>
        <v>23294-5330</v>
      </c>
      <c r="O3527">
        <f>IFERROR(VLOOKUP(VALUE(J3527),'Site Info'!$A:$G,7,FALSE),"")</f>
        <v>8043463031</v>
      </c>
    </row>
    <row r="3528" spans="1:15" x14ac:dyDescent="0.45">
      <c r="A3528" t="s">
        <v>14632</v>
      </c>
      <c r="B3528" t="s">
        <v>16747</v>
      </c>
      <c r="C3528" t="s">
        <v>16748</v>
      </c>
      <c r="D3528" t="s">
        <v>1733</v>
      </c>
      <c r="E3528" s="1">
        <v>46151.506284722222</v>
      </c>
      <c r="F3528">
        <v>1628</v>
      </c>
      <c r="G3528" t="s">
        <v>16749</v>
      </c>
      <c r="H3528" t="s">
        <v>13988</v>
      </c>
      <c r="I3528" t="s">
        <v>1735</v>
      </c>
      <c r="J3528" t="str">
        <f>RIGHT(D3528,4)</f>
        <v>6343</v>
      </c>
      <c r="K3528" t="str">
        <f>IFERROR(VLOOKUP(VALUE(J3528),'Site Info'!$A:$G,3,FALSE),"")</f>
        <v>9440 W BROAD ST</v>
      </c>
      <c r="L3528" t="str">
        <f>IFERROR(VLOOKUP(VALUE(J3528),'Site Info'!$A:$G,4,FALSE),"")</f>
        <v>RICHMOND</v>
      </c>
      <c r="M3528" t="str">
        <f>IFERROR(VLOOKUP(VALUE(J3528),'Site Info'!$A:$G,5,FALSE),"")</f>
        <v>VA</v>
      </c>
      <c r="N3528" t="str">
        <f>IFERROR(VLOOKUP(VALUE(J3528),'Site Info'!$A:$G,6,FALSE),"")</f>
        <v>23294-5330</v>
      </c>
      <c r="O3528">
        <f>IFERROR(VLOOKUP(VALUE(J3528),'Site Info'!$A:$G,7,FALSE),"")</f>
        <v>8043463031</v>
      </c>
    </row>
    <row r="3529" spans="1:15" x14ac:dyDescent="0.45">
      <c r="A3529" t="s">
        <v>16512</v>
      </c>
      <c r="B3529" t="s">
        <v>16750</v>
      </c>
      <c r="C3529" t="s">
        <v>16751</v>
      </c>
      <c r="D3529" t="s">
        <v>1733</v>
      </c>
      <c r="E3529" s="1">
        <v>46152.614108796297</v>
      </c>
      <c r="F3529">
        <v>1628</v>
      </c>
      <c r="G3529" t="s">
        <v>16752</v>
      </c>
      <c r="H3529" t="s">
        <v>13988</v>
      </c>
      <c r="I3529" t="s">
        <v>1735</v>
      </c>
      <c r="J3529" t="str">
        <f>RIGHT(D3529,4)</f>
        <v>6343</v>
      </c>
      <c r="K3529" t="str">
        <f>IFERROR(VLOOKUP(VALUE(J3529),'Site Info'!$A:$G,3,FALSE),"")</f>
        <v>9440 W BROAD ST</v>
      </c>
      <c r="L3529" t="str">
        <f>IFERROR(VLOOKUP(VALUE(J3529),'Site Info'!$A:$G,4,FALSE),"")</f>
        <v>RICHMOND</v>
      </c>
      <c r="M3529" t="str">
        <f>IFERROR(VLOOKUP(VALUE(J3529),'Site Info'!$A:$G,5,FALSE),"")</f>
        <v>VA</v>
      </c>
      <c r="N3529" t="str">
        <f>IFERROR(VLOOKUP(VALUE(J3529),'Site Info'!$A:$G,6,FALSE),"")</f>
        <v>23294-5330</v>
      </c>
      <c r="O3529">
        <f>IFERROR(VLOOKUP(VALUE(J3529),'Site Info'!$A:$G,7,FALSE),"")</f>
        <v>8043463031</v>
      </c>
    </row>
    <row r="3530" spans="1:15" x14ac:dyDescent="0.45">
      <c r="A3530" t="s">
        <v>16753</v>
      </c>
      <c r="B3530" t="s">
        <v>16754</v>
      </c>
      <c r="C3530" t="s">
        <v>16755</v>
      </c>
      <c r="D3530" t="s">
        <v>1733</v>
      </c>
      <c r="E3530" s="1">
        <v>46153.338402777779</v>
      </c>
      <c r="F3530">
        <v>1481</v>
      </c>
      <c r="G3530" t="s">
        <v>16756</v>
      </c>
      <c r="H3530" t="s">
        <v>15</v>
      </c>
      <c r="I3530" t="s">
        <v>1735</v>
      </c>
      <c r="J3530" t="str">
        <f>RIGHT(D3530,4)</f>
        <v>6343</v>
      </c>
      <c r="K3530" t="str">
        <f>IFERROR(VLOOKUP(VALUE(J3530),'Site Info'!$A:$G,3,FALSE),"")</f>
        <v>9440 W BROAD ST</v>
      </c>
      <c r="L3530" t="str">
        <f>IFERROR(VLOOKUP(VALUE(J3530),'Site Info'!$A:$G,4,FALSE),"")</f>
        <v>RICHMOND</v>
      </c>
      <c r="M3530" t="str">
        <f>IFERROR(VLOOKUP(VALUE(J3530),'Site Info'!$A:$G,5,FALSE),"")</f>
        <v>VA</v>
      </c>
      <c r="N3530" t="str">
        <f>IFERROR(VLOOKUP(VALUE(J3530),'Site Info'!$A:$G,6,FALSE),"")</f>
        <v>23294-5330</v>
      </c>
      <c r="O3530">
        <f>IFERROR(VLOOKUP(VALUE(J3530),'Site Info'!$A:$G,7,FALSE),"")</f>
        <v>8043463031</v>
      </c>
    </row>
    <row r="3531" spans="1:15" x14ac:dyDescent="0.45">
      <c r="A3531" t="s">
        <v>13559</v>
      </c>
      <c r="B3531" t="s">
        <v>13560</v>
      </c>
      <c r="C3531" t="s">
        <v>13561</v>
      </c>
      <c r="D3531" t="s">
        <v>757</v>
      </c>
      <c r="E3531" s="1">
        <v>46132.390821759262</v>
      </c>
      <c r="F3531">
        <v>1547</v>
      </c>
      <c r="G3531" t="s">
        <v>13562</v>
      </c>
      <c r="H3531" t="s">
        <v>15</v>
      </c>
      <c r="I3531" t="s">
        <v>759</v>
      </c>
      <c r="J3531" t="str">
        <f>RIGHT(D3531,4)</f>
        <v>8248</v>
      </c>
      <c r="K3531" t="str">
        <f>IFERROR(VLOOKUP(VALUE(J3531),'Site Info'!$A:$G,3,FALSE),"")</f>
        <v>9461 WEBB CHAPEL RD</v>
      </c>
      <c r="L3531" t="str">
        <f>IFERROR(VLOOKUP(VALUE(J3531),'Site Info'!$A:$G,4,FALSE),"")</f>
        <v>DALLAS</v>
      </c>
      <c r="M3531" t="str">
        <f>IFERROR(VLOOKUP(VALUE(J3531),'Site Info'!$A:$G,5,FALSE),"")</f>
        <v>TX</v>
      </c>
      <c r="N3531" t="str">
        <f>IFERROR(VLOOKUP(VALUE(J3531),'Site Info'!$A:$G,6,FALSE),"")</f>
        <v>75220-4902</v>
      </c>
      <c r="O3531">
        <f>IFERROR(VLOOKUP(VALUE(J3531),'Site Info'!$A:$G,7,FALSE),"")</f>
        <v>2145300320</v>
      </c>
    </row>
    <row r="3532" spans="1:15" x14ac:dyDescent="0.45">
      <c r="A3532" t="s">
        <v>10915</v>
      </c>
      <c r="B3532" t="s">
        <v>10916</v>
      </c>
      <c r="C3532" t="s">
        <v>10917</v>
      </c>
      <c r="D3532" t="s">
        <v>757</v>
      </c>
      <c r="E3532" s="1">
        <v>46151.613171296296</v>
      </c>
      <c r="F3532">
        <v>1547</v>
      </c>
      <c r="G3532" t="s">
        <v>10918</v>
      </c>
      <c r="H3532" t="s">
        <v>15</v>
      </c>
      <c r="I3532" t="s">
        <v>759</v>
      </c>
      <c r="J3532" t="str">
        <f>RIGHT(D3532,4)</f>
        <v>8248</v>
      </c>
      <c r="K3532" t="str">
        <f>IFERROR(VLOOKUP(VALUE(J3532),'Site Info'!$A:$G,3,FALSE),"")</f>
        <v>9461 WEBB CHAPEL RD</v>
      </c>
      <c r="L3532" t="str">
        <f>IFERROR(VLOOKUP(VALUE(J3532),'Site Info'!$A:$G,4,FALSE),"")</f>
        <v>DALLAS</v>
      </c>
      <c r="M3532" t="str">
        <f>IFERROR(VLOOKUP(VALUE(J3532),'Site Info'!$A:$G,5,FALSE),"")</f>
        <v>TX</v>
      </c>
      <c r="N3532" t="str">
        <f>IFERROR(VLOOKUP(VALUE(J3532),'Site Info'!$A:$G,6,FALSE),"")</f>
        <v>75220-4902</v>
      </c>
      <c r="O3532">
        <f>IFERROR(VLOOKUP(VALUE(J3532),'Site Info'!$A:$G,7,FALSE),"")</f>
        <v>2145300320</v>
      </c>
    </row>
    <row r="3533" spans="1:15" x14ac:dyDescent="0.45">
      <c r="A3533" t="s">
        <v>10869</v>
      </c>
      <c r="B3533" t="s">
        <v>10870</v>
      </c>
      <c r="C3533" t="s">
        <v>10871</v>
      </c>
      <c r="D3533" t="s">
        <v>757</v>
      </c>
      <c r="E3533" s="1">
        <v>46152.688101851854</v>
      </c>
      <c r="F3533">
        <v>1547</v>
      </c>
      <c r="G3533" t="s">
        <v>10872</v>
      </c>
      <c r="H3533" t="s">
        <v>15</v>
      </c>
      <c r="I3533" t="s">
        <v>759</v>
      </c>
      <c r="J3533" t="str">
        <f>RIGHT(D3533,4)</f>
        <v>8248</v>
      </c>
      <c r="K3533" t="str">
        <f>IFERROR(VLOOKUP(VALUE(J3533),'Site Info'!$A:$G,3,FALSE),"")</f>
        <v>9461 WEBB CHAPEL RD</v>
      </c>
      <c r="L3533" t="str">
        <f>IFERROR(VLOOKUP(VALUE(J3533),'Site Info'!$A:$G,4,FALSE),"")</f>
        <v>DALLAS</v>
      </c>
      <c r="M3533" t="str">
        <f>IFERROR(VLOOKUP(VALUE(J3533),'Site Info'!$A:$G,5,FALSE),"")</f>
        <v>TX</v>
      </c>
      <c r="N3533" t="str">
        <f>IFERROR(VLOOKUP(VALUE(J3533),'Site Info'!$A:$G,6,FALSE),"")</f>
        <v>75220-4902</v>
      </c>
      <c r="O3533">
        <f>IFERROR(VLOOKUP(VALUE(J3533),'Site Info'!$A:$G,7,FALSE),"")</f>
        <v>2145300320</v>
      </c>
    </row>
    <row r="3534" spans="1:15" x14ac:dyDescent="0.45">
      <c r="A3534" t="s">
        <v>9505</v>
      </c>
      <c r="B3534" t="s">
        <v>9506</v>
      </c>
      <c r="C3534" t="s">
        <v>9507</v>
      </c>
      <c r="D3534" t="s">
        <v>757</v>
      </c>
      <c r="E3534" s="1">
        <v>46152.703310185185</v>
      </c>
      <c r="F3534">
        <v>1547</v>
      </c>
      <c r="G3534" t="s">
        <v>9508</v>
      </c>
      <c r="H3534" t="s">
        <v>15</v>
      </c>
      <c r="I3534" t="s">
        <v>759</v>
      </c>
      <c r="J3534" t="str">
        <f>RIGHT(D3534,4)</f>
        <v>8248</v>
      </c>
      <c r="K3534" t="str">
        <f>IFERROR(VLOOKUP(VALUE(J3534),'Site Info'!$A:$G,3,FALSE),"")</f>
        <v>9461 WEBB CHAPEL RD</v>
      </c>
      <c r="L3534" t="str">
        <f>IFERROR(VLOOKUP(VALUE(J3534),'Site Info'!$A:$G,4,FALSE),"")</f>
        <v>DALLAS</v>
      </c>
      <c r="M3534" t="str">
        <f>IFERROR(VLOOKUP(VALUE(J3534),'Site Info'!$A:$G,5,FALSE),"")</f>
        <v>TX</v>
      </c>
      <c r="N3534" t="str">
        <f>IFERROR(VLOOKUP(VALUE(J3534),'Site Info'!$A:$G,6,FALSE),"")</f>
        <v>75220-4902</v>
      </c>
      <c r="O3534">
        <f>IFERROR(VLOOKUP(VALUE(J3534),'Site Info'!$A:$G,7,FALSE),"")</f>
        <v>2145300320</v>
      </c>
    </row>
    <row r="3535" spans="1:15" x14ac:dyDescent="0.45">
      <c r="A3535" t="s">
        <v>10853</v>
      </c>
      <c r="B3535" t="s">
        <v>10854</v>
      </c>
      <c r="C3535" t="s">
        <v>10855</v>
      </c>
      <c r="D3535" t="s">
        <v>757</v>
      </c>
      <c r="E3535" s="1">
        <v>46152.895011574074</v>
      </c>
      <c r="F3535">
        <v>1547</v>
      </c>
      <c r="G3535" t="s">
        <v>10856</v>
      </c>
      <c r="H3535" t="s">
        <v>15</v>
      </c>
      <c r="I3535" t="s">
        <v>759</v>
      </c>
      <c r="J3535" t="str">
        <f>RIGHT(D3535,4)</f>
        <v>8248</v>
      </c>
      <c r="K3535" t="str">
        <f>IFERROR(VLOOKUP(VALUE(J3535),'Site Info'!$A:$G,3,FALSE),"")</f>
        <v>9461 WEBB CHAPEL RD</v>
      </c>
      <c r="L3535" t="str">
        <f>IFERROR(VLOOKUP(VALUE(J3535),'Site Info'!$A:$G,4,FALSE),"")</f>
        <v>DALLAS</v>
      </c>
      <c r="M3535" t="str">
        <f>IFERROR(VLOOKUP(VALUE(J3535),'Site Info'!$A:$G,5,FALSE),"")</f>
        <v>TX</v>
      </c>
      <c r="N3535" t="str">
        <f>IFERROR(VLOOKUP(VALUE(J3535),'Site Info'!$A:$G,6,FALSE),"")</f>
        <v>75220-4902</v>
      </c>
      <c r="O3535">
        <f>IFERROR(VLOOKUP(VALUE(J3535),'Site Info'!$A:$G,7,FALSE),"")</f>
        <v>2145300320</v>
      </c>
    </row>
    <row r="3536" spans="1:15" x14ac:dyDescent="0.45">
      <c r="A3536" t="s">
        <v>9605</v>
      </c>
      <c r="B3536" t="s">
        <v>9606</v>
      </c>
      <c r="C3536" t="s">
        <v>9607</v>
      </c>
      <c r="D3536" t="s">
        <v>757</v>
      </c>
      <c r="E3536" s="1">
        <v>46153.335358796299</v>
      </c>
      <c r="F3536">
        <v>1547</v>
      </c>
      <c r="G3536" t="s">
        <v>9608</v>
      </c>
      <c r="H3536" t="s">
        <v>15</v>
      </c>
      <c r="I3536" t="s">
        <v>759</v>
      </c>
      <c r="J3536" t="str">
        <f>RIGHT(D3536,4)</f>
        <v>8248</v>
      </c>
      <c r="K3536" t="str">
        <f>IFERROR(VLOOKUP(VALUE(J3536),'Site Info'!$A:$G,3,FALSE),"")</f>
        <v>9461 WEBB CHAPEL RD</v>
      </c>
      <c r="L3536" t="str">
        <f>IFERROR(VLOOKUP(VALUE(J3536),'Site Info'!$A:$G,4,FALSE),"")</f>
        <v>DALLAS</v>
      </c>
      <c r="M3536" t="str">
        <f>IFERROR(VLOOKUP(VALUE(J3536),'Site Info'!$A:$G,5,FALSE),"")</f>
        <v>TX</v>
      </c>
      <c r="N3536" t="str">
        <f>IFERROR(VLOOKUP(VALUE(J3536),'Site Info'!$A:$G,6,FALSE),"")</f>
        <v>75220-4902</v>
      </c>
      <c r="O3536">
        <f>IFERROR(VLOOKUP(VALUE(J3536),'Site Info'!$A:$G,7,FALSE),"")</f>
        <v>2145300320</v>
      </c>
    </row>
    <row r="3537" spans="1:15" x14ac:dyDescent="0.45">
      <c r="A3537" t="s">
        <v>13659</v>
      </c>
      <c r="B3537" t="s">
        <v>13660</v>
      </c>
      <c r="C3537" t="s">
        <v>13661</v>
      </c>
      <c r="D3537" t="s">
        <v>757</v>
      </c>
      <c r="E3537" s="1">
        <v>46153.336354166669</v>
      </c>
      <c r="F3537">
        <v>1547</v>
      </c>
      <c r="G3537" t="s">
        <v>13662</v>
      </c>
      <c r="H3537" t="s">
        <v>15</v>
      </c>
      <c r="I3537" t="s">
        <v>759</v>
      </c>
      <c r="J3537" t="str">
        <f>RIGHT(D3537,4)</f>
        <v>8248</v>
      </c>
      <c r="K3537" t="str">
        <f>IFERROR(VLOOKUP(VALUE(J3537),'Site Info'!$A:$G,3,FALSE),"")</f>
        <v>9461 WEBB CHAPEL RD</v>
      </c>
      <c r="L3537" t="str">
        <f>IFERROR(VLOOKUP(VALUE(J3537),'Site Info'!$A:$G,4,FALSE),"")</f>
        <v>DALLAS</v>
      </c>
      <c r="M3537" t="str">
        <f>IFERROR(VLOOKUP(VALUE(J3537),'Site Info'!$A:$G,5,FALSE),"")</f>
        <v>TX</v>
      </c>
      <c r="N3537" t="str">
        <f>IFERROR(VLOOKUP(VALUE(J3537),'Site Info'!$A:$G,6,FALSE),"")</f>
        <v>75220-4902</v>
      </c>
      <c r="O3537">
        <f>IFERROR(VLOOKUP(VALUE(J3537),'Site Info'!$A:$G,7,FALSE),"")</f>
        <v>2145300320</v>
      </c>
    </row>
    <row r="3538" spans="1:15" x14ac:dyDescent="0.45">
      <c r="A3538" t="s">
        <v>2409</v>
      </c>
      <c r="B3538" t="s">
        <v>2410</v>
      </c>
      <c r="C3538" t="s">
        <v>2411</v>
      </c>
      <c r="D3538" t="s">
        <v>757</v>
      </c>
      <c r="E3538" s="1">
        <v>46148.14875</v>
      </c>
      <c r="F3538">
        <v>1481</v>
      </c>
      <c r="G3538" t="s">
        <v>2412</v>
      </c>
      <c r="H3538" t="s">
        <v>15</v>
      </c>
      <c r="I3538" t="s">
        <v>759</v>
      </c>
      <c r="J3538" t="str">
        <f>RIGHT(D3538,4)</f>
        <v>8248</v>
      </c>
      <c r="K3538" t="str">
        <f>IFERROR(VLOOKUP(VALUE(J3538),'Site Info'!$A:$G,3,FALSE),"")</f>
        <v>9461 WEBB CHAPEL RD</v>
      </c>
      <c r="L3538" t="str">
        <f>IFERROR(VLOOKUP(VALUE(J3538),'Site Info'!$A:$G,4,FALSE),"")</f>
        <v>DALLAS</v>
      </c>
      <c r="M3538" t="str">
        <f>IFERROR(VLOOKUP(VALUE(J3538),'Site Info'!$A:$G,5,FALSE),"")</f>
        <v>TX</v>
      </c>
      <c r="N3538" t="str">
        <f>IFERROR(VLOOKUP(VALUE(J3538),'Site Info'!$A:$G,6,FALSE),"")</f>
        <v>75220-4902</v>
      </c>
      <c r="O3538">
        <f>IFERROR(VLOOKUP(VALUE(J3538),'Site Info'!$A:$G,7,FALSE),"")</f>
        <v>2145300320</v>
      </c>
    </row>
    <row r="3539" spans="1:15" x14ac:dyDescent="0.45">
      <c r="A3539" t="s">
        <v>754</v>
      </c>
      <c r="B3539" t="s">
        <v>755</v>
      </c>
      <c r="C3539" t="s">
        <v>756</v>
      </c>
      <c r="D3539" t="s">
        <v>757</v>
      </c>
      <c r="E3539" s="1">
        <v>46153.272002314814</v>
      </c>
      <c r="F3539">
        <v>1481</v>
      </c>
      <c r="G3539" t="s">
        <v>758</v>
      </c>
      <c r="H3539" t="s">
        <v>15</v>
      </c>
      <c r="I3539" t="s">
        <v>759</v>
      </c>
      <c r="J3539" t="str">
        <f>RIGHT(D3539,4)</f>
        <v>8248</v>
      </c>
      <c r="K3539" t="str">
        <f>IFERROR(VLOOKUP(VALUE(J3539),'Site Info'!$A:$G,3,FALSE),"")</f>
        <v>9461 WEBB CHAPEL RD</v>
      </c>
      <c r="L3539" t="str">
        <f>IFERROR(VLOOKUP(VALUE(J3539),'Site Info'!$A:$G,4,FALSE),"")</f>
        <v>DALLAS</v>
      </c>
      <c r="M3539" t="str">
        <f>IFERROR(VLOOKUP(VALUE(J3539),'Site Info'!$A:$G,5,FALSE),"")</f>
        <v>TX</v>
      </c>
      <c r="N3539" t="str">
        <f>IFERROR(VLOOKUP(VALUE(J3539),'Site Info'!$A:$G,6,FALSE),"")</f>
        <v>75220-4902</v>
      </c>
      <c r="O3539">
        <f>IFERROR(VLOOKUP(VALUE(J3539),'Site Info'!$A:$G,7,FALSE),"")</f>
        <v>2145300320</v>
      </c>
    </row>
    <row r="3540" spans="1:15" x14ac:dyDescent="0.45">
      <c r="A3540" t="s">
        <v>4150</v>
      </c>
      <c r="B3540" t="s">
        <v>4151</v>
      </c>
      <c r="C3540" t="s">
        <v>4152</v>
      </c>
      <c r="D3540" t="s">
        <v>4139</v>
      </c>
      <c r="E3540" s="1">
        <v>46133.961226851854</v>
      </c>
      <c r="F3540">
        <v>1548</v>
      </c>
      <c r="G3540" t="s">
        <v>4153</v>
      </c>
      <c r="H3540" t="s">
        <v>15</v>
      </c>
      <c r="I3540" t="s">
        <v>4141</v>
      </c>
      <c r="J3540" t="str">
        <f>RIGHT(D3540,4)</f>
        <v>8158</v>
      </c>
      <c r="K3540" t="str">
        <f>IFERROR(VLOOKUP(VALUE(J3540),'Site Info'!$A:$G,3,FALSE),"")</f>
        <v>9464 MAIN STREET</v>
      </c>
      <c r="L3540" t="str">
        <f>IFERROR(VLOOKUP(VALUE(J3540),'Site Info'!$A:$G,4,FALSE),"")</f>
        <v>WOODSTOCK</v>
      </c>
      <c r="M3540" t="str">
        <f>IFERROR(VLOOKUP(VALUE(J3540),'Site Info'!$A:$G,5,FALSE),"")</f>
        <v>GA</v>
      </c>
      <c r="N3540" t="str">
        <f>IFERROR(VLOOKUP(VALUE(J3540),'Site Info'!$A:$G,6,FALSE),"")</f>
        <v>30188-0000</v>
      </c>
      <c r="O3540">
        <f>IFERROR(VLOOKUP(VALUE(J3540),'Site Info'!$A:$G,7,FALSE),"")</f>
        <v>6784020541</v>
      </c>
    </row>
    <row r="3541" spans="1:15" x14ac:dyDescent="0.45">
      <c r="A3541" t="s">
        <v>4136</v>
      </c>
      <c r="B3541" t="s">
        <v>4137</v>
      </c>
      <c r="C3541" t="s">
        <v>4138</v>
      </c>
      <c r="D3541" t="s">
        <v>4139</v>
      </c>
      <c r="E3541" s="1">
        <v>46153.127615740741</v>
      </c>
      <c r="F3541">
        <v>1548</v>
      </c>
      <c r="G3541" t="s">
        <v>4140</v>
      </c>
      <c r="H3541" t="s">
        <v>15</v>
      </c>
      <c r="I3541" t="s">
        <v>4141</v>
      </c>
      <c r="J3541" t="str">
        <f>RIGHT(D3541,4)</f>
        <v>8158</v>
      </c>
      <c r="K3541" t="str">
        <f>IFERROR(VLOOKUP(VALUE(J3541),'Site Info'!$A:$G,3,FALSE),"")</f>
        <v>9464 MAIN STREET</v>
      </c>
      <c r="L3541" t="str">
        <f>IFERROR(VLOOKUP(VALUE(J3541),'Site Info'!$A:$G,4,FALSE),"")</f>
        <v>WOODSTOCK</v>
      </c>
      <c r="M3541" t="str">
        <f>IFERROR(VLOOKUP(VALUE(J3541),'Site Info'!$A:$G,5,FALSE),"")</f>
        <v>GA</v>
      </c>
      <c r="N3541" t="str">
        <f>IFERROR(VLOOKUP(VALUE(J3541),'Site Info'!$A:$G,6,FALSE),"")</f>
        <v>30188-0000</v>
      </c>
      <c r="O3541">
        <f>IFERROR(VLOOKUP(VALUE(J3541),'Site Info'!$A:$G,7,FALSE),"")</f>
        <v>6784020541</v>
      </c>
    </row>
    <row r="3542" spans="1:15" x14ac:dyDescent="0.45">
      <c r="A3542" t="s">
        <v>4408</v>
      </c>
      <c r="B3542" t="s">
        <v>4409</v>
      </c>
      <c r="C3542" t="s">
        <v>4410</v>
      </c>
      <c r="D3542" t="s">
        <v>4139</v>
      </c>
      <c r="E3542" s="1">
        <v>46152.509259259263</v>
      </c>
      <c r="F3542">
        <v>1547</v>
      </c>
      <c r="G3542" t="s">
        <v>4411</v>
      </c>
      <c r="H3542" t="s">
        <v>15</v>
      </c>
      <c r="I3542" t="s">
        <v>4141</v>
      </c>
      <c r="J3542" t="str">
        <f>RIGHT(D3542,4)</f>
        <v>8158</v>
      </c>
      <c r="K3542" t="str">
        <f>IFERROR(VLOOKUP(VALUE(J3542),'Site Info'!$A:$G,3,FALSE),"")</f>
        <v>9464 MAIN STREET</v>
      </c>
      <c r="L3542" t="str">
        <f>IFERROR(VLOOKUP(VALUE(J3542),'Site Info'!$A:$G,4,FALSE),"")</f>
        <v>WOODSTOCK</v>
      </c>
      <c r="M3542" t="str">
        <f>IFERROR(VLOOKUP(VALUE(J3542),'Site Info'!$A:$G,5,FALSE),"")</f>
        <v>GA</v>
      </c>
      <c r="N3542" t="str">
        <f>IFERROR(VLOOKUP(VALUE(J3542),'Site Info'!$A:$G,6,FALSE),"")</f>
        <v>30188-0000</v>
      </c>
      <c r="O3542">
        <f>IFERROR(VLOOKUP(VALUE(J3542),'Site Info'!$A:$G,7,FALSE),"")</f>
        <v>6784020541</v>
      </c>
    </row>
    <row r="3543" spans="1:15" x14ac:dyDescent="0.45">
      <c r="A3543" t="s">
        <v>5114</v>
      </c>
      <c r="B3543" t="s">
        <v>5115</v>
      </c>
      <c r="C3543" t="s">
        <v>5116</v>
      </c>
      <c r="D3543" t="s">
        <v>4139</v>
      </c>
      <c r="E3543" s="1">
        <v>46153.285891203705</v>
      </c>
      <c r="F3543">
        <v>1547</v>
      </c>
      <c r="G3543" t="s">
        <v>5117</v>
      </c>
      <c r="H3543" t="s">
        <v>15</v>
      </c>
      <c r="I3543" t="s">
        <v>4141</v>
      </c>
      <c r="J3543" t="str">
        <f>RIGHT(D3543,4)</f>
        <v>8158</v>
      </c>
      <c r="K3543" t="str">
        <f>IFERROR(VLOOKUP(VALUE(J3543),'Site Info'!$A:$G,3,FALSE),"")</f>
        <v>9464 MAIN STREET</v>
      </c>
      <c r="L3543" t="str">
        <f>IFERROR(VLOOKUP(VALUE(J3543),'Site Info'!$A:$G,4,FALSE),"")</f>
        <v>WOODSTOCK</v>
      </c>
      <c r="M3543" t="str">
        <f>IFERROR(VLOOKUP(VALUE(J3543),'Site Info'!$A:$G,5,FALSE),"")</f>
        <v>GA</v>
      </c>
      <c r="N3543" t="str">
        <f>IFERROR(VLOOKUP(VALUE(J3543),'Site Info'!$A:$G,6,FALSE),"")</f>
        <v>30188-0000</v>
      </c>
      <c r="O3543">
        <f>IFERROR(VLOOKUP(VALUE(J3543),'Site Info'!$A:$G,7,FALSE),"")</f>
        <v>6784020541</v>
      </c>
    </row>
    <row r="3544" spans="1:15" x14ac:dyDescent="0.45">
      <c r="A3544" t="s">
        <v>4154</v>
      </c>
      <c r="B3544" t="s">
        <v>4155</v>
      </c>
      <c r="C3544" t="s">
        <v>4156</v>
      </c>
      <c r="D3544" t="s">
        <v>4139</v>
      </c>
      <c r="E3544" s="1">
        <v>46153.34103009259</v>
      </c>
      <c r="F3544">
        <v>1547</v>
      </c>
      <c r="G3544" t="s">
        <v>4157</v>
      </c>
      <c r="H3544" t="s">
        <v>15</v>
      </c>
      <c r="I3544" t="s">
        <v>4141</v>
      </c>
      <c r="J3544" t="str">
        <f>RIGHT(D3544,4)</f>
        <v>8158</v>
      </c>
      <c r="K3544" t="str">
        <f>IFERROR(VLOOKUP(VALUE(J3544),'Site Info'!$A:$G,3,FALSE),"")</f>
        <v>9464 MAIN STREET</v>
      </c>
      <c r="L3544" t="str">
        <f>IFERROR(VLOOKUP(VALUE(J3544),'Site Info'!$A:$G,4,FALSE),"")</f>
        <v>WOODSTOCK</v>
      </c>
      <c r="M3544" t="str">
        <f>IFERROR(VLOOKUP(VALUE(J3544),'Site Info'!$A:$G,5,FALSE),"")</f>
        <v>GA</v>
      </c>
      <c r="N3544" t="str">
        <f>IFERROR(VLOOKUP(VALUE(J3544),'Site Info'!$A:$G,6,FALSE),"")</f>
        <v>30188-0000</v>
      </c>
      <c r="O3544">
        <f>IFERROR(VLOOKUP(VALUE(J3544),'Site Info'!$A:$G,7,FALSE),"")</f>
        <v>6784020541</v>
      </c>
    </row>
    <row r="3545" spans="1:15" x14ac:dyDescent="0.45">
      <c r="A3545" t="s">
        <v>4626</v>
      </c>
      <c r="B3545" t="s">
        <v>4627</v>
      </c>
      <c r="C3545" t="s">
        <v>4628</v>
      </c>
      <c r="D3545" t="s">
        <v>4139</v>
      </c>
      <c r="E3545" s="1">
        <v>46153.365555555552</v>
      </c>
      <c r="F3545">
        <v>1547</v>
      </c>
      <c r="G3545" t="s">
        <v>4629</v>
      </c>
      <c r="H3545" t="s">
        <v>15</v>
      </c>
      <c r="I3545" t="s">
        <v>4141</v>
      </c>
      <c r="J3545" t="str">
        <f>RIGHT(D3545,4)</f>
        <v>8158</v>
      </c>
      <c r="K3545" t="str">
        <f>IFERROR(VLOOKUP(VALUE(J3545),'Site Info'!$A:$G,3,FALSE),"")</f>
        <v>9464 MAIN STREET</v>
      </c>
      <c r="L3545" t="str">
        <f>IFERROR(VLOOKUP(VALUE(J3545),'Site Info'!$A:$G,4,FALSE),"")</f>
        <v>WOODSTOCK</v>
      </c>
      <c r="M3545" t="str">
        <f>IFERROR(VLOOKUP(VALUE(J3545),'Site Info'!$A:$G,5,FALSE),"")</f>
        <v>GA</v>
      </c>
      <c r="N3545" t="str">
        <f>IFERROR(VLOOKUP(VALUE(J3545),'Site Info'!$A:$G,6,FALSE),"")</f>
        <v>30188-0000</v>
      </c>
      <c r="O3545">
        <f>IFERROR(VLOOKUP(VALUE(J3545),'Site Info'!$A:$G,7,FALSE),"")</f>
        <v>6784020541</v>
      </c>
    </row>
    <row r="3546" spans="1:15" x14ac:dyDescent="0.45">
      <c r="A3546" t="s">
        <v>4818</v>
      </c>
      <c r="B3546" t="s">
        <v>4819</v>
      </c>
      <c r="C3546" t="s">
        <v>4820</v>
      </c>
      <c r="D3546" t="s">
        <v>4139</v>
      </c>
      <c r="E3546" s="1">
        <v>46153.373877314814</v>
      </c>
      <c r="F3546">
        <v>1547</v>
      </c>
      <c r="G3546" t="s">
        <v>4821</v>
      </c>
      <c r="H3546" t="s">
        <v>15</v>
      </c>
      <c r="I3546" t="s">
        <v>4141</v>
      </c>
      <c r="J3546" t="str">
        <f>RIGHT(D3546,4)</f>
        <v>8158</v>
      </c>
      <c r="K3546" t="str">
        <f>IFERROR(VLOOKUP(VALUE(J3546),'Site Info'!$A:$G,3,FALSE),"")</f>
        <v>9464 MAIN STREET</v>
      </c>
      <c r="L3546" t="str">
        <f>IFERROR(VLOOKUP(VALUE(J3546),'Site Info'!$A:$G,4,FALSE),"")</f>
        <v>WOODSTOCK</v>
      </c>
      <c r="M3546" t="str">
        <f>IFERROR(VLOOKUP(VALUE(J3546),'Site Info'!$A:$G,5,FALSE),"")</f>
        <v>GA</v>
      </c>
      <c r="N3546" t="str">
        <f>IFERROR(VLOOKUP(VALUE(J3546),'Site Info'!$A:$G,6,FALSE),"")</f>
        <v>30188-0000</v>
      </c>
      <c r="O3546">
        <f>IFERROR(VLOOKUP(VALUE(J3546),'Site Info'!$A:$G,7,FALSE),"")</f>
        <v>6784020541</v>
      </c>
    </row>
    <row r="3547" spans="1:15" x14ac:dyDescent="0.45">
      <c r="A3547" t="s">
        <v>16477</v>
      </c>
      <c r="B3547" t="s">
        <v>17121</v>
      </c>
      <c r="C3547" t="s">
        <v>17122</v>
      </c>
      <c r="D3547" t="s">
        <v>4139</v>
      </c>
      <c r="E3547" s="1">
        <v>46153.351944444446</v>
      </c>
      <c r="F3547">
        <v>1481</v>
      </c>
      <c r="G3547" t="s">
        <v>17123</v>
      </c>
      <c r="H3547" t="s">
        <v>15</v>
      </c>
      <c r="I3547" t="s">
        <v>4141</v>
      </c>
      <c r="J3547" t="str">
        <f>RIGHT(D3547,4)</f>
        <v>8158</v>
      </c>
      <c r="K3547" t="str">
        <f>IFERROR(VLOOKUP(VALUE(J3547),'Site Info'!$A:$G,3,FALSE),"")</f>
        <v>9464 MAIN STREET</v>
      </c>
      <c r="L3547" t="str">
        <f>IFERROR(VLOOKUP(VALUE(J3547),'Site Info'!$A:$G,4,FALSE),"")</f>
        <v>WOODSTOCK</v>
      </c>
      <c r="M3547" t="str">
        <f>IFERROR(VLOOKUP(VALUE(J3547),'Site Info'!$A:$G,5,FALSE),"")</f>
        <v>GA</v>
      </c>
      <c r="N3547" t="str">
        <f>IFERROR(VLOOKUP(VALUE(J3547),'Site Info'!$A:$G,6,FALSE),"")</f>
        <v>30188-0000</v>
      </c>
      <c r="O3547">
        <f>IFERROR(VLOOKUP(VALUE(J3547),'Site Info'!$A:$G,7,FALSE),"")</f>
        <v>6784020541</v>
      </c>
    </row>
    <row r="3548" spans="1:15" x14ac:dyDescent="0.45">
      <c r="A3548" t="s">
        <v>5898</v>
      </c>
      <c r="B3548" t="s">
        <v>5899</v>
      </c>
      <c r="C3548" t="s">
        <v>5900</v>
      </c>
      <c r="D3548" t="s">
        <v>5631</v>
      </c>
      <c r="E3548" s="1">
        <v>46151.382789351854</v>
      </c>
      <c r="F3548">
        <v>1547</v>
      </c>
      <c r="G3548" t="s">
        <v>5901</v>
      </c>
      <c r="H3548" t="s">
        <v>15</v>
      </c>
      <c r="I3548" t="s">
        <v>5633</v>
      </c>
      <c r="J3548" t="str">
        <f>RIGHT(D3548,4)</f>
        <v>6246</v>
      </c>
      <c r="K3548" t="str">
        <f>IFERROR(VLOOKUP(VALUE(J3548),'Site Info'!$A:$G,3,FALSE),"")</f>
        <v>9498 GATEWAY NORTH</v>
      </c>
      <c r="L3548" t="str">
        <f>IFERROR(VLOOKUP(VALUE(J3548),'Site Info'!$A:$G,4,FALSE),"")</f>
        <v>EL PASO</v>
      </c>
      <c r="M3548" t="str">
        <f>IFERROR(VLOOKUP(VALUE(J3548),'Site Info'!$A:$G,5,FALSE),"")</f>
        <v>TX</v>
      </c>
      <c r="N3548" t="str">
        <f>IFERROR(VLOOKUP(VALUE(J3548),'Site Info'!$A:$G,6,FALSE),"")</f>
        <v>79924-0000</v>
      </c>
      <c r="O3548">
        <f>IFERROR(VLOOKUP(VALUE(J3548),'Site Info'!$A:$G,7,FALSE),"")</f>
        <v>9157306085</v>
      </c>
    </row>
    <row r="3549" spans="1:15" x14ac:dyDescent="0.45">
      <c r="A3549" t="s">
        <v>5642</v>
      </c>
      <c r="B3549" t="s">
        <v>5643</v>
      </c>
      <c r="C3549" t="s">
        <v>5644</v>
      </c>
      <c r="D3549" t="s">
        <v>5631</v>
      </c>
      <c r="E3549" s="1">
        <v>46151.589236111111</v>
      </c>
      <c r="F3549">
        <v>1547</v>
      </c>
      <c r="G3549" t="s">
        <v>5645</v>
      </c>
      <c r="H3549" t="s">
        <v>15</v>
      </c>
      <c r="I3549" t="s">
        <v>5633</v>
      </c>
      <c r="J3549" t="str">
        <f>RIGHT(D3549,4)</f>
        <v>6246</v>
      </c>
      <c r="K3549" t="str">
        <f>IFERROR(VLOOKUP(VALUE(J3549),'Site Info'!$A:$G,3,FALSE),"")</f>
        <v>9498 GATEWAY NORTH</v>
      </c>
      <c r="L3549" t="str">
        <f>IFERROR(VLOOKUP(VALUE(J3549),'Site Info'!$A:$G,4,FALSE),"")</f>
        <v>EL PASO</v>
      </c>
      <c r="M3549" t="str">
        <f>IFERROR(VLOOKUP(VALUE(J3549),'Site Info'!$A:$G,5,FALSE),"")</f>
        <v>TX</v>
      </c>
      <c r="N3549" t="str">
        <f>IFERROR(VLOOKUP(VALUE(J3549),'Site Info'!$A:$G,6,FALSE),"")</f>
        <v>79924-0000</v>
      </c>
      <c r="O3549">
        <f>IFERROR(VLOOKUP(VALUE(J3549),'Site Info'!$A:$G,7,FALSE),"")</f>
        <v>9157306085</v>
      </c>
    </row>
    <row r="3550" spans="1:15" x14ac:dyDescent="0.45">
      <c r="A3550" t="s">
        <v>5780</v>
      </c>
      <c r="B3550" t="s">
        <v>5781</v>
      </c>
      <c r="C3550" t="s">
        <v>5782</v>
      </c>
      <c r="D3550" t="s">
        <v>5631</v>
      </c>
      <c r="E3550" s="1">
        <v>46152.502337962964</v>
      </c>
      <c r="F3550">
        <v>1547</v>
      </c>
      <c r="G3550" t="s">
        <v>5783</v>
      </c>
      <c r="H3550" t="s">
        <v>15</v>
      </c>
      <c r="I3550" t="s">
        <v>5633</v>
      </c>
      <c r="J3550" t="str">
        <f>RIGHT(D3550,4)</f>
        <v>6246</v>
      </c>
      <c r="K3550" t="str">
        <f>IFERROR(VLOOKUP(VALUE(J3550),'Site Info'!$A:$G,3,FALSE),"")</f>
        <v>9498 GATEWAY NORTH</v>
      </c>
      <c r="L3550" t="str">
        <f>IFERROR(VLOOKUP(VALUE(J3550),'Site Info'!$A:$G,4,FALSE),"")</f>
        <v>EL PASO</v>
      </c>
      <c r="M3550" t="str">
        <f>IFERROR(VLOOKUP(VALUE(J3550),'Site Info'!$A:$G,5,FALSE),"")</f>
        <v>TX</v>
      </c>
      <c r="N3550" t="str">
        <f>IFERROR(VLOOKUP(VALUE(J3550),'Site Info'!$A:$G,6,FALSE),"")</f>
        <v>79924-0000</v>
      </c>
      <c r="O3550">
        <f>IFERROR(VLOOKUP(VALUE(J3550),'Site Info'!$A:$G,7,FALSE),"")</f>
        <v>9157306085</v>
      </c>
    </row>
    <row r="3551" spans="1:15" x14ac:dyDescent="0.45">
      <c r="A3551" t="s">
        <v>5628</v>
      </c>
      <c r="B3551" t="s">
        <v>5629</v>
      </c>
      <c r="C3551" t="s">
        <v>5630</v>
      </c>
      <c r="D3551" t="s">
        <v>5631</v>
      </c>
      <c r="E3551" s="1">
        <v>46152.579745370371</v>
      </c>
      <c r="F3551">
        <v>1547</v>
      </c>
      <c r="G3551" t="s">
        <v>5632</v>
      </c>
      <c r="H3551" t="s">
        <v>15</v>
      </c>
      <c r="I3551" t="s">
        <v>5633</v>
      </c>
      <c r="J3551" t="str">
        <f>RIGHT(D3551,4)</f>
        <v>6246</v>
      </c>
      <c r="K3551" t="str">
        <f>IFERROR(VLOOKUP(VALUE(J3551),'Site Info'!$A:$G,3,FALSE),"")</f>
        <v>9498 GATEWAY NORTH</v>
      </c>
      <c r="L3551" t="str">
        <f>IFERROR(VLOOKUP(VALUE(J3551),'Site Info'!$A:$G,4,FALSE),"")</f>
        <v>EL PASO</v>
      </c>
      <c r="M3551" t="str">
        <f>IFERROR(VLOOKUP(VALUE(J3551),'Site Info'!$A:$G,5,FALSE),"")</f>
        <v>TX</v>
      </c>
      <c r="N3551" t="str">
        <f>IFERROR(VLOOKUP(VALUE(J3551),'Site Info'!$A:$G,6,FALSE),"")</f>
        <v>79924-0000</v>
      </c>
      <c r="O3551">
        <f>IFERROR(VLOOKUP(VALUE(J3551),'Site Info'!$A:$G,7,FALSE),"")</f>
        <v>9157306085</v>
      </c>
    </row>
    <row r="3552" spans="1:15" x14ac:dyDescent="0.45">
      <c r="A3552" t="s">
        <v>5792</v>
      </c>
      <c r="B3552" t="s">
        <v>5793</v>
      </c>
      <c r="C3552" t="s">
        <v>5794</v>
      </c>
      <c r="D3552" t="s">
        <v>5631</v>
      </c>
      <c r="E3552" s="1">
        <v>46152.931377314817</v>
      </c>
      <c r="F3552">
        <v>1547</v>
      </c>
      <c r="G3552" t="s">
        <v>5795</v>
      </c>
      <c r="H3552" t="s">
        <v>15</v>
      </c>
      <c r="I3552" t="s">
        <v>5633</v>
      </c>
      <c r="J3552" t="str">
        <f>RIGHT(D3552,4)</f>
        <v>6246</v>
      </c>
      <c r="K3552" t="str">
        <f>IFERROR(VLOOKUP(VALUE(J3552),'Site Info'!$A:$G,3,FALSE),"")</f>
        <v>9498 GATEWAY NORTH</v>
      </c>
      <c r="L3552" t="str">
        <f>IFERROR(VLOOKUP(VALUE(J3552),'Site Info'!$A:$G,4,FALSE),"")</f>
        <v>EL PASO</v>
      </c>
      <c r="M3552" t="str">
        <f>IFERROR(VLOOKUP(VALUE(J3552),'Site Info'!$A:$G,5,FALSE),"")</f>
        <v>TX</v>
      </c>
      <c r="N3552" t="str">
        <f>IFERROR(VLOOKUP(VALUE(J3552),'Site Info'!$A:$G,6,FALSE),"")</f>
        <v>79924-0000</v>
      </c>
      <c r="O3552">
        <f>IFERROR(VLOOKUP(VALUE(J3552),'Site Info'!$A:$G,7,FALSE),"")</f>
        <v>9157306085</v>
      </c>
    </row>
    <row r="3553" spans="1:15" x14ac:dyDescent="0.45">
      <c r="A3553" t="s">
        <v>5902</v>
      </c>
      <c r="B3553" t="s">
        <v>5903</v>
      </c>
      <c r="C3553" t="s">
        <v>5904</v>
      </c>
      <c r="D3553" t="s">
        <v>5631</v>
      </c>
      <c r="E3553" s="1">
        <v>46153.278692129628</v>
      </c>
      <c r="F3553">
        <v>1547</v>
      </c>
      <c r="G3553" t="s">
        <v>5905</v>
      </c>
      <c r="H3553" t="s">
        <v>15</v>
      </c>
      <c r="I3553" t="s">
        <v>5633</v>
      </c>
      <c r="J3553" t="str">
        <f>RIGHT(D3553,4)</f>
        <v>6246</v>
      </c>
      <c r="K3553" t="str">
        <f>IFERROR(VLOOKUP(VALUE(J3553),'Site Info'!$A:$G,3,FALSE),"")</f>
        <v>9498 GATEWAY NORTH</v>
      </c>
      <c r="L3553" t="str">
        <f>IFERROR(VLOOKUP(VALUE(J3553),'Site Info'!$A:$G,4,FALSE),"")</f>
        <v>EL PASO</v>
      </c>
      <c r="M3553" t="str">
        <f>IFERROR(VLOOKUP(VALUE(J3553),'Site Info'!$A:$G,5,FALSE),"")</f>
        <v>TX</v>
      </c>
      <c r="N3553" t="str">
        <f>IFERROR(VLOOKUP(VALUE(J3553),'Site Info'!$A:$G,6,FALSE),"")</f>
        <v>79924-0000</v>
      </c>
      <c r="O3553">
        <f>IFERROR(VLOOKUP(VALUE(J3553),'Site Info'!$A:$G,7,FALSE),"")</f>
        <v>9157306085</v>
      </c>
    </row>
    <row r="3554" spans="1:15" x14ac:dyDescent="0.45">
      <c r="A3554" t="s">
        <v>5192</v>
      </c>
      <c r="B3554" t="s">
        <v>5193</v>
      </c>
      <c r="C3554" t="s">
        <v>5194</v>
      </c>
      <c r="D3554" t="s">
        <v>125</v>
      </c>
      <c r="E3554" s="1">
        <v>46152.45108796296</v>
      </c>
      <c r="F3554">
        <v>1547</v>
      </c>
      <c r="G3554" t="s">
        <v>5195</v>
      </c>
      <c r="H3554" t="s">
        <v>15</v>
      </c>
      <c r="I3554" t="s">
        <v>126</v>
      </c>
      <c r="J3554" t="str">
        <f>RIGHT(D3554,4)</f>
        <v>8290</v>
      </c>
      <c r="K3554" t="str">
        <f>IFERROR(VLOOKUP(VALUE(J3554),'Site Info'!$A:$G,3,FALSE),"")</f>
        <v>9498 S ORANGE BLOSSOM TRL</v>
      </c>
      <c r="L3554" t="str">
        <f>IFERROR(VLOOKUP(VALUE(J3554),'Site Info'!$A:$G,4,FALSE),"")</f>
        <v>ORLANDO</v>
      </c>
      <c r="M3554" t="str">
        <f>IFERROR(VLOOKUP(VALUE(J3554),'Site Info'!$A:$G,5,FALSE),"")</f>
        <v>FL</v>
      </c>
      <c r="N3554" t="str">
        <f>IFERROR(VLOOKUP(VALUE(J3554),'Site Info'!$A:$G,6,FALSE),"")</f>
        <v>32837-8322</v>
      </c>
      <c r="O3554">
        <f>IFERROR(VLOOKUP(VALUE(J3554),'Site Info'!$A:$G,7,FALSE),"")</f>
        <v>4078599056</v>
      </c>
    </row>
    <row r="3555" spans="1:15" x14ac:dyDescent="0.45">
      <c r="A3555" t="s">
        <v>5676</v>
      </c>
      <c r="B3555" t="s">
        <v>5677</v>
      </c>
      <c r="C3555" t="s">
        <v>5678</v>
      </c>
      <c r="D3555" t="s">
        <v>125</v>
      </c>
      <c r="E3555" s="1">
        <v>46152.536562499998</v>
      </c>
      <c r="F3555">
        <v>1547</v>
      </c>
      <c r="G3555" t="s">
        <v>5679</v>
      </c>
      <c r="H3555" t="s">
        <v>15</v>
      </c>
      <c r="I3555" t="s">
        <v>126</v>
      </c>
      <c r="J3555" t="str">
        <f>RIGHT(D3555,4)</f>
        <v>8290</v>
      </c>
      <c r="K3555" t="str">
        <f>IFERROR(VLOOKUP(VALUE(J3555),'Site Info'!$A:$G,3,FALSE),"")</f>
        <v>9498 S ORANGE BLOSSOM TRL</v>
      </c>
      <c r="L3555" t="str">
        <f>IFERROR(VLOOKUP(VALUE(J3555),'Site Info'!$A:$G,4,FALSE),"")</f>
        <v>ORLANDO</v>
      </c>
      <c r="M3555" t="str">
        <f>IFERROR(VLOOKUP(VALUE(J3555),'Site Info'!$A:$G,5,FALSE),"")</f>
        <v>FL</v>
      </c>
      <c r="N3555" t="str">
        <f>IFERROR(VLOOKUP(VALUE(J3555),'Site Info'!$A:$G,6,FALSE),"")</f>
        <v>32837-8322</v>
      </c>
      <c r="O3555">
        <f>IFERROR(VLOOKUP(VALUE(J3555),'Site Info'!$A:$G,7,FALSE),"")</f>
        <v>4078599056</v>
      </c>
    </row>
    <row r="3556" spans="1:15" x14ac:dyDescent="0.45">
      <c r="A3556" t="s">
        <v>5324</v>
      </c>
      <c r="B3556" t="s">
        <v>5325</v>
      </c>
      <c r="C3556" t="s">
        <v>5326</v>
      </c>
      <c r="D3556" t="s">
        <v>125</v>
      </c>
      <c r="E3556" s="1">
        <v>46153.146273148152</v>
      </c>
      <c r="F3556">
        <v>1547</v>
      </c>
      <c r="G3556" t="s">
        <v>5327</v>
      </c>
      <c r="H3556" t="s">
        <v>15</v>
      </c>
      <c r="I3556" t="s">
        <v>126</v>
      </c>
      <c r="J3556" t="str">
        <f>RIGHT(D3556,4)</f>
        <v>8290</v>
      </c>
      <c r="K3556" t="str">
        <f>IFERROR(VLOOKUP(VALUE(J3556),'Site Info'!$A:$G,3,FALSE),"")</f>
        <v>9498 S ORANGE BLOSSOM TRL</v>
      </c>
      <c r="L3556" t="str">
        <f>IFERROR(VLOOKUP(VALUE(J3556),'Site Info'!$A:$G,4,FALSE),"")</f>
        <v>ORLANDO</v>
      </c>
      <c r="M3556" t="str">
        <f>IFERROR(VLOOKUP(VALUE(J3556),'Site Info'!$A:$G,5,FALSE),"")</f>
        <v>FL</v>
      </c>
      <c r="N3556" t="str">
        <f>IFERROR(VLOOKUP(VALUE(J3556),'Site Info'!$A:$G,6,FALSE),"")</f>
        <v>32837-8322</v>
      </c>
      <c r="O3556">
        <f>IFERROR(VLOOKUP(VALUE(J3556),'Site Info'!$A:$G,7,FALSE),"")</f>
        <v>4078599056</v>
      </c>
    </row>
    <row r="3557" spans="1:15" x14ac:dyDescent="0.45">
      <c r="A3557" t="s">
        <v>5250</v>
      </c>
      <c r="B3557" t="s">
        <v>5251</v>
      </c>
      <c r="C3557" t="s">
        <v>5252</v>
      </c>
      <c r="D3557" t="s">
        <v>125</v>
      </c>
      <c r="E3557" s="1">
        <v>46153.330208333333</v>
      </c>
      <c r="F3557">
        <v>1547</v>
      </c>
      <c r="G3557" t="s">
        <v>5253</v>
      </c>
      <c r="H3557" t="s">
        <v>15</v>
      </c>
      <c r="I3557" t="s">
        <v>126</v>
      </c>
      <c r="J3557" t="str">
        <f>RIGHT(D3557,4)</f>
        <v>8290</v>
      </c>
      <c r="K3557" t="str">
        <f>IFERROR(VLOOKUP(VALUE(J3557),'Site Info'!$A:$G,3,FALSE),"")</f>
        <v>9498 S ORANGE BLOSSOM TRL</v>
      </c>
      <c r="L3557" t="str">
        <f>IFERROR(VLOOKUP(VALUE(J3557),'Site Info'!$A:$G,4,FALSE),"")</f>
        <v>ORLANDO</v>
      </c>
      <c r="M3557" t="str">
        <f>IFERROR(VLOOKUP(VALUE(J3557),'Site Info'!$A:$G,5,FALSE),"")</f>
        <v>FL</v>
      </c>
      <c r="N3557" t="str">
        <f>IFERROR(VLOOKUP(VALUE(J3557),'Site Info'!$A:$G,6,FALSE),"")</f>
        <v>32837-8322</v>
      </c>
      <c r="O3557">
        <f>IFERROR(VLOOKUP(VALUE(J3557),'Site Info'!$A:$G,7,FALSE),"")</f>
        <v>4078599056</v>
      </c>
    </row>
    <row r="3558" spans="1:15" x14ac:dyDescent="0.45">
      <c r="A3558" t="s">
        <v>5428</v>
      </c>
      <c r="B3558" t="s">
        <v>5429</v>
      </c>
      <c r="C3558" t="s">
        <v>5430</v>
      </c>
      <c r="D3558" t="s">
        <v>125</v>
      </c>
      <c r="E3558" s="1">
        <v>46153.362476851849</v>
      </c>
      <c r="F3558">
        <v>1547</v>
      </c>
      <c r="G3558" t="s">
        <v>5431</v>
      </c>
      <c r="H3558" t="s">
        <v>15</v>
      </c>
      <c r="I3558" t="s">
        <v>126</v>
      </c>
      <c r="J3558" t="str">
        <f>RIGHT(D3558,4)</f>
        <v>8290</v>
      </c>
      <c r="K3558" t="str">
        <f>IFERROR(VLOOKUP(VALUE(J3558),'Site Info'!$A:$G,3,FALSE),"")</f>
        <v>9498 S ORANGE BLOSSOM TRL</v>
      </c>
      <c r="L3558" t="str">
        <f>IFERROR(VLOOKUP(VALUE(J3558),'Site Info'!$A:$G,4,FALSE),"")</f>
        <v>ORLANDO</v>
      </c>
      <c r="M3558" t="str">
        <f>IFERROR(VLOOKUP(VALUE(J3558),'Site Info'!$A:$G,5,FALSE),"")</f>
        <v>FL</v>
      </c>
      <c r="N3558" t="str">
        <f>IFERROR(VLOOKUP(VALUE(J3558),'Site Info'!$A:$G,6,FALSE),"")</f>
        <v>32837-8322</v>
      </c>
      <c r="O3558">
        <f>IFERROR(VLOOKUP(VALUE(J3558),'Site Info'!$A:$G,7,FALSE),"")</f>
        <v>4078599056</v>
      </c>
    </row>
    <row r="3559" spans="1:15" x14ac:dyDescent="0.45">
      <c r="A3559" t="s">
        <v>928</v>
      </c>
      <c r="B3559" t="s">
        <v>929</v>
      </c>
      <c r="C3559" t="s">
        <v>930</v>
      </c>
      <c r="D3559" t="s">
        <v>125</v>
      </c>
      <c r="E3559" s="1">
        <v>46153.221145833333</v>
      </c>
      <c r="F3559">
        <v>1481</v>
      </c>
      <c r="G3559" t="s">
        <v>931</v>
      </c>
      <c r="H3559" t="s">
        <v>15</v>
      </c>
      <c r="I3559" t="s">
        <v>126</v>
      </c>
      <c r="J3559" t="str">
        <f>RIGHT(D3559,4)</f>
        <v>8290</v>
      </c>
      <c r="K3559" t="str">
        <f>IFERROR(VLOOKUP(VALUE(J3559),'Site Info'!$A:$G,3,FALSE),"")</f>
        <v>9498 S ORANGE BLOSSOM TRL</v>
      </c>
      <c r="L3559" t="str">
        <f>IFERROR(VLOOKUP(VALUE(J3559),'Site Info'!$A:$G,4,FALSE),"")</f>
        <v>ORLANDO</v>
      </c>
      <c r="M3559" t="str">
        <f>IFERROR(VLOOKUP(VALUE(J3559),'Site Info'!$A:$G,5,FALSE),"")</f>
        <v>FL</v>
      </c>
      <c r="N3559" t="str">
        <f>IFERROR(VLOOKUP(VALUE(J3559),'Site Info'!$A:$G,6,FALSE),"")</f>
        <v>32837-8322</v>
      </c>
      <c r="O3559">
        <f>IFERROR(VLOOKUP(VALUE(J3559),'Site Info'!$A:$G,7,FALSE),"")</f>
        <v>4078599056</v>
      </c>
    </row>
    <row r="3560" spans="1:15" x14ac:dyDescent="0.45">
      <c r="A3560" t="s">
        <v>2693</v>
      </c>
      <c r="B3560" t="s">
        <v>2694</v>
      </c>
      <c r="C3560" t="s">
        <v>2695</v>
      </c>
      <c r="D3560" t="s">
        <v>125</v>
      </c>
      <c r="E3560" s="1">
        <v>46153.363356481481</v>
      </c>
      <c r="F3560">
        <v>1481</v>
      </c>
      <c r="G3560" t="s">
        <v>2696</v>
      </c>
      <c r="H3560" t="s">
        <v>15</v>
      </c>
      <c r="I3560" t="s">
        <v>126</v>
      </c>
      <c r="J3560" t="str">
        <f>RIGHT(D3560,4)</f>
        <v>8290</v>
      </c>
      <c r="K3560" t="str">
        <f>IFERROR(VLOOKUP(VALUE(J3560),'Site Info'!$A:$G,3,FALSE),"")</f>
        <v>9498 S ORANGE BLOSSOM TRL</v>
      </c>
      <c r="L3560" t="str">
        <f>IFERROR(VLOOKUP(VALUE(J3560),'Site Info'!$A:$G,4,FALSE),"")</f>
        <v>ORLANDO</v>
      </c>
      <c r="M3560" t="str">
        <f>IFERROR(VLOOKUP(VALUE(J3560),'Site Info'!$A:$G,5,FALSE),"")</f>
        <v>FL</v>
      </c>
      <c r="N3560" t="str">
        <f>IFERROR(VLOOKUP(VALUE(J3560),'Site Info'!$A:$G,6,FALSE),"")</f>
        <v>32837-8322</v>
      </c>
      <c r="O3560">
        <f>IFERROR(VLOOKUP(VALUE(J3560),'Site Info'!$A:$G,7,FALSE),"")</f>
        <v>4078599056</v>
      </c>
    </row>
    <row r="3561" spans="1:15" x14ac:dyDescent="0.45">
      <c r="A3561" t="s">
        <v>4634</v>
      </c>
      <c r="B3561" t="s">
        <v>4635</v>
      </c>
      <c r="C3561" t="s">
        <v>4636</v>
      </c>
      <c r="D3561" t="s">
        <v>4593</v>
      </c>
      <c r="E3561" s="1">
        <v>46145.120682870373</v>
      </c>
      <c r="F3561">
        <v>1547</v>
      </c>
      <c r="G3561" t="s">
        <v>4637</v>
      </c>
      <c r="H3561" t="s">
        <v>15</v>
      </c>
      <c r="I3561" t="s">
        <v>4595</v>
      </c>
      <c r="J3561" t="str">
        <f>RIGHT(D3561,4)</f>
        <v>6637</v>
      </c>
      <c r="K3561" t="str">
        <f>IFERROR(VLOOKUP(VALUE(J3561),'Site Info'!$A:$G,3,FALSE),"")</f>
        <v>950 N UNIVERSITY DR</v>
      </c>
      <c r="L3561" t="str">
        <f>IFERROR(VLOOKUP(VALUE(J3561),'Site Info'!$A:$G,4,FALSE),"")</f>
        <v>CORAL SPRINGS</v>
      </c>
      <c r="M3561" t="str">
        <f>IFERROR(VLOOKUP(VALUE(J3561),'Site Info'!$A:$G,5,FALSE),"")</f>
        <v>FL</v>
      </c>
      <c r="N3561" t="str">
        <f>IFERROR(VLOOKUP(VALUE(J3561),'Site Info'!$A:$G,6,FALSE),"")</f>
        <v>33071-7029</v>
      </c>
      <c r="O3561">
        <f>IFERROR(VLOOKUP(VALUE(J3561),'Site Info'!$A:$G,7,FALSE),"")</f>
        <v>9543453443</v>
      </c>
    </row>
    <row r="3562" spans="1:15" x14ac:dyDescent="0.45">
      <c r="A3562" t="s">
        <v>4590</v>
      </c>
      <c r="B3562" t="s">
        <v>4591</v>
      </c>
      <c r="C3562" t="s">
        <v>4592</v>
      </c>
      <c r="D3562" t="s">
        <v>4593</v>
      </c>
      <c r="E3562" s="1">
        <v>46150.606469907405</v>
      </c>
      <c r="F3562">
        <v>1547</v>
      </c>
      <c r="G3562" t="s">
        <v>4594</v>
      </c>
      <c r="H3562" t="s">
        <v>15</v>
      </c>
      <c r="I3562" t="s">
        <v>4595</v>
      </c>
      <c r="J3562" t="str">
        <f>RIGHT(D3562,4)</f>
        <v>6637</v>
      </c>
      <c r="K3562" t="str">
        <f>IFERROR(VLOOKUP(VALUE(J3562),'Site Info'!$A:$G,3,FALSE),"")</f>
        <v>950 N UNIVERSITY DR</v>
      </c>
      <c r="L3562" t="str">
        <f>IFERROR(VLOOKUP(VALUE(J3562),'Site Info'!$A:$G,4,FALSE),"")</f>
        <v>CORAL SPRINGS</v>
      </c>
      <c r="M3562" t="str">
        <f>IFERROR(VLOOKUP(VALUE(J3562),'Site Info'!$A:$G,5,FALSE),"")</f>
        <v>FL</v>
      </c>
      <c r="N3562" t="str">
        <f>IFERROR(VLOOKUP(VALUE(J3562),'Site Info'!$A:$G,6,FALSE),"")</f>
        <v>33071-7029</v>
      </c>
      <c r="O3562">
        <f>IFERROR(VLOOKUP(VALUE(J3562),'Site Info'!$A:$G,7,FALSE),"")</f>
        <v>9543453443</v>
      </c>
    </row>
    <row r="3563" spans="1:15" x14ac:dyDescent="0.45">
      <c r="A3563" t="s">
        <v>6505</v>
      </c>
      <c r="B3563" t="s">
        <v>6506</v>
      </c>
      <c r="C3563" t="s">
        <v>6507</v>
      </c>
      <c r="D3563" t="s">
        <v>4593</v>
      </c>
      <c r="E3563" s="1">
        <v>46151.372141203705</v>
      </c>
      <c r="F3563">
        <v>1547</v>
      </c>
      <c r="G3563" t="s">
        <v>6508</v>
      </c>
      <c r="H3563" t="s">
        <v>15</v>
      </c>
      <c r="I3563" t="s">
        <v>4595</v>
      </c>
      <c r="J3563" t="str">
        <f>RIGHT(D3563,4)</f>
        <v>6637</v>
      </c>
      <c r="K3563" t="str">
        <f>IFERROR(VLOOKUP(VALUE(J3563),'Site Info'!$A:$G,3,FALSE),"")</f>
        <v>950 N UNIVERSITY DR</v>
      </c>
      <c r="L3563" t="str">
        <f>IFERROR(VLOOKUP(VALUE(J3563),'Site Info'!$A:$G,4,FALSE),"")</f>
        <v>CORAL SPRINGS</v>
      </c>
      <c r="M3563" t="str">
        <f>IFERROR(VLOOKUP(VALUE(J3563),'Site Info'!$A:$G,5,FALSE),"")</f>
        <v>FL</v>
      </c>
      <c r="N3563" t="str">
        <f>IFERROR(VLOOKUP(VALUE(J3563),'Site Info'!$A:$G,6,FALSE),"")</f>
        <v>33071-7029</v>
      </c>
      <c r="O3563">
        <f>IFERROR(VLOOKUP(VALUE(J3563),'Site Info'!$A:$G,7,FALSE),"")</f>
        <v>9543453443</v>
      </c>
    </row>
    <row r="3564" spans="1:15" x14ac:dyDescent="0.45">
      <c r="A3564" t="s">
        <v>4954</v>
      </c>
      <c r="B3564" t="s">
        <v>4955</v>
      </c>
      <c r="C3564" t="s">
        <v>4956</v>
      </c>
      <c r="D3564" t="s">
        <v>4593</v>
      </c>
      <c r="E3564" s="1">
        <v>46151.661087962966</v>
      </c>
      <c r="F3564">
        <v>1547</v>
      </c>
      <c r="G3564" t="s">
        <v>4957</v>
      </c>
      <c r="H3564" t="s">
        <v>15</v>
      </c>
      <c r="I3564" t="s">
        <v>4595</v>
      </c>
      <c r="J3564" t="str">
        <f>RIGHT(D3564,4)</f>
        <v>6637</v>
      </c>
      <c r="K3564" t="str">
        <f>IFERROR(VLOOKUP(VALUE(J3564),'Site Info'!$A:$G,3,FALSE),"")</f>
        <v>950 N UNIVERSITY DR</v>
      </c>
      <c r="L3564" t="str">
        <f>IFERROR(VLOOKUP(VALUE(J3564),'Site Info'!$A:$G,4,FALSE),"")</f>
        <v>CORAL SPRINGS</v>
      </c>
      <c r="M3564" t="str">
        <f>IFERROR(VLOOKUP(VALUE(J3564),'Site Info'!$A:$G,5,FALSE),"")</f>
        <v>FL</v>
      </c>
      <c r="N3564" t="str">
        <f>IFERROR(VLOOKUP(VALUE(J3564),'Site Info'!$A:$G,6,FALSE),"")</f>
        <v>33071-7029</v>
      </c>
      <c r="O3564">
        <f>IFERROR(VLOOKUP(VALUE(J3564),'Site Info'!$A:$G,7,FALSE),"")</f>
        <v>9543453443</v>
      </c>
    </row>
    <row r="3565" spans="1:15" x14ac:dyDescent="0.45">
      <c r="A3565" t="s">
        <v>6533</v>
      </c>
      <c r="B3565" t="s">
        <v>6534</v>
      </c>
      <c r="C3565" t="s">
        <v>6535</v>
      </c>
      <c r="D3565" t="s">
        <v>4593</v>
      </c>
      <c r="E3565" s="1">
        <v>46152.622060185182</v>
      </c>
      <c r="F3565">
        <v>1547</v>
      </c>
      <c r="G3565" t="s">
        <v>6536</v>
      </c>
      <c r="H3565" t="s">
        <v>15</v>
      </c>
      <c r="I3565" t="s">
        <v>4595</v>
      </c>
      <c r="J3565" t="str">
        <f>RIGHT(D3565,4)</f>
        <v>6637</v>
      </c>
      <c r="K3565" t="str">
        <f>IFERROR(VLOOKUP(VALUE(J3565),'Site Info'!$A:$G,3,FALSE),"")</f>
        <v>950 N UNIVERSITY DR</v>
      </c>
      <c r="L3565" t="str">
        <f>IFERROR(VLOOKUP(VALUE(J3565),'Site Info'!$A:$G,4,FALSE),"")</f>
        <v>CORAL SPRINGS</v>
      </c>
      <c r="M3565" t="str">
        <f>IFERROR(VLOOKUP(VALUE(J3565),'Site Info'!$A:$G,5,FALSE),"")</f>
        <v>FL</v>
      </c>
      <c r="N3565" t="str">
        <f>IFERROR(VLOOKUP(VALUE(J3565),'Site Info'!$A:$G,6,FALSE),"")</f>
        <v>33071-7029</v>
      </c>
      <c r="O3565">
        <f>IFERROR(VLOOKUP(VALUE(J3565),'Site Info'!$A:$G,7,FALSE),"")</f>
        <v>9543453443</v>
      </c>
    </row>
    <row r="3566" spans="1:15" x14ac:dyDescent="0.45">
      <c r="A3566" t="s">
        <v>14289</v>
      </c>
      <c r="B3566" t="s">
        <v>14290</v>
      </c>
      <c r="C3566" t="s">
        <v>14291</v>
      </c>
      <c r="D3566" t="s">
        <v>3810</v>
      </c>
      <c r="E3566" s="1">
        <v>46153.323229166665</v>
      </c>
      <c r="F3566">
        <v>1628</v>
      </c>
      <c r="G3566" t="s">
        <v>14292</v>
      </c>
      <c r="H3566" t="s">
        <v>13988</v>
      </c>
      <c r="I3566" t="s">
        <v>3812</v>
      </c>
      <c r="J3566" t="str">
        <f>RIGHT(D3566,4)</f>
        <v>6384</v>
      </c>
      <c r="K3566" t="str">
        <f>IFERROR(VLOOKUP(VALUE(J3566),'Site Info'!$A:$G,3,FALSE),"")</f>
        <v>9500 JOLIET RD</v>
      </c>
      <c r="L3566" t="str">
        <f>IFERROR(VLOOKUP(VALUE(J3566),'Site Info'!$A:$G,4,FALSE),"")</f>
        <v>HODGKINS</v>
      </c>
      <c r="M3566" t="str">
        <f>IFERROR(VLOOKUP(VALUE(J3566),'Site Info'!$A:$G,5,FALSE),"")</f>
        <v>IL</v>
      </c>
      <c r="N3566" t="str">
        <f>IFERROR(VLOOKUP(VALUE(J3566),'Site Info'!$A:$G,6,FALSE),"")</f>
        <v>60525-4137</v>
      </c>
      <c r="O3566">
        <f>IFERROR(VLOOKUP(VALUE(J3566),'Site Info'!$A:$G,7,FALSE),"")</f>
        <v>7083877030</v>
      </c>
    </row>
    <row r="3567" spans="1:15" x14ac:dyDescent="0.45">
      <c r="A3567" t="s">
        <v>6318</v>
      </c>
      <c r="B3567" t="s">
        <v>6319</v>
      </c>
      <c r="C3567" t="s">
        <v>6320</v>
      </c>
      <c r="D3567" t="s">
        <v>3810</v>
      </c>
      <c r="E3567" s="1">
        <v>46151.351030092592</v>
      </c>
      <c r="F3567">
        <v>1547</v>
      </c>
      <c r="G3567" t="s">
        <v>6321</v>
      </c>
      <c r="H3567" t="s">
        <v>15</v>
      </c>
      <c r="I3567" t="s">
        <v>3812</v>
      </c>
      <c r="J3567" t="str">
        <f>RIGHT(D3567,4)</f>
        <v>6384</v>
      </c>
      <c r="K3567" t="str">
        <f>IFERROR(VLOOKUP(VALUE(J3567),'Site Info'!$A:$G,3,FALSE),"")</f>
        <v>9500 JOLIET RD</v>
      </c>
      <c r="L3567" t="str">
        <f>IFERROR(VLOOKUP(VALUE(J3567),'Site Info'!$A:$G,4,FALSE),"")</f>
        <v>HODGKINS</v>
      </c>
      <c r="M3567" t="str">
        <f>IFERROR(VLOOKUP(VALUE(J3567),'Site Info'!$A:$G,5,FALSE),"")</f>
        <v>IL</v>
      </c>
      <c r="N3567" t="str">
        <f>IFERROR(VLOOKUP(VALUE(J3567),'Site Info'!$A:$G,6,FALSE),"")</f>
        <v>60525-4137</v>
      </c>
      <c r="O3567">
        <f>IFERROR(VLOOKUP(VALUE(J3567),'Site Info'!$A:$G,7,FALSE),"")</f>
        <v>7083877030</v>
      </c>
    </row>
    <row r="3568" spans="1:15" x14ac:dyDescent="0.45">
      <c r="A3568" t="s">
        <v>8361</v>
      </c>
      <c r="B3568" t="s">
        <v>8362</v>
      </c>
      <c r="C3568" t="s">
        <v>8363</v>
      </c>
      <c r="D3568" t="s">
        <v>3810</v>
      </c>
      <c r="E3568" s="1">
        <v>46153.26054398148</v>
      </c>
      <c r="F3568">
        <v>1547</v>
      </c>
      <c r="G3568" t="s">
        <v>8364</v>
      </c>
      <c r="H3568" t="s">
        <v>15</v>
      </c>
      <c r="I3568" t="s">
        <v>3812</v>
      </c>
      <c r="J3568" t="str">
        <f>RIGHT(D3568,4)</f>
        <v>6384</v>
      </c>
      <c r="K3568" t="str">
        <f>IFERROR(VLOOKUP(VALUE(J3568),'Site Info'!$A:$G,3,FALSE),"")</f>
        <v>9500 JOLIET RD</v>
      </c>
      <c r="L3568" t="str">
        <f>IFERROR(VLOOKUP(VALUE(J3568),'Site Info'!$A:$G,4,FALSE),"")</f>
        <v>HODGKINS</v>
      </c>
      <c r="M3568" t="str">
        <f>IFERROR(VLOOKUP(VALUE(J3568),'Site Info'!$A:$G,5,FALSE),"")</f>
        <v>IL</v>
      </c>
      <c r="N3568" t="str">
        <f>IFERROR(VLOOKUP(VALUE(J3568),'Site Info'!$A:$G,6,FALSE),"")</f>
        <v>60525-4137</v>
      </c>
      <c r="O3568">
        <f>IFERROR(VLOOKUP(VALUE(J3568),'Site Info'!$A:$G,7,FALSE),"")</f>
        <v>7083877030</v>
      </c>
    </row>
    <row r="3569" spans="1:15" x14ac:dyDescent="0.45">
      <c r="A3569" t="s">
        <v>5862</v>
      </c>
      <c r="B3569" t="s">
        <v>5863</v>
      </c>
      <c r="C3569" t="s">
        <v>5864</v>
      </c>
      <c r="D3569" t="s">
        <v>3810</v>
      </c>
      <c r="E3569" s="1">
        <v>46153.306585648148</v>
      </c>
      <c r="F3569">
        <v>1547</v>
      </c>
      <c r="G3569" t="s">
        <v>5865</v>
      </c>
      <c r="H3569" t="s">
        <v>15</v>
      </c>
      <c r="I3569" t="s">
        <v>3812</v>
      </c>
      <c r="J3569" t="str">
        <f>RIGHT(D3569,4)</f>
        <v>6384</v>
      </c>
      <c r="K3569" t="str">
        <f>IFERROR(VLOOKUP(VALUE(J3569),'Site Info'!$A:$G,3,FALSE),"")</f>
        <v>9500 JOLIET RD</v>
      </c>
      <c r="L3569" t="str">
        <f>IFERROR(VLOOKUP(VALUE(J3569),'Site Info'!$A:$G,4,FALSE),"")</f>
        <v>HODGKINS</v>
      </c>
      <c r="M3569" t="str">
        <f>IFERROR(VLOOKUP(VALUE(J3569),'Site Info'!$A:$G,5,FALSE),"")</f>
        <v>IL</v>
      </c>
      <c r="N3569" t="str">
        <f>IFERROR(VLOOKUP(VALUE(J3569),'Site Info'!$A:$G,6,FALSE),"")</f>
        <v>60525-4137</v>
      </c>
      <c r="O3569">
        <f>IFERROR(VLOOKUP(VALUE(J3569),'Site Info'!$A:$G,7,FALSE),"")</f>
        <v>7083877030</v>
      </c>
    </row>
    <row r="3570" spans="1:15" x14ac:dyDescent="0.45">
      <c r="A3570" t="s">
        <v>5710</v>
      </c>
      <c r="B3570" t="s">
        <v>5711</v>
      </c>
      <c r="C3570" t="s">
        <v>5712</v>
      </c>
      <c r="D3570" t="s">
        <v>3810</v>
      </c>
      <c r="E3570" s="1">
        <v>46153.332372685189</v>
      </c>
      <c r="F3570">
        <v>1547</v>
      </c>
      <c r="G3570" t="s">
        <v>5713</v>
      </c>
      <c r="H3570" t="s">
        <v>15</v>
      </c>
      <c r="I3570" t="s">
        <v>3812</v>
      </c>
      <c r="J3570" t="str">
        <f>RIGHT(D3570,4)</f>
        <v>6384</v>
      </c>
      <c r="K3570" t="str">
        <f>IFERROR(VLOOKUP(VALUE(J3570),'Site Info'!$A:$G,3,FALSE),"")</f>
        <v>9500 JOLIET RD</v>
      </c>
      <c r="L3570" t="str">
        <f>IFERROR(VLOOKUP(VALUE(J3570),'Site Info'!$A:$G,4,FALSE),"")</f>
        <v>HODGKINS</v>
      </c>
      <c r="M3570" t="str">
        <f>IFERROR(VLOOKUP(VALUE(J3570),'Site Info'!$A:$G,5,FALSE),"")</f>
        <v>IL</v>
      </c>
      <c r="N3570" t="str">
        <f>IFERROR(VLOOKUP(VALUE(J3570),'Site Info'!$A:$G,6,FALSE),"")</f>
        <v>60525-4137</v>
      </c>
      <c r="O3570">
        <f>IFERROR(VLOOKUP(VALUE(J3570),'Site Info'!$A:$G,7,FALSE),"")</f>
        <v>7083877030</v>
      </c>
    </row>
    <row r="3571" spans="1:15" x14ac:dyDescent="0.45">
      <c r="A3571" t="s">
        <v>5998</v>
      </c>
      <c r="B3571" t="s">
        <v>5999</v>
      </c>
      <c r="C3571" t="s">
        <v>6000</v>
      </c>
      <c r="D3571" t="s">
        <v>3810</v>
      </c>
      <c r="E3571" s="1">
        <v>46153.371620370373</v>
      </c>
      <c r="F3571">
        <v>1547</v>
      </c>
      <c r="G3571" t="s">
        <v>6001</v>
      </c>
      <c r="H3571" t="s">
        <v>15</v>
      </c>
      <c r="I3571" t="s">
        <v>3812</v>
      </c>
      <c r="J3571" t="str">
        <f>RIGHT(D3571,4)</f>
        <v>6384</v>
      </c>
      <c r="K3571" t="str">
        <f>IFERROR(VLOOKUP(VALUE(J3571),'Site Info'!$A:$G,3,FALSE),"")</f>
        <v>9500 JOLIET RD</v>
      </c>
      <c r="L3571" t="str">
        <f>IFERROR(VLOOKUP(VALUE(J3571),'Site Info'!$A:$G,4,FALSE),"")</f>
        <v>HODGKINS</v>
      </c>
      <c r="M3571" t="str">
        <f>IFERROR(VLOOKUP(VALUE(J3571),'Site Info'!$A:$G,5,FALSE),"")</f>
        <v>IL</v>
      </c>
      <c r="N3571" t="str">
        <f>IFERROR(VLOOKUP(VALUE(J3571),'Site Info'!$A:$G,6,FALSE),"")</f>
        <v>60525-4137</v>
      </c>
      <c r="O3571">
        <f>IFERROR(VLOOKUP(VALUE(J3571),'Site Info'!$A:$G,7,FALSE),"")</f>
        <v>7083877030</v>
      </c>
    </row>
    <row r="3572" spans="1:15" x14ac:dyDescent="0.45">
      <c r="A3572" t="s">
        <v>5478</v>
      </c>
      <c r="B3572" t="s">
        <v>5479</v>
      </c>
      <c r="C3572" t="s">
        <v>5480</v>
      </c>
      <c r="D3572" t="s">
        <v>3810</v>
      </c>
      <c r="E3572" s="1">
        <v>46153.373495370368</v>
      </c>
      <c r="F3572">
        <v>1547</v>
      </c>
      <c r="G3572" t="s">
        <v>5481</v>
      </c>
      <c r="H3572" t="s">
        <v>15</v>
      </c>
      <c r="I3572" t="s">
        <v>3812</v>
      </c>
      <c r="J3572" t="str">
        <f>RIGHT(D3572,4)</f>
        <v>6384</v>
      </c>
      <c r="K3572" t="str">
        <f>IFERROR(VLOOKUP(VALUE(J3572),'Site Info'!$A:$G,3,FALSE),"")</f>
        <v>9500 JOLIET RD</v>
      </c>
      <c r="L3572" t="str">
        <f>IFERROR(VLOOKUP(VALUE(J3572),'Site Info'!$A:$G,4,FALSE),"")</f>
        <v>HODGKINS</v>
      </c>
      <c r="M3572" t="str">
        <f>IFERROR(VLOOKUP(VALUE(J3572),'Site Info'!$A:$G,5,FALSE),"")</f>
        <v>IL</v>
      </c>
      <c r="N3572" t="str">
        <f>IFERROR(VLOOKUP(VALUE(J3572),'Site Info'!$A:$G,6,FALSE),"")</f>
        <v>60525-4137</v>
      </c>
      <c r="O3572">
        <f>IFERROR(VLOOKUP(VALUE(J3572),'Site Info'!$A:$G,7,FALSE),"")</f>
        <v>7083877030</v>
      </c>
    </row>
    <row r="3573" spans="1:15" x14ac:dyDescent="0.45">
      <c r="A3573" t="s">
        <v>3807</v>
      </c>
      <c r="B3573" t="s">
        <v>3808</v>
      </c>
      <c r="C3573" t="s">
        <v>3809</v>
      </c>
      <c r="D3573" t="s">
        <v>3810</v>
      </c>
      <c r="E3573" s="1">
        <v>46153.321018518516</v>
      </c>
      <c r="F3573">
        <v>1481</v>
      </c>
      <c r="G3573" t="s">
        <v>3811</v>
      </c>
      <c r="H3573" t="s">
        <v>15</v>
      </c>
      <c r="I3573" t="s">
        <v>3812</v>
      </c>
      <c r="J3573" t="str">
        <f>RIGHT(D3573,4)</f>
        <v>6384</v>
      </c>
      <c r="K3573" t="str">
        <f>IFERROR(VLOOKUP(VALUE(J3573),'Site Info'!$A:$G,3,FALSE),"")</f>
        <v>9500 JOLIET RD</v>
      </c>
      <c r="L3573" t="str">
        <f>IFERROR(VLOOKUP(VALUE(J3573),'Site Info'!$A:$G,4,FALSE),"")</f>
        <v>HODGKINS</v>
      </c>
      <c r="M3573" t="str">
        <f>IFERROR(VLOOKUP(VALUE(J3573),'Site Info'!$A:$G,5,FALSE),"")</f>
        <v>IL</v>
      </c>
      <c r="N3573" t="str">
        <f>IFERROR(VLOOKUP(VALUE(J3573),'Site Info'!$A:$G,6,FALSE),"")</f>
        <v>60525-4137</v>
      </c>
      <c r="O3573">
        <f>IFERROR(VLOOKUP(VALUE(J3573),'Site Info'!$A:$G,7,FALSE),"")</f>
        <v>7083877030</v>
      </c>
    </row>
    <row r="3574" spans="1:15" x14ac:dyDescent="0.45">
      <c r="A3574" t="s">
        <v>10973</v>
      </c>
      <c r="B3574" t="s">
        <v>10974</v>
      </c>
      <c r="C3574" t="s">
        <v>10975</v>
      </c>
      <c r="D3574" t="s">
        <v>9310</v>
      </c>
      <c r="E3574" s="1">
        <v>46151.856666666667</v>
      </c>
      <c r="F3574">
        <v>1547</v>
      </c>
      <c r="G3574" t="s">
        <v>10976</v>
      </c>
      <c r="H3574" t="s">
        <v>15</v>
      </c>
      <c r="I3574" t="s">
        <v>9312</v>
      </c>
      <c r="J3574" t="str">
        <f>RIGHT(D3574,4)</f>
        <v>6619</v>
      </c>
      <c r="K3574" t="str">
        <f>IFERROR(VLOOKUP(VALUE(J3574),'Site Info'!$A:$G,3,FALSE),"")</f>
        <v>951 N MILLIKEN AVE</v>
      </c>
      <c r="L3574" t="str">
        <f>IFERROR(VLOOKUP(VALUE(J3574),'Site Info'!$A:$G,4,FALSE),"")</f>
        <v>ONTARIO</v>
      </c>
      <c r="M3574" t="str">
        <f>IFERROR(VLOOKUP(VALUE(J3574),'Site Info'!$A:$G,5,FALSE),"")</f>
        <v>CA</v>
      </c>
      <c r="N3574" t="str">
        <f>IFERROR(VLOOKUP(VALUE(J3574),'Site Info'!$A:$G,6,FALSE),"")</f>
        <v>91764-5008</v>
      </c>
      <c r="O3574">
        <f>IFERROR(VLOOKUP(VALUE(J3574),'Site Info'!$A:$G,7,FALSE),"")</f>
        <v>9094769259</v>
      </c>
    </row>
    <row r="3575" spans="1:15" x14ac:dyDescent="0.45">
      <c r="A3575" t="s">
        <v>9942</v>
      </c>
      <c r="B3575" t="s">
        <v>9943</v>
      </c>
      <c r="C3575" t="s">
        <v>9944</v>
      </c>
      <c r="D3575" t="s">
        <v>9310</v>
      </c>
      <c r="E3575" s="1">
        <v>46152.553356481483</v>
      </c>
      <c r="F3575">
        <v>1547</v>
      </c>
      <c r="G3575" t="s">
        <v>9945</v>
      </c>
      <c r="H3575" t="s">
        <v>15</v>
      </c>
      <c r="I3575" t="s">
        <v>9312</v>
      </c>
      <c r="J3575" t="str">
        <f>RIGHT(D3575,4)</f>
        <v>6619</v>
      </c>
      <c r="K3575" t="str">
        <f>IFERROR(VLOOKUP(VALUE(J3575),'Site Info'!$A:$G,3,FALSE),"")</f>
        <v>951 N MILLIKEN AVE</v>
      </c>
      <c r="L3575" t="str">
        <f>IFERROR(VLOOKUP(VALUE(J3575),'Site Info'!$A:$G,4,FALSE),"")</f>
        <v>ONTARIO</v>
      </c>
      <c r="M3575" t="str">
        <f>IFERROR(VLOOKUP(VALUE(J3575),'Site Info'!$A:$G,5,FALSE),"")</f>
        <v>CA</v>
      </c>
      <c r="N3575" t="str">
        <f>IFERROR(VLOOKUP(VALUE(J3575),'Site Info'!$A:$G,6,FALSE),"")</f>
        <v>91764-5008</v>
      </c>
      <c r="O3575">
        <f>IFERROR(VLOOKUP(VALUE(J3575),'Site Info'!$A:$G,7,FALSE),"")</f>
        <v>9094769259</v>
      </c>
    </row>
    <row r="3576" spans="1:15" x14ac:dyDescent="0.45">
      <c r="A3576" t="s">
        <v>9307</v>
      </c>
      <c r="B3576" t="s">
        <v>9308</v>
      </c>
      <c r="C3576" t="s">
        <v>9309</v>
      </c>
      <c r="D3576" t="s">
        <v>9310</v>
      </c>
      <c r="E3576" s="1">
        <v>46152.633657407408</v>
      </c>
      <c r="F3576">
        <v>1547</v>
      </c>
      <c r="G3576" t="s">
        <v>9311</v>
      </c>
      <c r="H3576" t="s">
        <v>15</v>
      </c>
      <c r="I3576" t="s">
        <v>9312</v>
      </c>
      <c r="J3576" t="str">
        <f>RIGHT(D3576,4)</f>
        <v>6619</v>
      </c>
      <c r="K3576" t="str">
        <f>IFERROR(VLOOKUP(VALUE(J3576),'Site Info'!$A:$G,3,FALSE),"")</f>
        <v>951 N MILLIKEN AVE</v>
      </c>
      <c r="L3576" t="str">
        <f>IFERROR(VLOOKUP(VALUE(J3576),'Site Info'!$A:$G,4,FALSE),"")</f>
        <v>ONTARIO</v>
      </c>
      <c r="M3576" t="str">
        <f>IFERROR(VLOOKUP(VALUE(J3576),'Site Info'!$A:$G,5,FALSE),"")</f>
        <v>CA</v>
      </c>
      <c r="N3576" t="str">
        <f>IFERROR(VLOOKUP(VALUE(J3576),'Site Info'!$A:$G,6,FALSE),"")</f>
        <v>91764-5008</v>
      </c>
      <c r="O3576">
        <f>IFERROR(VLOOKUP(VALUE(J3576),'Site Info'!$A:$G,7,FALSE),"")</f>
        <v>9094769259</v>
      </c>
    </row>
    <row r="3577" spans="1:15" x14ac:dyDescent="0.45">
      <c r="A3577" t="s">
        <v>13531</v>
      </c>
      <c r="B3577" t="s">
        <v>13532</v>
      </c>
      <c r="C3577" t="s">
        <v>13533</v>
      </c>
      <c r="D3577" t="s">
        <v>9310</v>
      </c>
      <c r="E3577" s="1">
        <v>46152.982581018521</v>
      </c>
      <c r="F3577">
        <v>1547</v>
      </c>
      <c r="G3577" t="s">
        <v>13534</v>
      </c>
      <c r="H3577" t="s">
        <v>15</v>
      </c>
      <c r="I3577" t="s">
        <v>9312</v>
      </c>
      <c r="J3577" t="str">
        <f>RIGHT(D3577,4)</f>
        <v>6619</v>
      </c>
      <c r="K3577" t="str">
        <f>IFERROR(VLOOKUP(VALUE(J3577),'Site Info'!$A:$G,3,FALSE),"")</f>
        <v>951 N MILLIKEN AVE</v>
      </c>
      <c r="L3577" t="str">
        <f>IFERROR(VLOOKUP(VALUE(J3577),'Site Info'!$A:$G,4,FALSE),"")</f>
        <v>ONTARIO</v>
      </c>
      <c r="M3577" t="str">
        <f>IFERROR(VLOOKUP(VALUE(J3577),'Site Info'!$A:$G,5,FALSE),"")</f>
        <v>CA</v>
      </c>
      <c r="N3577" t="str">
        <f>IFERROR(VLOOKUP(VALUE(J3577),'Site Info'!$A:$G,6,FALSE),"")</f>
        <v>91764-5008</v>
      </c>
      <c r="O3577">
        <f>IFERROR(VLOOKUP(VALUE(J3577),'Site Info'!$A:$G,7,FALSE),"")</f>
        <v>9094769259</v>
      </c>
    </row>
    <row r="3578" spans="1:15" x14ac:dyDescent="0.45">
      <c r="A3578" t="s">
        <v>10102</v>
      </c>
      <c r="B3578" t="s">
        <v>10103</v>
      </c>
      <c r="C3578" t="s">
        <v>10104</v>
      </c>
      <c r="D3578" t="s">
        <v>9310</v>
      </c>
      <c r="E3578" s="1">
        <v>46153.313981481479</v>
      </c>
      <c r="F3578">
        <v>1547</v>
      </c>
      <c r="G3578" t="s">
        <v>10105</v>
      </c>
      <c r="H3578" t="s">
        <v>15</v>
      </c>
      <c r="I3578" t="s">
        <v>9312</v>
      </c>
      <c r="J3578" t="str">
        <f>RIGHT(D3578,4)</f>
        <v>6619</v>
      </c>
      <c r="K3578" t="str">
        <f>IFERROR(VLOOKUP(VALUE(J3578),'Site Info'!$A:$G,3,FALSE),"")</f>
        <v>951 N MILLIKEN AVE</v>
      </c>
      <c r="L3578" t="str">
        <f>IFERROR(VLOOKUP(VALUE(J3578),'Site Info'!$A:$G,4,FALSE),"")</f>
        <v>ONTARIO</v>
      </c>
      <c r="M3578" t="str">
        <f>IFERROR(VLOOKUP(VALUE(J3578),'Site Info'!$A:$G,5,FALSE),"")</f>
        <v>CA</v>
      </c>
      <c r="N3578" t="str">
        <f>IFERROR(VLOOKUP(VALUE(J3578),'Site Info'!$A:$G,6,FALSE),"")</f>
        <v>91764-5008</v>
      </c>
      <c r="O3578">
        <f>IFERROR(VLOOKUP(VALUE(J3578),'Site Info'!$A:$G,7,FALSE),"")</f>
        <v>9094769259</v>
      </c>
    </row>
    <row r="3579" spans="1:15" x14ac:dyDescent="0.45">
      <c r="A3579" t="s">
        <v>10548</v>
      </c>
      <c r="B3579" t="s">
        <v>10549</v>
      </c>
      <c r="C3579" t="s">
        <v>10550</v>
      </c>
      <c r="D3579" t="s">
        <v>9310</v>
      </c>
      <c r="E3579" s="1">
        <v>46153.361018518517</v>
      </c>
      <c r="F3579">
        <v>1547</v>
      </c>
      <c r="G3579" t="s">
        <v>10551</v>
      </c>
      <c r="H3579" t="s">
        <v>15</v>
      </c>
      <c r="I3579" t="s">
        <v>9312</v>
      </c>
      <c r="J3579" t="str">
        <f>RIGHT(D3579,4)</f>
        <v>6619</v>
      </c>
      <c r="K3579" t="str">
        <f>IFERROR(VLOOKUP(VALUE(J3579),'Site Info'!$A:$G,3,FALSE),"")</f>
        <v>951 N MILLIKEN AVE</v>
      </c>
      <c r="L3579" t="str">
        <f>IFERROR(VLOOKUP(VALUE(J3579),'Site Info'!$A:$G,4,FALSE),"")</f>
        <v>ONTARIO</v>
      </c>
      <c r="M3579" t="str">
        <f>IFERROR(VLOOKUP(VALUE(J3579),'Site Info'!$A:$G,5,FALSE),"")</f>
        <v>CA</v>
      </c>
      <c r="N3579" t="str">
        <f>IFERROR(VLOOKUP(VALUE(J3579),'Site Info'!$A:$G,6,FALSE),"")</f>
        <v>91764-5008</v>
      </c>
      <c r="O3579">
        <f>IFERROR(VLOOKUP(VALUE(J3579),'Site Info'!$A:$G,7,FALSE),"")</f>
        <v>9094769259</v>
      </c>
    </row>
    <row r="3580" spans="1:15" x14ac:dyDescent="0.45">
      <c r="A3580" t="s">
        <v>10528</v>
      </c>
      <c r="B3580" t="s">
        <v>10529</v>
      </c>
      <c r="C3580" t="s">
        <v>10530</v>
      </c>
      <c r="D3580" t="s">
        <v>1167</v>
      </c>
      <c r="E3580" s="1">
        <v>46111.445671296293</v>
      </c>
      <c r="F3580">
        <v>1547</v>
      </c>
      <c r="G3580" t="s">
        <v>10531</v>
      </c>
      <c r="H3580" t="s">
        <v>15</v>
      </c>
      <c r="I3580" t="s">
        <v>1169</v>
      </c>
      <c r="J3580" t="str">
        <f>RIGHT(D3580,4)</f>
        <v>4745</v>
      </c>
      <c r="K3580" t="str">
        <f>IFERROR(VLOOKUP(VALUE(J3580),'Site Info'!$A:$G,3,FALSE),"")</f>
        <v>9601 GRANT ST</v>
      </c>
      <c r="L3580" t="str">
        <f>IFERROR(VLOOKUP(VALUE(J3580),'Site Info'!$A:$G,4,FALSE),"")</f>
        <v>THORNTON</v>
      </c>
      <c r="M3580" t="str">
        <f>IFERROR(VLOOKUP(VALUE(J3580),'Site Info'!$A:$G,5,FALSE),"")</f>
        <v>CO</v>
      </c>
      <c r="N3580" t="str">
        <f>IFERROR(VLOOKUP(VALUE(J3580),'Site Info'!$A:$G,6,FALSE),"")</f>
        <v>80229-2155</v>
      </c>
      <c r="O3580">
        <f>IFERROR(VLOOKUP(VALUE(J3580),'Site Info'!$A:$G,7,FALSE),"")</f>
        <v>3034534945</v>
      </c>
    </row>
    <row r="3581" spans="1:15" x14ac:dyDescent="0.45">
      <c r="A3581" t="s">
        <v>13715</v>
      </c>
      <c r="B3581" t="s">
        <v>13716</v>
      </c>
      <c r="C3581" t="s">
        <v>13717</v>
      </c>
      <c r="D3581" t="s">
        <v>1167</v>
      </c>
      <c r="E3581" s="1">
        <v>46152.558645833335</v>
      </c>
      <c r="F3581">
        <v>1547</v>
      </c>
      <c r="G3581" t="s">
        <v>13718</v>
      </c>
      <c r="H3581" t="s">
        <v>15</v>
      </c>
      <c r="I3581" t="s">
        <v>1169</v>
      </c>
      <c r="J3581" t="str">
        <f>RIGHT(D3581,4)</f>
        <v>4745</v>
      </c>
      <c r="K3581" t="str">
        <f>IFERROR(VLOOKUP(VALUE(J3581),'Site Info'!$A:$G,3,FALSE),"")</f>
        <v>9601 GRANT ST</v>
      </c>
      <c r="L3581" t="str">
        <f>IFERROR(VLOOKUP(VALUE(J3581),'Site Info'!$A:$G,4,FALSE),"")</f>
        <v>THORNTON</v>
      </c>
      <c r="M3581" t="str">
        <f>IFERROR(VLOOKUP(VALUE(J3581),'Site Info'!$A:$G,5,FALSE),"")</f>
        <v>CO</v>
      </c>
      <c r="N3581" t="str">
        <f>IFERROR(VLOOKUP(VALUE(J3581),'Site Info'!$A:$G,6,FALSE),"")</f>
        <v>80229-2155</v>
      </c>
      <c r="O3581">
        <f>IFERROR(VLOOKUP(VALUE(J3581),'Site Info'!$A:$G,7,FALSE),"")</f>
        <v>3034534945</v>
      </c>
    </row>
    <row r="3582" spans="1:15" x14ac:dyDescent="0.45">
      <c r="A3582" t="s">
        <v>1164</v>
      </c>
      <c r="B3582" t="s">
        <v>1165</v>
      </c>
      <c r="C3582" t="s">
        <v>1166</v>
      </c>
      <c r="D3582" t="s">
        <v>1167</v>
      </c>
      <c r="E3582" s="1">
        <v>46152.577962962961</v>
      </c>
      <c r="F3582">
        <v>1481</v>
      </c>
      <c r="G3582" t="s">
        <v>1168</v>
      </c>
      <c r="H3582" t="s">
        <v>15</v>
      </c>
      <c r="I3582" t="s">
        <v>1169</v>
      </c>
      <c r="J3582" t="str">
        <f>RIGHT(D3582,4)</f>
        <v>4745</v>
      </c>
      <c r="K3582" t="str">
        <f>IFERROR(VLOOKUP(VALUE(J3582),'Site Info'!$A:$G,3,FALSE),"")</f>
        <v>9601 GRANT ST</v>
      </c>
      <c r="L3582" t="str">
        <f>IFERROR(VLOOKUP(VALUE(J3582),'Site Info'!$A:$G,4,FALSE),"")</f>
        <v>THORNTON</v>
      </c>
      <c r="M3582" t="str">
        <f>IFERROR(VLOOKUP(VALUE(J3582),'Site Info'!$A:$G,5,FALSE),"")</f>
        <v>CO</v>
      </c>
      <c r="N3582" t="str">
        <f>IFERROR(VLOOKUP(VALUE(J3582),'Site Info'!$A:$G,6,FALSE),"")</f>
        <v>80229-2155</v>
      </c>
      <c r="O3582">
        <f>IFERROR(VLOOKUP(VALUE(J3582),'Site Info'!$A:$G,7,FALSE),"")</f>
        <v>3034534945</v>
      </c>
    </row>
    <row r="3583" spans="1:15" x14ac:dyDescent="0.45">
      <c r="A3583" t="s">
        <v>12552</v>
      </c>
      <c r="B3583" t="s">
        <v>12553</v>
      </c>
      <c r="C3583" t="s">
        <v>12554</v>
      </c>
      <c r="D3583" t="s">
        <v>1167</v>
      </c>
      <c r="E3583" s="1">
        <v>46148.5002662037</v>
      </c>
      <c r="F3583">
        <v>1556</v>
      </c>
      <c r="G3583" t="s">
        <v>12555</v>
      </c>
      <c r="H3583" t="s">
        <v>15</v>
      </c>
      <c r="I3583" t="s">
        <v>1169</v>
      </c>
      <c r="J3583" t="str">
        <f>RIGHT(D3583,4)</f>
        <v>4745</v>
      </c>
      <c r="K3583" t="str">
        <f>IFERROR(VLOOKUP(VALUE(J3583),'Site Info'!$A:$G,3,FALSE),"")</f>
        <v>9601 GRANT ST</v>
      </c>
      <c r="L3583" t="str">
        <f>IFERROR(VLOOKUP(VALUE(J3583),'Site Info'!$A:$G,4,FALSE),"")</f>
        <v>THORNTON</v>
      </c>
      <c r="M3583" t="str">
        <f>IFERROR(VLOOKUP(VALUE(J3583),'Site Info'!$A:$G,5,FALSE),"")</f>
        <v>CO</v>
      </c>
      <c r="N3583" t="str">
        <f>IFERROR(VLOOKUP(VALUE(J3583),'Site Info'!$A:$G,6,FALSE),"")</f>
        <v>80229-2155</v>
      </c>
      <c r="O3583">
        <f>IFERROR(VLOOKUP(VALUE(J3583),'Site Info'!$A:$G,7,FALSE),"")</f>
        <v>3034534945</v>
      </c>
    </row>
    <row r="3584" spans="1:15" x14ac:dyDescent="0.45">
      <c r="A3584" t="s">
        <v>5312</v>
      </c>
      <c r="B3584" t="s">
        <v>5313</v>
      </c>
      <c r="C3584" t="s">
        <v>5314</v>
      </c>
      <c r="D3584" t="s">
        <v>273</v>
      </c>
      <c r="E3584" s="1">
        <v>46151.429282407407</v>
      </c>
      <c r="F3584">
        <v>1547</v>
      </c>
      <c r="G3584" t="s">
        <v>5315</v>
      </c>
      <c r="H3584" t="s">
        <v>15</v>
      </c>
      <c r="I3584" t="s">
        <v>274</v>
      </c>
      <c r="J3584" t="str">
        <f>RIGHT(D3584,4)</f>
        <v>6367</v>
      </c>
      <c r="K3584" t="str">
        <f>IFERROR(VLOOKUP(VALUE(J3584),'Site Info'!$A:$G,3,FALSE),"")</f>
        <v>9665 FM 1960 BYPASS</v>
      </c>
      <c r="L3584" t="str">
        <f>IFERROR(VLOOKUP(VALUE(J3584),'Site Info'!$A:$G,4,FALSE),"")</f>
        <v>HUMBLE</v>
      </c>
      <c r="M3584" t="str">
        <f>IFERROR(VLOOKUP(VALUE(J3584),'Site Info'!$A:$G,5,FALSE),"")</f>
        <v>TX</v>
      </c>
      <c r="N3584" t="str">
        <f>IFERROR(VLOOKUP(VALUE(J3584),'Site Info'!$A:$G,6,FALSE),"")</f>
        <v>77338-4043</v>
      </c>
      <c r="O3584">
        <f>IFERROR(VLOOKUP(VALUE(J3584),'Site Info'!$A:$G,7,FALSE),"")</f>
        <v>2815481211</v>
      </c>
    </row>
    <row r="3585" spans="1:15" x14ac:dyDescent="0.45">
      <c r="A3585" t="s">
        <v>5320</v>
      </c>
      <c r="B3585" t="s">
        <v>5321</v>
      </c>
      <c r="C3585" t="s">
        <v>5322</v>
      </c>
      <c r="D3585" t="s">
        <v>273</v>
      </c>
      <c r="E3585" s="1">
        <v>46151.790324074071</v>
      </c>
      <c r="F3585">
        <v>1547</v>
      </c>
      <c r="G3585" t="s">
        <v>5323</v>
      </c>
      <c r="H3585" t="s">
        <v>15</v>
      </c>
      <c r="I3585" t="s">
        <v>274</v>
      </c>
      <c r="J3585" t="str">
        <f>RIGHT(D3585,4)</f>
        <v>6367</v>
      </c>
      <c r="K3585" t="str">
        <f>IFERROR(VLOOKUP(VALUE(J3585),'Site Info'!$A:$G,3,FALSE),"")</f>
        <v>9665 FM 1960 BYPASS</v>
      </c>
      <c r="L3585" t="str">
        <f>IFERROR(VLOOKUP(VALUE(J3585),'Site Info'!$A:$G,4,FALSE),"")</f>
        <v>HUMBLE</v>
      </c>
      <c r="M3585" t="str">
        <f>IFERROR(VLOOKUP(VALUE(J3585),'Site Info'!$A:$G,5,FALSE),"")</f>
        <v>TX</v>
      </c>
      <c r="N3585" t="str">
        <f>IFERROR(VLOOKUP(VALUE(J3585),'Site Info'!$A:$G,6,FALSE),"")</f>
        <v>77338-4043</v>
      </c>
      <c r="O3585">
        <f>IFERROR(VLOOKUP(VALUE(J3585),'Site Info'!$A:$G,7,FALSE),"")</f>
        <v>2815481211</v>
      </c>
    </row>
    <row r="3586" spans="1:15" x14ac:dyDescent="0.45">
      <c r="A3586" t="s">
        <v>5388</v>
      </c>
      <c r="B3586" t="s">
        <v>5389</v>
      </c>
      <c r="C3586" t="s">
        <v>5390</v>
      </c>
      <c r="D3586" t="s">
        <v>273</v>
      </c>
      <c r="E3586" s="1">
        <v>46152.656064814815</v>
      </c>
      <c r="F3586">
        <v>1547</v>
      </c>
      <c r="G3586" t="s">
        <v>5391</v>
      </c>
      <c r="H3586" t="s">
        <v>15</v>
      </c>
      <c r="I3586" t="s">
        <v>274</v>
      </c>
      <c r="J3586" t="str">
        <f>RIGHT(D3586,4)</f>
        <v>6367</v>
      </c>
      <c r="K3586" t="str">
        <f>IFERROR(VLOOKUP(VALUE(J3586),'Site Info'!$A:$G,3,FALSE),"")</f>
        <v>9665 FM 1960 BYPASS</v>
      </c>
      <c r="L3586" t="str">
        <f>IFERROR(VLOOKUP(VALUE(J3586),'Site Info'!$A:$G,4,FALSE),"")</f>
        <v>HUMBLE</v>
      </c>
      <c r="M3586" t="str">
        <f>IFERROR(VLOOKUP(VALUE(J3586),'Site Info'!$A:$G,5,FALSE),"")</f>
        <v>TX</v>
      </c>
      <c r="N3586" t="str">
        <f>IFERROR(VLOOKUP(VALUE(J3586),'Site Info'!$A:$G,6,FALSE),"")</f>
        <v>77338-4043</v>
      </c>
      <c r="O3586">
        <f>IFERROR(VLOOKUP(VALUE(J3586),'Site Info'!$A:$G,7,FALSE),"")</f>
        <v>2815481211</v>
      </c>
    </row>
    <row r="3587" spans="1:15" x14ac:dyDescent="0.45">
      <c r="A3587" t="s">
        <v>5308</v>
      </c>
      <c r="B3587" t="s">
        <v>5309</v>
      </c>
      <c r="C3587" t="s">
        <v>5310</v>
      </c>
      <c r="D3587" t="s">
        <v>273</v>
      </c>
      <c r="E3587" s="1">
        <v>46152.660543981481</v>
      </c>
      <c r="F3587">
        <v>1547</v>
      </c>
      <c r="G3587" t="s">
        <v>5311</v>
      </c>
      <c r="H3587" t="s">
        <v>15</v>
      </c>
      <c r="I3587" t="s">
        <v>274</v>
      </c>
      <c r="J3587" t="str">
        <f>RIGHT(D3587,4)</f>
        <v>6367</v>
      </c>
      <c r="K3587" t="str">
        <f>IFERROR(VLOOKUP(VALUE(J3587),'Site Info'!$A:$G,3,FALSE),"")</f>
        <v>9665 FM 1960 BYPASS</v>
      </c>
      <c r="L3587" t="str">
        <f>IFERROR(VLOOKUP(VALUE(J3587),'Site Info'!$A:$G,4,FALSE),"")</f>
        <v>HUMBLE</v>
      </c>
      <c r="M3587" t="str">
        <f>IFERROR(VLOOKUP(VALUE(J3587),'Site Info'!$A:$G,5,FALSE),"")</f>
        <v>TX</v>
      </c>
      <c r="N3587" t="str">
        <f>IFERROR(VLOOKUP(VALUE(J3587),'Site Info'!$A:$G,6,FALSE),"")</f>
        <v>77338-4043</v>
      </c>
      <c r="O3587">
        <f>IFERROR(VLOOKUP(VALUE(J3587),'Site Info'!$A:$G,7,FALSE),"")</f>
        <v>2815481211</v>
      </c>
    </row>
    <row r="3588" spans="1:15" x14ac:dyDescent="0.45">
      <c r="A3588" t="s">
        <v>5280</v>
      </c>
      <c r="B3588" t="s">
        <v>5281</v>
      </c>
      <c r="C3588" t="s">
        <v>5282</v>
      </c>
      <c r="D3588" t="s">
        <v>273</v>
      </c>
      <c r="E3588" s="1">
        <v>46153.341909722221</v>
      </c>
      <c r="F3588">
        <v>1547</v>
      </c>
      <c r="G3588" t="s">
        <v>5283</v>
      </c>
      <c r="H3588" t="s">
        <v>15</v>
      </c>
      <c r="I3588" t="s">
        <v>274</v>
      </c>
      <c r="J3588" t="str">
        <f>RIGHT(D3588,4)</f>
        <v>6367</v>
      </c>
      <c r="K3588" t="str">
        <f>IFERROR(VLOOKUP(VALUE(J3588),'Site Info'!$A:$G,3,FALSE),"")</f>
        <v>9665 FM 1960 BYPASS</v>
      </c>
      <c r="L3588" t="str">
        <f>IFERROR(VLOOKUP(VALUE(J3588),'Site Info'!$A:$G,4,FALSE),"")</f>
        <v>HUMBLE</v>
      </c>
      <c r="M3588" t="str">
        <f>IFERROR(VLOOKUP(VALUE(J3588),'Site Info'!$A:$G,5,FALSE),"")</f>
        <v>TX</v>
      </c>
      <c r="N3588" t="str">
        <f>IFERROR(VLOOKUP(VALUE(J3588),'Site Info'!$A:$G,6,FALSE),"")</f>
        <v>77338-4043</v>
      </c>
      <c r="O3588">
        <f>IFERROR(VLOOKUP(VALUE(J3588),'Site Info'!$A:$G,7,FALSE),"")</f>
        <v>2815481211</v>
      </c>
    </row>
    <row r="3589" spans="1:15" x14ac:dyDescent="0.45">
      <c r="A3589" t="s">
        <v>5182</v>
      </c>
      <c r="B3589" t="s">
        <v>5183</v>
      </c>
      <c r="C3589" t="s">
        <v>5184</v>
      </c>
      <c r="D3589" t="s">
        <v>273</v>
      </c>
      <c r="E3589" s="1">
        <v>46153.345324074071</v>
      </c>
      <c r="F3589">
        <v>1547</v>
      </c>
      <c r="G3589" t="s">
        <v>5185</v>
      </c>
      <c r="H3589" t="s">
        <v>15</v>
      </c>
      <c r="I3589" t="s">
        <v>274</v>
      </c>
      <c r="J3589" t="str">
        <f>RIGHT(D3589,4)</f>
        <v>6367</v>
      </c>
      <c r="K3589" t="str">
        <f>IFERROR(VLOOKUP(VALUE(J3589),'Site Info'!$A:$G,3,FALSE),"")</f>
        <v>9665 FM 1960 BYPASS</v>
      </c>
      <c r="L3589" t="str">
        <f>IFERROR(VLOOKUP(VALUE(J3589),'Site Info'!$A:$G,4,FALSE),"")</f>
        <v>HUMBLE</v>
      </c>
      <c r="M3589" t="str">
        <f>IFERROR(VLOOKUP(VALUE(J3589),'Site Info'!$A:$G,5,FALSE),"")</f>
        <v>TX</v>
      </c>
      <c r="N3589" t="str">
        <f>IFERROR(VLOOKUP(VALUE(J3589),'Site Info'!$A:$G,6,FALSE),"")</f>
        <v>77338-4043</v>
      </c>
      <c r="O3589">
        <f>IFERROR(VLOOKUP(VALUE(J3589),'Site Info'!$A:$G,7,FALSE),"")</f>
        <v>2815481211</v>
      </c>
    </row>
    <row r="3590" spans="1:15" x14ac:dyDescent="0.45">
      <c r="A3590" t="s">
        <v>2859</v>
      </c>
      <c r="B3590" t="s">
        <v>2860</v>
      </c>
      <c r="C3590" t="s">
        <v>2861</v>
      </c>
      <c r="D3590" t="s">
        <v>273</v>
      </c>
      <c r="E3590" s="1">
        <v>46153.325613425928</v>
      </c>
      <c r="F3590">
        <v>1481</v>
      </c>
      <c r="G3590" t="s">
        <v>2862</v>
      </c>
      <c r="H3590" t="s">
        <v>15</v>
      </c>
      <c r="I3590" t="s">
        <v>274</v>
      </c>
      <c r="J3590" t="str">
        <f>RIGHT(D3590,4)</f>
        <v>6367</v>
      </c>
      <c r="K3590" t="str">
        <f>IFERROR(VLOOKUP(VALUE(J3590),'Site Info'!$A:$G,3,FALSE),"")</f>
        <v>9665 FM 1960 BYPASS</v>
      </c>
      <c r="L3590" t="str">
        <f>IFERROR(VLOOKUP(VALUE(J3590),'Site Info'!$A:$G,4,FALSE),"")</f>
        <v>HUMBLE</v>
      </c>
      <c r="M3590" t="str">
        <f>IFERROR(VLOOKUP(VALUE(J3590),'Site Info'!$A:$G,5,FALSE),"")</f>
        <v>TX</v>
      </c>
      <c r="N3590" t="str">
        <f>IFERROR(VLOOKUP(VALUE(J3590),'Site Info'!$A:$G,6,FALSE),"")</f>
        <v>77338-4043</v>
      </c>
      <c r="O3590">
        <f>IFERROR(VLOOKUP(VALUE(J3590),'Site Info'!$A:$G,7,FALSE),"")</f>
        <v>2815481211</v>
      </c>
    </row>
    <row r="3591" spans="1:15" x14ac:dyDescent="0.45">
      <c r="A3591" t="s">
        <v>10348</v>
      </c>
      <c r="B3591" t="s">
        <v>10349</v>
      </c>
      <c r="C3591" t="s">
        <v>10350</v>
      </c>
      <c r="D3591" t="s">
        <v>9152</v>
      </c>
      <c r="E3591" s="1">
        <v>46150.343865740739</v>
      </c>
      <c r="F3591">
        <v>1547</v>
      </c>
      <c r="G3591" t="s">
        <v>10351</v>
      </c>
      <c r="H3591" t="s">
        <v>15</v>
      </c>
      <c r="I3591" t="s">
        <v>9154</v>
      </c>
      <c r="J3591" t="str">
        <f>RIGHT(D3591,4)</f>
        <v>6365</v>
      </c>
      <c r="K3591" t="str">
        <f>IFERROR(VLOOKUP(VALUE(J3591),'Site Info'!$A:$G,3,FALSE),"")</f>
        <v>970 HILTON HEIGHTS RD</v>
      </c>
      <c r="L3591" t="str">
        <f>IFERROR(VLOOKUP(VALUE(J3591),'Site Info'!$A:$G,4,FALSE),"")</f>
        <v>CHARLOTTESVILLE</v>
      </c>
      <c r="M3591" t="str">
        <f>IFERROR(VLOOKUP(VALUE(J3591),'Site Info'!$A:$G,5,FALSE),"")</f>
        <v>VA</v>
      </c>
      <c r="N3591" t="str">
        <f>IFERROR(VLOOKUP(VALUE(J3591),'Site Info'!$A:$G,6,FALSE),"")</f>
        <v>22901-8393</v>
      </c>
      <c r="O3591">
        <f>IFERROR(VLOOKUP(VALUE(J3591),'Site Info'!$A:$G,7,FALSE),"")</f>
        <v>4349782122</v>
      </c>
    </row>
    <row r="3592" spans="1:15" x14ac:dyDescent="0.45">
      <c r="A3592" t="s">
        <v>9149</v>
      </c>
      <c r="B3592" t="s">
        <v>9150</v>
      </c>
      <c r="C3592" t="s">
        <v>9151</v>
      </c>
      <c r="D3592" t="s">
        <v>9152</v>
      </c>
      <c r="E3592" s="1">
        <v>46153.138101851851</v>
      </c>
      <c r="F3592">
        <v>1547</v>
      </c>
      <c r="G3592" t="s">
        <v>9153</v>
      </c>
      <c r="H3592" t="s">
        <v>15</v>
      </c>
      <c r="I3592" t="s">
        <v>9154</v>
      </c>
      <c r="J3592" t="str">
        <f>RIGHT(D3592,4)</f>
        <v>6365</v>
      </c>
      <c r="K3592" t="str">
        <f>IFERROR(VLOOKUP(VALUE(J3592),'Site Info'!$A:$G,3,FALSE),"")</f>
        <v>970 HILTON HEIGHTS RD</v>
      </c>
      <c r="L3592" t="str">
        <f>IFERROR(VLOOKUP(VALUE(J3592),'Site Info'!$A:$G,4,FALSE),"")</f>
        <v>CHARLOTTESVILLE</v>
      </c>
      <c r="M3592" t="str">
        <f>IFERROR(VLOOKUP(VALUE(J3592),'Site Info'!$A:$G,5,FALSE),"")</f>
        <v>VA</v>
      </c>
      <c r="N3592" t="str">
        <f>IFERROR(VLOOKUP(VALUE(J3592),'Site Info'!$A:$G,6,FALSE),"")</f>
        <v>22901-8393</v>
      </c>
      <c r="O3592">
        <f>IFERROR(VLOOKUP(VALUE(J3592),'Site Info'!$A:$G,7,FALSE),"")</f>
        <v>4349782122</v>
      </c>
    </row>
    <row r="3593" spans="1:15" x14ac:dyDescent="0.45">
      <c r="A3593" t="s">
        <v>11260</v>
      </c>
      <c r="B3593" t="s">
        <v>11261</v>
      </c>
      <c r="C3593" t="s">
        <v>11262</v>
      </c>
      <c r="D3593" t="s">
        <v>9152</v>
      </c>
      <c r="E3593" s="1">
        <v>46153.36010416667</v>
      </c>
      <c r="F3593">
        <v>1547</v>
      </c>
      <c r="G3593" t="s">
        <v>11263</v>
      </c>
      <c r="H3593" t="s">
        <v>15</v>
      </c>
      <c r="I3593" t="s">
        <v>9154</v>
      </c>
      <c r="J3593" t="str">
        <f>RIGHT(D3593,4)</f>
        <v>6365</v>
      </c>
      <c r="K3593" t="str">
        <f>IFERROR(VLOOKUP(VALUE(J3593),'Site Info'!$A:$G,3,FALSE),"")</f>
        <v>970 HILTON HEIGHTS RD</v>
      </c>
      <c r="L3593" t="str">
        <f>IFERROR(VLOOKUP(VALUE(J3593),'Site Info'!$A:$G,4,FALSE),"")</f>
        <v>CHARLOTTESVILLE</v>
      </c>
      <c r="M3593" t="str">
        <f>IFERROR(VLOOKUP(VALUE(J3593),'Site Info'!$A:$G,5,FALSE),"")</f>
        <v>VA</v>
      </c>
      <c r="N3593" t="str">
        <f>IFERROR(VLOOKUP(VALUE(J3593),'Site Info'!$A:$G,6,FALSE),"")</f>
        <v>22901-8393</v>
      </c>
      <c r="O3593">
        <f>IFERROR(VLOOKUP(VALUE(J3593),'Site Info'!$A:$G,7,FALSE),"")</f>
        <v>4349782122</v>
      </c>
    </row>
    <row r="3594" spans="1:15" x14ac:dyDescent="0.45">
      <c r="A3594" t="s">
        <v>11558</v>
      </c>
      <c r="B3594" t="s">
        <v>11559</v>
      </c>
      <c r="C3594" t="s">
        <v>11560</v>
      </c>
      <c r="D3594" t="s">
        <v>9152</v>
      </c>
      <c r="E3594" s="1">
        <v>46153.361944444441</v>
      </c>
      <c r="F3594">
        <v>1547</v>
      </c>
      <c r="G3594" t="s">
        <v>11561</v>
      </c>
      <c r="H3594" t="s">
        <v>15</v>
      </c>
      <c r="I3594" t="s">
        <v>9154</v>
      </c>
      <c r="J3594" t="str">
        <f>RIGHT(D3594,4)</f>
        <v>6365</v>
      </c>
      <c r="K3594" t="str">
        <f>IFERROR(VLOOKUP(VALUE(J3594),'Site Info'!$A:$G,3,FALSE),"")</f>
        <v>970 HILTON HEIGHTS RD</v>
      </c>
      <c r="L3594" t="str">
        <f>IFERROR(VLOOKUP(VALUE(J3594),'Site Info'!$A:$G,4,FALSE),"")</f>
        <v>CHARLOTTESVILLE</v>
      </c>
      <c r="M3594" t="str">
        <f>IFERROR(VLOOKUP(VALUE(J3594),'Site Info'!$A:$G,5,FALSE),"")</f>
        <v>VA</v>
      </c>
      <c r="N3594" t="str">
        <f>IFERROR(VLOOKUP(VALUE(J3594),'Site Info'!$A:$G,6,FALSE),"")</f>
        <v>22901-8393</v>
      </c>
      <c r="O3594">
        <f>IFERROR(VLOOKUP(VALUE(J3594),'Site Info'!$A:$G,7,FALSE),"")</f>
        <v>4349782122</v>
      </c>
    </row>
    <row r="3595" spans="1:15" x14ac:dyDescent="0.45">
      <c r="A3595" t="s">
        <v>9231</v>
      </c>
      <c r="B3595" t="s">
        <v>9232</v>
      </c>
      <c r="C3595" t="s">
        <v>9233</v>
      </c>
      <c r="D3595" t="s">
        <v>9152</v>
      </c>
      <c r="E3595" s="1">
        <v>46153.372719907406</v>
      </c>
      <c r="F3595">
        <v>1547</v>
      </c>
      <c r="G3595" t="s">
        <v>9234</v>
      </c>
      <c r="H3595" t="s">
        <v>15</v>
      </c>
      <c r="I3595" t="s">
        <v>9154</v>
      </c>
      <c r="J3595" t="str">
        <f>RIGHT(D3595,4)</f>
        <v>6365</v>
      </c>
      <c r="K3595" t="str">
        <f>IFERROR(VLOOKUP(VALUE(J3595),'Site Info'!$A:$G,3,FALSE),"")</f>
        <v>970 HILTON HEIGHTS RD</v>
      </c>
      <c r="L3595" t="str">
        <f>IFERROR(VLOOKUP(VALUE(J3595),'Site Info'!$A:$G,4,FALSE),"")</f>
        <v>CHARLOTTESVILLE</v>
      </c>
      <c r="M3595" t="str">
        <f>IFERROR(VLOOKUP(VALUE(J3595),'Site Info'!$A:$G,5,FALSE),"")</f>
        <v>VA</v>
      </c>
      <c r="N3595" t="str">
        <f>IFERROR(VLOOKUP(VALUE(J3595),'Site Info'!$A:$G,6,FALSE),"")</f>
        <v>22901-8393</v>
      </c>
      <c r="O3595">
        <f>IFERROR(VLOOKUP(VALUE(J3595),'Site Info'!$A:$G,7,FALSE),"")</f>
        <v>4349782122</v>
      </c>
    </row>
    <row r="3596" spans="1:15" x14ac:dyDescent="0.45">
      <c r="A3596" t="s">
        <v>11081</v>
      </c>
      <c r="B3596" t="s">
        <v>11082</v>
      </c>
      <c r="C3596" t="s">
        <v>11083</v>
      </c>
      <c r="D3596" t="s">
        <v>4419</v>
      </c>
      <c r="E3596" s="1">
        <v>46150.634594907409</v>
      </c>
      <c r="F3596">
        <v>1547</v>
      </c>
      <c r="G3596" t="s">
        <v>11084</v>
      </c>
      <c r="H3596" t="s">
        <v>15</v>
      </c>
      <c r="I3596" t="s">
        <v>11085</v>
      </c>
      <c r="J3596" t="str">
        <f>RIGHT(D3596,4)</f>
        <v>6453</v>
      </c>
      <c r="K3596" t="str">
        <f>IFERROR(VLOOKUP(VALUE(J3596),'Site Info'!$A:$G,3,FALSE),"")</f>
        <v>9700 N CAPITAL OF TX HWY</v>
      </c>
      <c r="L3596" t="str">
        <f>IFERROR(VLOOKUP(VALUE(J3596),'Site Info'!$A:$G,4,FALSE),"")</f>
        <v>AUSTIN</v>
      </c>
      <c r="M3596" t="str">
        <f>IFERROR(VLOOKUP(VALUE(J3596),'Site Info'!$A:$G,5,FALSE),"")</f>
        <v>TX</v>
      </c>
      <c r="N3596" t="str">
        <f>IFERROR(VLOOKUP(VALUE(J3596),'Site Info'!$A:$G,6,FALSE),"")</f>
        <v>78759-5819</v>
      </c>
      <c r="O3596">
        <f>IFERROR(VLOOKUP(VALUE(J3596),'Site Info'!$A:$G,7,FALSE),"")</f>
        <v>5123438262</v>
      </c>
    </row>
    <row r="3597" spans="1:15" x14ac:dyDescent="0.45">
      <c r="A3597" t="s">
        <v>11116</v>
      </c>
      <c r="B3597" t="s">
        <v>11117</v>
      </c>
      <c r="C3597" t="s">
        <v>11118</v>
      </c>
      <c r="D3597" t="s">
        <v>4419</v>
      </c>
      <c r="E3597" s="1">
        <v>46151.685624999998</v>
      </c>
      <c r="F3597">
        <v>1547</v>
      </c>
      <c r="G3597" t="s">
        <v>11119</v>
      </c>
      <c r="H3597" t="s">
        <v>15</v>
      </c>
      <c r="I3597" t="s">
        <v>4421</v>
      </c>
      <c r="J3597" t="str">
        <f>RIGHT(D3597,4)</f>
        <v>6453</v>
      </c>
      <c r="K3597" t="str">
        <f>IFERROR(VLOOKUP(VALUE(J3597),'Site Info'!$A:$G,3,FALSE),"")</f>
        <v>9700 N CAPITAL OF TX HWY</v>
      </c>
      <c r="L3597" t="str">
        <f>IFERROR(VLOOKUP(VALUE(J3597),'Site Info'!$A:$G,4,FALSE),"")</f>
        <v>AUSTIN</v>
      </c>
      <c r="M3597" t="str">
        <f>IFERROR(VLOOKUP(VALUE(J3597),'Site Info'!$A:$G,5,FALSE),"")</f>
        <v>TX</v>
      </c>
      <c r="N3597" t="str">
        <f>IFERROR(VLOOKUP(VALUE(J3597),'Site Info'!$A:$G,6,FALSE),"")</f>
        <v>78759-5819</v>
      </c>
      <c r="O3597">
        <f>IFERROR(VLOOKUP(VALUE(J3597),'Site Info'!$A:$G,7,FALSE),"")</f>
        <v>5123438262</v>
      </c>
    </row>
    <row r="3598" spans="1:15" x14ac:dyDescent="0.45">
      <c r="A3598" t="s">
        <v>4416</v>
      </c>
      <c r="B3598" t="s">
        <v>4417</v>
      </c>
      <c r="C3598" t="s">
        <v>4418</v>
      </c>
      <c r="D3598" t="s">
        <v>4419</v>
      </c>
      <c r="E3598" s="1">
        <v>46152.700775462959</v>
      </c>
      <c r="F3598">
        <v>1547</v>
      </c>
      <c r="G3598" t="s">
        <v>4420</v>
      </c>
      <c r="H3598" t="s">
        <v>15</v>
      </c>
      <c r="I3598" t="s">
        <v>4421</v>
      </c>
      <c r="J3598" t="str">
        <f>RIGHT(D3598,4)</f>
        <v>6453</v>
      </c>
      <c r="K3598" t="str">
        <f>IFERROR(VLOOKUP(VALUE(J3598),'Site Info'!$A:$G,3,FALSE),"")</f>
        <v>9700 N CAPITAL OF TX HWY</v>
      </c>
      <c r="L3598" t="str">
        <f>IFERROR(VLOOKUP(VALUE(J3598),'Site Info'!$A:$G,4,FALSE),"")</f>
        <v>AUSTIN</v>
      </c>
      <c r="M3598" t="str">
        <f>IFERROR(VLOOKUP(VALUE(J3598),'Site Info'!$A:$G,5,FALSE),"")</f>
        <v>TX</v>
      </c>
      <c r="N3598" t="str">
        <f>IFERROR(VLOOKUP(VALUE(J3598),'Site Info'!$A:$G,6,FALSE),"")</f>
        <v>78759-5819</v>
      </c>
      <c r="O3598">
        <f>IFERROR(VLOOKUP(VALUE(J3598),'Site Info'!$A:$G,7,FALSE),"")</f>
        <v>5123438262</v>
      </c>
    </row>
    <row r="3599" spans="1:15" x14ac:dyDescent="0.45">
      <c r="A3599" t="s">
        <v>14616</v>
      </c>
      <c r="B3599" t="s">
        <v>14617</v>
      </c>
      <c r="C3599" t="s">
        <v>14618</v>
      </c>
      <c r="D3599" t="s">
        <v>4419</v>
      </c>
      <c r="E3599" s="1">
        <v>46153.212037037039</v>
      </c>
      <c r="F3599">
        <v>1547</v>
      </c>
      <c r="G3599" t="s">
        <v>14619</v>
      </c>
      <c r="H3599" t="s">
        <v>15</v>
      </c>
      <c r="I3599" t="s">
        <v>4421</v>
      </c>
      <c r="J3599" t="str">
        <f>RIGHT(D3599,4)</f>
        <v>6453</v>
      </c>
      <c r="K3599" t="str">
        <f>IFERROR(VLOOKUP(VALUE(J3599),'Site Info'!$A:$G,3,FALSE),"")</f>
        <v>9700 N CAPITAL OF TX HWY</v>
      </c>
      <c r="L3599" t="str">
        <f>IFERROR(VLOOKUP(VALUE(J3599),'Site Info'!$A:$G,4,FALSE),"")</f>
        <v>AUSTIN</v>
      </c>
      <c r="M3599" t="str">
        <f>IFERROR(VLOOKUP(VALUE(J3599),'Site Info'!$A:$G,5,FALSE),"")</f>
        <v>TX</v>
      </c>
      <c r="N3599" t="str">
        <f>IFERROR(VLOOKUP(VALUE(J3599),'Site Info'!$A:$G,6,FALSE),"")</f>
        <v>78759-5819</v>
      </c>
      <c r="O3599">
        <f>IFERROR(VLOOKUP(VALUE(J3599),'Site Info'!$A:$G,7,FALSE),"")</f>
        <v>5123438262</v>
      </c>
    </row>
    <row r="3600" spans="1:15" x14ac:dyDescent="0.45">
      <c r="A3600" t="s">
        <v>14051</v>
      </c>
      <c r="B3600" t="s">
        <v>14052</v>
      </c>
      <c r="C3600" t="s">
        <v>14053</v>
      </c>
      <c r="D3600" t="s">
        <v>4419</v>
      </c>
      <c r="E3600" s="1">
        <v>46153.304872685185</v>
      </c>
      <c r="F3600">
        <v>1547</v>
      </c>
      <c r="G3600" t="s">
        <v>14054</v>
      </c>
      <c r="H3600" t="s">
        <v>15</v>
      </c>
      <c r="I3600" t="s">
        <v>4421</v>
      </c>
      <c r="J3600" t="str">
        <f>RIGHT(D3600,4)</f>
        <v>6453</v>
      </c>
      <c r="K3600" t="str">
        <f>IFERROR(VLOOKUP(VALUE(J3600),'Site Info'!$A:$G,3,FALSE),"")</f>
        <v>9700 N CAPITAL OF TX HWY</v>
      </c>
      <c r="L3600" t="str">
        <f>IFERROR(VLOOKUP(VALUE(J3600),'Site Info'!$A:$G,4,FALSE),"")</f>
        <v>AUSTIN</v>
      </c>
      <c r="M3600" t="str">
        <f>IFERROR(VLOOKUP(VALUE(J3600),'Site Info'!$A:$G,5,FALSE),"")</f>
        <v>TX</v>
      </c>
      <c r="N3600" t="str">
        <f>IFERROR(VLOOKUP(VALUE(J3600),'Site Info'!$A:$G,6,FALSE),"")</f>
        <v>78759-5819</v>
      </c>
      <c r="O3600">
        <f>IFERROR(VLOOKUP(VALUE(J3600),'Site Info'!$A:$G,7,FALSE),"")</f>
        <v>5123438262</v>
      </c>
    </row>
    <row r="3601" spans="1:15" x14ac:dyDescent="0.45">
      <c r="A3601" t="s">
        <v>5752</v>
      </c>
      <c r="B3601" t="s">
        <v>5753</v>
      </c>
      <c r="C3601" t="s">
        <v>5754</v>
      </c>
      <c r="D3601" t="s">
        <v>4419</v>
      </c>
      <c r="E3601" s="1">
        <v>46153.348865740743</v>
      </c>
      <c r="F3601">
        <v>1547</v>
      </c>
      <c r="G3601" t="s">
        <v>5755</v>
      </c>
      <c r="H3601" t="s">
        <v>15</v>
      </c>
      <c r="I3601" t="s">
        <v>4421</v>
      </c>
      <c r="J3601" t="str">
        <f>RIGHT(D3601,4)</f>
        <v>6453</v>
      </c>
      <c r="K3601" t="str">
        <f>IFERROR(VLOOKUP(VALUE(J3601),'Site Info'!$A:$G,3,FALSE),"")</f>
        <v>9700 N CAPITAL OF TX HWY</v>
      </c>
      <c r="L3601" t="str">
        <f>IFERROR(VLOOKUP(VALUE(J3601),'Site Info'!$A:$G,4,FALSE),"")</f>
        <v>AUSTIN</v>
      </c>
      <c r="M3601" t="str">
        <f>IFERROR(VLOOKUP(VALUE(J3601),'Site Info'!$A:$G,5,FALSE),"")</f>
        <v>TX</v>
      </c>
      <c r="N3601" t="str">
        <f>IFERROR(VLOOKUP(VALUE(J3601),'Site Info'!$A:$G,6,FALSE),"")</f>
        <v>78759-5819</v>
      </c>
      <c r="O3601">
        <f>IFERROR(VLOOKUP(VALUE(J3601),'Site Info'!$A:$G,7,FALSE),"")</f>
        <v>5123438262</v>
      </c>
    </row>
    <row r="3602" spans="1:15" x14ac:dyDescent="0.45">
      <c r="A3602" t="s">
        <v>8833</v>
      </c>
      <c r="B3602" t="s">
        <v>8834</v>
      </c>
      <c r="C3602" t="s">
        <v>8835</v>
      </c>
      <c r="D3602" t="s">
        <v>7245</v>
      </c>
      <c r="E3602" s="1">
        <v>46151.685833333337</v>
      </c>
      <c r="F3602">
        <v>1547</v>
      </c>
      <c r="G3602" t="s">
        <v>8836</v>
      </c>
      <c r="H3602" t="s">
        <v>15</v>
      </c>
      <c r="I3602" t="s">
        <v>7247</v>
      </c>
      <c r="J3602" t="str">
        <f>RIGHT(D3602,4)</f>
        <v>6181</v>
      </c>
      <c r="K3602" t="str">
        <f>IFERROR(VLOOKUP(VALUE(J3602),'Site Info'!$A:$G,3,FALSE),"")</f>
        <v>9851 S. 71ST PLAZA</v>
      </c>
      <c r="L3602" t="str">
        <f>IFERROR(VLOOKUP(VALUE(J3602),'Site Info'!$A:$G,4,FALSE),"")</f>
        <v>PAPILLION</v>
      </c>
      <c r="M3602" t="str">
        <f>IFERROR(VLOOKUP(VALUE(J3602),'Site Info'!$A:$G,5,FALSE),"")</f>
        <v>NE</v>
      </c>
      <c r="N3602" t="str">
        <f>IFERROR(VLOOKUP(VALUE(J3602),'Site Info'!$A:$G,6,FALSE),"")</f>
        <v>68133-0000</v>
      </c>
      <c r="O3602">
        <f>IFERROR(VLOOKUP(VALUE(J3602),'Site Info'!$A:$G,7,FALSE),"")</f>
        <v>4026862379</v>
      </c>
    </row>
    <row r="3603" spans="1:15" x14ac:dyDescent="0.45">
      <c r="A3603" t="s">
        <v>13707</v>
      </c>
      <c r="B3603" t="s">
        <v>13708</v>
      </c>
      <c r="C3603" t="s">
        <v>13709</v>
      </c>
      <c r="D3603" t="s">
        <v>7245</v>
      </c>
      <c r="E3603" s="1">
        <v>46152.334861111114</v>
      </c>
      <c r="F3603">
        <v>1547</v>
      </c>
      <c r="G3603" t="s">
        <v>13710</v>
      </c>
      <c r="H3603" t="s">
        <v>15</v>
      </c>
      <c r="I3603" t="s">
        <v>7247</v>
      </c>
      <c r="J3603" t="str">
        <f>RIGHT(D3603,4)</f>
        <v>6181</v>
      </c>
      <c r="K3603" t="str">
        <f>IFERROR(VLOOKUP(VALUE(J3603),'Site Info'!$A:$G,3,FALSE),"")</f>
        <v>9851 S. 71ST PLAZA</v>
      </c>
      <c r="L3603" t="str">
        <f>IFERROR(VLOOKUP(VALUE(J3603),'Site Info'!$A:$G,4,FALSE),"")</f>
        <v>PAPILLION</v>
      </c>
      <c r="M3603" t="str">
        <f>IFERROR(VLOOKUP(VALUE(J3603),'Site Info'!$A:$G,5,FALSE),"")</f>
        <v>NE</v>
      </c>
      <c r="N3603" t="str">
        <f>IFERROR(VLOOKUP(VALUE(J3603),'Site Info'!$A:$G,6,FALSE),"")</f>
        <v>68133-0000</v>
      </c>
      <c r="O3603">
        <f>IFERROR(VLOOKUP(VALUE(J3603),'Site Info'!$A:$G,7,FALSE),"")</f>
        <v>4026862379</v>
      </c>
    </row>
    <row r="3604" spans="1:15" x14ac:dyDescent="0.45">
      <c r="A3604" t="s">
        <v>7843</v>
      </c>
      <c r="B3604" t="s">
        <v>7844</v>
      </c>
      <c r="C3604" t="s">
        <v>7845</v>
      </c>
      <c r="D3604" t="s">
        <v>7245</v>
      </c>
      <c r="E3604" s="1">
        <v>46152.505520833336</v>
      </c>
      <c r="F3604">
        <v>1547</v>
      </c>
      <c r="G3604" t="s">
        <v>7846</v>
      </c>
      <c r="H3604" t="s">
        <v>15</v>
      </c>
      <c r="I3604" t="s">
        <v>7247</v>
      </c>
      <c r="J3604" t="str">
        <f>RIGHT(D3604,4)</f>
        <v>6181</v>
      </c>
      <c r="K3604" t="str">
        <f>IFERROR(VLOOKUP(VALUE(J3604),'Site Info'!$A:$G,3,FALSE),"")</f>
        <v>9851 S. 71ST PLAZA</v>
      </c>
      <c r="L3604" t="str">
        <f>IFERROR(VLOOKUP(VALUE(J3604),'Site Info'!$A:$G,4,FALSE),"")</f>
        <v>PAPILLION</v>
      </c>
      <c r="M3604" t="str">
        <f>IFERROR(VLOOKUP(VALUE(J3604),'Site Info'!$A:$G,5,FALSE),"")</f>
        <v>NE</v>
      </c>
      <c r="N3604" t="str">
        <f>IFERROR(VLOOKUP(VALUE(J3604),'Site Info'!$A:$G,6,FALSE),"")</f>
        <v>68133-0000</v>
      </c>
      <c r="O3604">
        <f>IFERROR(VLOOKUP(VALUE(J3604),'Site Info'!$A:$G,7,FALSE),"")</f>
        <v>4026862379</v>
      </c>
    </row>
    <row r="3605" spans="1:15" x14ac:dyDescent="0.45">
      <c r="A3605" t="s">
        <v>7242</v>
      </c>
      <c r="B3605" t="s">
        <v>7243</v>
      </c>
      <c r="C3605" t="s">
        <v>7244</v>
      </c>
      <c r="D3605" t="s">
        <v>7245</v>
      </c>
      <c r="E3605" s="1">
        <v>46152.558807870373</v>
      </c>
      <c r="F3605">
        <v>1547</v>
      </c>
      <c r="G3605" t="s">
        <v>7246</v>
      </c>
      <c r="H3605" t="s">
        <v>15</v>
      </c>
      <c r="I3605" t="s">
        <v>7247</v>
      </c>
      <c r="J3605" t="str">
        <f>RIGHT(D3605,4)</f>
        <v>6181</v>
      </c>
      <c r="K3605" t="str">
        <f>IFERROR(VLOOKUP(VALUE(J3605),'Site Info'!$A:$G,3,FALSE),"")</f>
        <v>9851 S. 71ST PLAZA</v>
      </c>
      <c r="L3605" t="str">
        <f>IFERROR(VLOOKUP(VALUE(J3605),'Site Info'!$A:$G,4,FALSE),"")</f>
        <v>PAPILLION</v>
      </c>
      <c r="M3605" t="str">
        <f>IFERROR(VLOOKUP(VALUE(J3605),'Site Info'!$A:$G,5,FALSE),"")</f>
        <v>NE</v>
      </c>
      <c r="N3605" t="str">
        <f>IFERROR(VLOOKUP(VALUE(J3605),'Site Info'!$A:$G,6,FALSE),"")</f>
        <v>68133-0000</v>
      </c>
      <c r="O3605">
        <f>IFERROR(VLOOKUP(VALUE(J3605),'Site Info'!$A:$G,7,FALSE),"")</f>
        <v>4026862379</v>
      </c>
    </row>
    <row r="3606" spans="1:15" x14ac:dyDescent="0.45">
      <c r="A3606" t="s">
        <v>8587</v>
      </c>
      <c r="B3606" t="s">
        <v>8588</v>
      </c>
      <c r="C3606" t="s">
        <v>8589</v>
      </c>
      <c r="D3606" t="s">
        <v>7245</v>
      </c>
      <c r="E3606" s="1">
        <v>46153.343518518515</v>
      </c>
      <c r="F3606">
        <v>1547</v>
      </c>
      <c r="G3606" t="s">
        <v>8590</v>
      </c>
      <c r="H3606" t="s">
        <v>15</v>
      </c>
      <c r="I3606" t="s">
        <v>7247</v>
      </c>
      <c r="J3606" t="str">
        <f>RIGHT(D3606,4)</f>
        <v>6181</v>
      </c>
      <c r="K3606" t="str">
        <f>IFERROR(VLOOKUP(VALUE(J3606),'Site Info'!$A:$G,3,FALSE),"")</f>
        <v>9851 S. 71ST PLAZA</v>
      </c>
      <c r="L3606" t="str">
        <f>IFERROR(VLOOKUP(VALUE(J3606),'Site Info'!$A:$G,4,FALSE),"")</f>
        <v>PAPILLION</v>
      </c>
      <c r="M3606" t="str">
        <f>IFERROR(VLOOKUP(VALUE(J3606),'Site Info'!$A:$G,5,FALSE),"")</f>
        <v>NE</v>
      </c>
      <c r="N3606" t="str">
        <f>IFERROR(VLOOKUP(VALUE(J3606),'Site Info'!$A:$G,6,FALSE),"")</f>
        <v>68133-0000</v>
      </c>
      <c r="O3606">
        <f>IFERROR(VLOOKUP(VALUE(J3606),'Site Info'!$A:$G,7,FALSE),"")</f>
        <v>4026862379</v>
      </c>
    </row>
    <row r="3607" spans="1:15" x14ac:dyDescent="0.45">
      <c r="A3607" t="s">
        <v>8301</v>
      </c>
      <c r="B3607" t="s">
        <v>8302</v>
      </c>
      <c r="C3607" t="s">
        <v>8303</v>
      </c>
      <c r="D3607" t="s">
        <v>7245</v>
      </c>
      <c r="E3607" s="1">
        <v>46153.351886574077</v>
      </c>
      <c r="F3607">
        <v>1547</v>
      </c>
      <c r="G3607" t="s">
        <v>8304</v>
      </c>
      <c r="H3607" t="s">
        <v>15</v>
      </c>
      <c r="I3607" t="s">
        <v>7247</v>
      </c>
      <c r="J3607" t="str">
        <f>RIGHT(D3607,4)</f>
        <v>6181</v>
      </c>
      <c r="K3607" t="str">
        <f>IFERROR(VLOOKUP(VALUE(J3607),'Site Info'!$A:$G,3,FALSE),"")</f>
        <v>9851 S. 71ST PLAZA</v>
      </c>
      <c r="L3607" t="str">
        <f>IFERROR(VLOOKUP(VALUE(J3607),'Site Info'!$A:$G,4,FALSE),"")</f>
        <v>PAPILLION</v>
      </c>
      <c r="M3607" t="str">
        <f>IFERROR(VLOOKUP(VALUE(J3607),'Site Info'!$A:$G,5,FALSE),"")</f>
        <v>NE</v>
      </c>
      <c r="N3607" t="str">
        <f>IFERROR(VLOOKUP(VALUE(J3607),'Site Info'!$A:$G,6,FALSE),"")</f>
        <v>68133-0000</v>
      </c>
      <c r="O3607">
        <f>IFERROR(VLOOKUP(VALUE(J3607),'Site Info'!$A:$G,7,FALSE),"")</f>
        <v>4026862379</v>
      </c>
    </row>
    <row r="3608" spans="1:15" x14ac:dyDescent="0.45">
      <c r="A3608" t="s">
        <v>16489</v>
      </c>
      <c r="B3608" t="s">
        <v>16599</v>
      </c>
      <c r="C3608" t="s">
        <v>16600</v>
      </c>
      <c r="D3608" t="s">
        <v>7245</v>
      </c>
      <c r="E3608" s="1">
        <v>46152.718842592592</v>
      </c>
      <c r="F3608">
        <v>1628</v>
      </c>
      <c r="G3608" t="s">
        <v>16601</v>
      </c>
      <c r="H3608" t="s">
        <v>13988</v>
      </c>
      <c r="I3608" t="s">
        <v>7247</v>
      </c>
      <c r="J3608" t="str">
        <f>RIGHT(D3608,4)</f>
        <v>6181</v>
      </c>
      <c r="K3608" t="str">
        <f>IFERROR(VLOOKUP(VALUE(J3608),'Site Info'!$A:$G,3,FALSE),"")</f>
        <v>9851 S. 71ST PLAZA</v>
      </c>
      <c r="L3608" t="str">
        <f>IFERROR(VLOOKUP(VALUE(J3608),'Site Info'!$A:$G,4,FALSE),"")</f>
        <v>PAPILLION</v>
      </c>
      <c r="M3608" t="str">
        <f>IFERROR(VLOOKUP(VALUE(J3608),'Site Info'!$A:$G,5,FALSE),"")</f>
        <v>NE</v>
      </c>
      <c r="N3608" t="str">
        <f>IFERROR(VLOOKUP(VALUE(J3608),'Site Info'!$A:$G,6,FALSE),"")</f>
        <v>68133-0000</v>
      </c>
      <c r="O3608">
        <f>IFERROR(VLOOKUP(VALUE(J3608),'Site Info'!$A:$G,7,FALSE),"")</f>
        <v>4026862379</v>
      </c>
    </row>
    <row r="3609" spans="1:15" x14ac:dyDescent="0.45">
      <c r="A3609" t="s">
        <v>16602</v>
      </c>
      <c r="B3609" t="s">
        <v>16603</v>
      </c>
      <c r="C3609" t="s">
        <v>16604</v>
      </c>
      <c r="D3609" t="s">
        <v>7245</v>
      </c>
      <c r="E3609" s="1">
        <v>46152.93041666667</v>
      </c>
      <c r="F3609">
        <v>1481</v>
      </c>
      <c r="G3609" t="s">
        <v>16605</v>
      </c>
      <c r="H3609" t="s">
        <v>15</v>
      </c>
      <c r="I3609" t="s">
        <v>7247</v>
      </c>
      <c r="J3609" t="str">
        <f>RIGHT(D3609,4)</f>
        <v>6181</v>
      </c>
      <c r="K3609" t="str">
        <f>IFERROR(VLOOKUP(VALUE(J3609),'Site Info'!$A:$G,3,FALSE),"")</f>
        <v>9851 S. 71ST PLAZA</v>
      </c>
      <c r="L3609" t="str">
        <f>IFERROR(VLOOKUP(VALUE(J3609),'Site Info'!$A:$G,4,FALSE),"")</f>
        <v>PAPILLION</v>
      </c>
      <c r="M3609" t="str">
        <f>IFERROR(VLOOKUP(VALUE(J3609),'Site Info'!$A:$G,5,FALSE),"")</f>
        <v>NE</v>
      </c>
      <c r="N3609" t="str">
        <f>IFERROR(VLOOKUP(VALUE(J3609),'Site Info'!$A:$G,6,FALSE),"")</f>
        <v>68133-0000</v>
      </c>
      <c r="O3609">
        <f>IFERROR(VLOOKUP(VALUE(J3609),'Site Info'!$A:$G,7,FALSE),"")</f>
        <v>4026862379</v>
      </c>
    </row>
    <row r="3610" spans="1:15" x14ac:dyDescent="0.45">
      <c r="A3610" t="s">
        <v>13888</v>
      </c>
      <c r="B3610" t="s">
        <v>13889</v>
      </c>
      <c r="C3610" t="s">
        <v>13890</v>
      </c>
      <c r="D3610" t="s">
        <v>11527</v>
      </c>
      <c r="E3610" s="1">
        <v>46152.608275462961</v>
      </c>
      <c r="F3610">
        <v>1547</v>
      </c>
      <c r="G3610" t="s">
        <v>13891</v>
      </c>
      <c r="H3610" t="s">
        <v>15</v>
      </c>
      <c r="I3610" t="s">
        <v>11529</v>
      </c>
      <c r="J3610" t="str">
        <f>RIGHT(D3610,4)</f>
        <v>8259</v>
      </c>
      <c r="K3610" t="str">
        <f>IFERROR(VLOOKUP(VALUE(J3610),'Site Info'!$A:$G,3,FALSE),"")</f>
        <v>9900 S INTERSTATE 35</v>
      </c>
      <c r="L3610" t="str">
        <f>IFERROR(VLOOKUP(VALUE(J3610),'Site Info'!$A:$G,4,FALSE),"")</f>
        <v>AUSTIN</v>
      </c>
      <c r="M3610" t="str">
        <f>IFERROR(VLOOKUP(VALUE(J3610),'Site Info'!$A:$G,5,FALSE),"")</f>
        <v>TX</v>
      </c>
      <c r="N3610" t="str">
        <f>IFERROR(VLOOKUP(VALUE(J3610),'Site Info'!$A:$G,6,FALSE),"")</f>
        <v>78748-3885</v>
      </c>
      <c r="O3610">
        <f>IFERROR(VLOOKUP(VALUE(J3610),'Site Info'!$A:$G,7,FALSE),"")</f>
        <v>5125824876</v>
      </c>
    </row>
    <row r="3611" spans="1:15" x14ac:dyDescent="0.45">
      <c r="A3611" t="s">
        <v>11524</v>
      </c>
      <c r="B3611" t="s">
        <v>11525</v>
      </c>
      <c r="C3611" t="s">
        <v>11526</v>
      </c>
      <c r="D3611" t="s">
        <v>11527</v>
      </c>
      <c r="E3611" s="1">
        <v>46153.357233796298</v>
      </c>
      <c r="F3611">
        <v>1547</v>
      </c>
      <c r="G3611" t="s">
        <v>11528</v>
      </c>
      <c r="H3611" t="s">
        <v>15</v>
      </c>
      <c r="I3611" t="s">
        <v>11529</v>
      </c>
      <c r="J3611" t="str">
        <f>RIGHT(D3611,4)</f>
        <v>8259</v>
      </c>
      <c r="K3611" t="str">
        <f>IFERROR(VLOOKUP(VALUE(J3611),'Site Info'!$A:$G,3,FALSE),"")</f>
        <v>9900 S INTERSTATE 35</v>
      </c>
      <c r="L3611" t="str">
        <f>IFERROR(VLOOKUP(VALUE(J3611),'Site Info'!$A:$G,4,FALSE),"")</f>
        <v>AUSTIN</v>
      </c>
      <c r="M3611" t="str">
        <f>IFERROR(VLOOKUP(VALUE(J3611),'Site Info'!$A:$G,5,FALSE),"")</f>
        <v>TX</v>
      </c>
      <c r="N3611" t="str">
        <f>IFERROR(VLOOKUP(VALUE(J3611),'Site Info'!$A:$G,6,FALSE),"")</f>
        <v>78748-3885</v>
      </c>
      <c r="O3611">
        <f>IFERROR(VLOOKUP(VALUE(J3611),'Site Info'!$A:$G,7,FALSE),"")</f>
        <v>5125824876</v>
      </c>
    </row>
    <row r="3612" spans="1:15" x14ac:dyDescent="0.45">
      <c r="A3612" t="s">
        <v>11180</v>
      </c>
      <c r="B3612" t="s">
        <v>11181</v>
      </c>
      <c r="C3612" t="s">
        <v>11182</v>
      </c>
      <c r="D3612" t="s">
        <v>1407</v>
      </c>
      <c r="E3612" s="1">
        <v>46150.645127314812</v>
      </c>
      <c r="F3612">
        <v>1547</v>
      </c>
      <c r="G3612" t="s">
        <v>11183</v>
      </c>
      <c r="H3612" t="s">
        <v>15</v>
      </c>
      <c r="I3612" t="s">
        <v>1409</v>
      </c>
      <c r="J3612" t="str">
        <f>RIGHT(D3612,4)</f>
        <v>6312</v>
      </c>
      <c r="K3612" t="str">
        <f>IFERROR(VLOOKUP(VALUE(J3612),'Site Info'!$A:$G,3,FALSE),"")</f>
        <v>9925 HUDSON RD</v>
      </c>
      <c r="L3612" t="str">
        <f>IFERROR(VLOOKUP(VALUE(J3612),'Site Info'!$A:$G,4,FALSE),"")</f>
        <v>WOODBURY</v>
      </c>
      <c r="M3612" t="str">
        <f>IFERROR(VLOOKUP(VALUE(J3612),'Site Info'!$A:$G,5,FALSE),"")</f>
        <v>MN</v>
      </c>
      <c r="N3612" t="str">
        <f>IFERROR(VLOOKUP(VALUE(J3612),'Site Info'!$A:$G,6,FALSE),"")</f>
        <v>55125-0000</v>
      </c>
      <c r="O3612">
        <f>IFERROR(VLOOKUP(VALUE(J3612),'Site Info'!$A:$G,7,FALSE),"")</f>
        <v>6517027970</v>
      </c>
    </row>
    <row r="3613" spans="1:15" x14ac:dyDescent="0.45">
      <c r="A3613" t="s">
        <v>12886</v>
      </c>
      <c r="B3613" t="s">
        <v>12887</v>
      </c>
      <c r="C3613" t="s">
        <v>12888</v>
      </c>
      <c r="D3613" t="s">
        <v>1407</v>
      </c>
      <c r="E3613" s="1">
        <v>46151.758761574078</v>
      </c>
      <c r="F3613">
        <v>1547</v>
      </c>
      <c r="G3613" t="s">
        <v>12889</v>
      </c>
      <c r="H3613" t="s">
        <v>15</v>
      </c>
      <c r="I3613" t="s">
        <v>1409</v>
      </c>
      <c r="J3613" t="str">
        <f>RIGHT(D3613,4)</f>
        <v>6312</v>
      </c>
      <c r="K3613" t="str">
        <f>IFERROR(VLOOKUP(VALUE(J3613),'Site Info'!$A:$G,3,FALSE),"")</f>
        <v>9925 HUDSON RD</v>
      </c>
      <c r="L3613" t="str">
        <f>IFERROR(VLOOKUP(VALUE(J3613),'Site Info'!$A:$G,4,FALSE),"")</f>
        <v>WOODBURY</v>
      </c>
      <c r="M3613" t="str">
        <f>IFERROR(VLOOKUP(VALUE(J3613),'Site Info'!$A:$G,5,FALSE),"")</f>
        <v>MN</v>
      </c>
      <c r="N3613" t="str">
        <f>IFERROR(VLOOKUP(VALUE(J3613),'Site Info'!$A:$G,6,FALSE),"")</f>
        <v>55125-0000</v>
      </c>
      <c r="O3613">
        <f>IFERROR(VLOOKUP(VALUE(J3613),'Site Info'!$A:$G,7,FALSE),"")</f>
        <v>6517027970</v>
      </c>
    </row>
    <row r="3614" spans="1:15" x14ac:dyDescent="0.45">
      <c r="A3614" t="s">
        <v>13335</v>
      </c>
      <c r="B3614" t="s">
        <v>13336</v>
      </c>
      <c r="C3614" t="s">
        <v>13337</v>
      </c>
      <c r="D3614" t="s">
        <v>1407</v>
      </c>
      <c r="E3614" s="1">
        <v>46152.238854166666</v>
      </c>
      <c r="F3614">
        <v>1547</v>
      </c>
      <c r="G3614" t="s">
        <v>13338</v>
      </c>
      <c r="H3614" t="s">
        <v>15</v>
      </c>
      <c r="I3614" t="s">
        <v>1409</v>
      </c>
      <c r="J3614" t="str">
        <f>RIGHT(D3614,4)</f>
        <v>6312</v>
      </c>
      <c r="K3614" t="str">
        <f>IFERROR(VLOOKUP(VALUE(J3614),'Site Info'!$A:$G,3,FALSE),"")</f>
        <v>9925 HUDSON RD</v>
      </c>
      <c r="L3614" t="str">
        <f>IFERROR(VLOOKUP(VALUE(J3614),'Site Info'!$A:$G,4,FALSE),"")</f>
        <v>WOODBURY</v>
      </c>
      <c r="M3614" t="str">
        <f>IFERROR(VLOOKUP(VALUE(J3614),'Site Info'!$A:$G,5,FALSE),"")</f>
        <v>MN</v>
      </c>
      <c r="N3614" t="str">
        <f>IFERROR(VLOOKUP(VALUE(J3614),'Site Info'!$A:$G,6,FALSE),"")</f>
        <v>55125-0000</v>
      </c>
      <c r="O3614">
        <f>IFERROR(VLOOKUP(VALUE(J3614),'Site Info'!$A:$G,7,FALSE),"")</f>
        <v>6517027970</v>
      </c>
    </row>
    <row r="3615" spans="1:15" x14ac:dyDescent="0.45">
      <c r="A3615" t="s">
        <v>9235</v>
      </c>
      <c r="B3615" t="s">
        <v>9236</v>
      </c>
      <c r="C3615" t="s">
        <v>9237</v>
      </c>
      <c r="D3615" t="s">
        <v>1407</v>
      </c>
      <c r="E3615" s="1">
        <v>46153.370011574072</v>
      </c>
      <c r="F3615">
        <v>1547</v>
      </c>
      <c r="G3615" t="s">
        <v>9238</v>
      </c>
      <c r="H3615" t="s">
        <v>15</v>
      </c>
      <c r="I3615" t="s">
        <v>1409</v>
      </c>
      <c r="J3615" t="str">
        <f>RIGHT(D3615,4)</f>
        <v>6312</v>
      </c>
      <c r="K3615" t="str">
        <f>IFERROR(VLOOKUP(VALUE(J3615),'Site Info'!$A:$G,3,FALSE),"")</f>
        <v>9925 HUDSON RD</v>
      </c>
      <c r="L3615" t="str">
        <f>IFERROR(VLOOKUP(VALUE(J3615),'Site Info'!$A:$G,4,FALSE),"")</f>
        <v>WOODBURY</v>
      </c>
      <c r="M3615" t="str">
        <f>IFERROR(VLOOKUP(VALUE(J3615),'Site Info'!$A:$G,5,FALSE),"")</f>
        <v>MN</v>
      </c>
      <c r="N3615" t="str">
        <f>IFERROR(VLOOKUP(VALUE(J3615),'Site Info'!$A:$G,6,FALSE),"")</f>
        <v>55125-0000</v>
      </c>
      <c r="O3615">
        <f>IFERROR(VLOOKUP(VALUE(J3615),'Site Info'!$A:$G,7,FALSE),"")</f>
        <v>6517027970</v>
      </c>
    </row>
    <row r="3616" spans="1:15" x14ac:dyDescent="0.45">
      <c r="A3616" t="s">
        <v>1510</v>
      </c>
      <c r="B3616" t="s">
        <v>1511</v>
      </c>
      <c r="C3616" t="s">
        <v>1512</v>
      </c>
      <c r="D3616" t="s">
        <v>1407</v>
      </c>
      <c r="E3616" s="1">
        <v>46153.171087962961</v>
      </c>
      <c r="F3616">
        <v>1481</v>
      </c>
      <c r="G3616" t="s">
        <v>1513</v>
      </c>
      <c r="H3616" t="s">
        <v>15</v>
      </c>
      <c r="I3616" t="s">
        <v>1409</v>
      </c>
      <c r="J3616" t="str">
        <f>RIGHT(D3616,4)</f>
        <v>6312</v>
      </c>
      <c r="K3616" t="str">
        <f>IFERROR(VLOOKUP(VALUE(J3616),'Site Info'!$A:$G,3,FALSE),"")</f>
        <v>9925 HUDSON RD</v>
      </c>
      <c r="L3616" t="str">
        <f>IFERROR(VLOOKUP(VALUE(J3616),'Site Info'!$A:$G,4,FALSE),"")</f>
        <v>WOODBURY</v>
      </c>
      <c r="M3616" t="str">
        <f>IFERROR(VLOOKUP(VALUE(J3616),'Site Info'!$A:$G,5,FALSE),"")</f>
        <v>MN</v>
      </c>
      <c r="N3616" t="str">
        <f>IFERROR(VLOOKUP(VALUE(J3616),'Site Info'!$A:$G,6,FALSE),"")</f>
        <v>55125-0000</v>
      </c>
      <c r="O3616">
        <f>IFERROR(VLOOKUP(VALUE(J3616),'Site Info'!$A:$G,7,FALSE),"")</f>
        <v>6517027970</v>
      </c>
    </row>
    <row r="3617" spans="1:15" x14ac:dyDescent="0.45">
      <c r="A3617" t="s">
        <v>1404</v>
      </c>
      <c r="B3617" t="s">
        <v>1405</v>
      </c>
      <c r="C3617" t="s">
        <v>1406</v>
      </c>
      <c r="D3617" t="s">
        <v>1407</v>
      </c>
      <c r="E3617" s="1">
        <v>46153.176041666666</v>
      </c>
      <c r="F3617">
        <v>1481</v>
      </c>
      <c r="G3617" t="s">
        <v>1408</v>
      </c>
      <c r="H3617" t="s">
        <v>15</v>
      </c>
      <c r="I3617" t="s">
        <v>1409</v>
      </c>
      <c r="J3617" t="str">
        <f>RIGHT(D3617,4)</f>
        <v>6312</v>
      </c>
      <c r="K3617" t="str">
        <f>IFERROR(VLOOKUP(VALUE(J3617),'Site Info'!$A:$G,3,FALSE),"")</f>
        <v>9925 HUDSON RD</v>
      </c>
      <c r="L3617" t="str">
        <f>IFERROR(VLOOKUP(VALUE(J3617),'Site Info'!$A:$G,4,FALSE),"")</f>
        <v>WOODBURY</v>
      </c>
      <c r="M3617" t="str">
        <f>IFERROR(VLOOKUP(VALUE(J3617),'Site Info'!$A:$G,5,FALSE),"")</f>
        <v>MN</v>
      </c>
      <c r="N3617" t="str">
        <f>IFERROR(VLOOKUP(VALUE(J3617),'Site Info'!$A:$G,6,FALSE),"")</f>
        <v>55125-0000</v>
      </c>
      <c r="O3617">
        <f>IFERROR(VLOOKUP(VALUE(J3617),'Site Info'!$A:$G,7,FALSE),"")</f>
        <v>6517027970</v>
      </c>
    </row>
    <row r="3618" spans="1:15" x14ac:dyDescent="0.45">
      <c r="A3618" t="s">
        <v>16703</v>
      </c>
      <c r="B3618" t="s">
        <v>16704</v>
      </c>
      <c r="C3618" t="s">
        <v>16705</v>
      </c>
      <c r="D3618" t="s">
        <v>1407</v>
      </c>
      <c r="E3618" s="1">
        <v>46151.303854166668</v>
      </c>
      <c r="F3618">
        <v>1481</v>
      </c>
      <c r="G3618" t="s">
        <v>16706</v>
      </c>
      <c r="H3618" t="s">
        <v>15</v>
      </c>
      <c r="I3618" t="s">
        <v>1409</v>
      </c>
      <c r="J3618" t="str">
        <f>RIGHT(D3618,4)</f>
        <v>6312</v>
      </c>
      <c r="K3618" t="str">
        <f>IFERROR(VLOOKUP(VALUE(J3618),'Site Info'!$A:$G,3,FALSE),"")</f>
        <v>9925 HUDSON RD</v>
      </c>
      <c r="L3618" t="str">
        <f>IFERROR(VLOOKUP(VALUE(J3618),'Site Info'!$A:$G,4,FALSE),"")</f>
        <v>WOODBURY</v>
      </c>
      <c r="M3618" t="str">
        <f>IFERROR(VLOOKUP(VALUE(J3618),'Site Info'!$A:$G,5,FALSE),"")</f>
        <v>MN</v>
      </c>
      <c r="N3618" t="str">
        <f>IFERROR(VLOOKUP(VALUE(J3618),'Site Info'!$A:$G,6,FALSE),"")</f>
        <v>55125-0000</v>
      </c>
      <c r="O3618">
        <f>IFERROR(VLOOKUP(VALUE(J3618),'Site Info'!$A:$G,7,FALSE),"")</f>
        <v>6517027970</v>
      </c>
    </row>
  </sheetData>
  <sortState xmlns:xlrd2="http://schemas.microsoft.com/office/spreadsheetml/2017/richdata2" ref="A2:Q3622">
    <sortCondition ref="K2:K36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223F-EA15-480A-8699-5039E295A03B}">
  <dimension ref="A1:G614"/>
  <sheetViews>
    <sheetView workbookViewId="0">
      <selection activeCell="B9" sqref="B9"/>
    </sheetView>
  </sheetViews>
  <sheetFormatPr defaultRowHeight="14.25" x14ac:dyDescent="0.45"/>
  <cols>
    <col min="1" max="1" width="23.33203125" customWidth="1"/>
    <col min="2" max="2" width="20.46484375" customWidth="1"/>
    <col min="3" max="3" width="26.53125" customWidth="1"/>
    <col min="4" max="4" width="18.86328125" customWidth="1"/>
    <col min="5" max="5" width="18.796875" customWidth="1"/>
    <col min="6" max="6" width="24.33203125" customWidth="1"/>
    <col min="7" max="7" width="15.86328125" customWidth="1"/>
  </cols>
  <sheetData>
    <row r="1" spans="1:7" ht="42.75" x14ac:dyDescent="0.45">
      <c r="A1" s="2" t="s">
        <v>14636</v>
      </c>
      <c r="B1" s="2" t="s">
        <v>14637</v>
      </c>
      <c r="C1" s="2" t="s">
        <v>14638</v>
      </c>
      <c r="D1" s="2" t="s">
        <v>14639</v>
      </c>
      <c r="E1" s="2" t="s">
        <v>14640</v>
      </c>
      <c r="F1" s="2" t="s">
        <v>14641</v>
      </c>
      <c r="G1" s="2" t="s">
        <v>14642</v>
      </c>
    </row>
    <row r="2" spans="1:7" ht="42.75" x14ac:dyDescent="0.45">
      <c r="A2" s="3">
        <v>4041</v>
      </c>
      <c r="B2" s="3" t="s">
        <v>14643</v>
      </c>
      <c r="C2" s="3" t="s">
        <v>14644</v>
      </c>
      <c r="D2" s="3" t="s">
        <v>14645</v>
      </c>
      <c r="E2" s="3" t="s">
        <v>14646</v>
      </c>
      <c r="F2" s="3" t="s">
        <v>14647</v>
      </c>
      <c r="G2" s="3">
        <v>9085879820</v>
      </c>
    </row>
    <row r="3" spans="1:7" ht="42.75" x14ac:dyDescent="0.45">
      <c r="A3" s="3">
        <v>4109</v>
      </c>
      <c r="B3" s="3" t="s">
        <v>14643</v>
      </c>
      <c r="C3" s="3" t="s">
        <v>14648</v>
      </c>
      <c r="D3" s="3" t="s">
        <v>14649</v>
      </c>
      <c r="E3" s="3" t="s">
        <v>14650</v>
      </c>
      <c r="F3" s="3" t="s">
        <v>14651</v>
      </c>
      <c r="G3" s="3">
        <v>3186066004</v>
      </c>
    </row>
    <row r="4" spans="1:7" ht="42.75" x14ac:dyDescent="0.45">
      <c r="A4" s="3">
        <v>4702</v>
      </c>
      <c r="B4" s="3" t="s">
        <v>14643</v>
      </c>
      <c r="C4" s="3" t="s">
        <v>14652</v>
      </c>
      <c r="D4" s="3" t="s">
        <v>14653</v>
      </c>
      <c r="E4" s="3" t="s">
        <v>14654</v>
      </c>
      <c r="F4" s="3" t="s">
        <v>14655</v>
      </c>
      <c r="G4" s="3">
        <v>2812864471</v>
      </c>
    </row>
    <row r="5" spans="1:7" ht="71.25" x14ac:dyDescent="0.45">
      <c r="A5" s="3">
        <v>4703</v>
      </c>
      <c r="B5" s="3" t="s">
        <v>14643</v>
      </c>
      <c r="C5" s="3" t="s">
        <v>14656</v>
      </c>
      <c r="D5" s="3" t="s">
        <v>14657</v>
      </c>
      <c r="E5" s="3" t="s">
        <v>14658</v>
      </c>
      <c r="F5" s="3" t="s">
        <v>14659</v>
      </c>
      <c r="G5" s="3">
        <v>5059220046</v>
      </c>
    </row>
    <row r="6" spans="1:7" ht="42.75" x14ac:dyDescent="0.45">
      <c r="A6" s="3">
        <v>4704</v>
      </c>
      <c r="B6" s="3" t="s">
        <v>14643</v>
      </c>
      <c r="C6" s="3" t="s">
        <v>14660</v>
      </c>
      <c r="D6" s="3" t="s">
        <v>14661</v>
      </c>
      <c r="E6" s="3" t="s">
        <v>14662</v>
      </c>
      <c r="F6" s="3" t="s">
        <v>14663</v>
      </c>
      <c r="G6" s="3">
        <v>5594460106</v>
      </c>
    </row>
    <row r="7" spans="1:7" ht="28.5" x14ac:dyDescent="0.45">
      <c r="A7" s="3">
        <v>4707</v>
      </c>
      <c r="B7" s="3" t="s">
        <v>14643</v>
      </c>
      <c r="C7" s="3" t="s">
        <v>14664</v>
      </c>
      <c r="D7" s="3" t="s">
        <v>14665</v>
      </c>
      <c r="E7" s="3" t="s">
        <v>14666</v>
      </c>
      <c r="F7" s="3" t="s">
        <v>14667</v>
      </c>
      <c r="G7" s="3">
        <v>9134021405</v>
      </c>
    </row>
    <row r="8" spans="1:7" ht="42.75" x14ac:dyDescent="0.45">
      <c r="A8" s="3">
        <v>4709</v>
      </c>
      <c r="B8" s="3" t="s">
        <v>14643</v>
      </c>
      <c r="C8" s="3" t="s">
        <v>14668</v>
      </c>
      <c r="D8" s="3" t="s">
        <v>14669</v>
      </c>
      <c r="E8" s="3" t="s">
        <v>14662</v>
      </c>
      <c r="F8" s="3" t="s">
        <v>14670</v>
      </c>
      <c r="G8" s="3">
        <v>9515820319</v>
      </c>
    </row>
    <row r="9" spans="1:7" ht="71.25" x14ac:dyDescent="0.45">
      <c r="A9" s="3">
        <v>4710</v>
      </c>
      <c r="B9" s="3" t="s">
        <v>14643</v>
      </c>
      <c r="C9" s="3" t="s">
        <v>14671</v>
      </c>
      <c r="D9" s="3" t="s">
        <v>14672</v>
      </c>
      <c r="E9" s="3" t="s">
        <v>14673</v>
      </c>
      <c r="F9" s="3" t="s">
        <v>14674</v>
      </c>
      <c r="G9" s="3">
        <v>7574650082</v>
      </c>
    </row>
    <row r="10" spans="1:7" x14ac:dyDescent="0.45">
      <c r="A10" s="3">
        <v>4711</v>
      </c>
      <c r="B10" s="3" t="s">
        <v>14643</v>
      </c>
      <c r="C10" s="3" t="s">
        <v>14675</v>
      </c>
      <c r="D10" s="3" t="s">
        <v>14676</v>
      </c>
      <c r="E10" s="3" t="s">
        <v>14673</v>
      </c>
      <c r="F10" s="3" t="s">
        <v>14677</v>
      </c>
      <c r="G10" s="3">
        <v>7576319791</v>
      </c>
    </row>
    <row r="11" spans="1:7" x14ac:dyDescent="0.45">
      <c r="A11" s="3">
        <v>4712</v>
      </c>
      <c r="B11" s="3" t="s">
        <v>14643</v>
      </c>
      <c r="C11" s="3" t="s">
        <v>14678</v>
      </c>
      <c r="D11" s="3" t="s">
        <v>14679</v>
      </c>
      <c r="E11" s="3" t="s">
        <v>14654</v>
      </c>
      <c r="F11" s="3" t="s">
        <v>14680</v>
      </c>
      <c r="G11" s="3">
        <v>7134685146</v>
      </c>
    </row>
    <row r="12" spans="1:7" x14ac:dyDescent="0.45">
      <c r="A12" s="3">
        <v>4713</v>
      </c>
      <c r="B12" s="3" t="s">
        <v>14643</v>
      </c>
      <c r="C12" s="3" t="s">
        <v>14681</v>
      </c>
      <c r="D12" s="3" t="s">
        <v>14682</v>
      </c>
      <c r="E12" s="3" t="s">
        <v>14654</v>
      </c>
      <c r="F12" s="3" t="s">
        <v>14683</v>
      </c>
      <c r="G12" s="3">
        <v>9362711732</v>
      </c>
    </row>
    <row r="13" spans="1:7" x14ac:dyDescent="0.45">
      <c r="A13" s="3">
        <v>4718</v>
      </c>
      <c r="B13" s="3" t="s">
        <v>14643</v>
      </c>
      <c r="C13" s="3" t="s">
        <v>14684</v>
      </c>
      <c r="D13" s="3" t="s">
        <v>14685</v>
      </c>
      <c r="E13" s="3" t="s">
        <v>14686</v>
      </c>
      <c r="F13" s="3" t="s">
        <v>14687</v>
      </c>
      <c r="G13" s="3">
        <v>8015459801</v>
      </c>
    </row>
    <row r="14" spans="1:7" x14ac:dyDescent="0.45">
      <c r="A14" s="3">
        <v>4720</v>
      </c>
      <c r="B14" s="3" t="s">
        <v>14643</v>
      </c>
      <c r="C14" s="3" t="s">
        <v>14688</v>
      </c>
      <c r="D14" s="3" t="s">
        <v>14689</v>
      </c>
      <c r="E14" s="3" t="s">
        <v>14654</v>
      </c>
      <c r="F14" s="3" t="s">
        <v>14690</v>
      </c>
      <c r="G14" s="3">
        <v>5123588695</v>
      </c>
    </row>
    <row r="15" spans="1:7" x14ac:dyDescent="0.45">
      <c r="A15" s="3">
        <v>4721</v>
      </c>
      <c r="B15" s="3" t="s">
        <v>14643</v>
      </c>
      <c r="C15" s="3" t="s">
        <v>14691</v>
      </c>
      <c r="D15" s="3" t="s">
        <v>14679</v>
      </c>
      <c r="E15" s="3" t="s">
        <v>14654</v>
      </c>
      <c r="F15" s="3" t="s">
        <v>14692</v>
      </c>
      <c r="G15" s="3">
        <v>8322378269</v>
      </c>
    </row>
    <row r="16" spans="1:7" x14ac:dyDescent="0.45">
      <c r="A16" s="3">
        <v>4722</v>
      </c>
      <c r="B16" s="3" t="s">
        <v>14643</v>
      </c>
      <c r="C16" s="3" t="s">
        <v>14693</v>
      </c>
      <c r="D16" s="3" t="s">
        <v>14694</v>
      </c>
      <c r="E16" s="3" t="s">
        <v>14646</v>
      </c>
      <c r="F16" s="3" t="s">
        <v>14695</v>
      </c>
      <c r="G16" s="3">
        <v>8568757836</v>
      </c>
    </row>
    <row r="17" spans="1:7" x14ac:dyDescent="0.45">
      <c r="A17" s="3">
        <v>4724</v>
      </c>
      <c r="B17" s="3" t="s">
        <v>14643</v>
      </c>
      <c r="C17" s="3" t="s">
        <v>14696</v>
      </c>
      <c r="D17" s="3" t="s">
        <v>14697</v>
      </c>
      <c r="E17" s="3" t="s">
        <v>14698</v>
      </c>
      <c r="F17" s="3" t="s">
        <v>14699</v>
      </c>
      <c r="G17" s="3">
        <v>2059820596</v>
      </c>
    </row>
    <row r="18" spans="1:7" x14ac:dyDescent="0.45">
      <c r="A18" s="3">
        <v>4728</v>
      </c>
      <c r="B18" s="3" t="s">
        <v>14643</v>
      </c>
      <c r="C18" s="3" t="s">
        <v>14700</v>
      </c>
      <c r="D18" s="3" t="s">
        <v>14701</v>
      </c>
      <c r="E18" s="3" t="s">
        <v>14702</v>
      </c>
      <c r="F18" s="3" t="s">
        <v>14703</v>
      </c>
      <c r="G18" s="3">
        <v>8598810431</v>
      </c>
    </row>
    <row r="19" spans="1:7" x14ac:dyDescent="0.45">
      <c r="A19" s="3">
        <v>4729</v>
      </c>
      <c r="B19" s="3" t="s">
        <v>14643</v>
      </c>
      <c r="C19" s="3" t="s">
        <v>14704</v>
      </c>
      <c r="D19" s="3" t="s">
        <v>14705</v>
      </c>
      <c r="E19" s="3" t="s">
        <v>14673</v>
      </c>
      <c r="F19" s="3" t="s">
        <v>14706</v>
      </c>
      <c r="G19" s="3">
        <v>5714348711</v>
      </c>
    </row>
    <row r="20" spans="1:7" x14ac:dyDescent="0.45">
      <c r="A20" s="3">
        <v>4730</v>
      </c>
      <c r="B20" s="3" t="s">
        <v>14643</v>
      </c>
      <c r="C20" s="3" t="s">
        <v>14707</v>
      </c>
      <c r="D20" s="3" t="s">
        <v>14708</v>
      </c>
      <c r="E20" s="3" t="s">
        <v>14686</v>
      </c>
      <c r="F20" s="3" t="s">
        <v>14709</v>
      </c>
      <c r="G20" s="3">
        <v>8012825600</v>
      </c>
    </row>
    <row r="21" spans="1:7" x14ac:dyDescent="0.45">
      <c r="A21" s="3">
        <v>4731</v>
      </c>
      <c r="B21" s="3" t="s">
        <v>14643</v>
      </c>
      <c r="C21" s="3" t="s">
        <v>14710</v>
      </c>
      <c r="D21" s="3" t="s">
        <v>14711</v>
      </c>
      <c r="E21" s="3" t="s">
        <v>14712</v>
      </c>
      <c r="F21" s="3" t="s">
        <v>14713</v>
      </c>
      <c r="G21" s="3">
        <v>4057733602</v>
      </c>
    </row>
    <row r="22" spans="1:7" x14ac:dyDescent="0.45">
      <c r="A22" s="3">
        <v>4732</v>
      </c>
      <c r="B22" s="3" t="s">
        <v>14643</v>
      </c>
      <c r="C22" s="3" t="s">
        <v>14714</v>
      </c>
      <c r="D22" s="3" t="s">
        <v>14715</v>
      </c>
      <c r="E22" s="3" t="s">
        <v>14716</v>
      </c>
      <c r="F22" s="3" t="s">
        <v>14717</v>
      </c>
      <c r="G22" s="3">
        <v>6238259257</v>
      </c>
    </row>
    <row r="23" spans="1:7" x14ac:dyDescent="0.45">
      <c r="A23" s="3">
        <v>4735</v>
      </c>
      <c r="B23" s="3" t="s">
        <v>14643</v>
      </c>
      <c r="C23" s="3" t="s">
        <v>14718</v>
      </c>
      <c r="D23" s="3" t="s">
        <v>14719</v>
      </c>
      <c r="E23" s="3" t="s">
        <v>14662</v>
      </c>
      <c r="F23" s="3" t="s">
        <v>14720</v>
      </c>
      <c r="G23" s="3">
        <v>5626979281</v>
      </c>
    </row>
    <row r="24" spans="1:7" x14ac:dyDescent="0.45">
      <c r="A24" s="3">
        <v>4736</v>
      </c>
      <c r="B24" s="3" t="s">
        <v>14643</v>
      </c>
      <c r="C24" s="3" t="s">
        <v>14721</v>
      </c>
      <c r="D24" s="3" t="s">
        <v>14722</v>
      </c>
      <c r="E24" s="3" t="s">
        <v>14723</v>
      </c>
      <c r="F24" s="3" t="s">
        <v>14724</v>
      </c>
      <c r="G24" s="3">
        <v>9524321200</v>
      </c>
    </row>
    <row r="25" spans="1:7" x14ac:dyDescent="0.45">
      <c r="A25" s="3">
        <v>4738</v>
      </c>
      <c r="B25" s="3" t="s">
        <v>14643</v>
      </c>
      <c r="C25" s="3" t="s">
        <v>14725</v>
      </c>
      <c r="D25" s="3" t="s">
        <v>14726</v>
      </c>
      <c r="E25" s="3" t="s">
        <v>14723</v>
      </c>
      <c r="F25" s="3" t="s">
        <v>14727</v>
      </c>
      <c r="G25" s="3">
        <v>6514050079</v>
      </c>
    </row>
    <row r="26" spans="1:7" x14ac:dyDescent="0.45">
      <c r="A26" s="3">
        <v>4739</v>
      </c>
      <c r="B26" s="3" t="s">
        <v>14643</v>
      </c>
      <c r="C26" s="3" t="s">
        <v>14728</v>
      </c>
      <c r="D26" s="3" t="s">
        <v>14729</v>
      </c>
      <c r="E26" s="3" t="s">
        <v>14730</v>
      </c>
      <c r="F26" s="3" t="s">
        <v>14731</v>
      </c>
      <c r="G26" s="3">
        <v>7709790492</v>
      </c>
    </row>
    <row r="27" spans="1:7" x14ac:dyDescent="0.45">
      <c r="A27" s="3">
        <v>4740</v>
      </c>
      <c r="B27" s="3" t="s">
        <v>14643</v>
      </c>
      <c r="C27" s="3" t="s">
        <v>14732</v>
      </c>
      <c r="D27" s="3" t="s">
        <v>14733</v>
      </c>
      <c r="E27" s="3" t="s">
        <v>14734</v>
      </c>
      <c r="F27" s="3" t="s">
        <v>14735</v>
      </c>
      <c r="G27" s="3">
        <v>6623490723</v>
      </c>
    </row>
    <row r="28" spans="1:7" x14ac:dyDescent="0.45">
      <c r="A28" s="3">
        <v>4741</v>
      </c>
      <c r="B28" s="3" t="s">
        <v>14643</v>
      </c>
      <c r="C28" s="3" t="s">
        <v>14736</v>
      </c>
      <c r="D28" s="3" t="s">
        <v>14737</v>
      </c>
      <c r="E28" s="3" t="s">
        <v>14738</v>
      </c>
      <c r="F28" s="3" t="s">
        <v>14739</v>
      </c>
      <c r="G28" s="3">
        <v>3149657076</v>
      </c>
    </row>
    <row r="29" spans="1:7" x14ac:dyDescent="0.45">
      <c r="A29" s="3">
        <v>4742</v>
      </c>
      <c r="B29" s="3" t="s">
        <v>14643</v>
      </c>
      <c r="C29" s="3" t="s">
        <v>14740</v>
      </c>
      <c r="D29" s="3" t="s">
        <v>14741</v>
      </c>
      <c r="E29" s="3" t="s">
        <v>14654</v>
      </c>
      <c r="F29" s="3" t="s">
        <v>14742</v>
      </c>
      <c r="G29" s="3">
        <v>8179891992</v>
      </c>
    </row>
    <row r="30" spans="1:7" x14ac:dyDescent="0.45">
      <c r="A30" s="3">
        <v>4743</v>
      </c>
      <c r="B30" s="3" t="s">
        <v>14643</v>
      </c>
      <c r="C30" s="3" t="s">
        <v>14743</v>
      </c>
      <c r="D30" s="3" t="s">
        <v>14744</v>
      </c>
      <c r="E30" s="3" t="s">
        <v>14654</v>
      </c>
      <c r="F30" s="3" t="s">
        <v>14745</v>
      </c>
      <c r="G30" s="3">
        <v>9725168520</v>
      </c>
    </row>
    <row r="31" spans="1:7" x14ac:dyDescent="0.45">
      <c r="A31" s="3">
        <v>4745</v>
      </c>
      <c r="B31" s="3" t="s">
        <v>14643</v>
      </c>
      <c r="C31" s="3" t="s">
        <v>14746</v>
      </c>
      <c r="D31" s="3" t="s">
        <v>14747</v>
      </c>
      <c r="E31" s="3" t="s">
        <v>14748</v>
      </c>
      <c r="F31" s="3" t="s">
        <v>14749</v>
      </c>
      <c r="G31" s="3">
        <v>3034534945</v>
      </c>
    </row>
    <row r="32" spans="1:7" x14ac:dyDescent="0.45">
      <c r="A32" s="3">
        <v>4749</v>
      </c>
      <c r="B32" s="3" t="s">
        <v>14643</v>
      </c>
      <c r="C32" s="3" t="s">
        <v>14750</v>
      </c>
      <c r="D32" s="3" t="s">
        <v>14751</v>
      </c>
      <c r="E32" s="3" t="s">
        <v>14752</v>
      </c>
      <c r="F32" s="3" t="s">
        <v>14753</v>
      </c>
      <c r="G32" s="3">
        <v>5012057465</v>
      </c>
    </row>
    <row r="33" spans="1:7" x14ac:dyDescent="0.45">
      <c r="A33" s="3">
        <v>4750</v>
      </c>
      <c r="B33" s="3" t="s">
        <v>14643</v>
      </c>
      <c r="C33" s="3" t="s">
        <v>14754</v>
      </c>
      <c r="D33" s="3" t="s">
        <v>14755</v>
      </c>
      <c r="E33" s="3" t="s">
        <v>14756</v>
      </c>
      <c r="F33" s="3" t="s">
        <v>14757</v>
      </c>
      <c r="G33" s="3">
        <v>3309293789</v>
      </c>
    </row>
    <row r="34" spans="1:7" x14ac:dyDescent="0.45">
      <c r="A34" s="3">
        <v>4754</v>
      </c>
      <c r="B34" s="3" t="s">
        <v>14643</v>
      </c>
      <c r="C34" s="3" t="s">
        <v>14758</v>
      </c>
      <c r="D34" s="3" t="s">
        <v>14759</v>
      </c>
      <c r="E34" s="3" t="s">
        <v>14752</v>
      </c>
      <c r="F34" s="3" t="s">
        <v>14760</v>
      </c>
      <c r="G34" s="3">
        <v>4795871864</v>
      </c>
    </row>
    <row r="35" spans="1:7" x14ac:dyDescent="0.45">
      <c r="A35" s="3">
        <v>4755</v>
      </c>
      <c r="B35" s="3" t="s">
        <v>14643</v>
      </c>
      <c r="C35" s="3" t="s">
        <v>14761</v>
      </c>
      <c r="D35" s="3" t="s">
        <v>14762</v>
      </c>
      <c r="E35" s="3" t="s">
        <v>14763</v>
      </c>
      <c r="F35" s="3" t="s">
        <v>14764</v>
      </c>
      <c r="G35" s="3">
        <v>8089459841</v>
      </c>
    </row>
    <row r="36" spans="1:7" x14ac:dyDescent="0.45">
      <c r="A36" s="3">
        <v>4761</v>
      </c>
      <c r="B36" s="3" t="s">
        <v>14643</v>
      </c>
      <c r="C36" s="3" t="s">
        <v>14765</v>
      </c>
      <c r="D36" s="3" t="s">
        <v>14766</v>
      </c>
      <c r="E36" s="3" t="s">
        <v>14712</v>
      </c>
      <c r="F36" s="3" t="s">
        <v>14767</v>
      </c>
      <c r="G36" s="3">
        <v>4053078374</v>
      </c>
    </row>
    <row r="37" spans="1:7" x14ac:dyDescent="0.45">
      <c r="A37" s="3">
        <v>4763</v>
      </c>
      <c r="B37" s="3" t="s">
        <v>14643</v>
      </c>
      <c r="C37" s="3" t="s">
        <v>14768</v>
      </c>
      <c r="D37" s="3" t="s">
        <v>14769</v>
      </c>
      <c r="E37" s="3" t="s">
        <v>14654</v>
      </c>
      <c r="F37" s="3" t="s">
        <v>14770</v>
      </c>
      <c r="G37" s="3">
        <v>2812952525</v>
      </c>
    </row>
    <row r="38" spans="1:7" x14ac:dyDescent="0.45">
      <c r="A38" s="3">
        <v>4764</v>
      </c>
      <c r="B38" s="3" t="s">
        <v>14643</v>
      </c>
      <c r="C38" s="3" t="s">
        <v>14771</v>
      </c>
      <c r="D38" s="3" t="s">
        <v>14772</v>
      </c>
      <c r="E38" s="3" t="s">
        <v>14654</v>
      </c>
      <c r="F38" s="3" t="s">
        <v>14773</v>
      </c>
      <c r="G38" s="3">
        <v>2815787846</v>
      </c>
    </row>
    <row r="39" spans="1:7" x14ac:dyDescent="0.45">
      <c r="A39" s="3">
        <v>4767</v>
      </c>
      <c r="B39" s="3" t="s">
        <v>14643</v>
      </c>
      <c r="C39" s="3" t="s">
        <v>14774</v>
      </c>
      <c r="D39" s="3" t="s">
        <v>14775</v>
      </c>
      <c r="E39" s="3" t="s">
        <v>14662</v>
      </c>
      <c r="F39" s="3" t="s">
        <v>14776</v>
      </c>
      <c r="G39" s="3">
        <v>6615759200</v>
      </c>
    </row>
    <row r="40" spans="1:7" x14ac:dyDescent="0.45">
      <c r="A40" s="3">
        <v>4768</v>
      </c>
      <c r="B40" s="3" t="s">
        <v>14643</v>
      </c>
      <c r="C40" s="3" t="s">
        <v>14777</v>
      </c>
      <c r="D40" s="3" t="s">
        <v>14778</v>
      </c>
      <c r="E40" s="3" t="s">
        <v>14779</v>
      </c>
      <c r="F40" s="3" t="s">
        <v>14780</v>
      </c>
      <c r="G40" s="3">
        <v>7758297900</v>
      </c>
    </row>
    <row r="41" spans="1:7" x14ac:dyDescent="0.45">
      <c r="A41" s="3">
        <v>4769</v>
      </c>
      <c r="B41" s="3" t="s">
        <v>14643</v>
      </c>
      <c r="C41" s="3" t="s">
        <v>14781</v>
      </c>
      <c r="D41" s="3" t="s">
        <v>14679</v>
      </c>
      <c r="E41" s="3" t="s">
        <v>14654</v>
      </c>
      <c r="F41" s="3" t="s">
        <v>14782</v>
      </c>
      <c r="G41" s="3">
        <v>8327789736</v>
      </c>
    </row>
    <row r="42" spans="1:7" x14ac:dyDescent="0.45">
      <c r="A42" s="3">
        <v>4770</v>
      </c>
      <c r="B42" s="3" t="s">
        <v>14643</v>
      </c>
      <c r="C42" s="3" t="s">
        <v>14783</v>
      </c>
      <c r="D42" s="3" t="s">
        <v>14784</v>
      </c>
      <c r="E42" s="3" t="s">
        <v>14748</v>
      </c>
      <c r="F42" s="3" t="s">
        <v>14785</v>
      </c>
      <c r="G42" s="3">
        <v>9703301011</v>
      </c>
    </row>
    <row r="43" spans="1:7" x14ac:dyDescent="0.45">
      <c r="A43" s="3">
        <v>4771</v>
      </c>
      <c r="B43" s="3" t="s">
        <v>14643</v>
      </c>
      <c r="C43" s="3" t="s">
        <v>14786</v>
      </c>
      <c r="D43" s="3" t="s">
        <v>14787</v>
      </c>
      <c r="E43" s="3" t="s">
        <v>14788</v>
      </c>
      <c r="F43" s="3" t="s">
        <v>14789</v>
      </c>
      <c r="G43" s="3">
        <v>4109695270</v>
      </c>
    </row>
    <row r="44" spans="1:7" x14ac:dyDescent="0.45">
      <c r="A44" s="3">
        <v>4772</v>
      </c>
      <c r="B44" s="3" t="s">
        <v>14643</v>
      </c>
      <c r="C44" s="3" t="s">
        <v>14790</v>
      </c>
      <c r="D44" s="3" t="s">
        <v>14791</v>
      </c>
      <c r="E44" s="3" t="s">
        <v>14792</v>
      </c>
      <c r="F44" s="3" t="s">
        <v>14793</v>
      </c>
      <c r="G44" s="3">
        <v>9413419274</v>
      </c>
    </row>
    <row r="45" spans="1:7" x14ac:dyDescent="0.45">
      <c r="A45" s="3">
        <v>4774</v>
      </c>
      <c r="B45" s="3" t="s">
        <v>14643</v>
      </c>
      <c r="C45" s="3" t="s">
        <v>14794</v>
      </c>
      <c r="D45" s="3" t="s">
        <v>14795</v>
      </c>
      <c r="E45" s="3" t="s">
        <v>14646</v>
      </c>
      <c r="F45" s="3" t="s">
        <v>14796</v>
      </c>
      <c r="G45" s="3">
        <v>2019740702</v>
      </c>
    </row>
    <row r="46" spans="1:7" x14ac:dyDescent="0.45">
      <c r="A46" s="3">
        <v>4775</v>
      </c>
      <c r="B46" s="3" t="s">
        <v>14643</v>
      </c>
      <c r="C46" s="3" t="s">
        <v>14797</v>
      </c>
      <c r="D46" s="3" t="s">
        <v>14798</v>
      </c>
      <c r="E46" s="3" t="s">
        <v>14650</v>
      </c>
      <c r="F46" s="3" t="s">
        <v>14799</v>
      </c>
      <c r="G46" s="3">
        <v>5048312911</v>
      </c>
    </row>
    <row r="47" spans="1:7" x14ac:dyDescent="0.45">
      <c r="A47" s="3">
        <v>4776</v>
      </c>
      <c r="B47" s="3" t="s">
        <v>14643</v>
      </c>
      <c r="C47" s="3" t="s">
        <v>14800</v>
      </c>
      <c r="D47" s="3" t="s">
        <v>14801</v>
      </c>
      <c r="E47" s="3" t="s">
        <v>14698</v>
      </c>
      <c r="F47" s="3" t="s">
        <v>14802</v>
      </c>
      <c r="G47" s="3">
        <v>2568377323</v>
      </c>
    </row>
    <row r="48" spans="1:7" x14ac:dyDescent="0.45">
      <c r="A48" s="3">
        <v>4777</v>
      </c>
      <c r="B48" s="3" t="s">
        <v>14643</v>
      </c>
      <c r="C48" s="3" t="s">
        <v>14803</v>
      </c>
      <c r="D48" s="3" t="s">
        <v>14804</v>
      </c>
      <c r="E48" s="3" t="s">
        <v>14748</v>
      </c>
      <c r="F48" s="3" t="s">
        <v>14805</v>
      </c>
      <c r="G48" s="3">
        <v>7209416180</v>
      </c>
    </row>
    <row r="49" spans="1:7" x14ac:dyDescent="0.45">
      <c r="A49" s="3">
        <v>4778</v>
      </c>
      <c r="B49" s="3" t="s">
        <v>14643</v>
      </c>
      <c r="C49" s="3" t="s">
        <v>14806</v>
      </c>
      <c r="D49" s="3" t="s">
        <v>14807</v>
      </c>
      <c r="E49" s="3" t="s">
        <v>14808</v>
      </c>
      <c r="F49" s="3" t="s">
        <v>14809</v>
      </c>
      <c r="G49" s="3">
        <v>2483916910</v>
      </c>
    </row>
    <row r="50" spans="1:7" x14ac:dyDescent="0.45">
      <c r="A50" s="3">
        <v>4780</v>
      </c>
      <c r="B50" s="3" t="s">
        <v>14643</v>
      </c>
      <c r="C50" s="3" t="s">
        <v>14810</v>
      </c>
      <c r="D50" s="3" t="s">
        <v>14811</v>
      </c>
      <c r="E50" s="3" t="s">
        <v>14730</v>
      </c>
      <c r="F50" s="3" t="s">
        <v>14812</v>
      </c>
      <c r="G50" s="3">
        <v>7708317122</v>
      </c>
    </row>
    <row r="51" spans="1:7" x14ac:dyDescent="0.45">
      <c r="A51" s="3">
        <v>4781</v>
      </c>
      <c r="B51" s="3" t="s">
        <v>14643</v>
      </c>
      <c r="C51" s="3" t="s">
        <v>14813</v>
      </c>
      <c r="D51" s="3" t="s">
        <v>14814</v>
      </c>
      <c r="E51" s="3" t="s">
        <v>14808</v>
      </c>
      <c r="F51" s="3" t="s">
        <v>14815</v>
      </c>
      <c r="G51" s="3">
        <v>5174829149</v>
      </c>
    </row>
    <row r="52" spans="1:7" ht="28.5" x14ac:dyDescent="0.45">
      <c r="A52" s="3">
        <v>4782</v>
      </c>
      <c r="B52" s="3" t="s">
        <v>14643</v>
      </c>
      <c r="C52" s="3" t="s">
        <v>14816</v>
      </c>
      <c r="D52" s="3" t="s">
        <v>14817</v>
      </c>
      <c r="E52" s="3" t="s">
        <v>14792</v>
      </c>
      <c r="F52" s="3" t="s">
        <v>14818</v>
      </c>
      <c r="G52" s="3">
        <v>4073979910</v>
      </c>
    </row>
    <row r="53" spans="1:7" x14ac:dyDescent="0.45">
      <c r="A53" s="3">
        <v>4783</v>
      </c>
      <c r="B53" s="3" t="s">
        <v>14643</v>
      </c>
      <c r="C53" s="3" t="s">
        <v>14819</v>
      </c>
      <c r="D53" s="3" t="s">
        <v>14820</v>
      </c>
      <c r="E53" s="3" t="s">
        <v>14654</v>
      </c>
      <c r="F53" s="3" t="s">
        <v>14821</v>
      </c>
      <c r="G53" s="3">
        <v>9724963956</v>
      </c>
    </row>
    <row r="54" spans="1:7" x14ac:dyDescent="0.45">
      <c r="A54" s="3">
        <v>4784</v>
      </c>
      <c r="B54" s="3" t="s">
        <v>14643</v>
      </c>
      <c r="C54" s="3" t="s">
        <v>14822</v>
      </c>
      <c r="D54" s="3" t="s">
        <v>14823</v>
      </c>
      <c r="E54" s="3" t="s">
        <v>14658</v>
      </c>
      <c r="F54" s="3" t="s">
        <v>14824</v>
      </c>
      <c r="G54" s="3">
        <v>5755217858</v>
      </c>
    </row>
    <row r="55" spans="1:7" x14ac:dyDescent="0.45">
      <c r="A55" s="3">
        <v>4785</v>
      </c>
      <c r="B55" s="3" t="s">
        <v>14643</v>
      </c>
      <c r="C55" s="3" t="s">
        <v>14825</v>
      </c>
      <c r="D55" s="3" t="s">
        <v>14826</v>
      </c>
      <c r="E55" s="3" t="s">
        <v>14792</v>
      </c>
      <c r="F55" s="3" t="s">
        <v>14827</v>
      </c>
      <c r="G55" s="3">
        <v>4073028355</v>
      </c>
    </row>
    <row r="56" spans="1:7" x14ac:dyDescent="0.45">
      <c r="A56" s="3">
        <v>4786</v>
      </c>
      <c r="B56" s="3" t="s">
        <v>14643</v>
      </c>
      <c r="C56" s="3" t="s">
        <v>14828</v>
      </c>
      <c r="D56" s="3" t="s">
        <v>14829</v>
      </c>
      <c r="E56" s="3" t="s">
        <v>14686</v>
      </c>
      <c r="F56" s="3" t="s">
        <v>14830</v>
      </c>
      <c r="G56" s="3">
        <v>4357870063</v>
      </c>
    </row>
    <row r="57" spans="1:7" x14ac:dyDescent="0.45">
      <c r="A57" s="3">
        <v>4787</v>
      </c>
      <c r="B57" s="3" t="s">
        <v>14643</v>
      </c>
      <c r="C57" s="3" t="s">
        <v>14831</v>
      </c>
      <c r="D57" s="3" t="s">
        <v>14832</v>
      </c>
      <c r="E57" s="3" t="s">
        <v>14723</v>
      </c>
      <c r="F57" s="3" t="s">
        <v>14833</v>
      </c>
      <c r="G57" s="3">
        <v>9528881050</v>
      </c>
    </row>
    <row r="58" spans="1:7" x14ac:dyDescent="0.45">
      <c r="A58" s="3">
        <v>4789</v>
      </c>
      <c r="B58" s="3" t="s">
        <v>14643</v>
      </c>
      <c r="C58" s="3" t="s">
        <v>14834</v>
      </c>
      <c r="D58" s="3" t="s">
        <v>14835</v>
      </c>
      <c r="E58" s="3" t="s">
        <v>14730</v>
      </c>
      <c r="F58" s="3" t="s">
        <v>14836</v>
      </c>
      <c r="G58" s="3">
        <v>7703040346</v>
      </c>
    </row>
    <row r="59" spans="1:7" x14ac:dyDescent="0.45">
      <c r="A59" s="3">
        <v>4790</v>
      </c>
      <c r="B59" s="3" t="s">
        <v>14643</v>
      </c>
      <c r="C59" s="3" t="s">
        <v>14837</v>
      </c>
      <c r="D59" s="3" t="s">
        <v>14838</v>
      </c>
      <c r="E59" s="3" t="s">
        <v>14734</v>
      </c>
      <c r="F59" s="3" t="s">
        <v>14839</v>
      </c>
      <c r="G59" s="3">
        <v>6019394161</v>
      </c>
    </row>
    <row r="60" spans="1:7" x14ac:dyDescent="0.45">
      <c r="A60" s="3">
        <v>4791</v>
      </c>
      <c r="B60" s="3" t="s">
        <v>14643</v>
      </c>
      <c r="C60" s="3" t="s">
        <v>14840</v>
      </c>
      <c r="D60" s="3" t="s">
        <v>14841</v>
      </c>
      <c r="E60" s="3" t="s">
        <v>14666</v>
      </c>
      <c r="F60" s="3" t="s">
        <v>14842</v>
      </c>
      <c r="G60" s="3">
        <v>6202729001</v>
      </c>
    </row>
    <row r="61" spans="1:7" x14ac:dyDescent="0.45">
      <c r="A61" s="3">
        <v>4794</v>
      </c>
      <c r="B61" s="3" t="s">
        <v>14643</v>
      </c>
      <c r="C61" s="3" t="s">
        <v>14843</v>
      </c>
      <c r="D61" s="3" t="s">
        <v>14844</v>
      </c>
      <c r="E61" s="3" t="s">
        <v>14792</v>
      </c>
      <c r="F61" s="3" t="s">
        <v>14845</v>
      </c>
      <c r="G61" s="3">
        <v>8636444730</v>
      </c>
    </row>
    <row r="62" spans="1:7" x14ac:dyDescent="0.45">
      <c r="A62" s="3">
        <v>4795</v>
      </c>
      <c r="B62" s="3" t="s">
        <v>14643</v>
      </c>
      <c r="C62" s="3" t="s">
        <v>14846</v>
      </c>
      <c r="D62" s="3" t="s">
        <v>14847</v>
      </c>
      <c r="E62" s="3" t="s">
        <v>14654</v>
      </c>
      <c r="F62" s="3" t="s">
        <v>14848</v>
      </c>
      <c r="G62" s="3">
        <v>6822715220</v>
      </c>
    </row>
    <row r="63" spans="1:7" x14ac:dyDescent="0.45">
      <c r="A63" s="3">
        <v>4796</v>
      </c>
      <c r="B63" s="3" t="s">
        <v>14643</v>
      </c>
      <c r="C63" s="3" t="s">
        <v>14849</v>
      </c>
      <c r="D63" s="3" t="s">
        <v>14850</v>
      </c>
      <c r="E63" s="3" t="s">
        <v>14851</v>
      </c>
      <c r="F63" s="3" t="s">
        <v>14852</v>
      </c>
      <c r="G63" s="3">
        <v>0</v>
      </c>
    </row>
    <row r="64" spans="1:7" x14ac:dyDescent="0.45">
      <c r="A64" s="3">
        <v>4797</v>
      </c>
      <c r="B64" s="3" t="s">
        <v>14643</v>
      </c>
      <c r="C64" s="3" t="s">
        <v>14853</v>
      </c>
      <c r="D64" s="3" t="s">
        <v>14854</v>
      </c>
      <c r="E64" s="3" t="s">
        <v>14855</v>
      </c>
      <c r="F64" s="3" t="s">
        <v>14856</v>
      </c>
      <c r="G64" s="3">
        <v>7047929000</v>
      </c>
    </row>
    <row r="65" spans="1:7" x14ac:dyDescent="0.45">
      <c r="A65" s="3">
        <v>4798</v>
      </c>
      <c r="B65" s="3" t="s">
        <v>14643</v>
      </c>
      <c r="C65" s="3" t="s">
        <v>14857</v>
      </c>
      <c r="D65" s="3" t="s">
        <v>14858</v>
      </c>
      <c r="E65" s="3" t="s">
        <v>14855</v>
      </c>
      <c r="F65" s="3" t="s">
        <v>14859</v>
      </c>
      <c r="G65" s="3">
        <v>3363772820</v>
      </c>
    </row>
    <row r="66" spans="1:7" x14ac:dyDescent="0.45">
      <c r="A66" s="3">
        <v>4799</v>
      </c>
      <c r="B66" s="3" t="s">
        <v>14643</v>
      </c>
      <c r="C66" s="3" t="s">
        <v>14860</v>
      </c>
      <c r="D66" s="3" t="s">
        <v>14861</v>
      </c>
      <c r="E66" s="3" t="s">
        <v>14662</v>
      </c>
      <c r="F66" s="3" t="s">
        <v>14862</v>
      </c>
      <c r="G66" s="3">
        <v>9167216499</v>
      </c>
    </row>
    <row r="67" spans="1:7" x14ac:dyDescent="0.45">
      <c r="A67" s="3">
        <v>4801</v>
      </c>
      <c r="B67" s="3" t="s">
        <v>14643</v>
      </c>
      <c r="C67" s="3" t="s">
        <v>14863</v>
      </c>
      <c r="D67" s="3" t="s">
        <v>14864</v>
      </c>
      <c r="E67" s="3" t="s">
        <v>14792</v>
      </c>
      <c r="F67" s="3" t="s">
        <v>14865</v>
      </c>
      <c r="G67" s="3">
        <v>8133712394</v>
      </c>
    </row>
    <row r="68" spans="1:7" x14ac:dyDescent="0.45">
      <c r="A68" s="3">
        <v>4802</v>
      </c>
      <c r="B68" s="3" t="s">
        <v>14643</v>
      </c>
      <c r="C68" s="3" t="s">
        <v>14866</v>
      </c>
      <c r="D68" s="3" t="s">
        <v>14867</v>
      </c>
      <c r="E68" s="3" t="s">
        <v>14730</v>
      </c>
      <c r="F68" s="3" t="s">
        <v>14868</v>
      </c>
      <c r="G68" s="3">
        <v>6785675990</v>
      </c>
    </row>
    <row r="69" spans="1:7" x14ac:dyDescent="0.45">
      <c r="A69" s="3">
        <v>4804</v>
      </c>
      <c r="B69" s="3" t="s">
        <v>14643</v>
      </c>
      <c r="C69" s="3" t="s">
        <v>14869</v>
      </c>
      <c r="D69" s="3" t="s">
        <v>14870</v>
      </c>
      <c r="E69" s="3" t="s">
        <v>14730</v>
      </c>
      <c r="F69" s="3" t="s">
        <v>14871</v>
      </c>
      <c r="G69" s="3">
        <v>7709140488</v>
      </c>
    </row>
    <row r="70" spans="1:7" x14ac:dyDescent="0.45">
      <c r="A70" s="3">
        <v>4805</v>
      </c>
      <c r="B70" s="3" t="s">
        <v>14643</v>
      </c>
      <c r="C70" s="3" t="s">
        <v>14872</v>
      </c>
      <c r="D70" s="3" t="s">
        <v>14873</v>
      </c>
      <c r="E70" s="3" t="s">
        <v>14874</v>
      </c>
      <c r="F70" s="3" t="s">
        <v>14875</v>
      </c>
      <c r="G70" s="3">
        <v>4062567277</v>
      </c>
    </row>
    <row r="71" spans="1:7" x14ac:dyDescent="0.45">
      <c r="A71" s="3">
        <v>4808</v>
      </c>
      <c r="B71" s="3" t="s">
        <v>14643</v>
      </c>
      <c r="C71" s="3" t="s">
        <v>14876</v>
      </c>
      <c r="D71" s="3" t="s">
        <v>14877</v>
      </c>
      <c r="E71" s="3" t="s">
        <v>14752</v>
      </c>
      <c r="F71" s="3" t="s">
        <v>14878</v>
      </c>
      <c r="G71" s="3">
        <v>4793658141</v>
      </c>
    </row>
    <row r="72" spans="1:7" x14ac:dyDescent="0.45">
      <c r="A72" s="3">
        <v>4809</v>
      </c>
      <c r="B72" s="3" t="s">
        <v>14643</v>
      </c>
      <c r="C72" s="3" t="s">
        <v>14849</v>
      </c>
      <c r="D72" s="3" t="s">
        <v>14879</v>
      </c>
      <c r="E72" s="3" t="s">
        <v>14716</v>
      </c>
      <c r="F72" s="3" t="s">
        <v>14880</v>
      </c>
      <c r="G72" s="3">
        <v>0</v>
      </c>
    </row>
    <row r="73" spans="1:7" x14ac:dyDescent="0.45">
      <c r="A73" s="3">
        <v>4811</v>
      </c>
      <c r="B73" s="3" t="s">
        <v>14643</v>
      </c>
      <c r="C73" s="3" t="s">
        <v>14881</v>
      </c>
      <c r="D73" s="3" t="s">
        <v>14882</v>
      </c>
      <c r="E73" s="3" t="s">
        <v>14654</v>
      </c>
      <c r="F73" s="3" t="s">
        <v>14883</v>
      </c>
      <c r="G73" s="3">
        <v>9563762372</v>
      </c>
    </row>
    <row r="74" spans="1:7" x14ac:dyDescent="0.45">
      <c r="A74" s="3">
        <v>4815</v>
      </c>
      <c r="B74" s="3" t="s">
        <v>14643</v>
      </c>
      <c r="C74" s="3" t="s">
        <v>14884</v>
      </c>
      <c r="D74" s="3" t="s">
        <v>14885</v>
      </c>
      <c r="E74" s="3" t="s">
        <v>14886</v>
      </c>
      <c r="F74" s="3" t="s">
        <v>14887</v>
      </c>
      <c r="G74" s="3">
        <v>3094543138</v>
      </c>
    </row>
    <row r="75" spans="1:7" x14ac:dyDescent="0.45">
      <c r="A75" s="3">
        <v>4816</v>
      </c>
      <c r="B75" s="3" t="s">
        <v>14643</v>
      </c>
      <c r="C75" s="3" t="s">
        <v>14888</v>
      </c>
      <c r="D75" s="3" t="s">
        <v>14889</v>
      </c>
      <c r="E75" s="3" t="s">
        <v>14748</v>
      </c>
      <c r="F75" s="3" t="s">
        <v>14890</v>
      </c>
      <c r="G75" s="3">
        <v>3036175601</v>
      </c>
    </row>
    <row r="76" spans="1:7" ht="28.5" x14ac:dyDescent="0.45">
      <c r="A76" s="3">
        <v>4817</v>
      </c>
      <c r="B76" s="3" t="s">
        <v>14643</v>
      </c>
      <c r="C76" s="3" t="s">
        <v>14891</v>
      </c>
      <c r="D76" s="3" t="s">
        <v>14892</v>
      </c>
      <c r="E76" s="3" t="s">
        <v>14698</v>
      </c>
      <c r="F76" s="3" t="s">
        <v>14893</v>
      </c>
      <c r="G76" s="3">
        <v>2056550505</v>
      </c>
    </row>
    <row r="77" spans="1:7" x14ac:dyDescent="0.45">
      <c r="A77" s="3">
        <v>4818</v>
      </c>
      <c r="B77" s="3" t="s">
        <v>14643</v>
      </c>
      <c r="C77" s="3" t="s">
        <v>14894</v>
      </c>
      <c r="D77" s="3" t="s">
        <v>14895</v>
      </c>
      <c r="E77" s="3" t="s">
        <v>14792</v>
      </c>
      <c r="F77" s="3" t="s">
        <v>14896</v>
      </c>
      <c r="G77" s="3">
        <v>3525924737</v>
      </c>
    </row>
    <row r="78" spans="1:7" x14ac:dyDescent="0.45">
      <c r="A78" s="3">
        <v>4819</v>
      </c>
      <c r="B78" s="3" t="s">
        <v>14643</v>
      </c>
      <c r="C78" s="3" t="s">
        <v>14897</v>
      </c>
      <c r="D78" s="3" t="s">
        <v>14898</v>
      </c>
      <c r="E78" s="3" t="s">
        <v>14662</v>
      </c>
      <c r="F78" s="3" t="s">
        <v>14899</v>
      </c>
      <c r="G78" s="3">
        <v>6616548565</v>
      </c>
    </row>
    <row r="79" spans="1:7" x14ac:dyDescent="0.45">
      <c r="A79" s="3">
        <v>4820</v>
      </c>
      <c r="B79" s="3" t="s">
        <v>14643</v>
      </c>
      <c r="C79" s="3" t="s">
        <v>14900</v>
      </c>
      <c r="D79" s="3" t="s">
        <v>14901</v>
      </c>
      <c r="E79" s="3" t="s">
        <v>14730</v>
      </c>
      <c r="F79" s="3" t="s">
        <v>14902</v>
      </c>
      <c r="G79" s="3">
        <v>9127483767</v>
      </c>
    </row>
    <row r="80" spans="1:7" ht="28.5" x14ac:dyDescent="0.45">
      <c r="A80" s="3">
        <v>4822</v>
      </c>
      <c r="B80" s="3" t="s">
        <v>14643</v>
      </c>
      <c r="C80" s="3" t="s">
        <v>14903</v>
      </c>
      <c r="D80" s="3" t="s">
        <v>14904</v>
      </c>
      <c r="E80" s="3" t="s">
        <v>14662</v>
      </c>
      <c r="F80" s="3" t="s">
        <v>14905</v>
      </c>
      <c r="G80" s="3">
        <v>9516964500</v>
      </c>
    </row>
    <row r="81" spans="1:7" x14ac:dyDescent="0.45">
      <c r="A81" s="3">
        <v>4824</v>
      </c>
      <c r="B81" s="3" t="s">
        <v>14643</v>
      </c>
      <c r="C81" s="3" t="s">
        <v>14906</v>
      </c>
      <c r="D81" s="3" t="s">
        <v>14907</v>
      </c>
      <c r="E81" s="3" t="s">
        <v>14662</v>
      </c>
      <c r="F81" s="3" t="s">
        <v>14908</v>
      </c>
      <c r="G81" s="3">
        <v>6612227408</v>
      </c>
    </row>
    <row r="82" spans="1:7" x14ac:dyDescent="0.45">
      <c r="A82" s="3">
        <v>4825</v>
      </c>
      <c r="B82" s="3" t="s">
        <v>14643</v>
      </c>
      <c r="C82" s="3" t="s">
        <v>14909</v>
      </c>
      <c r="D82" s="3" t="s">
        <v>14910</v>
      </c>
      <c r="E82" s="3" t="s">
        <v>14752</v>
      </c>
      <c r="F82" s="3" t="s">
        <v>14911</v>
      </c>
      <c r="G82" s="3">
        <v>5016257201</v>
      </c>
    </row>
    <row r="83" spans="1:7" x14ac:dyDescent="0.45">
      <c r="A83" s="3">
        <v>4828</v>
      </c>
      <c r="B83" s="3" t="s">
        <v>14643</v>
      </c>
      <c r="C83" s="3" t="s">
        <v>14912</v>
      </c>
      <c r="D83" s="3" t="s">
        <v>14913</v>
      </c>
      <c r="E83" s="3" t="s">
        <v>14792</v>
      </c>
      <c r="F83" s="3" t="s">
        <v>14914</v>
      </c>
      <c r="G83" s="3">
        <v>4072048629</v>
      </c>
    </row>
    <row r="84" spans="1:7" x14ac:dyDescent="0.45">
      <c r="A84" s="3">
        <v>4829</v>
      </c>
      <c r="B84" s="3" t="s">
        <v>14643</v>
      </c>
      <c r="C84" s="3" t="s">
        <v>14915</v>
      </c>
      <c r="D84" s="3" t="s">
        <v>14916</v>
      </c>
      <c r="E84" s="3" t="s">
        <v>14716</v>
      </c>
      <c r="F84" s="3" t="s">
        <v>14917</v>
      </c>
      <c r="G84" s="3">
        <v>4807221447</v>
      </c>
    </row>
    <row r="85" spans="1:7" x14ac:dyDescent="0.45">
      <c r="A85" s="3">
        <v>4830</v>
      </c>
      <c r="B85" s="3" t="s">
        <v>14643</v>
      </c>
      <c r="C85" s="3" t="s">
        <v>14918</v>
      </c>
      <c r="D85" s="3" t="s">
        <v>14919</v>
      </c>
      <c r="E85" s="3" t="s">
        <v>14716</v>
      </c>
      <c r="F85" s="3" t="s">
        <v>14920</v>
      </c>
      <c r="G85" s="3">
        <v>6238823859</v>
      </c>
    </row>
    <row r="86" spans="1:7" ht="28.5" x14ac:dyDescent="0.45">
      <c r="A86" s="3">
        <v>4831</v>
      </c>
      <c r="B86" s="3" t="s">
        <v>14643</v>
      </c>
      <c r="C86" s="3" t="s">
        <v>14921</v>
      </c>
      <c r="D86" s="3" t="s">
        <v>14922</v>
      </c>
      <c r="E86" s="3" t="s">
        <v>14855</v>
      </c>
      <c r="F86" s="3" t="s">
        <v>14923</v>
      </c>
      <c r="G86" s="3">
        <v>9194898160</v>
      </c>
    </row>
    <row r="87" spans="1:7" x14ac:dyDescent="0.45">
      <c r="A87" s="3">
        <v>4836</v>
      </c>
      <c r="B87" s="3" t="s">
        <v>14643</v>
      </c>
      <c r="C87" s="3" t="s">
        <v>14924</v>
      </c>
      <c r="D87" s="3" t="s">
        <v>14925</v>
      </c>
      <c r="E87" s="3" t="s">
        <v>14698</v>
      </c>
      <c r="F87" s="3" t="s">
        <v>14926</v>
      </c>
      <c r="G87" s="3">
        <v>2563420125</v>
      </c>
    </row>
    <row r="88" spans="1:7" x14ac:dyDescent="0.45">
      <c r="A88" s="3">
        <v>4837</v>
      </c>
      <c r="B88" s="3" t="s">
        <v>14643</v>
      </c>
      <c r="C88" s="3" t="s">
        <v>14927</v>
      </c>
      <c r="D88" s="3" t="s">
        <v>14928</v>
      </c>
      <c r="E88" s="3" t="s">
        <v>14650</v>
      </c>
      <c r="F88" s="3" t="s">
        <v>14929</v>
      </c>
      <c r="G88" s="3">
        <v>2256658988</v>
      </c>
    </row>
    <row r="89" spans="1:7" x14ac:dyDescent="0.45">
      <c r="A89" s="3">
        <v>4839</v>
      </c>
      <c r="B89" s="3" t="s">
        <v>14643</v>
      </c>
      <c r="C89" s="3" t="s">
        <v>14930</v>
      </c>
      <c r="D89" s="3" t="s">
        <v>14931</v>
      </c>
      <c r="E89" s="3" t="s">
        <v>14712</v>
      </c>
      <c r="F89" s="3" t="s">
        <v>14932</v>
      </c>
      <c r="G89" s="3">
        <v>9188774546</v>
      </c>
    </row>
    <row r="90" spans="1:7" x14ac:dyDescent="0.45">
      <c r="A90" s="3">
        <v>4840</v>
      </c>
      <c r="B90" s="3" t="s">
        <v>14643</v>
      </c>
      <c r="C90" s="3" t="s">
        <v>14933</v>
      </c>
      <c r="D90" s="3" t="s">
        <v>14934</v>
      </c>
      <c r="E90" s="3" t="s">
        <v>14935</v>
      </c>
      <c r="F90" s="3" t="s">
        <v>14936</v>
      </c>
      <c r="G90" s="3">
        <v>6087412367</v>
      </c>
    </row>
    <row r="91" spans="1:7" x14ac:dyDescent="0.45">
      <c r="A91" s="3">
        <v>4843</v>
      </c>
      <c r="B91" s="3" t="s">
        <v>14643</v>
      </c>
      <c r="C91" s="3" t="s">
        <v>14937</v>
      </c>
      <c r="D91" s="3" t="s">
        <v>14938</v>
      </c>
      <c r="E91" s="3" t="s">
        <v>14654</v>
      </c>
      <c r="F91" s="3" t="s">
        <v>14939</v>
      </c>
      <c r="G91" s="3">
        <v>7139860080</v>
      </c>
    </row>
    <row r="92" spans="1:7" x14ac:dyDescent="0.45">
      <c r="A92" s="3">
        <v>4846</v>
      </c>
      <c r="B92" s="3" t="s">
        <v>14643</v>
      </c>
      <c r="C92" s="3" t="s">
        <v>14940</v>
      </c>
      <c r="D92" s="3" t="s">
        <v>14941</v>
      </c>
      <c r="E92" s="3" t="s">
        <v>14756</v>
      </c>
      <c r="F92" s="3" t="s">
        <v>14942</v>
      </c>
      <c r="G92" s="3">
        <v>4403527430</v>
      </c>
    </row>
    <row r="93" spans="1:7" x14ac:dyDescent="0.45">
      <c r="A93" s="3">
        <v>4847</v>
      </c>
      <c r="B93" s="3" t="s">
        <v>14643</v>
      </c>
      <c r="C93" s="3" t="s">
        <v>14943</v>
      </c>
      <c r="D93" s="3" t="s">
        <v>14944</v>
      </c>
      <c r="E93" s="3" t="s">
        <v>14945</v>
      </c>
      <c r="F93" s="3" t="s">
        <v>14946</v>
      </c>
      <c r="G93" s="3">
        <v>7248507490</v>
      </c>
    </row>
    <row r="94" spans="1:7" x14ac:dyDescent="0.45">
      <c r="A94" s="3">
        <v>4850</v>
      </c>
      <c r="B94" s="3" t="s">
        <v>14643</v>
      </c>
      <c r="C94" s="3" t="s">
        <v>14947</v>
      </c>
      <c r="D94" s="3" t="s">
        <v>14948</v>
      </c>
      <c r="E94" s="3" t="s">
        <v>14654</v>
      </c>
      <c r="F94" s="3" t="s">
        <v>14949</v>
      </c>
      <c r="G94" s="3">
        <v>9562788824</v>
      </c>
    </row>
    <row r="95" spans="1:7" x14ac:dyDescent="0.45">
      <c r="A95" s="3">
        <v>4851</v>
      </c>
      <c r="B95" s="3" t="s">
        <v>14643</v>
      </c>
      <c r="C95" s="3" t="s">
        <v>14950</v>
      </c>
      <c r="D95" s="3" t="s">
        <v>14951</v>
      </c>
      <c r="E95" s="3" t="s">
        <v>14952</v>
      </c>
      <c r="F95" s="3" t="s">
        <v>14953</v>
      </c>
      <c r="G95" s="3">
        <v>8122180310</v>
      </c>
    </row>
    <row r="96" spans="1:7" x14ac:dyDescent="0.45">
      <c r="A96" s="3">
        <v>4852</v>
      </c>
      <c r="B96" s="3" t="s">
        <v>14643</v>
      </c>
      <c r="C96" s="3" t="s">
        <v>14954</v>
      </c>
      <c r="D96" s="3" t="s">
        <v>14955</v>
      </c>
      <c r="E96" s="3" t="s">
        <v>14792</v>
      </c>
      <c r="F96" s="3" t="s">
        <v>14956</v>
      </c>
      <c r="G96" s="3">
        <v>8139297010</v>
      </c>
    </row>
    <row r="97" spans="1:7" x14ac:dyDescent="0.45">
      <c r="A97" s="3">
        <v>4853</v>
      </c>
      <c r="B97" s="3" t="s">
        <v>14643</v>
      </c>
      <c r="C97" s="3" t="s">
        <v>14957</v>
      </c>
      <c r="D97" s="3" t="s">
        <v>14958</v>
      </c>
      <c r="E97" s="3" t="s">
        <v>14748</v>
      </c>
      <c r="F97" s="3" t="s">
        <v>14959</v>
      </c>
      <c r="G97" s="3">
        <v>3033798049</v>
      </c>
    </row>
    <row r="98" spans="1:7" x14ac:dyDescent="0.45">
      <c r="A98" s="3">
        <v>4855</v>
      </c>
      <c r="B98" s="3" t="s">
        <v>14643</v>
      </c>
      <c r="C98" s="3" t="s">
        <v>14960</v>
      </c>
      <c r="D98" s="3" t="s">
        <v>14961</v>
      </c>
      <c r="E98" s="3" t="s">
        <v>14945</v>
      </c>
      <c r="F98" s="3" t="s">
        <v>14962</v>
      </c>
      <c r="G98" s="3">
        <v>7179696021</v>
      </c>
    </row>
    <row r="99" spans="1:7" x14ac:dyDescent="0.45">
      <c r="A99" s="3">
        <v>4857</v>
      </c>
      <c r="B99" s="3" t="s">
        <v>14643</v>
      </c>
      <c r="C99" s="3" t="s">
        <v>14963</v>
      </c>
      <c r="D99" s="3" t="s">
        <v>14964</v>
      </c>
      <c r="E99" s="3" t="s">
        <v>14792</v>
      </c>
      <c r="F99" s="3" t="s">
        <v>14965</v>
      </c>
      <c r="G99" s="3">
        <v>2398006028</v>
      </c>
    </row>
    <row r="100" spans="1:7" x14ac:dyDescent="0.45">
      <c r="A100" s="3">
        <v>4858</v>
      </c>
      <c r="B100" s="3" t="s">
        <v>14643</v>
      </c>
      <c r="C100" s="3" t="s">
        <v>14849</v>
      </c>
      <c r="D100" s="3" t="s">
        <v>14966</v>
      </c>
      <c r="E100" s="3" t="s">
        <v>14654</v>
      </c>
      <c r="F100" s="3" t="s">
        <v>14967</v>
      </c>
      <c r="G100" s="3">
        <v>0</v>
      </c>
    </row>
    <row r="101" spans="1:7" x14ac:dyDescent="0.45">
      <c r="A101" s="3">
        <v>4859</v>
      </c>
      <c r="B101" s="3" t="s">
        <v>14643</v>
      </c>
      <c r="C101" s="3" t="s">
        <v>14968</v>
      </c>
      <c r="D101" s="3" t="s">
        <v>14969</v>
      </c>
      <c r="E101" s="3" t="s">
        <v>14945</v>
      </c>
      <c r="F101" s="3" t="s">
        <v>14970</v>
      </c>
      <c r="G101" s="3">
        <v>7242823525</v>
      </c>
    </row>
    <row r="102" spans="1:7" x14ac:dyDescent="0.45">
      <c r="A102" s="3">
        <v>4860</v>
      </c>
      <c r="B102" s="3" t="s">
        <v>14643</v>
      </c>
      <c r="C102" s="3" t="s">
        <v>14971</v>
      </c>
      <c r="D102" s="3" t="s">
        <v>14972</v>
      </c>
      <c r="E102" s="3" t="s">
        <v>14973</v>
      </c>
      <c r="F102" s="3" t="s">
        <v>14974</v>
      </c>
      <c r="G102" s="3">
        <v>3042526508</v>
      </c>
    </row>
    <row r="103" spans="1:7" x14ac:dyDescent="0.45">
      <c r="A103" s="3">
        <v>4861</v>
      </c>
      <c r="B103" s="3" t="s">
        <v>14643</v>
      </c>
      <c r="C103" s="3" t="s">
        <v>14975</v>
      </c>
      <c r="D103" s="3" t="s">
        <v>14976</v>
      </c>
      <c r="E103" s="3" t="s">
        <v>14792</v>
      </c>
      <c r="F103" s="3" t="s">
        <v>14977</v>
      </c>
      <c r="G103" s="3">
        <v>7273690511</v>
      </c>
    </row>
    <row r="104" spans="1:7" x14ac:dyDescent="0.45">
      <c r="A104" s="3">
        <v>4864</v>
      </c>
      <c r="B104" s="3" t="s">
        <v>14643</v>
      </c>
      <c r="C104" s="3" t="s">
        <v>14978</v>
      </c>
      <c r="D104" s="3" t="s">
        <v>14979</v>
      </c>
      <c r="E104" s="3" t="s">
        <v>14654</v>
      </c>
      <c r="F104" s="3" t="s">
        <v>14980</v>
      </c>
      <c r="G104" s="3">
        <v>8328066451</v>
      </c>
    </row>
    <row r="105" spans="1:7" x14ac:dyDescent="0.45">
      <c r="A105" s="3">
        <v>4868</v>
      </c>
      <c r="B105" s="3" t="s">
        <v>14643</v>
      </c>
      <c r="C105" s="3" t="s">
        <v>14981</v>
      </c>
      <c r="D105" s="3" t="s">
        <v>14982</v>
      </c>
      <c r="E105" s="3" t="s">
        <v>14654</v>
      </c>
      <c r="F105" s="3" t="s">
        <v>14983</v>
      </c>
      <c r="G105" s="3">
        <v>0</v>
      </c>
    </row>
    <row r="106" spans="1:7" x14ac:dyDescent="0.45">
      <c r="A106" s="3">
        <v>4870</v>
      </c>
      <c r="B106" s="3" t="s">
        <v>14643</v>
      </c>
      <c r="C106" s="3" t="s">
        <v>14984</v>
      </c>
      <c r="D106" s="3" t="s">
        <v>14985</v>
      </c>
      <c r="E106" s="3" t="s">
        <v>14666</v>
      </c>
      <c r="F106" s="3" t="s">
        <v>14986</v>
      </c>
      <c r="G106" s="3">
        <v>9136930977</v>
      </c>
    </row>
    <row r="107" spans="1:7" x14ac:dyDescent="0.45">
      <c r="A107" s="3">
        <v>4871</v>
      </c>
      <c r="B107" s="3" t="s">
        <v>14643</v>
      </c>
      <c r="C107" s="3" t="s">
        <v>14987</v>
      </c>
      <c r="D107" s="3" t="s">
        <v>14988</v>
      </c>
      <c r="E107" s="3" t="s">
        <v>14734</v>
      </c>
      <c r="F107" s="3" t="s">
        <v>14989</v>
      </c>
      <c r="G107" s="3">
        <v>6014824833</v>
      </c>
    </row>
    <row r="108" spans="1:7" x14ac:dyDescent="0.45">
      <c r="A108" s="3">
        <v>4872</v>
      </c>
      <c r="B108" s="3" t="s">
        <v>14643</v>
      </c>
      <c r="C108" s="3" t="s">
        <v>14990</v>
      </c>
      <c r="D108" s="3" t="s">
        <v>14991</v>
      </c>
      <c r="E108" s="3" t="s">
        <v>14992</v>
      </c>
      <c r="F108" s="3" t="s">
        <v>14993</v>
      </c>
      <c r="G108" s="3">
        <v>8032230994</v>
      </c>
    </row>
    <row r="109" spans="1:7" x14ac:dyDescent="0.45">
      <c r="A109" s="3">
        <v>4873</v>
      </c>
      <c r="B109" s="3" t="s">
        <v>14643</v>
      </c>
      <c r="C109" s="3" t="s">
        <v>14994</v>
      </c>
      <c r="D109" s="3" t="s">
        <v>14995</v>
      </c>
      <c r="E109" s="3" t="s">
        <v>14996</v>
      </c>
      <c r="F109" s="3" t="s">
        <v>14997</v>
      </c>
      <c r="G109" s="3">
        <v>4029756902</v>
      </c>
    </row>
    <row r="110" spans="1:7" x14ac:dyDescent="0.45">
      <c r="A110" s="3">
        <v>4874</v>
      </c>
      <c r="B110" s="3" t="s">
        <v>14643</v>
      </c>
      <c r="C110" s="3" t="s">
        <v>14998</v>
      </c>
      <c r="D110" s="3" t="s">
        <v>14999</v>
      </c>
      <c r="E110" s="3" t="s">
        <v>14650</v>
      </c>
      <c r="F110" s="3" t="s">
        <v>15000</v>
      </c>
      <c r="G110" s="3">
        <v>9853276254</v>
      </c>
    </row>
    <row r="111" spans="1:7" x14ac:dyDescent="0.45">
      <c r="A111" s="3">
        <v>4875</v>
      </c>
      <c r="B111" s="3" t="s">
        <v>14643</v>
      </c>
      <c r="C111" s="3" t="s">
        <v>15001</v>
      </c>
      <c r="D111" s="3" t="s">
        <v>15002</v>
      </c>
      <c r="E111" s="3" t="s">
        <v>14738</v>
      </c>
      <c r="F111" s="3" t="s">
        <v>15003</v>
      </c>
      <c r="G111" s="3">
        <v>6366989774</v>
      </c>
    </row>
    <row r="112" spans="1:7" x14ac:dyDescent="0.45">
      <c r="A112" s="3">
        <v>4876</v>
      </c>
      <c r="B112" s="3" t="s">
        <v>14643</v>
      </c>
      <c r="C112" s="3" t="s">
        <v>15004</v>
      </c>
      <c r="D112" s="3" t="s">
        <v>15005</v>
      </c>
      <c r="E112" s="3" t="s">
        <v>14702</v>
      </c>
      <c r="F112" s="3" t="s">
        <v>15006</v>
      </c>
      <c r="G112" s="3">
        <v>2707817775</v>
      </c>
    </row>
    <row r="113" spans="1:7" x14ac:dyDescent="0.45">
      <c r="A113" s="3">
        <v>4878</v>
      </c>
      <c r="B113" s="3" t="s">
        <v>14643</v>
      </c>
      <c r="C113" s="3" t="s">
        <v>15007</v>
      </c>
      <c r="D113" s="3" t="s">
        <v>15008</v>
      </c>
      <c r="E113" s="3" t="s">
        <v>14886</v>
      </c>
      <c r="F113" s="3" t="s">
        <v>15009</v>
      </c>
      <c r="G113" s="3">
        <v>6186597336</v>
      </c>
    </row>
    <row r="114" spans="1:7" x14ac:dyDescent="0.45">
      <c r="A114" s="3">
        <v>4879</v>
      </c>
      <c r="B114" s="3" t="s">
        <v>14643</v>
      </c>
      <c r="C114" s="3" t="s">
        <v>15010</v>
      </c>
      <c r="D114" s="3" t="s">
        <v>15011</v>
      </c>
      <c r="E114" s="3" t="s">
        <v>14992</v>
      </c>
      <c r="F114" s="3" t="s">
        <v>15012</v>
      </c>
      <c r="G114" s="3">
        <v>8037616908</v>
      </c>
    </row>
    <row r="115" spans="1:7" x14ac:dyDescent="0.45">
      <c r="A115" s="3">
        <v>4901</v>
      </c>
      <c r="B115" s="3" t="s">
        <v>14643</v>
      </c>
      <c r="C115" s="3" t="s">
        <v>15013</v>
      </c>
      <c r="D115" s="3" t="s">
        <v>15014</v>
      </c>
      <c r="E115" s="3" t="s">
        <v>14992</v>
      </c>
      <c r="F115" s="3" t="s">
        <v>15015</v>
      </c>
      <c r="G115" s="3">
        <v>8646449000</v>
      </c>
    </row>
    <row r="116" spans="1:7" x14ac:dyDescent="0.45">
      <c r="A116" s="3">
        <v>4905</v>
      </c>
      <c r="B116" s="3" t="s">
        <v>14643</v>
      </c>
      <c r="C116" s="3" t="s">
        <v>15016</v>
      </c>
      <c r="D116" s="3" t="s">
        <v>15017</v>
      </c>
      <c r="E116" s="3" t="s">
        <v>14654</v>
      </c>
      <c r="F116" s="3" t="s">
        <v>15018</v>
      </c>
      <c r="G116" s="3">
        <v>9408981529</v>
      </c>
    </row>
    <row r="117" spans="1:7" x14ac:dyDescent="0.45">
      <c r="A117" s="3">
        <v>4906</v>
      </c>
      <c r="B117" s="3" t="s">
        <v>14643</v>
      </c>
      <c r="C117" s="3" t="s">
        <v>15019</v>
      </c>
      <c r="D117" s="3" t="s">
        <v>15020</v>
      </c>
      <c r="E117" s="3" t="s">
        <v>14654</v>
      </c>
      <c r="F117" s="3" t="s">
        <v>15021</v>
      </c>
      <c r="G117" s="3">
        <v>4699522417</v>
      </c>
    </row>
    <row r="118" spans="1:7" x14ac:dyDescent="0.45">
      <c r="A118" s="3">
        <v>4908</v>
      </c>
      <c r="B118" s="3" t="s">
        <v>14643</v>
      </c>
      <c r="C118" s="3" t="s">
        <v>15022</v>
      </c>
      <c r="D118" s="3" t="s">
        <v>15023</v>
      </c>
      <c r="E118" s="3" t="s">
        <v>14702</v>
      </c>
      <c r="F118" s="3" t="s">
        <v>15024</v>
      </c>
      <c r="G118" s="3">
        <v>2706831930</v>
      </c>
    </row>
    <row r="119" spans="1:7" x14ac:dyDescent="0.45">
      <c r="A119" s="3">
        <v>4911</v>
      </c>
      <c r="B119" s="3" t="s">
        <v>14643</v>
      </c>
      <c r="C119" s="3" t="s">
        <v>15025</v>
      </c>
      <c r="D119" s="3" t="s">
        <v>15026</v>
      </c>
      <c r="E119" s="3" t="s">
        <v>14654</v>
      </c>
      <c r="F119" s="3" t="s">
        <v>15027</v>
      </c>
      <c r="G119" s="3">
        <v>8177796047</v>
      </c>
    </row>
    <row r="120" spans="1:7" x14ac:dyDescent="0.45">
      <c r="A120" s="3">
        <v>4913</v>
      </c>
      <c r="B120" s="3" t="s">
        <v>14643</v>
      </c>
      <c r="C120" s="3" t="s">
        <v>15028</v>
      </c>
      <c r="D120" s="3" t="s">
        <v>14772</v>
      </c>
      <c r="E120" s="3" t="s">
        <v>14654</v>
      </c>
      <c r="F120" s="3" t="s">
        <v>15029</v>
      </c>
      <c r="G120" s="3">
        <v>3469226015</v>
      </c>
    </row>
    <row r="121" spans="1:7" x14ac:dyDescent="0.45">
      <c r="A121" s="3">
        <v>4914</v>
      </c>
      <c r="B121" s="3" t="s">
        <v>14643</v>
      </c>
      <c r="C121" s="3" t="s">
        <v>15030</v>
      </c>
      <c r="D121" s="3" t="s">
        <v>15031</v>
      </c>
      <c r="E121" s="3" t="s">
        <v>14654</v>
      </c>
      <c r="F121" s="3" t="s">
        <v>15032</v>
      </c>
      <c r="G121" s="3">
        <v>2108104368</v>
      </c>
    </row>
    <row r="122" spans="1:7" x14ac:dyDescent="0.45">
      <c r="A122" s="3">
        <v>4915</v>
      </c>
      <c r="B122" s="3" t="s">
        <v>14643</v>
      </c>
      <c r="C122" s="3" t="s">
        <v>15033</v>
      </c>
      <c r="D122" s="3" t="s">
        <v>15034</v>
      </c>
      <c r="E122" s="3" t="s">
        <v>14716</v>
      </c>
      <c r="F122" s="3" t="s">
        <v>15035</v>
      </c>
      <c r="G122" s="3">
        <v>9287543900</v>
      </c>
    </row>
    <row r="123" spans="1:7" x14ac:dyDescent="0.45">
      <c r="A123" s="3">
        <v>4917</v>
      </c>
      <c r="B123" s="3" t="s">
        <v>14643</v>
      </c>
      <c r="C123" s="3" t="s">
        <v>15036</v>
      </c>
      <c r="D123" s="3" t="s">
        <v>15037</v>
      </c>
      <c r="E123" s="3" t="s">
        <v>14855</v>
      </c>
      <c r="F123" s="3" t="s">
        <v>15038</v>
      </c>
      <c r="G123" s="3">
        <v>7043606020</v>
      </c>
    </row>
    <row r="124" spans="1:7" x14ac:dyDescent="0.45">
      <c r="A124" s="3">
        <v>4920</v>
      </c>
      <c r="B124" s="3" t="s">
        <v>14643</v>
      </c>
      <c r="C124" s="3" t="s">
        <v>15039</v>
      </c>
      <c r="D124" s="3" t="s">
        <v>15040</v>
      </c>
      <c r="E124" s="3" t="s">
        <v>14738</v>
      </c>
      <c r="F124" s="3" t="s">
        <v>15041</v>
      </c>
      <c r="G124" s="3">
        <v>8162792192</v>
      </c>
    </row>
    <row r="125" spans="1:7" x14ac:dyDescent="0.45">
      <c r="A125" s="3">
        <v>4924</v>
      </c>
      <c r="B125" s="3" t="s">
        <v>14643</v>
      </c>
      <c r="C125" s="3" t="s">
        <v>14849</v>
      </c>
      <c r="D125" s="3" t="s">
        <v>15042</v>
      </c>
      <c r="E125" s="3" t="s">
        <v>14654</v>
      </c>
      <c r="F125" s="3" t="s">
        <v>15043</v>
      </c>
      <c r="G125" s="3">
        <v>0</v>
      </c>
    </row>
    <row r="126" spans="1:7" x14ac:dyDescent="0.45">
      <c r="A126" s="3">
        <v>4925</v>
      </c>
      <c r="B126" s="3" t="s">
        <v>14643</v>
      </c>
      <c r="C126" s="3" t="s">
        <v>15044</v>
      </c>
      <c r="D126" s="3" t="s">
        <v>15045</v>
      </c>
      <c r="E126" s="3" t="s">
        <v>14654</v>
      </c>
      <c r="F126" s="3" t="s">
        <v>15046</v>
      </c>
      <c r="G126" s="3">
        <v>4693295388</v>
      </c>
    </row>
    <row r="127" spans="1:7" x14ac:dyDescent="0.45">
      <c r="A127" s="3">
        <v>4926</v>
      </c>
      <c r="B127" s="3" t="s">
        <v>14643</v>
      </c>
      <c r="C127" s="3" t="s">
        <v>15047</v>
      </c>
      <c r="D127" s="3" t="s">
        <v>15048</v>
      </c>
      <c r="E127" s="3" t="s">
        <v>14952</v>
      </c>
      <c r="F127" s="3" t="s">
        <v>15049</v>
      </c>
      <c r="G127" s="3">
        <v>8123739226</v>
      </c>
    </row>
    <row r="128" spans="1:7" x14ac:dyDescent="0.45">
      <c r="A128" s="3">
        <v>4930</v>
      </c>
      <c r="B128" s="3" t="s">
        <v>14643</v>
      </c>
      <c r="C128" s="3" t="s">
        <v>15050</v>
      </c>
      <c r="D128" s="3" t="s">
        <v>15051</v>
      </c>
      <c r="E128" s="3" t="s">
        <v>15052</v>
      </c>
      <c r="F128" s="3" t="s">
        <v>15053</v>
      </c>
      <c r="G128" s="3">
        <v>9315282070</v>
      </c>
    </row>
    <row r="129" spans="1:7" x14ac:dyDescent="0.45">
      <c r="A129" s="3">
        <v>4933</v>
      </c>
      <c r="B129" s="3" t="s">
        <v>14643</v>
      </c>
      <c r="C129" s="3" t="s">
        <v>15054</v>
      </c>
      <c r="D129" s="3" t="s">
        <v>15055</v>
      </c>
      <c r="E129" s="3" t="s">
        <v>15056</v>
      </c>
      <c r="F129" s="3" t="s">
        <v>15057</v>
      </c>
      <c r="G129" s="3">
        <v>7012221101</v>
      </c>
    </row>
    <row r="130" spans="1:7" ht="28.5" x14ac:dyDescent="0.45">
      <c r="A130" s="3">
        <v>4936</v>
      </c>
      <c r="B130" s="3" t="s">
        <v>14643</v>
      </c>
      <c r="C130" s="3" t="s">
        <v>15058</v>
      </c>
      <c r="D130" s="3" t="s">
        <v>15059</v>
      </c>
      <c r="E130" s="3" t="s">
        <v>14973</v>
      </c>
      <c r="F130" s="3" t="s">
        <v>15060</v>
      </c>
      <c r="G130" s="3">
        <v>3045983042</v>
      </c>
    </row>
    <row r="131" spans="1:7" x14ac:dyDescent="0.45">
      <c r="A131" s="3">
        <v>4938</v>
      </c>
      <c r="B131" s="3" t="s">
        <v>14643</v>
      </c>
      <c r="C131" s="3" t="s">
        <v>15061</v>
      </c>
      <c r="D131" s="3" t="s">
        <v>14657</v>
      </c>
      <c r="E131" s="3" t="s">
        <v>14658</v>
      </c>
      <c r="F131" s="3" t="s">
        <v>15062</v>
      </c>
      <c r="G131" s="3">
        <v>5053440051</v>
      </c>
    </row>
    <row r="132" spans="1:7" x14ac:dyDescent="0.45">
      <c r="A132" s="3">
        <v>4939</v>
      </c>
      <c r="B132" s="3" t="s">
        <v>14643</v>
      </c>
      <c r="C132" s="3" t="s">
        <v>15063</v>
      </c>
      <c r="D132" s="3" t="s">
        <v>15031</v>
      </c>
      <c r="E132" s="3" t="s">
        <v>14654</v>
      </c>
      <c r="F132" s="3" t="s">
        <v>15064</v>
      </c>
      <c r="G132" s="3">
        <v>2105070482</v>
      </c>
    </row>
    <row r="133" spans="1:7" x14ac:dyDescent="0.45">
      <c r="A133" s="3">
        <v>4942</v>
      </c>
      <c r="B133" s="3" t="s">
        <v>14643</v>
      </c>
      <c r="C133" s="3" t="s">
        <v>15065</v>
      </c>
      <c r="D133" s="3" t="s">
        <v>15066</v>
      </c>
      <c r="E133" s="3" t="s">
        <v>14886</v>
      </c>
      <c r="F133" s="3" t="s">
        <v>15067</v>
      </c>
      <c r="G133" s="3">
        <v>6305032142</v>
      </c>
    </row>
    <row r="134" spans="1:7" x14ac:dyDescent="0.45">
      <c r="A134" s="3">
        <v>4943</v>
      </c>
      <c r="B134" s="3" t="s">
        <v>14643</v>
      </c>
      <c r="C134" s="3" t="s">
        <v>15068</v>
      </c>
      <c r="D134" s="3" t="s">
        <v>15069</v>
      </c>
      <c r="E134" s="3" t="s">
        <v>14752</v>
      </c>
      <c r="F134" s="3" t="s">
        <v>15070</v>
      </c>
      <c r="G134" s="3">
        <v>0</v>
      </c>
    </row>
    <row r="135" spans="1:7" x14ac:dyDescent="0.45">
      <c r="A135" s="3">
        <v>4944</v>
      </c>
      <c r="B135" s="3" t="s">
        <v>14643</v>
      </c>
      <c r="C135" s="3" t="s">
        <v>15071</v>
      </c>
      <c r="D135" s="3" t="s">
        <v>15072</v>
      </c>
      <c r="E135" s="3" t="s">
        <v>14808</v>
      </c>
      <c r="F135" s="3" t="s">
        <v>15073</v>
      </c>
      <c r="G135" s="3">
        <v>8106039540</v>
      </c>
    </row>
    <row r="136" spans="1:7" x14ac:dyDescent="0.45">
      <c r="A136" s="3">
        <v>4946</v>
      </c>
      <c r="B136" s="3" t="s">
        <v>14643</v>
      </c>
      <c r="C136" s="3" t="s">
        <v>15074</v>
      </c>
      <c r="D136" s="3" t="s">
        <v>15075</v>
      </c>
      <c r="E136" s="3" t="s">
        <v>14855</v>
      </c>
      <c r="F136" s="3" t="s">
        <v>15076</v>
      </c>
      <c r="G136" s="3">
        <v>2524434044</v>
      </c>
    </row>
    <row r="137" spans="1:7" x14ac:dyDescent="0.45">
      <c r="A137" s="3">
        <v>4947</v>
      </c>
      <c r="B137" s="3" t="s">
        <v>14643</v>
      </c>
      <c r="C137" s="3" t="s">
        <v>15077</v>
      </c>
      <c r="D137" s="3" t="s">
        <v>15078</v>
      </c>
      <c r="E137" s="3" t="s">
        <v>14756</v>
      </c>
      <c r="F137" s="3" t="s">
        <v>15079</v>
      </c>
      <c r="G137" s="3">
        <v>7404527183</v>
      </c>
    </row>
    <row r="138" spans="1:7" x14ac:dyDescent="0.45">
      <c r="A138" s="3">
        <v>4948</v>
      </c>
      <c r="B138" s="3" t="s">
        <v>14643</v>
      </c>
      <c r="C138" s="3" t="s">
        <v>15080</v>
      </c>
      <c r="D138" s="3" t="s">
        <v>15081</v>
      </c>
      <c r="E138" s="3" t="s">
        <v>14654</v>
      </c>
      <c r="F138" s="3" t="s">
        <v>15082</v>
      </c>
      <c r="G138" s="3">
        <v>3252239373</v>
      </c>
    </row>
    <row r="139" spans="1:7" x14ac:dyDescent="0.45">
      <c r="A139" s="3">
        <v>4950</v>
      </c>
      <c r="B139" s="3" t="s">
        <v>14643</v>
      </c>
      <c r="C139" s="3" t="s">
        <v>15083</v>
      </c>
      <c r="D139" s="3" t="s">
        <v>15084</v>
      </c>
      <c r="E139" s="3" t="s">
        <v>14855</v>
      </c>
      <c r="F139" s="3" t="s">
        <v>15085</v>
      </c>
      <c r="G139" s="3">
        <v>8286986889</v>
      </c>
    </row>
    <row r="140" spans="1:7" x14ac:dyDescent="0.45">
      <c r="A140" s="3">
        <v>4952</v>
      </c>
      <c r="B140" s="3" t="s">
        <v>14643</v>
      </c>
      <c r="C140" s="3" t="s">
        <v>15086</v>
      </c>
      <c r="D140" s="3" t="s">
        <v>15087</v>
      </c>
      <c r="E140" s="3" t="s">
        <v>14945</v>
      </c>
      <c r="F140" s="3" t="s">
        <v>15088</v>
      </c>
      <c r="G140" s="3">
        <v>7242741734</v>
      </c>
    </row>
    <row r="141" spans="1:7" x14ac:dyDescent="0.45">
      <c r="A141" s="3">
        <v>4955</v>
      </c>
      <c r="B141" s="3" t="s">
        <v>14643</v>
      </c>
      <c r="C141" s="3" t="s">
        <v>15089</v>
      </c>
      <c r="D141" s="3" t="s">
        <v>15090</v>
      </c>
      <c r="E141" s="3" t="s">
        <v>14716</v>
      </c>
      <c r="F141" s="3" t="s">
        <v>15091</v>
      </c>
      <c r="G141" s="3">
        <v>6235840054</v>
      </c>
    </row>
    <row r="142" spans="1:7" x14ac:dyDescent="0.45">
      <c r="A142" s="3">
        <v>4956</v>
      </c>
      <c r="B142" s="3" t="s">
        <v>14643</v>
      </c>
      <c r="C142" s="3" t="s">
        <v>15092</v>
      </c>
      <c r="D142" s="3" t="s">
        <v>15093</v>
      </c>
      <c r="E142" s="3" t="s">
        <v>14716</v>
      </c>
      <c r="F142" s="3" t="s">
        <v>15094</v>
      </c>
      <c r="G142" s="3">
        <v>4806061805</v>
      </c>
    </row>
    <row r="143" spans="1:7" x14ac:dyDescent="0.45">
      <c r="A143" s="3">
        <v>4958</v>
      </c>
      <c r="B143" s="3" t="s">
        <v>14643</v>
      </c>
      <c r="C143" s="3" t="s">
        <v>15095</v>
      </c>
      <c r="D143" s="3" t="s">
        <v>15096</v>
      </c>
      <c r="E143" s="3" t="s">
        <v>14654</v>
      </c>
      <c r="F143" s="3" t="s">
        <v>15097</v>
      </c>
      <c r="G143" s="3">
        <v>5123921963</v>
      </c>
    </row>
    <row r="144" spans="1:7" x14ac:dyDescent="0.45">
      <c r="A144" s="3">
        <v>4961</v>
      </c>
      <c r="B144" s="3" t="s">
        <v>14643</v>
      </c>
      <c r="C144" s="3" t="s">
        <v>15098</v>
      </c>
      <c r="D144" s="3" t="s">
        <v>15099</v>
      </c>
      <c r="E144" s="3" t="s">
        <v>14658</v>
      </c>
      <c r="F144" s="3" t="s">
        <v>15100</v>
      </c>
      <c r="G144" s="3">
        <v>5756279852</v>
      </c>
    </row>
    <row r="145" spans="1:7" x14ac:dyDescent="0.45">
      <c r="A145" s="3">
        <v>4962</v>
      </c>
      <c r="B145" s="3" t="s">
        <v>14643</v>
      </c>
      <c r="C145" s="3" t="s">
        <v>15101</v>
      </c>
      <c r="D145" s="3" t="s">
        <v>15102</v>
      </c>
      <c r="E145" s="3" t="s">
        <v>14756</v>
      </c>
      <c r="F145" s="3" t="s">
        <v>15103</v>
      </c>
      <c r="G145" s="3">
        <v>4196266563</v>
      </c>
    </row>
    <row r="146" spans="1:7" x14ac:dyDescent="0.45">
      <c r="A146" s="3">
        <v>4963</v>
      </c>
      <c r="B146" s="3" t="s">
        <v>14643</v>
      </c>
      <c r="C146" s="3" t="s">
        <v>15104</v>
      </c>
      <c r="D146" s="3" t="s">
        <v>15105</v>
      </c>
      <c r="E146" s="3" t="s">
        <v>14756</v>
      </c>
      <c r="F146" s="3" t="s">
        <v>15106</v>
      </c>
      <c r="G146" s="3">
        <v>7407796700</v>
      </c>
    </row>
    <row r="147" spans="1:7" x14ac:dyDescent="0.45">
      <c r="A147" s="3">
        <v>4969</v>
      </c>
      <c r="B147" s="3" t="s">
        <v>14643</v>
      </c>
      <c r="C147" s="3" t="s">
        <v>15068</v>
      </c>
      <c r="D147" s="3" t="s">
        <v>15069</v>
      </c>
      <c r="E147" s="3" t="s">
        <v>14752</v>
      </c>
      <c r="F147" s="3" t="s">
        <v>15070</v>
      </c>
      <c r="G147" s="3">
        <v>4796215537</v>
      </c>
    </row>
    <row r="148" spans="1:7" x14ac:dyDescent="0.45">
      <c r="A148" s="3">
        <v>4972</v>
      </c>
      <c r="B148" s="3" t="s">
        <v>14643</v>
      </c>
      <c r="C148" s="3" t="s">
        <v>15107</v>
      </c>
      <c r="D148" s="3" t="s">
        <v>15108</v>
      </c>
      <c r="E148" s="3" t="s">
        <v>14792</v>
      </c>
      <c r="F148" s="3" t="s">
        <v>15109</v>
      </c>
      <c r="G148" s="3">
        <v>7728784881</v>
      </c>
    </row>
    <row r="149" spans="1:7" x14ac:dyDescent="0.45">
      <c r="A149" s="3">
        <v>4973</v>
      </c>
      <c r="B149" s="3" t="s">
        <v>14643</v>
      </c>
      <c r="C149" s="3" t="s">
        <v>15110</v>
      </c>
      <c r="D149" s="3" t="s">
        <v>15111</v>
      </c>
      <c r="E149" s="3" t="s">
        <v>14851</v>
      </c>
      <c r="F149" s="3" t="s">
        <v>15112</v>
      </c>
      <c r="G149" s="3">
        <v>5635870576</v>
      </c>
    </row>
    <row r="150" spans="1:7" x14ac:dyDescent="0.45">
      <c r="A150" s="3">
        <v>4974</v>
      </c>
      <c r="B150" s="3" t="s">
        <v>14643</v>
      </c>
      <c r="C150" s="3" t="s">
        <v>15113</v>
      </c>
      <c r="D150" s="3" t="s">
        <v>15114</v>
      </c>
      <c r="E150" s="3" t="s">
        <v>14779</v>
      </c>
      <c r="F150" s="3" t="s">
        <v>15115</v>
      </c>
      <c r="G150" s="3">
        <v>7023999050</v>
      </c>
    </row>
    <row r="151" spans="1:7" x14ac:dyDescent="0.45">
      <c r="A151" s="3">
        <v>4982</v>
      </c>
      <c r="B151" s="3" t="s">
        <v>14643</v>
      </c>
      <c r="C151" s="3" t="s">
        <v>15116</v>
      </c>
      <c r="D151" s="3" t="s">
        <v>15117</v>
      </c>
      <c r="E151" s="3" t="s">
        <v>14808</v>
      </c>
      <c r="F151" s="3" t="s">
        <v>15118</v>
      </c>
      <c r="G151" s="3">
        <v>9897720974</v>
      </c>
    </row>
    <row r="152" spans="1:7" x14ac:dyDescent="0.45">
      <c r="A152" s="3">
        <v>4983</v>
      </c>
      <c r="B152" s="3" t="s">
        <v>14643</v>
      </c>
      <c r="C152" s="3" t="s">
        <v>15119</v>
      </c>
      <c r="D152" s="3" t="s">
        <v>15120</v>
      </c>
      <c r="E152" s="3" t="s">
        <v>14779</v>
      </c>
      <c r="F152" s="3" t="s">
        <v>15121</v>
      </c>
      <c r="G152" s="3">
        <v>7022609003</v>
      </c>
    </row>
    <row r="153" spans="1:7" x14ac:dyDescent="0.45">
      <c r="A153" s="3">
        <v>4985</v>
      </c>
      <c r="B153" s="3" t="s">
        <v>14643</v>
      </c>
      <c r="C153" s="3" t="s">
        <v>15122</v>
      </c>
      <c r="D153" s="3" t="s">
        <v>15123</v>
      </c>
      <c r="E153" s="3" t="s">
        <v>14738</v>
      </c>
      <c r="F153" s="3" t="s">
        <v>15124</v>
      </c>
      <c r="G153" s="3">
        <v>4178819676</v>
      </c>
    </row>
    <row r="154" spans="1:7" x14ac:dyDescent="0.45">
      <c r="A154" s="3">
        <v>4987</v>
      </c>
      <c r="B154" s="3" t="s">
        <v>14643</v>
      </c>
      <c r="C154" s="3" t="s">
        <v>15125</v>
      </c>
      <c r="D154" s="3" t="s">
        <v>15126</v>
      </c>
      <c r="E154" s="3" t="s">
        <v>14748</v>
      </c>
      <c r="F154" s="3" t="s">
        <v>15127</v>
      </c>
      <c r="G154" s="3">
        <v>3038454223</v>
      </c>
    </row>
    <row r="155" spans="1:7" x14ac:dyDescent="0.45">
      <c r="A155" s="3">
        <v>4989</v>
      </c>
      <c r="B155" s="3" t="s">
        <v>14643</v>
      </c>
      <c r="C155" s="3" t="s">
        <v>15128</v>
      </c>
      <c r="D155" s="3" t="s">
        <v>15129</v>
      </c>
      <c r="E155" s="3" t="s">
        <v>14698</v>
      </c>
      <c r="F155" s="3" t="s">
        <v>15130</v>
      </c>
      <c r="G155" s="3">
        <v>3348210121</v>
      </c>
    </row>
    <row r="156" spans="1:7" x14ac:dyDescent="0.45">
      <c r="A156" s="3">
        <v>4990</v>
      </c>
      <c r="B156" s="3" t="s">
        <v>14643</v>
      </c>
      <c r="C156" s="3" t="s">
        <v>15131</v>
      </c>
      <c r="D156" s="3" t="s">
        <v>15132</v>
      </c>
      <c r="E156" s="3" t="s">
        <v>14698</v>
      </c>
      <c r="F156" s="3" t="s">
        <v>15133</v>
      </c>
      <c r="G156" s="3">
        <v>2516266909</v>
      </c>
    </row>
    <row r="157" spans="1:7" x14ac:dyDescent="0.45">
      <c r="A157" s="3">
        <v>4991</v>
      </c>
      <c r="B157" s="3" t="s">
        <v>14643</v>
      </c>
      <c r="C157" s="3" t="s">
        <v>15134</v>
      </c>
      <c r="D157" s="3" t="s">
        <v>15135</v>
      </c>
      <c r="E157" s="3" t="s">
        <v>14792</v>
      </c>
      <c r="F157" s="3" t="s">
        <v>15136</v>
      </c>
      <c r="G157" s="3">
        <v>3216390124</v>
      </c>
    </row>
    <row r="158" spans="1:7" x14ac:dyDescent="0.45">
      <c r="A158" s="3">
        <v>4992</v>
      </c>
      <c r="B158" s="3" t="s">
        <v>14643</v>
      </c>
      <c r="C158" s="3" t="s">
        <v>15137</v>
      </c>
      <c r="D158" s="3" t="s">
        <v>15138</v>
      </c>
      <c r="E158" s="3" t="s">
        <v>14702</v>
      </c>
      <c r="F158" s="3" t="s">
        <v>15139</v>
      </c>
      <c r="G158" s="3">
        <v>2707691044</v>
      </c>
    </row>
    <row r="159" spans="1:7" x14ac:dyDescent="0.45">
      <c r="A159" s="3">
        <v>4994</v>
      </c>
      <c r="B159" s="3" t="s">
        <v>14643</v>
      </c>
      <c r="C159" s="3" t="s">
        <v>15140</v>
      </c>
      <c r="D159" s="3" t="s">
        <v>15141</v>
      </c>
      <c r="E159" s="3" t="s">
        <v>14945</v>
      </c>
      <c r="F159" s="3" t="s">
        <v>15142</v>
      </c>
      <c r="G159" s="3">
        <v>7175163041</v>
      </c>
    </row>
    <row r="160" spans="1:7" x14ac:dyDescent="0.45">
      <c r="A160" s="3">
        <v>4996</v>
      </c>
      <c r="B160" s="3" t="s">
        <v>14643</v>
      </c>
      <c r="C160" s="3" t="s">
        <v>15143</v>
      </c>
      <c r="D160" s="3" t="s">
        <v>15144</v>
      </c>
      <c r="E160" s="3" t="s">
        <v>14673</v>
      </c>
      <c r="F160" s="3" t="s">
        <v>15145</v>
      </c>
      <c r="G160" s="3">
        <v>4347973029</v>
      </c>
    </row>
    <row r="161" spans="1:7" x14ac:dyDescent="0.45">
      <c r="A161" s="3">
        <v>4998</v>
      </c>
      <c r="B161" s="3" t="s">
        <v>14643</v>
      </c>
      <c r="C161" s="3" t="s">
        <v>15146</v>
      </c>
      <c r="D161" s="3" t="s">
        <v>15147</v>
      </c>
      <c r="E161" s="3" t="s">
        <v>14792</v>
      </c>
      <c r="F161" s="3" t="s">
        <v>15148</v>
      </c>
      <c r="G161" s="3">
        <v>3527515150</v>
      </c>
    </row>
    <row r="162" spans="1:7" x14ac:dyDescent="0.45">
      <c r="A162" s="3">
        <v>4999</v>
      </c>
      <c r="B162" s="3" t="s">
        <v>14643</v>
      </c>
      <c r="C162" s="3" t="s">
        <v>15149</v>
      </c>
      <c r="D162" s="3" t="s">
        <v>15150</v>
      </c>
      <c r="E162" s="3" t="s">
        <v>14886</v>
      </c>
      <c r="F162" s="3" t="s">
        <v>15151</v>
      </c>
      <c r="G162" s="3">
        <v>2172226682</v>
      </c>
    </row>
    <row r="163" spans="1:7" x14ac:dyDescent="0.45">
      <c r="A163" s="3">
        <v>6181</v>
      </c>
      <c r="B163" s="3" t="s">
        <v>14643</v>
      </c>
      <c r="C163" s="3" t="s">
        <v>15152</v>
      </c>
      <c r="D163" s="3" t="s">
        <v>15153</v>
      </c>
      <c r="E163" s="3" t="s">
        <v>14996</v>
      </c>
      <c r="F163" s="3" t="s">
        <v>15154</v>
      </c>
      <c r="G163" s="3">
        <v>4026862379</v>
      </c>
    </row>
    <row r="164" spans="1:7" x14ac:dyDescent="0.45">
      <c r="A164" s="3">
        <v>6188</v>
      </c>
      <c r="B164" s="3" t="s">
        <v>14643</v>
      </c>
      <c r="C164" s="3" t="s">
        <v>15155</v>
      </c>
      <c r="D164" s="3" t="s">
        <v>14689</v>
      </c>
      <c r="E164" s="3" t="s">
        <v>14654</v>
      </c>
      <c r="F164" s="3" t="s">
        <v>15156</v>
      </c>
      <c r="G164" s="3">
        <v>5128728464</v>
      </c>
    </row>
    <row r="165" spans="1:7" ht="28.5" x14ac:dyDescent="0.45">
      <c r="A165" s="3">
        <v>6189</v>
      </c>
      <c r="B165" s="3" t="s">
        <v>14643</v>
      </c>
      <c r="C165" s="3" t="s">
        <v>15157</v>
      </c>
      <c r="D165" s="3" t="s">
        <v>15158</v>
      </c>
      <c r="E165" s="3" t="s">
        <v>14792</v>
      </c>
      <c r="F165" s="3" t="s">
        <v>15159</v>
      </c>
      <c r="G165" s="3">
        <v>4075534127</v>
      </c>
    </row>
    <row r="166" spans="1:7" x14ac:dyDescent="0.45">
      <c r="A166" s="3">
        <v>6201</v>
      </c>
      <c r="B166" s="3" t="s">
        <v>14643</v>
      </c>
      <c r="C166" s="3" t="s">
        <v>15160</v>
      </c>
      <c r="D166" s="3" t="s">
        <v>15161</v>
      </c>
      <c r="E166" s="3" t="s">
        <v>15162</v>
      </c>
      <c r="F166" s="3" t="s">
        <v>15163</v>
      </c>
      <c r="G166" s="3">
        <v>8453821320</v>
      </c>
    </row>
    <row r="167" spans="1:7" x14ac:dyDescent="0.45">
      <c r="A167" s="3">
        <v>6202</v>
      </c>
      <c r="B167" s="3" t="s">
        <v>14643</v>
      </c>
      <c r="C167" s="3" t="s">
        <v>15164</v>
      </c>
      <c r="D167" s="3" t="s">
        <v>15165</v>
      </c>
      <c r="E167" s="3" t="s">
        <v>14654</v>
      </c>
      <c r="F167" s="3" t="s">
        <v>15166</v>
      </c>
      <c r="G167" s="3">
        <v>9366391700</v>
      </c>
    </row>
    <row r="168" spans="1:7" x14ac:dyDescent="0.45">
      <c r="A168" s="3">
        <v>6203</v>
      </c>
      <c r="B168" s="3" t="s">
        <v>14643</v>
      </c>
      <c r="C168" s="3" t="s">
        <v>15167</v>
      </c>
      <c r="D168" s="3" t="s">
        <v>14991</v>
      </c>
      <c r="E168" s="3" t="s">
        <v>14992</v>
      </c>
      <c r="F168" s="3" t="s">
        <v>15168</v>
      </c>
      <c r="G168" s="3">
        <v>8037499838</v>
      </c>
    </row>
    <row r="169" spans="1:7" x14ac:dyDescent="0.45">
      <c r="A169" s="3">
        <v>6204</v>
      </c>
      <c r="B169" s="3" t="s">
        <v>14643</v>
      </c>
      <c r="C169" s="3" t="s">
        <v>15169</v>
      </c>
      <c r="D169" s="3" t="s">
        <v>15170</v>
      </c>
      <c r="E169" s="3" t="s">
        <v>14730</v>
      </c>
      <c r="F169" s="3" t="s">
        <v>15171</v>
      </c>
      <c r="G169" s="3">
        <v>2292443939</v>
      </c>
    </row>
    <row r="170" spans="1:7" x14ac:dyDescent="0.45">
      <c r="A170" s="3">
        <v>6205</v>
      </c>
      <c r="B170" s="3" t="s">
        <v>14643</v>
      </c>
      <c r="C170" s="3" t="s">
        <v>15172</v>
      </c>
      <c r="D170" s="3" t="s">
        <v>15173</v>
      </c>
      <c r="E170" s="3" t="s">
        <v>14716</v>
      </c>
      <c r="F170" s="3" t="s">
        <v>15174</v>
      </c>
      <c r="G170" s="3">
        <v>9287833684</v>
      </c>
    </row>
    <row r="171" spans="1:7" x14ac:dyDescent="0.45">
      <c r="A171" s="3">
        <v>6212</v>
      </c>
      <c r="B171" s="3" t="s">
        <v>14643</v>
      </c>
      <c r="C171" s="3" t="s">
        <v>15175</v>
      </c>
      <c r="D171" s="3" t="s">
        <v>14913</v>
      </c>
      <c r="E171" s="3" t="s">
        <v>14792</v>
      </c>
      <c r="F171" s="3" t="s">
        <v>15176</v>
      </c>
      <c r="G171" s="3">
        <v>4073847570</v>
      </c>
    </row>
    <row r="172" spans="1:7" x14ac:dyDescent="0.45">
      <c r="A172" s="3">
        <v>6213</v>
      </c>
      <c r="B172" s="3" t="s">
        <v>14643</v>
      </c>
      <c r="C172" s="3" t="s">
        <v>15149</v>
      </c>
      <c r="D172" s="3" t="s">
        <v>15177</v>
      </c>
      <c r="E172" s="3" t="s">
        <v>14716</v>
      </c>
      <c r="F172" s="3" t="s">
        <v>15178</v>
      </c>
      <c r="G172" s="3">
        <v>4808931555</v>
      </c>
    </row>
    <row r="173" spans="1:7" x14ac:dyDescent="0.45">
      <c r="A173" s="3">
        <v>6214</v>
      </c>
      <c r="B173" s="3" t="s">
        <v>14643</v>
      </c>
      <c r="C173" s="3" t="s">
        <v>15179</v>
      </c>
      <c r="D173" s="3" t="s">
        <v>15069</v>
      </c>
      <c r="E173" s="3" t="s">
        <v>14752</v>
      </c>
      <c r="F173" s="3" t="s">
        <v>15180</v>
      </c>
      <c r="G173" s="3">
        <v>4792734000</v>
      </c>
    </row>
    <row r="174" spans="1:7" x14ac:dyDescent="0.45">
      <c r="A174" s="3">
        <v>6216</v>
      </c>
      <c r="B174" s="3" t="s">
        <v>14643</v>
      </c>
      <c r="C174" s="3" t="s">
        <v>15181</v>
      </c>
      <c r="D174" s="3" t="s">
        <v>15182</v>
      </c>
      <c r="E174" s="3" t="s">
        <v>14855</v>
      </c>
      <c r="F174" s="3" t="s">
        <v>15183</v>
      </c>
      <c r="G174" s="3">
        <v>2524390400</v>
      </c>
    </row>
    <row r="175" spans="1:7" x14ac:dyDescent="0.45">
      <c r="A175" s="3">
        <v>6217</v>
      </c>
      <c r="B175" s="3" t="s">
        <v>14643</v>
      </c>
      <c r="C175" s="3" t="s">
        <v>15184</v>
      </c>
      <c r="D175" s="3" t="s">
        <v>15185</v>
      </c>
      <c r="E175" s="3" t="s">
        <v>14792</v>
      </c>
      <c r="F175" s="3" t="s">
        <v>15186</v>
      </c>
      <c r="G175" s="3">
        <v>3054639384</v>
      </c>
    </row>
    <row r="176" spans="1:7" x14ac:dyDescent="0.45">
      <c r="A176" s="3">
        <v>6218</v>
      </c>
      <c r="B176" s="3" t="s">
        <v>14643</v>
      </c>
      <c r="C176" s="3" t="s">
        <v>15187</v>
      </c>
      <c r="D176" s="3" t="s">
        <v>14913</v>
      </c>
      <c r="E176" s="3" t="s">
        <v>14792</v>
      </c>
      <c r="F176" s="3" t="s">
        <v>15188</v>
      </c>
      <c r="G176" s="3">
        <v>4075325212</v>
      </c>
    </row>
    <row r="177" spans="1:7" x14ac:dyDescent="0.45">
      <c r="A177" s="3">
        <v>6219</v>
      </c>
      <c r="B177" s="3" t="s">
        <v>14643</v>
      </c>
      <c r="C177" s="3" t="s">
        <v>15189</v>
      </c>
      <c r="D177" s="3" t="s">
        <v>15190</v>
      </c>
      <c r="E177" s="3" t="s">
        <v>14748</v>
      </c>
      <c r="F177" s="3" t="s">
        <v>15191</v>
      </c>
      <c r="G177" s="3">
        <v>7192770407</v>
      </c>
    </row>
    <row r="178" spans="1:7" x14ac:dyDescent="0.45">
      <c r="A178" s="3">
        <v>6220</v>
      </c>
      <c r="B178" s="3" t="s">
        <v>14643</v>
      </c>
      <c r="C178" s="3" t="s">
        <v>15192</v>
      </c>
      <c r="D178" s="3" t="s">
        <v>15193</v>
      </c>
      <c r="E178" s="3" t="s">
        <v>14650</v>
      </c>
      <c r="F178" s="3" t="s">
        <v>15194</v>
      </c>
      <c r="G178" s="3">
        <v>9856411401</v>
      </c>
    </row>
    <row r="179" spans="1:7" x14ac:dyDescent="0.45">
      <c r="A179" s="3">
        <v>6228</v>
      </c>
      <c r="B179" s="3" t="s">
        <v>14643</v>
      </c>
      <c r="C179" s="3" t="s">
        <v>15195</v>
      </c>
      <c r="D179" s="3" t="s">
        <v>15196</v>
      </c>
      <c r="E179" s="3" t="s">
        <v>14886</v>
      </c>
      <c r="F179" s="3" t="s">
        <v>15197</v>
      </c>
      <c r="G179" s="3">
        <v>8479559260</v>
      </c>
    </row>
    <row r="180" spans="1:7" x14ac:dyDescent="0.45">
      <c r="A180" s="3">
        <v>6235</v>
      </c>
      <c r="B180" s="3" t="s">
        <v>14643</v>
      </c>
      <c r="C180" s="3" t="s">
        <v>15198</v>
      </c>
      <c r="D180" s="3" t="s">
        <v>15199</v>
      </c>
      <c r="E180" s="3" t="s">
        <v>14662</v>
      </c>
      <c r="F180" s="3" t="s">
        <v>15200</v>
      </c>
      <c r="G180" s="3">
        <v>6198580084</v>
      </c>
    </row>
    <row r="181" spans="1:7" x14ac:dyDescent="0.45">
      <c r="A181" s="3">
        <v>6236</v>
      </c>
      <c r="B181" s="3" t="s">
        <v>14643</v>
      </c>
      <c r="C181" s="3" t="s">
        <v>15201</v>
      </c>
      <c r="D181" s="3" t="s">
        <v>15202</v>
      </c>
      <c r="E181" s="3" t="s">
        <v>14992</v>
      </c>
      <c r="F181" s="3" t="s">
        <v>15203</v>
      </c>
      <c r="G181" s="3">
        <v>8033726500</v>
      </c>
    </row>
    <row r="182" spans="1:7" ht="28.5" x14ac:dyDescent="0.45">
      <c r="A182" s="3">
        <v>6238</v>
      </c>
      <c r="B182" s="3" t="s">
        <v>14643</v>
      </c>
      <c r="C182" s="3" t="s">
        <v>15204</v>
      </c>
      <c r="D182" s="3" t="s">
        <v>15205</v>
      </c>
      <c r="E182" s="3" t="s">
        <v>14712</v>
      </c>
      <c r="F182" s="3" t="s">
        <v>15206</v>
      </c>
      <c r="G182" s="3">
        <v>9182127037</v>
      </c>
    </row>
    <row r="183" spans="1:7" x14ac:dyDescent="0.45">
      <c r="A183" s="3">
        <v>6239</v>
      </c>
      <c r="B183" s="3" t="s">
        <v>14643</v>
      </c>
      <c r="C183" s="3" t="s">
        <v>15207</v>
      </c>
      <c r="D183" s="3" t="s">
        <v>15208</v>
      </c>
      <c r="E183" s="3" t="s">
        <v>14788</v>
      </c>
      <c r="F183" s="3" t="s">
        <v>15209</v>
      </c>
      <c r="G183" s="3">
        <v>4106286207</v>
      </c>
    </row>
    <row r="184" spans="1:7" x14ac:dyDescent="0.45">
      <c r="A184" s="3">
        <v>6240</v>
      </c>
      <c r="B184" s="3" t="s">
        <v>14643</v>
      </c>
      <c r="C184" s="3" t="s">
        <v>15210</v>
      </c>
      <c r="D184" s="3" t="s">
        <v>15211</v>
      </c>
      <c r="E184" s="3" t="s">
        <v>14662</v>
      </c>
      <c r="F184" s="3" t="s">
        <v>15212</v>
      </c>
      <c r="G184" s="3">
        <v>9093944556</v>
      </c>
    </row>
    <row r="185" spans="1:7" x14ac:dyDescent="0.45">
      <c r="A185" s="3">
        <v>6242</v>
      </c>
      <c r="B185" s="3" t="s">
        <v>14643</v>
      </c>
      <c r="C185" s="3" t="s">
        <v>15213</v>
      </c>
      <c r="D185" s="3" t="s">
        <v>15214</v>
      </c>
      <c r="E185" s="3" t="s">
        <v>14756</v>
      </c>
      <c r="F185" s="3" t="s">
        <v>15215</v>
      </c>
      <c r="G185" s="3">
        <v>6147607771</v>
      </c>
    </row>
    <row r="186" spans="1:7" x14ac:dyDescent="0.45">
      <c r="A186" s="3">
        <v>6244</v>
      </c>
      <c r="B186" s="3" t="s">
        <v>14643</v>
      </c>
      <c r="C186" s="3" t="s">
        <v>15216</v>
      </c>
      <c r="D186" s="3" t="s">
        <v>14741</v>
      </c>
      <c r="E186" s="3" t="s">
        <v>14654</v>
      </c>
      <c r="F186" s="3" t="s">
        <v>15217</v>
      </c>
      <c r="G186" s="3">
        <v>8174594581</v>
      </c>
    </row>
    <row r="187" spans="1:7" ht="28.5" x14ac:dyDescent="0.45">
      <c r="A187" s="3">
        <v>6245</v>
      </c>
      <c r="B187" s="3" t="s">
        <v>14643</v>
      </c>
      <c r="C187" s="3" t="s">
        <v>15218</v>
      </c>
      <c r="D187" s="3" t="s">
        <v>15219</v>
      </c>
      <c r="E187" s="3" t="s">
        <v>14654</v>
      </c>
      <c r="F187" s="3" t="s">
        <v>15220</v>
      </c>
      <c r="G187" s="3">
        <v>2544154885</v>
      </c>
    </row>
    <row r="188" spans="1:7" x14ac:dyDescent="0.45">
      <c r="A188" s="3">
        <v>6246</v>
      </c>
      <c r="B188" s="3" t="s">
        <v>14643</v>
      </c>
      <c r="C188" s="3" t="s">
        <v>15221</v>
      </c>
      <c r="D188" s="3" t="s">
        <v>15222</v>
      </c>
      <c r="E188" s="3" t="s">
        <v>14654</v>
      </c>
      <c r="F188" s="3" t="s">
        <v>15223</v>
      </c>
      <c r="G188" s="3">
        <v>9157306085</v>
      </c>
    </row>
    <row r="189" spans="1:7" x14ac:dyDescent="0.45">
      <c r="A189" s="3">
        <v>6247</v>
      </c>
      <c r="B189" s="3" t="s">
        <v>14643</v>
      </c>
      <c r="C189" s="3" t="s">
        <v>15224</v>
      </c>
      <c r="D189" s="3" t="s">
        <v>14985</v>
      </c>
      <c r="E189" s="3" t="s">
        <v>14738</v>
      </c>
      <c r="F189" s="3" t="s">
        <v>15225</v>
      </c>
      <c r="G189" s="3">
        <v>8164394006</v>
      </c>
    </row>
    <row r="190" spans="1:7" x14ac:dyDescent="0.45">
      <c r="A190" s="3">
        <v>6249</v>
      </c>
      <c r="B190" s="3" t="s">
        <v>14643</v>
      </c>
      <c r="C190" s="3" t="s">
        <v>15226</v>
      </c>
      <c r="D190" s="3" t="s">
        <v>15227</v>
      </c>
      <c r="E190" s="3" t="s">
        <v>15052</v>
      </c>
      <c r="F190" s="3" t="s">
        <v>15228</v>
      </c>
      <c r="G190" s="3">
        <v>6157781401</v>
      </c>
    </row>
    <row r="191" spans="1:7" x14ac:dyDescent="0.45">
      <c r="A191" s="3">
        <v>6251</v>
      </c>
      <c r="B191" s="3" t="s">
        <v>14643</v>
      </c>
      <c r="C191" s="3" t="s">
        <v>15229</v>
      </c>
      <c r="D191" s="3" t="s">
        <v>15230</v>
      </c>
      <c r="E191" s="3" t="s">
        <v>14945</v>
      </c>
      <c r="F191" s="3" t="s">
        <v>15231</v>
      </c>
      <c r="G191" s="3">
        <v>7242293500</v>
      </c>
    </row>
    <row r="192" spans="1:7" x14ac:dyDescent="0.45">
      <c r="A192" s="3">
        <v>6252</v>
      </c>
      <c r="B192" s="3" t="s">
        <v>14643</v>
      </c>
      <c r="C192" s="3" t="s">
        <v>15232</v>
      </c>
      <c r="D192" s="3" t="s">
        <v>15233</v>
      </c>
      <c r="E192" s="3" t="s">
        <v>14738</v>
      </c>
      <c r="F192" s="3" t="s">
        <v>15234</v>
      </c>
      <c r="G192" s="3">
        <v>6367280359</v>
      </c>
    </row>
    <row r="193" spans="1:7" x14ac:dyDescent="0.45">
      <c r="A193" s="3">
        <v>6254</v>
      </c>
      <c r="B193" s="3" t="s">
        <v>14643</v>
      </c>
      <c r="C193" s="3" t="s">
        <v>15235</v>
      </c>
      <c r="D193" s="3" t="s">
        <v>15236</v>
      </c>
      <c r="E193" s="3" t="s">
        <v>14723</v>
      </c>
      <c r="F193" s="3" t="s">
        <v>15237</v>
      </c>
      <c r="G193" s="3">
        <v>7634165320</v>
      </c>
    </row>
    <row r="194" spans="1:7" x14ac:dyDescent="0.45">
      <c r="A194" s="3">
        <v>6255</v>
      </c>
      <c r="B194" s="3" t="s">
        <v>14643</v>
      </c>
      <c r="C194" s="3" t="s">
        <v>15238</v>
      </c>
      <c r="D194" s="3" t="s">
        <v>14744</v>
      </c>
      <c r="E194" s="3" t="s">
        <v>14654</v>
      </c>
      <c r="F194" s="3" t="s">
        <v>15239</v>
      </c>
      <c r="G194" s="3">
        <v>4696330026</v>
      </c>
    </row>
    <row r="195" spans="1:7" x14ac:dyDescent="0.45">
      <c r="A195" s="3">
        <v>6256</v>
      </c>
      <c r="B195" s="3" t="s">
        <v>14643</v>
      </c>
      <c r="C195" s="3" t="s">
        <v>15240</v>
      </c>
      <c r="D195" s="3" t="s">
        <v>15241</v>
      </c>
      <c r="E195" s="3" t="s">
        <v>15052</v>
      </c>
      <c r="F195" s="3" t="s">
        <v>15242</v>
      </c>
      <c r="G195" s="3">
        <v>9017540324</v>
      </c>
    </row>
    <row r="196" spans="1:7" x14ac:dyDescent="0.45">
      <c r="A196" s="3">
        <v>6257</v>
      </c>
      <c r="B196" s="3" t="s">
        <v>14643</v>
      </c>
      <c r="C196" s="3" t="s">
        <v>15243</v>
      </c>
      <c r="D196" s="3" t="s">
        <v>15120</v>
      </c>
      <c r="E196" s="3" t="s">
        <v>14779</v>
      </c>
      <c r="F196" s="3" t="s">
        <v>15244</v>
      </c>
      <c r="G196" s="3">
        <v>7025157200</v>
      </c>
    </row>
    <row r="197" spans="1:7" x14ac:dyDescent="0.45">
      <c r="A197" s="3">
        <v>6259</v>
      </c>
      <c r="B197" s="3" t="s">
        <v>14643</v>
      </c>
      <c r="C197" s="3" t="s">
        <v>15245</v>
      </c>
      <c r="D197" s="3" t="s">
        <v>15246</v>
      </c>
      <c r="E197" s="3" t="s">
        <v>14654</v>
      </c>
      <c r="F197" s="3" t="s">
        <v>15247</v>
      </c>
      <c r="G197" s="3">
        <v>5128280534</v>
      </c>
    </row>
    <row r="198" spans="1:7" x14ac:dyDescent="0.45">
      <c r="A198" s="3">
        <v>6260</v>
      </c>
      <c r="B198" s="3" t="s">
        <v>14643</v>
      </c>
      <c r="C198" s="3" t="s">
        <v>15248</v>
      </c>
      <c r="D198" s="3" t="s">
        <v>15249</v>
      </c>
      <c r="E198" s="3" t="s">
        <v>15052</v>
      </c>
      <c r="F198" s="3" t="s">
        <v>15250</v>
      </c>
      <c r="G198" s="3">
        <v>9013849997</v>
      </c>
    </row>
    <row r="199" spans="1:7" x14ac:dyDescent="0.45">
      <c r="A199" s="3">
        <v>6261</v>
      </c>
      <c r="B199" s="3" t="s">
        <v>14643</v>
      </c>
      <c r="C199" s="3" t="s">
        <v>15251</v>
      </c>
      <c r="D199" s="3" t="s">
        <v>15120</v>
      </c>
      <c r="E199" s="3" t="s">
        <v>14779</v>
      </c>
      <c r="F199" s="3" t="s">
        <v>15252</v>
      </c>
      <c r="G199" s="3">
        <v>7026143372</v>
      </c>
    </row>
    <row r="200" spans="1:7" x14ac:dyDescent="0.45">
      <c r="A200" s="3">
        <v>6262</v>
      </c>
      <c r="B200" s="3" t="s">
        <v>14643</v>
      </c>
      <c r="C200" s="3" t="s">
        <v>15253</v>
      </c>
      <c r="D200" s="3" t="s">
        <v>15031</v>
      </c>
      <c r="E200" s="3" t="s">
        <v>14654</v>
      </c>
      <c r="F200" s="3" t="s">
        <v>15254</v>
      </c>
      <c r="G200" s="3">
        <v>2106414810</v>
      </c>
    </row>
    <row r="201" spans="1:7" x14ac:dyDescent="0.45">
      <c r="A201" s="3">
        <v>6265</v>
      </c>
      <c r="B201" s="3" t="s">
        <v>14643</v>
      </c>
      <c r="C201" s="3" t="s">
        <v>15255</v>
      </c>
      <c r="D201" s="3" t="s">
        <v>15256</v>
      </c>
      <c r="E201" s="3" t="s">
        <v>14654</v>
      </c>
      <c r="F201" s="3" t="s">
        <v>15257</v>
      </c>
      <c r="G201" s="3">
        <v>9724010143</v>
      </c>
    </row>
    <row r="202" spans="1:7" ht="28.5" x14ac:dyDescent="0.45">
      <c r="A202" s="3">
        <v>6267</v>
      </c>
      <c r="B202" s="3" t="s">
        <v>14643</v>
      </c>
      <c r="C202" s="3" t="s">
        <v>15258</v>
      </c>
      <c r="D202" s="3" t="s">
        <v>15259</v>
      </c>
      <c r="E202" s="3" t="s">
        <v>14712</v>
      </c>
      <c r="F202" s="3" t="s">
        <v>15260</v>
      </c>
      <c r="G202" s="3">
        <v>4057573222</v>
      </c>
    </row>
    <row r="203" spans="1:7" x14ac:dyDescent="0.45">
      <c r="A203" s="3">
        <v>6269</v>
      </c>
      <c r="B203" s="3" t="s">
        <v>14643</v>
      </c>
      <c r="C203" s="3" t="s">
        <v>15261</v>
      </c>
      <c r="D203" s="3" t="s">
        <v>15262</v>
      </c>
      <c r="E203" s="3" t="s">
        <v>14654</v>
      </c>
      <c r="F203" s="3" t="s">
        <v>15263</v>
      </c>
      <c r="G203" s="3">
        <v>9565077305</v>
      </c>
    </row>
    <row r="204" spans="1:7" x14ac:dyDescent="0.45">
      <c r="A204" s="3">
        <v>6275</v>
      </c>
      <c r="B204" s="3" t="s">
        <v>14643</v>
      </c>
      <c r="C204" s="3" t="s">
        <v>15264</v>
      </c>
      <c r="D204" s="3" t="s">
        <v>15265</v>
      </c>
      <c r="E204" s="3" t="s">
        <v>14666</v>
      </c>
      <c r="F204" s="3" t="s">
        <v>15266</v>
      </c>
      <c r="G204" s="3">
        <v>3163472578</v>
      </c>
    </row>
    <row r="205" spans="1:7" x14ac:dyDescent="0.45">
      <c r="A205" s="3">
        <v>6277</v>
      </c>
      <c r="B205" s="3" t="s">
        <v>14643</v>
      </c>
      <c r="C205" s="3" t="s">
        <v>14849</v>
      </c>
      <c r="D205" s="3" t="s">
        <v>15031</v>
      </c>
      <c r="E205" s="3" t="s">
        <v>14654</v>
      </c>
      <c r="F205" s="3" t="s">
        <v>15267</v>
      </c>
      <c r="G205" s="3">
        <v>0</v>
      </c>
    </row>
    <row r="206" spans="1:7" x14ac:dyDescent="0.45">
      <c r="A206" s="3">
        <v>6302</v>
      </c>
      <c r="B206" s="3" t="s">
        <v>14643</v>
      </c>
      <c r="C206" s="3" t="s">
        <v>15268</v>
      </c>
      <c r="D206" s="3" t="s">
        <v>15269</v>
      </c>
      <c r="E206" s="3" t="s">
        <v>14756</v>
      </c>
      <c r="F206" s="3" t="s">
        <v>15270</v>
      </c>
      <c r="G206" s="3">
        <v>4402322582</v>
      </c>
    </row>
    <row r="207" spans="1:7" x14ac:dyDescent="0.45">
      <c r="A207" s="3">
        <v>6304</v>
      </c>
      <c r="B207" s="3" t="s">
        <v>14643</v>
      </c>
      <c r="C207" s="3" t="s">
        <v>15271</v>
      </c>
      <c r="D207" s="3" t="s">
        <v>15272</v>
      </c>
      <c r="E207" s="3" t="s">
        <v>14952</v>
      </c>
      <c r="F207" s="3" t="s">
        <v>15273</v>
      </c>
      <c r="G207" s="3">
        <v>3172483577</v>
      </c>
    </row>
    <row r="208" spans="1:7" x14ac:dyDescent="0.45">
      <c r="A208" s="3">
        <v>6305</v>
      </c>
      <c r="B208" s="3" t="s">
        <v>14643</v>
      </c>
      <c r="C208" s="3" t="s">
        <v>15274</v>
      </c>
      <c r="D208" s="3" t="s">
        <v>15275</v>
      </c>
      <c r="E208" s="3" t="s">
        <v>14756</v>
      </c>
      <c r="F208" s="3" t="s">
        <v>15276</v>
      </c>
      <c r="G208" s="3">
        <v>2162650012</v>
      </c>
    </row>
    <row r="209" spans="1:7" x14ac:dyDescent="0.45">
      <c r="A209" s="3">
        <v>6307</v>
      </c>
      <c r="B209" s="3" t="s">
        <v>14643</v>
      </c>
      <c r="C209" s="3" t="s">
        <v>15277</v>
      </c>
      <c r="D209" s="3" t="s">
        <v>15048</v>
      </c>
      <c r="E209" s="3" t="s">
        <v>14756</v>
      </c>
      <c r="F209" s="3" t="s">
        <v>15278</v>
      </c>
      <c r="G209" s="3">
        <v>6144764224</v>
      </c>
    </row>
    <row r="210" spans="1:7" x14ac:dyDescent="0.45">
      <c r="A210" s="3">
        <v>6308</v>
      </c>
      <c r="B210" s="3" t="s">
        <v>14643</v>
      </c>
      <c r="C210" s="3" t="s">
        <v>15279</v>
      </c>
      <c r="D210" s="3" t="s">
        <v>15048</v>
      </c>
      <c r="E210" s="3" t="s">
        <v>14756</v>
      </c>
      <c r="F210" s="3" t="s">
        <v>15280</v>
      </c>
      <c r="G210" s="3">
        <v>6149210057</v>
      </c>
    </row>
    <row r="211" spans="1:7" x14ac:dyDescent="0.45">
      <c r="A211" s="3">
        <v>6309</v>
      </c>
      <c r="B211" s="3" t="s">
        <v>14643</v>
      </c>
      <c r="C211" s="3" t="s">
        <v>15281</v>
      </c>
      <c r="D211" s="3" t="s">
        <v>15282</v>
      </c>
      <c r="E211" s="3" t="s">
        <v>14723</v>
      </c>
      <c r="F211" s="3" t="s">
        <v>15283</v>
      </c>
      <c r="G211" s="3">
        <v>6517796535</v>
      </c>
    </row>
    <row r="212" spans="1:7" x14ac:dyDescent="0.45">
      <c r="A212" s="3">
        <v>6310</v>
      </c>
      <c r="B212" s="3" t="s">
        <v>14643</v>
      </c>
      <c r="C212" s="3" t="s">
        <v>15284</v>
      </c>
      <c r="D212" s="3" t="s">
        <v>15285</v>
      </c>
      <c r="E212" s="3" t="s">
        <v>14723</v>
      </c>
      <c r="F212" s="3" t="s">
        <v>15286</v>
      </c>
      <c r="G212" s="3">
        <v>7637844102</v>
      </c>
    </row>
    <row r="213" spans="1:7" x14ac:dyDescent="0.45">
      <c r="A213" s="3">
        <v>6311</v>
      </c>
      <c r="B213" s="3" t="s">
        <v>14643</v>
      </c>
      <c r="C213" s="3" t="s">
        <v>15287</v>
      </c>
      <c r="D213" s="3" t="s">
        <v>15288</v>
      </c>
      <c r="E213" s="3" t="s">
        <v>14723</v>
      </c>
      <c r="F213" s="3" t="s">
        <v>15289</v>
      </c>
      <c r="G213" s="3">
        <v>9524961979</v>
      </c>
    </row>
    <row r="214" spans="1:7" x14ac:dyDescent="0.45">
      <c r="A214" s="3">
        <v>6312</v>
      </c>
      <c r="B214" s="3" t="s">
        <v>14643</v>
      </c>
      <c r="C214" s="3" t="s">
        <v>15290</v>
      </c>
      <c r="D214" s="3" t="s">
        <v>15291</v>
      </c>
      <c r="E214" s="3" t="s">
        <v>14723</v>
      </c>
      <c r="F214" s="3" t="s">
        <v>15292</v>
      </c>
      <c r="G214" s="3">
        <v>6517027970</v>
      </c>
    </row>
    <row r="215" spans="1:7" x14ac:dyDescent="0.45">
      <c r="A215" s="3">
        <v>6313</v>
      </c>
      <c r="B215" s="3" t="s">
        <v>14643</v>
      </c>
      <c r="C215" s="3" t="s">
        <v>15293</v>
      </c>
      <c r="D215" s="3" t="s">
        <v>15294</v>
      </c>
      <c r="E215" s="3" t="s">
        <v>14952</v>
      </c>
      <c r="F215" s="3" t="s">
        <v>15295</v>
      </c>
      <c r="G215" s="3">
        <v>2604900626</v>
      </c>
    </row>
    <row r="216" spans="1:7" x14ac:dyDescent="0.45">
      <c r="A216" s="3">
        <v>6314</v>
      </c>
      <c r="B216" s="3" t="s">
        <v>14643</v>
      </c>
      <c r="C216" s="3" t="s">
        <v>15296</v>
      </c>
      <c r="D216" s="3" t="s">
        <v>15297</v>
      </c>
      <c r="E216" s="3" t="s">
        <v>14756</v>
      </c>
      <c r="F216" s="3" t="s">
        <v>15298</v>
      </c>
      <c r="G216" s="3">
        <v>4409347567</v>
      </c>
    </row>
    <row r="217" spans="1:7" x14ac:dyDescent="0.45">
      <c r="A217" s="3">
        <v>6315</v>
      </c>
      <c r="B217" s="3" t="s">
        <v>14643</v>
      </c>
      <c r="C217" s="3" t="s">
        <v>15299</v>
      </c>
      <c r="D217" s="3" t="s">
        <v>15300</v>
      </c>
      <c r="E217" s="3" t="s">
        <v>14952</v>
      </c>
      <c r="F217" s="3" t="s">
        <v>15301</v>
      </c>
      <c r="G217" s="3">
        <v>5742438048</v>
      </c>
    </row>
    <row r="218" spans="1:7" x14ac:dyDescent="0.45">
      <c r="A218" s="3">
        <v>6317</v>
      </c>
      <c r="B218" s="3" t="s">
        <v>14643</v>
      </c>
      <c r="C218" s="3" t="s">
        <v>15302</v>
      </c>
      <c r="D218" s="3" t="s">
        <v>15303</v>
      </c>
      <c r="E218" s="3" t="s">
        <v>14756</v>
      </c>
      <c r="F218" s="3" t="s">
        <v>15304</v>
      </c>
      <c r="G218" s="3">
        <v>3304975295</v>
      </c>
    </row>
    <row r="219" spans="1:7" x14ac:dyDescent="0.45">
      <c r="A219" s="3">
        <v>6319</v>
      </c>
      <c r="B219" s="3" t="s">
        <v>14643</v>
      </c>
      <c r="C219" s="3" t="s">
        <v>15305</v>
      </c>
      <c r="D219" s="3" t="s">
        <v>15306</v>
      </c>
      <c r="E219" s="3" t="s">
        <v>14808</v>
      </c>
      <c r="F219" s="3" t="s">
        <v>15307</v>
      </c>
      <c r="G219" s="3">
        <v>6169422656</v>
      </c>
    </row>
    <row r="220" spans="1:7" x14ac:dyDescent="0.45">
      <c r="A220" s="3">
        <v>6320</v>
      </c>
      <c r="B220" s="3" t="s">
        <v>14643</v>
      </c>
      <c r="C220" s="3" t="s">
        <v>15308</v>
      </c>
      <c r="D220" s="3" t="s">
        <v>15309</v>
      </c>
      <c r="E220" s="3" t="s">
        <v>14723</v>
      </c>
      <c r="F220" s="3" t="s">
        <v>15310</v>
      </c>
      <c r="G220" s="3">
        <v>2187229740</v>
      </c>
    </row>
    <row r="221" spans="1:7" x14ac:dyDescent="0.45">
      <c r="A221" s="3">
        <v>6321</v>
      </c>
      <c r="B221" s="3" t="s">
        <v>14643</v>
      </c>
      <c r="C221" s="3" t="s">
        <v>15311</v>
      </c>
      <c r="D221" s="3" t="s">
        <v>15312</v>
      </c>
      <c r="E221" s="3" t="s">
        <v>14935</v>
      </c>
      <c r="F221" s="3" t="s">
        <v>15313</v>
      </c>
      <c r="G221" s="3">
        <v>9207334655</v>
      </c>
    </row>
    <row r="222" spans="1:7" x14ac:dyDescent="0.45">
      <c r="A222" s="3">
        <v>6322</v>
      </c>
      <c r="B222" s="3" t="s">
        <v>14643</v>
      </c>
      <c r="C222" s="3" t="s">
        <v>15314</v>
      </c>
      <c r="D222" s="3" t="s">
        <v>15315</v>
      </c>
      <c r="E222" s="3" t="s">
        <v>14756</v>
      </c>
      <c r="F222" s="3" t="s">
        <v>15316</v>
      </c>
      <c r="G222" s="3">
        <v>3309651643</v>
      </c>
    </row>
    <row r="223" spans="1:7" x14ac:dyDescent="0.45">
      <c r="A223" s="3">
        <v>6324</v>
      </c>
      <c r="B223" s="3" t="s">
        <v>14643</v>
      </c>
      <c r="C223" s="3" t="s">
        <v>15317</v>
      </c>
      <c r="D223" s="3" t="s">
        <v>15318</v>
      </c>
      <c r="E223" s="3" t="s">
        <v>14935</v>
      </c>
      <c r="F223" s="3" t="s">
        <v>15319</v>
      </c>
      <c r="G223" s="3">
        <v>4143653700</v>
      </c>
    </row>
    <row r="224" spans="1:7" x14ac:dyDescent="0.45">
      <c r="A224" s="3">
        <v>6325</v>
      </c>
      <c r="B224" s="3" t="s">
        <v>14643</v>
      </c>
      <c r="C224" s="3" t="s">
        <v>15320</v>
      </c>
      <c r="D224" s="3" t="s">
        <v>15321</v>
      </c>
      <c r="E224" s="3" t="s">
        <v>14952</v>
      </c>
      <c r="F224" s="3" t="s">
        <v>15322</v>
      </c>
      <c r="G224" s="3">
        <v>3178892582</v>
      </c>
    </row>
    <row r="225" spans="1:7" x14ac:dyDescent="0.45">
      <c r="A225" s="3">
        <v>6326</v>
      </c>
      <c r="B225" s="3" t="s">
        <v>14643</v>
      </c>
      <c r="C225" s="3" t="s">
        <v>15323</v>
      </c>
      <c r="D225" s="3" t="s">
        <v>15324</v>
      </c>
      <c r="E225" s="3" t="s">
        <v>14756</v>
      </c>
      <c r="F225" s="3" t="s">
        <v>15325</v>
      </c>
      <c r="G225" s="3">
        <v>6148665369</v>
      </c>
    </row>
    <row r="226" spans="1:7" x14ac:dyDescent="0.45">
      <c r="A226" s="3">
        <v>6327</v>
      </c>
      <c r="B226" s="3" t="s">
        <v>14643</v>
      </c>
      <c r="C226" s="3" t="s">
        <v>15326</v>
      </c>
      <c r="D226" s="3" t="s">
        <v>15327</v>
      </c>
      <c r="E226" s="3" t="s">
        <v>14756</v>
      </c>
      <c r="F226" s="3" t="s">
        <v>15328</v>
      </c>
      <c r="G226" s="3">
        <v>3308567411</v>
      </c>
    </row>
    <row r="227" spans="1:7" x14ac:dyDescent="0.45">
      <c r="A227" s="3">
        <v>6328</v>
      </c>
      <c r="B227" s="3" t="s">
        <v>14643</v>
      </c>
      <c r="C227" s="3" t="s">
        <v>15329</v>
      </c>
      <c r="D227" s="3" t="s">
        <v>15330</v>
      </c>
      <c r="E227" s="3" t="s">
        <v>14886</v>
      </c>
      <c r="F227" s="3" t="s">
        <v>15331</v>
      </c>
      <c r="G227" s="3">
        <v>7086566256</v>
      </c>
    </row>
    <row r="228" spans="1:7" x14ac:dyDescent="0.45">
      <c r="A228" s="3">
        <v>6329</v>
      </c>
      <c r="B228" s="3" t="s">
        <v>14643</v>
      </c>
      <c r="C228" s="3" t="s">
        <v>15332</v>
      </c>
      <c r="D228" s="3" t="s">
        <v>15333</v>
      </c>
      <c r="E228" s="3" t="s">
        <v>14734</v>
      </c>
      <c r="F228" s="3" t="s">
        <v>15334</v>
      </c>
      <c r="G228" s="3">
        <v>6628406459</v>
      </c>
    </row>
    <row r="229" spans="1:7" x14ac:dyDescent="0.45">
      <c r="A229" s="3">
        <v>6330</v>
      </c>
      <c r="B229" s="3" t="s">
        <v>14643</v>
      </c>
      <c r="C229" s="3" t="s">
        <v>15335</v>
      </c>
      <c r="D229" s="3" t="s">
        <v>15336</v>
      </c>
      <c r="E229" s="3" t="s">
        <v>15337</v>
      </c>
      <c r="F229" s="3" t="s">
        <v>15338</v>
      </c>
      <c r="G229" s="3">
        <v>3026784220</v>
      </c>
    </row>
    <row r="230" spans="1:7" x14ac:dyDescent="0.45">
      <c r="A230" s="3">
        <v>6331</v>
      </c>
      <c r="B230" s="3" t="s">
        <v>14643</v>
      </c>
      <c r="C230" s="3" t="s">
        <v>15339</v>
      </c>
      <c r="D230" s="3" t="s">
        <v>15340</v>
      </c>
      <c r="E230" s="3" t="s">
        <v>14935</v>
      </c>
      <c r="F230" s="3" t="s">
        <v>15341</v>
      </c>
      <c r="G230" s="3">
        <v>2626546213</v>
      </c>
    </row>
    <row r="231" spans="1:7" x14ac:dyDescent="0.45">
      <c r="A231" s="3">
        <v>6332</v>
      </c>
      <c r="B231" s="3" t="s">
        <v>14643</v>
      </c>
      <c r="C231" s="3" t="s">
        <v>15342</v>
      </c>
      <c r="D231" s="3" t="s">
        <v>15343</v>
      </c>
      <c r="E231" s="3" t="s">
        <v>14945</v>
      </c>
      <c r="F231" s="3" t="s">
        <v>15344</v>
      </c>
      <c r="G231" s="3">
        <v>2156322299</v>
      </c>
    </row>
    <row r="232" spans="1:7" x14ac:dyDescent="0.45">
      <c r="A232" s="3">
        <v>6333</v>
      </c>
      <c r="B232" s="3" t="s">
        <v>14643</v>
      </c>
      <c r="C232" s="3" t="s">
        <v>15345</v>
      </c>
      <c r="D232" s="3" t="s">
        <v>15346</v>
      </c>
      <c r="E232" s="3" t="s">
        <v>15347</v>
      </c>
      <c r="F232" s="3" t="s">
        <v>15348</v>
      </c>
      <c r="G232" s="3">
        <v>2079474606</v>
      </c>
    </row>
    <row r="233" spans="1:7" x14ac:dyDescent="0.45">
      <c r="A233" s="3">
        <v>6334</v>
      </c>
      <c r="B233" s="3" t="s">
        <v>14643</v>
      </c>
      <c r="C233" s="3" t="s">
        <v>15349</v>
      </c>
      <c r="D233" s="3" t="s">
        <v>15350</v>
      </c>
      <c r="E233" s="3" t="s">
        <v>14886</v>
      </c>
      <c r="F233" s="3" t="s">
        <v>15351</v>
      </c>
      <c r="G233" s="3">
        <v>2178769202</v>
      </c>
    </row>
    <row r="234" spans="1:7" x14ac:dyDescent="0.45">
      <c r="A234" s="3">
        <v>6335</v>
      </c>
      <c r="B234" s="3" t="s">
        <v>14643</v>
      </c>
      <c r="C234" s="3" t="s">
        <v>15352</v>
      </c>
      <c r="D234" s="3" t="s">
        <v>15353</v>
      </c>
      <c r="E234" s="3" t="s">
        <v>14792</v>
      </c>
      <c r="F234" s="3" t="s">
        <v>15354</v>
      </c>
      <c r="G234" s="3">
        <v>3528730500</v>
      </c>
    </row>
    <row r="235" spans="1:7" x14ac:dyDescent="0.45">
      <c r="A235" s="3">
        <v>6336</v>
      </c>
      <c r="B235" s="3" t="s">
        <v>14643</v>
      </c>
      <c r="C235" s="3" t="s">
        <v>15355</v>
      </c>
      <c r="D235" s="3" t="s">
        <v>15356</v>
      </c>
      <c r="E235" s="3" t="s">
        <v>14654</v>
      </c>
      <c r="F235" s="3" t="s">
        <v>15357</v>
      </c>
      <c r="G235" s="3">
        <v>2547748402</v>
      </c>
    </row>
    <row r="236" spans="1:7" x14ac:dyDescent="0.45">
      <c r="A236" s="3">
        <v>6338</v>
      </c>
      <c r="B236" s="3" t="s">
        <v>14643</v>
      </c>
      <c r="C236" s="3" t="s">
        <v>15358</v>
      </c>
      <c r="D236" s="3" t="s">
        <v>15359</v>
      </c>
      <c r="E236" s="3" t="s">
        <v>14654</v>
      </c>
      <c r="F236" s="3" t="s">
        <v>15360</v>
      </c>
      <c r="G236" s="3">
        <v>9796932828</v>
      </c>
    </row>
    <row r="237" spans="1:7" x14ac:dyDescent="0.45">
      <c r="A237" s="3">
        <v>6339</v>
      </c>
      <c r="B237" s="3" t="s">
        <v>14643</v>
      </c>
      <c r="C237" s="3" t="s">
        <v>15361</v>
      </c>
      <c r="D237" s="3" t="s">
        <v>15362</v>
      </c>
      <c r="E237" s="3" t="s">
        <v>14886</v>
      </c>
      <c r="F237" s="3" t="s">
        <v>15363</v>
      </c>
      <c r="G237" s="3">
        <v>8154779876</v>
      </c>
    </row>
    <row r="238" spans="1:7" x14ac:dyDescent="0.45">
      <c r="A238" s="3">
        <v>6341</v>
      </c>
      <c r="B238" s="3" t="s">
        <v>14643</v>
      </c>
      <c r="C238" s="3" t="s">
        <v>15364</v>
      </c>
      <c r="D238" s="3" t="s">
        <v>15365</v>
      </c>
      <c r="E238" s="3" t="s">
        <v>14792</v>
      </c>
      <c r="F238" s="3" t="s">
        <v>15366</v>
      </c>
      <c r="G238" s="3">
        <v>9548467001</v>
      </c>
    </row>
    <row r="239" spans="1:7" x14ac:dyDescent="0.45">
      <c r="A239" s="3">
        <v>6342</v>
      </c>
      <c r="B239" s="3" t="s">
        <v>14643</v>
      </c>
      <c r="C239" s="3" t="s">
        <v>15367</v>
      </c>
      <c r="D239" s="3" t="s">
        <v>14931</v>
      </c>
      <c r="E239" s="3" t="s">
        <v>14712</v>
      </c>
      <c r="F239" s="3" t="s">
        <v>15368</v>
      </c>
      <c r="G239" s="3">
        <v>9182529503</v>
      </c>
    </row>
    <row r="240" spans="1:7" x14ac:dyDescent="0.45">
      <c r="A240" s="3">
        <v>6343</v>
      </c>
      <c r="B240" s="3" t="s">
        <v>14643</v>
      </c>
      <c r="C240" s="3" t="s">
        <v>15369</v>
      </c>
      <c r="D240" s="3" t="s">
        <v>15370</v>
      </c>
      <c r="E240" s="3" t="s">
        <v>14673</v>
      </c>
      <c r="F240" s="3" t="s">
        <v>15371</v>
      </c>
      <c r="G240" s="3">
        <v>8043463031</v>
      </c>
    </row>
    <row r="241" spans="1:7" x14ac:dyDescent="0.45">
      <c r="A241" s="3">
        <v>6344</v>
      </c>
      <c r="B241" s="3" t="s">
        <v>14643</v>
      </c>
      <c r="C241" s="3" t="s">
        <v>15372</v>
      </c>
      <c r="D241" s="3" t="s">
        <v>15373</v>
      </c>
      <c r="E241" s="3" t="s">
        <v>14851</v>
      </c>
      <c r="F241" s="3" t="s">
        <v>15374</v>
      </c>
      <c r="G241" s="3">
        <v>5152552252</v>
      </c>
    </row>
    <row r="242" spans="1:7" x14ac:dyDescent="0.45">
      <c r="A242" s="3">
        <v>6345</v>
      </c>
      <c r="B242" s="3" t="s">
        <v>14643</v>
      </c>
      <c r="C242" s="3" t="s">
        <v>15375</v>
      </c>
      <c r="D242" s="3" t="s">
        <v>15376</v>
      </c>
      <c r="E242" s="3" t="s">
        <v>15377</v>
      </c>
      <c r="F242" s="3" t="s">
        <v>15378</v>
      </c>
      <c r="G242" s="3">
        <v>2085292300</v>
      </c>
    </row>
    <row r="243" spans="1:7" x14ac:dyDescent="0.45">
      <c r="A243" s="3">
        <v>6347</v>
      </c>
      <c r="B243" s="3" t="s">
        <v>14643</v>
      </c>
      <c r="C243" s="3" t="s">
        <v>15379</v>
      </c>
      <c r="D243" s="3" t="s">
        <v>15380</v>
      </c>
      <c r="E243" s="3" t="s">
        <v>14658</v>
      </c>
      <c r="F243" s="3" t="s">
        <v>15381</v>
      </c>
      <c r="G243" s="3">
        <v>5053263500</v>
      </c>
    </row>
    <row r="244" spans="1:7" x14ac:dyDescent="0.45">
      <c r="A244" s="3">
        <v>6348</v>
      </c>
      <c r="B244" s="3" t="s">
        <v>14643</v>
      </c>
      <c r="C244" s="3" t="s">
        <v>15382</v>
      </c>
      <c r="D244" s="3" t="s">
        <v>15383</v>
      </c>
      <c r="E244" s="3" t="s">
        <v>14855</v>
      </c>
      <c r="F244" s="3" t="s">
        <v>15384</v>
      </c>
      <c r="G244" s="3">
        <v>7045411234</v>
      </c>
    </row>
    <row r="245" spans="1:7" x14ac:dyDescent="0.45">
      <c r="A245" s="3">
        <v>6349</v>
      </c>
      <c r="B245" s="3" t="s">
        <v>14643</v>
      </c>
      <c r="C245" s="3" t="s">
        <v>15385</v>
      </c>
      <c r="D245" s="3" t="s">
        <v>15386</v>
      </c>
      <c r="E245" s="3" t="s">
        <v>14886</v>
      </c>
      <c r="F245" s="3" t="s">
        <v>15387</v>
      </c>
      <c r="G245" s="3">
        <v>7084227417</v>
      </c>
    </row>
    <row r="246" spans="1:7" x14ac:dyDescent="0.45">
      <c r="A246" s="3">
        <v>6350</v>
      </c>
      <c r="B246" s="3" t="s">
        <v>14643</v>
      </c>
      <c r="C246" s="3" t="s">
        <v>15388</v>
      </c>
      <c r="D246" s="3" t="s">
        <v>15389</v>
      </c>
      <c r="E246" s="3" t="s">
        <v>14654</v>
      </c>
      <c r="F246" s="3" t="s">
        <v>15390</v>
      </c>
      <c r="G246" s="3">
        <v>9038130444</v>
      </c>
    </row>
    <row r="247" spans="1:7" x14ac:dyDescent="0.45">
      <c r="A247" s="3">
        <v>6351</v>
      </c>
      <c r="B247" s="3" t="s">
        <v>14643</v>
      </c>
      <c r="C247" s="3" t="s">
        <v>15391</v>
      </c>
      <c r="D247" s="3" t="s">
        <v>15392</v>
      </c>
      <c r="E247" s="3" t="s">
        <v>14673</v>
      </c>
      <c r="F247" s="3" t="s">
        <v>15393</v>
      </c>
      <c r="G247" s="3">
        <v>7578750243</v>
      </c>
    </row>
    <row r="248" spans="1:7" x14ac:dyDescent="0.45">
      <c r="A248" s="3">
        <v>6352</v>
      </c>
      <c r="B248" s="3" t="s">
        <v>14643</v>
      </c>
      <c r="C248" s="3" t="s">
        <v>15394</v>
      </c>
      <c r="D248" s="3" t="s">
        <v>15395</v>
      </c>
      <c r="E248" s="3" t="s">
        <v>15396</v>
      </c>
      <c r="F248" s="3" t="s">
        <v>15397</v>
      </c>
      <c r="G248" s="3">
        <v>6038824600</v>
      </c>
    </row>
    <row r="249" spans="1:7" x14ac:dyDescent="0.45">
      <c r="A249" s="3">
        <v>6353</v>
      </c>
      <c r="B249" s="3" t="s">
        <v>14643</v>
      </c>
      <c r="C249" s="3" t="s">
        <v>15398</v>
      </c>
      <c r="D249" s="3" t="s">
        <v>15399</v>
      </c>
      <c r="E249" s="3" t="s">
        <v>14992</v>
      </c>
      <c r="F249" s="3" t="s">
        <v>15400</v>
      </c>
      <c r="G249" s="3">
        <v>8434483887</v>
      </c>
    </row>
    <row r="250" spans="1:7" x14ac:dyDescent="0.45">
      <c r="A250" s="3">
        <v>6354</v>
      </c>
      <c r="B250" s="3" t="s">
        <v>14643</v>
      </c>
      <c r="C250" s="3" t="s">
        <v>15401</v>
      </c>
      <c r="D250" s="3" t="s">
        <v>15402</v>
      </c>
      <c r="E250" s="3" t="s">
        <v>14673</v>
      </c>
      <c r="F250" s="3" t="s">
        <v>15403</v>
      </c>
      <c r="G250" s="3">
        <v>8043787654</v>
      </c>
    </row>
    <row r="251" spans="1:7" x14ac:dyDescent="0.45">
      <c r="A251" s="3">
        <v>6355</v>
      </c>
      <c r="B251" s="3" t="s">
        <v>14643</v>
      </c>
      <c r="C251" s="3" t="s">
        <v>15404</v>
      </c>
      <c r="D251" s="3" t="s">
        <v>15405</v>
      </c>
      <c r="E251" s="3" t="s">
        <v>14855</v>
      </c>
      <c r="F251" s="3" t="s">
        <v>15406</v>
      </c>
      <c r="G251" s="3">
        <v>8283268699</v>
      </c>
    </row>
    <row r="252" spans="1:7" x14ac:dyDescent="0.45">
      <c r="A252" s="3">
        <v>6356</v>
      </c>
      <c r="B252" s="3" t="s">
        <v>14643</v>
      </c>
      <c r="C252" s="3" t="s">
        <v>15407</v>
      </c>
      <c r="D252" s="3" t="s">
        <v>15408</v>
      </c>
      <c r="E252" s="3" t="s">
        <v>15162</v>
      </c>
      <c r="F252" s="3" t="s">
        <v>15409</v>
      </c>
      <c r="G252" s="3">
        <v>8458964980</v>
      </c>
    </row>
    <row r="253" spans="1:7" x14ac:dyDescent="0.45">
      <c r="A253" s="3">
        <v>6357</v>
      </c>
      <c r="B253" s="3" t="s">
        <v>14643</v>
      </c>
      <c r="C253" s="3" t="s">
        <v>15410</v>
      </c>
      <c r="D253" s="3" t="s">
        <v>15411</v>
      </c>
      <c r="E253" s="3" t="s">
        <v>14788</v>
      </c>
      <c r="F253" s="3" t="s">
        <v>15412</v>
      </c>
      <c r="G253" s="3">
        <v>4105731112</v>
      </c>
    </row>
    <row r="254" spans="1:7" x14ac:dyDescent="0.45">
      <c r="A254" s="3">
        <v>6358</v>
      </c>
      <c r="B254" s="3" t="s">
        <v>14643</v>
      </c>
      <c r="C254" s="3" t="s">
        <v>15413</v>
      </c>
      <c r="D254" s="3" t="s">
        <v>15414</v>
      </c>
      <c r="E254" s="3" t="s">
        <v>14886</v>
      </c>
      <c r="F254" s="3" t="s">
        <v>15415</v>
      </c>
      <c r="G254" s="3">
        <v>7085310807</v>
      </c>
    </row>
    <row r="255" spans="1:7" x14ac:dyDescent="0.45">
      <c r="A255" s="3">
        <v>6359</v>
      </c>
      <c r="B255" s="3" t="s">
        <v>14643</v>
      </c>
      <c r="C255" s="3" t="s">
        <v>15416</v>
      </c>
      <c r="D255" s="3" t="s">
        <v>15417</v>
      </c>
      <c r="E255" s="3" t="s">
        <v>14808</v>
      </c>
      <c r="F255" s="3" t="s">
        <v>15418</v>
      </c>
      <c r="G255" s="3">
        <v>6167850001</v>
      </c>
    </row>
    <row r="256" spans="1:7" x14ac:dyDescent="0.45">
      <c r="A256" s="3">
        <v>6360</v>
      </c>
      <c r="B256" s="3" t="s">
        <v>14643</v>
      </c>
      <c r="C256" s="3" t="s">
        <v>15419</v>
      </c>
      <c r="D256" s="3" t="s">
        <v>15420</v>
      </c>
      <c r="E256" s="3" t="s">
        <v>14748</v>
      </c>
      <c r="F256" s="3" t="s">
        <v>15421</v>
      </c>
      <c r="G256" s="3">
        <v>9702439203</v>
      </c>
    </row>
    <row r="257" spans="1:7" x14ac:dyDescent="0.45">
      <c r="A257" s="3">
        <v>6361</v>
      </c>
      <c r="B257" s="3" t="s">
        <v>14643</v>
      </c>
      <c r="C257" s="3" t="s">
        <v>15422</v>
      </c>
      <c r="D257" s="3" t="s">
        <v>15423</v>
      </c>
      <c r="E257" s="3" t="s">
        <v>14792</v>
      </c>
      <c r="F257" s="3" t="s">
        <v>15424</v>
      </c>
      <c r="G257" s="3">
        <v>8508625330</v>
      </c>
    </row>
    <row r="258" spans="1:7" x14ac:dyDescent="0.45">
      <c r="A258" s="3">
        <v>6363</v>
      </c>
      <c r="B258" s="3" t="s">
        <v>14643</v>
      </c>
      <c r="C258" s="3" t="s">
        <v>15425</v>
      </c>
      <c r="D258" s="3" t="s">
        <v>15426</v>
      </c>
      <c r="E258" s="3" t="s">
        <v>14792</v>
      </c>
      <c r="F258" s="3" t="s">
        <v>15427</v>
      </c>
      <c r="G258" s="3">
        <v>9045739702</v>
      </c>
    </row>
    <row r="259" spans="1:7" x14ac:dyDescent="0.45">
      <c r="A259" s="3">
        <v>6364</v>
      </c>
      <c r="B259" s="3" t="s">
        <v>14643</v>
      </c>
      <c r="C259" s="3" t="s">
        <v>15428</v>
      </c>
      <c r="D259" s="3" t="s">
        <v>15429</v>
      </c>
      <c r="E259" s="3" t="s">
        <v>14792</v>
      </c>
      <c r="F259" s="3" t="s">
        <v>15430</v>
      </c>
      <c r="G259" s="3">
        <v>2395926670</v>
      </c>
    </row>
    <row r="260" spans="1:7" x14ac:dyDescent="0.45">
      <c r="A260" s="3">
        <v>6365</v>
      </c>
      <c r="B260" s="3" t="s">
        <v>14643</v>
      </c>
      <c r="C260" s="3" t="s">
        <v>15431</v>
      </c>
      <c r="D260" s="3" t="s">
        <v>15432</v>
      </c>
      <c r="E260" s="3" t="s">
        <v>14673</v>
      </c>
      <c r="F260" s="3" t="s">
        <v>15433</v>
      </c>
      <c r="G260" s="3">
        <v>4349782122</v>
      </c>
    </row>
    <row r="261" spans="1:7" x14ac:dyDescent="0.45">
      <c r="A261" s="3">
        <v>6366</v>
      </c>
      <c r="B261" s="3" t="s">
        <v>14643</v>
      </c>
      <c r="C261" s="3" t="s">
        <v>15434</v>
      </c>
      <c r="D261" s="3" t="s">
        <v>15435</v>
      </c>
      <c r="E261" s="3" t="s">
        <v>15162</v>
      </c>
      <c r="F261" s="3" t="s">
        <v>15436</v>
      </c>
      <c r="G261" s="3">
        <v>6077706200</v>
      </c>
    </row>
    <row r="262" spans="1:7" x14ac:dyDescent="0.45">
      <c r="A262" s="3">
        <v>6367</v>
      </c>
      <c r="B262" s="3" t="s">
        <v>14643</v>
      </c>
      <c r="C262" s="3" t="s">
        <v>15437</v>
      </c>
      <c r="D262" s="3" t="s">
        <v>15438</v>
      </c>
      <c r="E262" s="3" t="s">
        <v>14654</v>
      </c>
      <c r="F262" s="3" t="s">
        <v>15439</v>
      </c>
      <c r="G262" s="3">
        <v>2815481211</v>
      </c>
    </row>
    <row r="263" spans="1:7" x14ac:dyDescent="0.45">
      <c r="A263" s="3">
        <v>6368</v>
      </c>
      <c r="B263" s="3" t="s">
        <v>14643</v>
      </c>
      <c r="C263" s="3" t="s">
        <v>15440</v>
      </c>
      <c r="D263" s="3" t="s">
        <v>14672</v>
      </c>
      <c r="E263" s="3" t="s">
        <v>14673</v>
      </c>
      <c r="F263" s="3" t="s">
        <v>15441</v>
      </c>
      <c r="G263" s="3">
        <v>7574367119</v>
      </c>
    </row>
    <row r="264" spans="1:7" x14ac:dyDescent="0.45">
      <c r="A264" s="3">
        <v>6369</v>
      </c>
      <c r="B264" s="3" t="s">
        <v>14643</v>
      </c>
      <c r="C264" s="3" t="s">
        <v>15442</v>
      </c>
      <c r="D264" s="3" t="s">
        <v>15443</v>
      </c>
      <c r="E264" s="3" t="s">
        <v>14646</v>
      </c>
      <c r="F264" s="3" t="s">
        <v>15444</v>
      </c>
      <c r="G264" s="3">
        <v>7323210182</v>
      </c>
    </row>
    <row r="265" spans="1:7" x14ac:dyDescent="0.45">
      <c r="A265" s="3">
        <v>6371</v>
      </c>
      <c r="B265" s="3" t="s">
        <v>14643</v>
      </c>
      <c r="C265" s="3" t="s">
        <v>15445</v>
      </c>
      <c r="D265" s="3" t="s">
        <v>15446</v>
      </c>
      <c r="E265" s="3" t="s">
        <v>14673</v>
      </c>
      <c r="F265" s="3" t="s">
        <v>15447</v>
      </c>
      <c r="G265" s="3">
        <v>7034912662</v>
      </c>
    </row>
    <row r="266" spans="1:7" x14ac:dyDescent="0.45">
      <c r="A266" s="3">
        <v>6372</v>
      </c>
      <c r="B266" s="3" t="s">
        <v>14643</v>
      </c>
      <c r="C266" s="3" t="s">
        <v>15448</v>
      </c>
      <c r="D266" s="3" t="s">
        <v>15045</v>
      </c>
      <c r="E266" s="3" t="s">
        <v>14654</v>
      </c>
      <c r="F266" s="3" t="s">
        <v>15449</v>
      </c>
      <c r="G266" s="3">
        <v>2143822297</v>
      </c>
    </row>
    <row r="267" spans="1:7" x14ac:dyDescent="0.45">
      <c r="A267" s="3">
        <v>6373</v>
      </c>
      <c r="B267" s="3" t="s">
        <v>14643</v>
      </c>
      <c r="C267" s="3" t="s">
        <v>15450</v>
      </c>
      <c r="D267" s="3" t="s">
        <v>15451</v>
      </c>
      <c r="E267" s="3" t="s">
        <v>14973</v>
      </c>
      <c r="F267" s="3" t="s">
        <v>15452</v>
      </c>
      <c r="G267" s="3">
        <v>3042950280</v>
      </c>
    </row>
    <row r="268" spans="1:7" x14ac:dyDescent="0.45">
      <c r="A268" s="3">
        <v>6375</v>
      </c>
      <c r="B268" s="3" t="s">
        <v>14643</v>
      </c>
      <c r="C268" s="3" t="s">
        <v>15453</v>
      </c>
      <c r="D268" s="3" t="s">
        <v>15454</v>
      </c>
      <c r="E268" s="3" t="s">
        <v>14756</v>
      </c>
      <c r="F268" s="3" t="s">
        <v>15455</v>
      </c>
      <c r="G268" s="3">
        <v>4192224050</v>
      </c>
    </row>
    <row r="269" spans="1:7" x14ac:dyDescent="0.45">
      <c r="A269" s="3">
        <v>6376</v>
      </c>
      <c r="B269" s="3" t="s">
        <v>14643</v>
      </c>
      <c r="C269" s="3" t="s">
        <v>15456</v>
      </c>
      <c r="D269" s="3" t="s">
        <v>15045</v>
      </c>
      <c r="E269" s="3" t="s">
        <v>14654</v>
      </c>
      <c r="F269" s="3" t="s">
        <v>15457</v>
      </c>
      <c r="G269" s="3">
        <v>9729349274</v>
      </c>
    </row>
    <row r="270" spans="1:7" x14ac:dyDescent="0.45">
      <c r="A270" s="3">
        <v>6377</v>
      </c>
      <c r="B270" s="3" t="s">
        <v>14643</v>
      </c>
      <c r="C270" s="3" t="s">
        <v>15458</v>
      </c>
      <c r="D270" s="3" t="s">
        <v>15459</v>
      </c>
      <c r="E270" s="3" t="s">
        <v>14752</v>
      </c>
      <c r="F270" s="3" t="s">
        <v>15460</v>
      </c>
      <c r="G270" s="3">
        <v>8709721644</v>
      </c>
    </row>
    <row r="271" spans="1:7" x14ac:dyDescent="0.45">
      <c r="A271" s="3">
        <v>6378</v>
      </c>
      <c r="B271" s="3" t="s">
        <v>14643</v>
      </c>
      <c r="C271" s="3" t="s">
        <v>15461</v>
      </c>
      <c r="D271" s="3" t="s">
        <v>15462</v>
      </c>
      <c r="E271" s="3" t="s">
        <v>14662</v>
      </c>
      <c r="F271" s="3" t="s">
        <v>15463</v>
      </c>
      <c r="G271" s="3">
        <v>9516534840</v>
      </c>
    </row>
    <row r="272" spans="1:7" x14ac:dyDescent="0.45">
      <c r="A272" s="3">
        <v>6379</v>
      </c>
      <c r="B272" s="3" t="s">
        <v>14643</v>
      </c>
      <c r="C272" s="3" t="s">
        <v>15464</v>
      </c>
      <c r="D272" s="3" t="s">
        <v>15465</v>
      </c>
      <c r="E272" s="3" t="s">
        <v>14874</v>
      </c>
      <c r="F272" s="3" t="s">
        <v>15466</v>
      </c>
      <c r="G272" s="3">
        <v>4064530018</v>
      </c>
    </row>
    <row r="273" spans="1:7" x14ac:dyDescent="0.45">
      <c r="A273" s="3">
        <v>6380</v>
      </c>
      <c r="B273" s="3" t="s">
        <v>14643</v>
      </c>
      <c r="C273" s="3" t="s">
        <v>15467</v>
      </c>
      <c r="D273" s="3" t="s">
        <v>15468</v>
      </c>
      <c r="E273" s="3" t="s">
        <v>14756</v>
      </c>
      <c r="F273" s="3" t="s">
        <v>15469</v>
      </c>
      <c r="G273" s="3">
        <v>9374546200</v>
      </c>
    </row>
    <row r="274" spans="1:7" x14ac:dyDescent="0.45">
      <c r="A274" s="3">
        <v>6381</v>
      </c>
      <c r="B274" s="3" t="s">
        <v>14643</v>
      </c>
      <c r="C274" s="3" t="s">
        <v>15470</v>
      </c>
      <c r="D274" s="3" t="s">
        <v>15471</v>
      </c>
      <c r="E274" s="3" t="s">
        <v>14654</v>
      </c>
      <c r="F274" s="3" t="s">
        <v>15472</v>
      </c>
      <c r="G274" s="3">
        <v>9724366684</v>
      </c>
    </row>
    <row r="275" spans="1:7" x14ac:dyDescent="0.45">
      <c r="A275" s="3">
        <v>6382</v>
      </c>
      <c r="B275" s="3" t="s">
        <v>14643</v>
      </c>
      <c r="C275" s="3" t="s">
        <v>15473</v>
      </c>
      <c r="D275" s="3" t="s">
        <v>15120</v>
      </c>
      <c r="E275" s="3" t="s">
        <v>14779</v>
      </c>
      <c r="F275" s="3" t="s">
        <v>15474</v>
      </c>
      <c r="G275" s="3">
        <v>7022530072</v>
      </c>
    </row>
    <row r="276" spans="1:7" x14ac:dyDescent="0.45">
      <c r="A276" s="3">
        <v>6383</v>
      </c>
      <c r="B276" s="3" t="s">
        <v>14643</v>
      </c>
      <c r="C276" s="3" t="s">
        <v>15475</v>
      </c>
      <c r="D276" s="3" t="s">
        <v>15476</v>
      </c>
      <c r="E276" s="3" t="s">
        <v>14788</v>
      </c>
      <c r="F276" s="3" t="s">
        <v>15477</v>
      </c>
      <c r="G276" s="3">
        <v>4108608466</v>
      </c>
    </row>
    <row r="277" spans="1:7" x14ac:dyDescent="0.45">
      <c r="A277" s="3">
        <v>6384</v>
      </c>
      <c r="B277" s="3" t="s">
        <v>14643</v>
      </c>
      <c r="C277" s="3" t="s">
        <v>15478</v>
      </c>
      <c r="D277" s="3" t="s">
        <v>15479</v>
      </c>
      <c r="E277" s="3" t="s">
        <v>14886</v>
      </c>
      <c r="F277" s="3" t="s">
        <v>15480</v>
      </c>
      <c r="G277" s="3">
        <v>7083877030</v>
      </c>
    </row>
    <row r="278" spans="1:7" x14ac:dyDescent="0.45">
      <c r="A278" s="3">
        <v>6385</v>
      </c>
      <c r="B278" s="3" t="s">
        <v>14643</v>
      </c>
      <c r="C278" s="3" t="s">
        <v>15481</v>
      </c>
      <c r="D278" s="3" t="s">
        <v>15482</v>
      </c>
      <c r="E278" s="3" t="s">
        <v>15056</v>
      </c>
      <c r="F278" s="3" t="s">
        <v>15483</v>
      </c>
      <c r="G278" s="3">
        <v>7017959449</v>
      </c>
    </row>
    <row r="279" spans="1:7" x14ac:dyDescent="0.45">
      <c r="A279" s="3">
        <v>6386</v>
      </c>
      <c r="B279" s="3" t="s">
        <v>14643</v>
      </c>
      <c r="C279" s="3" t="s">
        <v>15484</v>
      </c>
      <c r="D279" s="3" t="s">
        <v>15485</v>
      </c>
      <c r="E279" s="3" t="s">
        <v>15396</v>
      </c>
      <c r="F279" s="3" t="s">
        <v>15486</v>
      </c>
      <c r="G279" s="3">
        <v>6032261255</v>
      </c>
    </row>
    <row r="280" spans="1:7" x14ac:dyDescent="0.45">
      <c r="A280" s="3">
        <v>6387</v>
      </c>
      <c r="B280" s="3" t="s">
        <v>14643</v>
      </c>
      <c r="C280" s="3" t="s">
        <v>15487</v>
      </c>
      <c r="D280" s="3" t="s">
        <v>15488</v>
      </c>
      <c r="E280" s="3" t="s">
        <v>14792</v>
      </c>
      <c r="F280" s="3" t="s">
        <v>15489</v>
      </c>
      <c r="G280" s="3">
        <v>7275478955</v>
      </c>
    </row>
    <row r="281" spans="1:7" x14ac:dyDescent="0.45">
      <c r="A281" s="3">
        <v>6388</v>
      </c>
      <c r="B281" s="3" t="s">
        <v>14643</v>
      </c>
      <c r="C281" s="3" t="s">
        <v>15490</v>
      </c>
      <c r="D281" s="3" t="s">
        <v>15491</v>
      </c>
      <c r="E281" s="3" t="s">
        <v>14886</v>
      </c>
      <c r="F281" s="3" t="s">
        <v>15492</v>
      </c>
      <c r="G281" s="3">
        <v>6304491946</v>
      </c>
    </row>
    <row r="282" spans="1:7" x14ac:dyDescent="0.45">
      <c r="A282" s="3">
        <v>6401</v>
      </c>
      <c r="B282" s="3" t="s">
        <v>14643</v>
      </c>
      <c r="C282" s="3" t="s">
        <v>15493</v>
      </c>
      <c r="D282" s="3" t="s">
        <v>15494</v>
      </c>
      <c r="E282" s="3" t="s">
        <v>14792</v>
      </c>
      <c r="F282" s="3" t="s">
        <v>15495</v>
      </c>
      <c r="G282" s="3">
        <v>8139602110</v>
      </c>
    </row>
    <row r="283" spans="1:7" x14ac:dyDescent="0.45">
      <c r="A283" s="3">
        <v>6402</v>
      </c>
      <c r="B283" s="3" t="s">
        <v>14643</v>
      </c>
      <c r="C283" s="3" t="s">
        <v>15496</v>
      </c>
      <c r="D283" s="3" t="s">
        <v>15497</v>
      </c>
      <c r="E283" s="3" t="s">
        <v>14855</v>
      </c>
      <c r="F283" s="3" t="s">
        <v>15498</v>
      </c>
      <c r="G283" s="3">
        <v>3368526212</v>
      </c>
    </row>
    <row r="284" spans="1:7" x14ac:dyDescent="0.45">
      <c r="A284" s="3">
        <v>6403</v>
      </c>
      <c r="B284" s="3" t="s">
        <v>14643</v>
      </c>
      <c r="C284" s="3" t="s">
        <v>15499</v>
      </c>
      <c r="D284" s="3" t="s">
        <v>15500</v>
      </c>
      <c r="E284" s="3" t="s">
        <v>14792</v>
      </c>
      <c r="F284" s="3" t="s">
        <v>15501</v>
      </c>
      <c r="G284" s="3">
        <v>8136858223</v>
      </c>
    </row>
    <row r="285" spans="1:7" x14ac:dyDescent="0.45">
      <c r="A285" s="3">
        <v>6404</v>
      </c>
      <c r="B285" s="3" t="s">
        <v>14643</v>
      </c>
      <c r="C285" s="3" t="s">
        <v>15502</v>
      </c>
      <c r="D285" s="3" t="s">
        <v>15503</v>
      </c>
      <c r="E285" s="3" t="s">
        <v>14756</v>
      </c>
      <c r="F285" s="3" t="s">
        <v>15504</v>
      </c>
      <c r="G285" s="3">
        <v>3306655336</v>
      </c>
    </row>
    <row r="286" spans="1:7" x14ac:dyDescent="0.45">
      <c r="A286" s="3">
        <v>6405</v>
      </c>
      <c r="B286" s="3" t="s">
        <v>14643</v>
      </c>
      <c r="C286" s="3" t="s">
        <v>15505</v>
      </c>
      <c r="D286" s="3" t="s">
        <v>15506</v>
      </c>
      <c r="E286" s="3" t="s">
        <v>14662</v>
      </c>
      <c r="F286" s="3" t="s">
        <v>15507</v>
      </c>
      <c r="G286" s="3">
        <v>5307511244</v>
      </c>
    </row>
    <row r="287" spans="1:7" x14ac:dyDescent="0.45">
      <c r="A287" s="3">
        <v>6406</v>
      </c>
      <c r="B287" s="3" t="s">
        <v>14643</v>
      </c>
      <c r="C287" s="3" t="s">
        <v>15508</v>
      </c>
      <c r="D287" s="3" t="s">
        <v>15509</v>
      </c>
      <c r="E287" s="3" t="s">
        <v>15162</v>
      </c>
      <c r="F287" s="3" t="s">
        <v>15510</v>
      </c>
      <c r="G287" s="3">
        <v>7162981580</v>
      </c>
    </row>
    <row r="288" spans="1:7" ht="28.5" x14ac:dyDescent="0.45">
      <c r="A288" s="3">
        <v>6407</v>
      </c>
      <c r="B288" s="3" t="s">
        <v>14643</v>
      </c>
      <c r="C288" s="3" t="s">
        <v>15511</v>
      </c>
      <c r="D288" s="3" t="s">
        <v>15512</v>
      </c>
      <c r="E288" s="3" t="s">
        <v>14756</v>
      </c>
      <c r="F288" s="3" t="s">
        <v>15513</v>
      </c>
      <c r="G288" s="3">
        <v>4197479939</v>
      </c>
    </row>
    <row r="289" spans="1:7" x14ac:dyDescent="0.45">
      <c r="A289" s="3">
        <v>6408</v>
      </c>
      <c r="B289" s="3" t="s">
        <v>14643</v>
      </c>
      <c r="C289" s="3" t="s">
        <v>15514</v>
      </c>
      <c r="D289" s="3" t="s">
        <v>15515</v>
      </c>
      <c r="E289" s="3" t="s">
        <v>14658</v>
      </c>
      <c r="F289" s="3" t="s">
        <v>15516</v>
      </c>
      <c r="G289" s="3">
        <v>5054718825</v>
      </c>
    </row>
    <row r="290" spans="1:7" ht="28.5" x14ac:dyDescent="0.45">
      <c r="A290" s="3">
        <v>6409</v>
      </c>
      <c r="B290" s="3" t="s">
        <v>14643</v>
      </c>
      <c r="C290" s="3" t="s">
        <v>15517</v>
      </c>
      <c r="D290" s="3" t="s">
        <v>15518</v>
      </c>
      <c r="E290" s="3" t="s">
        <v>14730</v>
      </c>
      <c r="F290" s="3" t="s">
        <v>15519</v>
      </c>
      <c r="G290" s="3">
        <v>7709088408</v>
      </c>
    </row>
    <row r="291" spans="1:7" ht="28.5" x14ac:dyDescent="0.45">
      <c r="A291" s="3">
        <v>6410</v>
      </c>
      <c r="B291" s="3" t="s">
        <v>14643</v>
      </c>
      <c r="C291" s="3" t="s">
        <v>15520</v>
      </c>
      <c r="D291" s="3" t="s">
        <v>15521</v>
      </c>
      <c r="E291" s="3" t="s">
        <v>14763</v>
      </c>
      <c r="F291" s="3" t="s">
        <v>15522</v>
      </c>
      <c r="G291" s="3">
        <v>8084567788</v>
      </c>
    </row>
    <row r="292" spans="1:7" x14ac:dyDescent="0.45">
      <c r="A292" s="3">
        <v>6412</v>
      </c>
      <c r="B292" s="3" t="s">
        <v>14643</v>
      </c>
      <c r="C292" s="3" t="s">
        <v>15523</v>
      </c>
      <c r="D292" s="3" t="s">
        <v>15524</v>
      </c>
      <c r="E292" s="3" t="s">
        <v>14808</v>
      </c>
      <c r="F292" s="3" t="s">
        <v>15525</v>
      </c>
      <c r="G292" s="3">
        <v>7342850030</v>
      </c>
    </row>
    <row r="293" spans="1:7" x14ac:dyDescent="0.45">
      <c r="A293" s="3">
        <v>6413</v>
      </c>
      <c r="B293" s="3" t="s">
        <v>14643</v>
      </c>
      <c r="C293" s="3" t="s">
        <v>15526</v>
      </c>
      <c r="D293" s="3" t="s">
        <v>14995</v>
      </c>
      <c r="E293" s="3" t="s">
        <v>14996</v>
      </c>
      <c r="F293" s="3" t="s">
        <v>15527</v>
      </c>
      <c r="G293" s="3">
        <v>4024383540</v>
      </c>
    </row>
    <row r="294" spans="1:7" x14ac:dyDescent="0.45">
      <c r="A294" s="3">
        <v>6414</v>
      </c>
      <c r="B294" s="3" t="s">
        <v>14643</v>
      </c>
      <c r="C294" s="3" t="s">
        <v>15528</v>
      </c>
      <c r="D294" s="3" t="s">
        <v>15529</v>
      </c>
      <c r="E294" s="3" t="s">
        <v>14855</v>
      </c>
      <c r="F294" s="3" t="s">
        <v>15530</v>
      </c>
      <c r="G294" s="3">
        <v>7048664752</v>
      </c>
    </row>
    <row r="295" spans="1:7" x14ac:dyDescent="0.45">
      <c r="A295" s="3">
        <v>6415</v>
      </c>
      <c r="B295" s="3" t="s">
        <v>14643</v>
      </c>
      <c r="C295" s="3" t="s">
        <v>15531</v>
      </c>
      <c r="D295" s="3" t="s">
        <v>15532</v>
      </c>
      <c r="E295" s="3" t="s">
        <v>14738</v>
      </c>
      <c r="F295" s="3" t="s">
        <v>15533</v>
      </c>
      <c r="G295" s="3">
        <v>4176236200</v>
      </c>
    </row>
    <row r="296" spans="1:7" x14ac:dyDescent="0.45">
      <c r="A296" s="3">
        <v>6417</v>
      </c>
      <c r="B296" s="3" t="s">
        <v>14643</v>
      </c>
      <c r="C296" s="3" t="s">
        <v>15534</v>
      </c>
      <c r="D296" s="3" t="s">
        <v>15535</v>
      </c>
      <c r="E296" s="3" t="s">
        <v>14808</v>
      </c>
      <c r="F296" s="3" t="s">
        <v>15536</v>
      </c>
      <c r="G296" s="3">
        <v>6163953190</v>
      </c>
    </row>
    <row r="297" spans="1:7" x14ac:dyDescent="0.45">
      <c r="A297" s="3">
        <v>6418</v>
      </c>
      <c r="B297" s="3" t="s">
        <v>14643</v>
      </c>
      <c r="C297" s="3" t="s">
        <v>15537</v>
      </c>
      <c r="D297" s="3" t="s">
        <v>15265</v>
      </c>
      <c r="E297" s="3" t="s">
        <v>14666</v>
      </c>
      <c r="F297" s="3" t="s">
        <v>15538</v>
      </c>
      <c r="G297" s="3">
        <v>3166346007</v>
      </c>
    </row>
    <row r="298" spans="1:7" x14ac:dyDescent="0.45">
      <c r="A298" s="3">
        <v>6419</v>
      </c>
      <c r="B298" s="3" t="s">
        <v>14643</v>
      </c>
      <c r="C298" s="3" t="s">
        <v>15539</v>
      </c>
      <c r="D298" s="3" t="s">
        <v>15540</v>
      </c>
      <c r="E298" s="3" t="s">
        <v>14808</v>
      </c>
      <c r="F298" s="3" t="s">
        <v>15541</v>
      </c>
      <c r="G298" s="3">
        <v>2319468777</v>
      </c>
    </row>
    <row r="299" spans="1:7" x14ac:dyDescent="0.45">
      <c r="A299" s="3">
        <v>6420</v>
      </c>
      <c r="B299" s="3" t="s">
        <v>14643</v>
      </c>
      <c r="C299" s="3" t="s">
        <v>15542</v>
      </c>
      <c r="D299" s="3" t="s">
        <v>15543</v>
      </c>
      <c r="E299" s="3" t="s">
        <v>14792</v>
      </c>
      <c r="F299" s="3" t="s">
        <v>15544</v>
      </c>
      <c r="G299" s="3">
        <v>7277918081</v>
      </c>
    </row>
    <row r="300" spans="1:7" x14ac:dyDescent="0.45">
      <c r="A300" s="3">
        <v>6421</v>
      </c>
      <c r="B300" s="3" t="s">
        <v>14643</v>
      </c>
      <c r="C300" s="3" t="s">
        <v>15545</v>
      </c>
      <c r="D300" s="3" t="s">
        <v>15546</v>
      </c>
      <c r="E300" s="3" t="s">
        <v>14654</v>
      </c>
      <c r="F300" s="3" t="s">
        <v>15547</v>
      </c>
      <c r="G300" s="3">
        <v>9367565778</v>
      </c>
    </row>
    <row r="301" spans="1:7" x14ac:dyDescent="0.45">
      <c r="A301" s="3">
        <v>6422</v>
      </c>
      <c r="B301" s="3" t="s">
        <v>14643</v>
      </c>
      <c r="C301" s="3" t="s">
        <v>15548</v>
      </c>
      <c r="D301" s="3" t="s">
        <v>15549</v>
      </c>
      <c r="E301" s="3" t="s">
        <v>14654</v>
      </c>
      <c r="F301" s="3" t="s">
        <v>15550</v>
      </c>
      <c r="G301" s="3">
        <v>9036635588</v>
      </c>
    </row>
    <row r="302" spans="1:7" x14ac:dyDescent="0.45">
      <c r="A302" s="3">
        <v>6423</v>
      </c>
      <c r="B302" s="3" t="s">
        <v>14643</v>
      </c>
      <c r="C302" s="3" t="s">
        <v>15551</v>
      </c>
      <c r="D302" s="3" t="s">
        <v>15552</v>
      </c>
      <c r="E302" s="3" t="s">
        <v>15162</v>
      </c>
      <c r="F302" s="3" t="s">
        <v>15553</v>
      </c>
      <c r="G302" s="3">
        <v>8456925100</v>
      </c>
    </row>
    <row r="303" spans="1:7" x14ac:dyDescent="0.45">
      <c r="A303" s="3">
        <v>6424</v>
      </c>
      <c r="B303" s="3" t="s">
        <v>14643</v>
      </c>
      <c r="C303" s="3" t="s">
        <v>15554</v>
      </c>
      <c r="D303" s="3" t="s">
        <v>15555</v>
      </c>
      <c r="E303" s="3" t="s">
        <v>14952</v>
      </c>
      <c r="F303" s="3" t="s">
        <v>15556</v>
      </c>
      <c r="G303" s="3">
        <v>7658687025</v>
      </c>
    </row>
    <row r="304" spans="1:7" x14ac:dyDescent="0.45">
      <c r="A304" s="3">
        <v>6425</v>
      </c>
      <c r="B304" s="3" t="s">
        <v>14643</v>
      </c>
      <c r="C304" s="3" t="s">
        <v>15557</v>
      </c>
      <c r="D304" s="3" t="s">
        <v>15558</v>
      </c>
      <c r="E304" s="3" t="s">
        <v>15559</v>
      </c>
      <c r="F304" s="3" t="s">
        <v>15560</v>
      </c>
      <c r="G304" s="3">
        <v>3072378877</v>
      </c>
    </row>
    <row r="305" spans="1:7" x14ac:dyDescent="0.45">
      <c r="A305" s="3">
        <v>6426</v>
      </c>
      <c r="B305" s="3" t="s">
        <v>14643</v>
      </c>
      <c r="C305" s="3" t="s">
        <v>15561</v>
      </c>
      <c r="D305" s="3" t="s">
        <v>15562</v>
      </c>
      <c r="E305" s="3" t="s">
        <v>14666</v>
      </c>
      <c r="F305" s="3" t="s">
        <v>15563</v>
      </c>
      <c r="G305" s="3">
        <v>7858252229</v>
      </c>
    </row>
    <row r="306" spans="1:7" x14ac:dyDescent="0.45">
      <c r="A306" s="3">
        <v>6427</v>
      </c>
      <c r="B306" s="3" t="s">
        <v>14643</v>
      </c>
      <c r="C306" s="3" t="s">
        <v>15564</v>
      </c>
      <c r="D306" s="3" t="s">
        <v>15565</v>
      </c>
      <c r="E306" s="3" t="s">
        <v>14723</v>
      </c>
      <c r="F306" s="3" t="s">
        <v>15566</v>
      </c>
      <c r="G306" s="3">
        <v>5072818355</v>
      </c>
    </row>
    <row r="307" spans="1:7" x14ac:dyDescent="0.45">
      <c r="A307" s="3">
        <v>6428</v>
      </c>
      <c r="B307" s="3" t="s">
        <v>14643</v>
      </c>
      <c r="C307" s="3" t="s">
        <v>15567</v>
      </c>
      <c r="D307" s="3" t="s">
        <v>15568</v>
      </c>
      <c r="E307" s="3" t="s">
        <v>15162</v>
      </c>
      <c r="F307" s="3" t="s">
        <v>15569</v>
      </c>
      <c r="G307" s="3">
        <v>6314470227</v>
      </c>
    </row>
    <row r="308" spans="1:7" x14ac:dyDescent="0.45">
      <c r="A308" s="3">
        <v>6429</v>
      </c>
      <c r="B308" s="3" t="s">
        <v>14643</v>
      </c>
      <c r="C308" s="3" t="s">
        <v>15570</v>
      </c>
      <c r="D308" s="3" t="s">
        <v>15571</v>
      </c>
      <c r="E308" s="3" t="s">
        <v>14808</v>
      </c>
      <c r="F308" s="3" t="s">
        <v>15572</v>
      </c>
      <c r="G308" s="3">
        <v>2699795327</v>
      </c>
    </row>
    <row r="309" spans="1:7" x14ac:dyDescent="0.45">
      <c r="A309" s="3">
        <v>6430</v>
      </c>
      <c r="B309" s="3" t="s">
        <v>14643</v>
      </c>
      <c r="C309" s="3" t="s">
        <v>15573</v>
      </c>
      <c r="D309" s="3" t="s">
        <v>15574</v>
      </c>
      <c r="E309" s="3" t="s">
        <v>15559</v>
      </c>
      <c r="F309" s="3" t="s">
        <v>15575</v>
      </c>
      <c r="G309" s="3">
        <v>3076373771</v>
      </c>
    </row>
    <row r="310" spans="1:7" x14ac:dyDescent="0.45">
      <c r="A310" s="3">
        <v>6431</v>
      </c>
      <c r="B310" s="3" t="s">
        <v>14643</v>
      </c>
      <c r="C310" s="3" t="s">
        <v>15576</v>
      </c>
      <c r="D310" s="3" t="s">
        <v>15577</v>
      </c>
      <c r="E310" s="3" t="s">
        <v>15162</v>
      </c>
      <c r="F310" s="3" t="s">
        <v>15578</v>
      </c>
      <c r="G310" s="3">
        <v>6077392883</v>
      </c>
    </row>
    <row r="311" spans="1:7" x14ac:dyDescent="0.45">
      <c r="A311" s="3">
        <v>6432</v>
      </c>
      <c r="B311" s="3" t="s">
        <v>14643</v>
      </c>
      <c r="C311" s="3" t="s">
        <v>15579</v>
      </c>
      <c r="D311" s="3" t="s">
        <v>15580</v>
      </c>
      <c r="E311" s="3" t="s">
        <v>14851</v>
      </c>
      <c r="F311" s="3" t="s">
        <v>15581</v>
      </c>
      <c r="G311" s="3">
        <v>7122333133</v>
      </c>
    </row>
    <row r="312" spans="1:7" x14ac:dyDescent="0.45">
      <c r="A312" s="3">
        <v>6433</v>
      </c>
      <c r="B312" s="3" t="s">
        <v>14643</v>
      </c>
      <c r="C312" s="3" t="s">
        <v>15582</v>
      </c>
      <c r="D312" s="3" t="s">
        <v>15583</v>
      </c>
      <c r="E312" s="3" t="s">
        <v>14662</v>
      </c>
      <c r="F312" s="3" t="s">
        <v>15584</v>
      </c>
      <c r="G312" s="3">
        <v>7074490290</v>
      </c>
    </row>
    <row r="313" spans="1:7" x14ac:dyDescent="0.45">
      <c r="A313" s="3">
        <v>6434</v>
      </c>
      <c r="B313" s="3" t="s">
        <v>14643</v>
      </c>
      <c r="C313" s="3" t="s">
        <v>15585</v>
      </c>
      <c r="D313" s="3" t="s">
        <v>15586</v>
      </c>
      <c r="E313" s="3" t="s">
        <v>14788</v>
      </c>
      <c r="F313" s="3" t="s">
        <v>15587</v>
      </c>
      <c r="G313" s="3">
        <v>3016042060</v>
      </c>
    </row>
    <row r="314" spans="1:7" x14ac:dyDescent="0.45">
      <c r="A314" s="3">
        <v>6435</v>
      </c>
      <c r="B314" s="3" t="s">
        <v>14643</v>
      </c>
      <c r="C314" s="3" t="s">
        <v>15588</v>
      </c>
      <c r="D314" s="3" t="s">
        <v>15589</v>
      </c>
      <c r="E314" s="3" t="s">
        <v>14698</v>
      </c>
      <c r="F314" s="3" t="s">
        <v>15590</v>
      </c>
      <c r="G314" s="3">
        <v>2057508559</v>
      </c>
    </row>
    <row r="315" spans="1:7" x14ac:dyDescent="0.45">
      <c r="A315" s="3">
        <v>6436</v>
      </c>
      <c r="B315" s="3" t="s">
        <v>14643</v>
      </c>
      <c r="C315" s="3" t="s">
        <v>15591</v>
      </c>
      <c r="D315" s="3" t="s">
        <v>15592</v>
      </c>
      <c r="E315" s="3" t="s">
        <v>14935</v>
      </c>
      <c r="F315" s="3" t="s">
        <v>15593</v>
      </c>
      <c r="G315" s="3">
        <v>6087811670</v>
      </c>
    </row>
    <row r="316" spans="1:7" x14ac:dyDescent="0.45">
      <c r="A316" s="3">
        <v>6437</v>
      </c>
      <c r="B316" s="3" t="s">
        <v>14643</v>
      </c>
      <c r="C316" s="3" t="s">
        <v>15594</v>
      </c>
      <c r="D316" s="3" t="s">
        <v>14832</v>
      </c>
      <c r="E316" s="3" t="s">
        <v>14952</v>
      </c>
      <c r="F316" s="3" t="s">
        <v>15595</v>
      </c>
      <c r="G316" s="3">
        <v>8123310003</v>
      </c>
    </row>
    <row r="317" spans="1:7" ht="28.5" x14ac:dyDescent="0.45">
      <c r="A317" s="3">
        <v>6439</v>
      </c>
      <c r="B317" s="3" t="s">
        <v>14643</v>
      </c>
      <c r="C317" s="3" t="s">
        <v>15596</v>
      </c>
      <c r="D317" s="3" t="s">
        <v>15597</v>
      </c>
      <c r="E317" s="3" t="s">
        <v>14654</v>
      </c>
      <c r="F317" s="3" t="s">
        <v>15598</v>
      </c>
      <c r="G317" s="3">
        <v>4325509191</v>
      </c>
    </row>
    <row r="318" spans="1:7" x14ac:dyDescent="0.45">
      <c r="A318" s="3">
        <v>6440</v>
      </c>
      <c r="B318" s="3" t="s">
        <v>14643</v>
      </c>
      <c r="C318" s="3" t="s">
        <v>15599</v>
      </c>
      <c r="D318" s="3" t="s">
        <v>15600</v>
      </c>
      <c r="E318" s="3" t="s">
        <v>15162</v>
      </c>
      <c r="F318" s="3" t="s">
        <v>15601</v>
      </c>
      <c r="G318" s="3">
        <v>5187831481</v>
      </c>
    </row>
    <row r="319" spans="1:7" x14ac:dyDescent="0.45">
      <c r="A319" s="3">
        <v>6441</v>
      </c>
      <c r="B319" s="3" t="s">
        <v>14643</v>
      </c>
      <c r="C319" s="3" t="s">
        <v>15602</v>
      </c>
      <c r="D319" s="3" t="s">
        <v>14844</v>
      </c>
      <c r="E319" s="3" t="s">
        <v>14792</v>
      </c>
      <c r="F319" s="3" t="s">
        <v>15603</v>
      </c>
      <c r="G319" s="3">
        <v>8638532654</v>
      </c>
    </row>
    <row r="320" spans="1:7" x14ac:dyDescent="0.45">
      <c r="A320" s="3">
        <v>6443</v>
      </c>
      <c r="B320" s="3" t="s">
        <v>14643</v>
      </c>
      <c r="C320" s="3" t="s">
        <v>15604</v>
      </c>
      <c r="D320" s="3" t="s">
        <v>15605</v>
      </c>
      <c r="E320" s="3" t="s">
        <v>14855</v>
      </c>
      <c r="F320" s="3" t="s">
        <v>15606</v>
      </c>
      <c r="G320" s="3">
        <v>9197789775</v>
      </c>
    </row>
    <row r="321" spans="1:7" x14ac:dyDescent="0.45">
      <c r="A321" s="3">
        <v>6444</v>
      </c>
      <c r="B321" s="3" t="s">
        <v>14643</v>
      </c>
      <c r="C321" s="3" t="s">
        <v>15607</v>
      </c>
      <c r="D321" s="3" t="s">
        <v>15608</v>
      </c>
      <c r="E321" s="3" t="s">
        <v>14886</v>
      </c>
      <c r="F321" s="3" t="s">
        <v>15609</v>
      </c>
      <c r="G321" s="3">
        <v>8474919000</v>
      </c>
    </row>
    <row r="322" spans="1:7" x14ac:dyDescent="0.45">
      <c r="A322" s="3">
        <v>6445</v>
      </c>
      <c r="B322" s="3" t="s">
        <v>14643</v>
      </c>
      <c r="C322" s="3" t="s">
        <v>15610</v>
      </c>
      <c r="D322" s="3" t="s">
        <v>15611</v>
      </c>
      <c r="E322" s="3" t="s">
        <v>14792</v>
      </c>
      <c r="F322" s="3" t="s">
        <v>15612</v>
      </c>
      <c r="G322" s="3">
        <v>9412555556</v>
      </c>
    </row>
    <row r="323" spans="1:7" x14ac:dyDescent="0.45">
      <c r="A323" s="3">
        <v>6448</v>
      </c>
      <c r="B323" s="3" t="s">
        <v>14643</v>
      </c>
      <c r="C323" s="3" t="s">
        <v>15613</v>
      </c>
      <c r="D323" s="3" t="s">
        <v>15614</v>
      </c>
      <c r="E323" s="3" t="s">
        <v>14792</v>
      </c>
      <c r="F323" s="3" t="s">
        <v>15615</v>
      </c>
      <c r="G323" s="3">
        <v>7278467300</v>
      </c>
    </row>
    <row r="324" spans="1:7" x14ac:dyDescent="0.45">
      <c r="A324" s="3">
        <v>6449</v>
      </c>
      <c r="B324" s="3" t="s">
        <v>14643</v>
      </c>
      <c r="C324" s="3" t="s">
        <v>15616</v>
      </c>
      <c r="D324" s="3" t="s">
        <v>15617</v>
      </c>
      <c r="E324" s="3" t="s">
        <v>14702</v>
      </c>
      <c r="F324" s="3" t="s">
        <v>15618</v>
      </c>
      <c r="G324" s="3">
        <v>2704446500</v>
      </c>
    </row>
    <row r="325" spans="1:7" x14ac:dyDescent="0.45">
      <c r="A325" s="3">
        <v>6450</v>
      </c>
      <c r="B325" s="3" t="s">
        <v>14643</v>
      </c>
      <c r="C325" s="3" t="s">
        <v>15619</v>
      </c>
      <c r="D325" s="3" t="s">
        <v>15620</v>
      </c>
      <c r="E325" s="3" t="s">
        <v>14756</v>
      </c>
      <c r="F325" s="3" t="s">
        <v>15621</v>
      </c>
      <c r="G325" s="3">
        <v>5136610800</v>
      </c>
    </row>
    <row r="326" spans="1:7" x14ac:dyDescent="0.45">
      <c r="A326" s="3">
        <v>6452</v>
      </c>
      <c r="B326" s="3" t="s">
        <v>14643</v>
      </c>
      <c r="C326" s="3" t="s">
        <v>15622</v>
      </c>
      <c r="D326" s="3" t="s">
        <v>15623</v>
      </c>
      <c r="E326" s="3" t="s">
        <v>14855</v>
      </c>
      <c r="F326" s="3" t="s">
        <v>15624</v>
      </c>
      <c r="G326" s="3">
        <v>8282519791</v>
      </c>
    </row>
    <row r="327" spans="1:7" x14ac:dyDescent="0.45">
      <c r="A327" s="3">
        <v>6453</v>
      </c>
      <c r="B327" s="3" t="s">
        <v>14643</v>
      </c>
      <c r="C327" s="3" t="s">
        <v>15625</v>
      </c>
      <c r="D327" s="3" t="s">
        <v>14689</v>
      </c>
      <c r="E327" s="3" t="s">
        <v>14654</v>
      </c>
      <c r="F327" s="3" t="s">
        <v>15626</v>
      </c>
      <c r="G327" s="3">
        <v>5123438262</v>
      </c>
    </row>
    <row r="328" spans="1:7" x14ac:dyDescent="0.45">
      <c r="A328" s="3">
        <v>6454</v>
      </c>
      <c r="B328" s="3" t="s">
        <v>14643</v>
      </c>
      <c r="C328" s="3" t="s">
        <v>15627</v>
      </c>
      <c r="D328" s="3" t="s">
        <v>15628</v>
      </c>
      <c r="E328" s="3" t="s">
        <v>14808</v>
      </c>
      <c r="F328" s="3" t="s">
        <v>15629</v>
      </c>
      <c r="G328" s="3">
        <v>2483541108</v>
      </c>
    </row>
    <row r="329" spans="1:7" x14ac:dyDescent="0.45">
      <c r="A329" s="3">
        <v>6455</v>
      </c>
      <c r="B329" s="3" t="s">
        <v>14643</v>
      </c>
      <c r="C329" s="3" t="s">
        <v>15630</v>
      </c>
      <c r="D329" s="3" t="s">
        <v>15631</v>
      </c>
      <c r="E329" s="3" t="s">
        <v>14662</v>
      </c>
      <c r="F329" s="3" t="s">
        <v>15632</v>
      </c>
      <c r="G329" s="3">
        <v>8059832442</v>
      </c>
    </row>
    <row r="330" spans="1:7" x14ac:dyDescent="0.45">
      <c r="A330" s="3">
        <v>6456</v>
      </c>
      <c r="B330" s="3" t="s">
        <v>14643</v>
      </c>
      <c r="C330" s="3" t="s">
        <v>15633</v>
      </c>
      <c r="D330" s="3" t="s">
        <v>15634</v>
      </c>
      <c r="E330" s="3" t="s">
        <v>15162</v>
      </c>
      <c r="F330" s="3" t="s">
        <v>15635</v>
      </c>
      <c r="G330" s="3">
        <v>5185667769</v>
      </c>
    </row>
    <row r="331" spans="1:7" x14ac:dyDescent="0.45">
      <c r="A331" s="3">
        <v>6457</v>
      </c>
      <c r="B331" s="3" t="s">
        <v>14643</v>
      </c>
      <c r="C331" s="3" t="s">
        <v>15636</v>
      </c>
      <c r="D331" s="3" t="s">
        <v>15637</v>
      </c>
      <c r="E331" s="3" t="s">
        <v>14973</v>
      </c>
      <c r="F331" s="3" t="s">
        <v>15638</v>
      </c>
      <c r="G331" s="3">
        <v>3047461700</v>
      </c>
    </row>
    <row r="332" spans="1:7" x14ac:dyDescent="0.45">
      <c r="A332" s="3">
        <v>6458</v>
      </c>
      <c r="B332" s="3" t="s">
        <v>14643</v>
      </c>
      <c r="C332" s="3" t="s">
        <v>15639</v>
      </c>
      <c r="D332" s="3" t="s">
        <v>15640</v>
      </c>
      <c r="E332" s="3" t="s">
        <v>14673</v>
      </c>
      <c r="F332" s="3" t="s">
        <v>15641</v>
      </c>
      <c r="G332" s="3">
        <v>4342375234</v>
      </c>
    </row>
    <row r="333" spans="1:7" x14ac:dyDescent="0.45">
      <c r="A333" s="3">
        <v>6460</v>
      </c>
      <c r="B333" s="3" t="s">
        <v>14643</v>
      </c>
      <c r="C333" s="3" t="s">
        <v>15642</v>
      </c>
      <c r="D333" s="3" t="s">
        <v>15643</v>
      </c>
      <c r="E333" s="3" t="s">
        <v>14945</v>
      </c>
      <c r="F333" s="3" t="s">
        <v>15644</v>
      </c>
      <c r="G333" s="3">
        <v>8149498950</v>
      </c>
    </row>
    <row r="334" spans="1:7" x14ac:dyDescent="0.45">
      <c r="A334" s="3">
        <v>6461</v>
      </c>
      <c r="B334" s="3" t="s">
        <v>14643</v>
      </c>
      <c r="C334" s="3" t="s">
        <v>15645</v>
      </c>
      <c r="D334" s="3" t="s">
        <v>15646</v>
      </c>
      <c r="E334" s="3" t="s">
        <v>14996</v>
      </c>
      <c r="F334" s="3" t="s">
        <v>15647</v>
      </c>
      <c r="G334" s="3">
        <v>3083840622</v>
      </c>
    </row>
    <row r="335" spans="1:7" x14ac:dyDescent="0.45">
      <c r="A335" s="3">
        <v>6462</v>
      </c>
      <c r="B335" s="3" t="s">
        <v>14643</v>
      </c>
      <c r="C335" s="3" t="s">
        <v>15648</v>
      </c>
      <c r="D335" s="3" t="s">
        <v>15649</v>
      </c>
      <c r="E335" s="3" t="s">
        <v>15347</v>
      </c>
      <c r="F335" s="3" t="s">
        <v>15650</v>
      </c>
      <c r="G335" s="3">
        <v>2076232757</v>
      </c>
    </row>
    <row r="336" spans="1:7" x14ac:dyDescent="0.45">
      <c r="A336" s="3">
        <v>6463</v>
      </c>
      <c r="B336" s="3" t="s">
        <v>14643</v>
      </c>
      <c r="C336" s="3" t="s">
        <v>15651</v>
      </c>
      <c r="D336" s="3" t="s">
        <v>15652</v>
      </c>
      <c r="E336" s="3" t="s">
        <v>14992</v>
      </c>
      <c r="F336" s="3" t="s">
        <v>15653</v>
      </c>
      <c r="G336" s="3">
        <v>8642617609</v>
      </c>
    </row>
    <row r="337" spans="1:7" x14ac:dyDescent="0.45">
      <c r="A337" s="3">
        <v>6464</v>
      </c>
      <c r="B337" s="3" t="s">
        <v>14643</v>
      </c>
      <c r="C337" s="3" t="s">
        <v>15654</v>
      </c>
      <c r="D337" s="3" t="s">
        <v>15655</v>
      </c>
      <c r="E337" s="3" t="s">
        <v>14886</v>
      </c>
      <c r="F337" s="3" t="s">
        <v>15656</v>
      </c>
      <c r="G337" s="3">
        <v>8472965050</v>
      </c>
    </row>
    <row r="338" spans="1:7" x14ac:dyDescent="0.45">
      <c r="A338" s="3">
        <v>6471</v>
      </c>
      <c r="B338" s="3" t="s">
        <v>14643</v>
      </c>
      <c r="C338" s="3" t="s">
        <v>15657</v>
      </c>
      <c r="D338" s="3" t="s">
        <v>15658</v>
      </c>
      <c r="E338" s="3" t="s">
        <v>14654</v>
      </c>
      <c r="F338" s="3" t="s">
        <v>15659</v>
      </c>
      <c r="G338" s="3">
        <v>3615720043</v>
      </c>
    </row>
    <row r="339" spans="1:7" x14ac:dyDescent="0.45">
      <c r="A339" s="3">
        <v>6472</v>
      </c>
      <c r="B339" s="3" t="s">
        <v>14643</v>
      </c>
      <c r="C339" s="3" t="s">
        <v>15660</v>
      </c>
      <c r="D339" s="3" t="s">
        <v>15661</v>
      </c>
      <c r="E339" s="3" t="s">
        <v>14851</v>
      </c>
      <c r="F339" s="3" t="s">
        <v>15662</v>
      </c>
      <c r="G339" s="3">
        <v>7123660130</v>
      </c>
    </row>
    <row r="340" spans="1:7" ht="28.5" x14ac:dyDescent="0.45">
      <c r="A340" s="3">
        <v>6474</v>
      </c>
      <c r="B340" s="3" t="s">
        <v>14643</v>
      </c>
      <c r="C340" s="3" t="s">
        <v>15663</v>
      </c>
      <c r="D340" s="3" t="s">
        <v>15664</v>
      </c>
      <c r="E340" s="3" t="s">
        <v>14738</v>
      </c>
      <c r="F340" s="3" t="s">
        <v>15665</v>
      </c>
      <c r="G340" s="3">
        <v>3146447791</v>
      </c>
    </row>
    <row r="341" spans="1:7" x14ac:dyDescent="0.45">
      <c r="A341" s="3">
        <v>6479</v>
      </c>
      <c r="B341" s="3" t="s">
        <v>14643</v>
      </c>
      <c r="C341" s="3" t="s">
        <v>15666</v>
      </c>
      <c r="D341" s="3" t="s">
        <v>15667</v>
      </c>
      <c r="E341" s="3" t="s">
        <v>14738</v>
      </c>
      <c r="F341" s="3" t="s">
        <v>15668</v>
      </c>
      <c r="G341" s="3">
        <v>5733348484</v>
      </c>
    </row>
    <row r="342" spans="1:7" x14ac:dyDescent="0.45">
      <c r="A342" s="3">
        <v>6482</v>
      </c>
      <c r="B342" s="3" t="s">
        <v>14643</v>
      </c>
      <c r="C342" s="3" t="s">
        <v>15669</v>
      </c>
      <c r="D342" s="3" t="s">
        <v>15045</v>
      </c>
      <c r="E342" s="3" t="s">
        <v>14654</v>
      </c>
      <c r="F342" s="3" t="s">
        <v>15670</v>
      </c>
      <c r="G342" s="3">
        <v>2143202824</v>
      </c>
    </row>
    <row r="343" spans="1:7" x14ac:dyDescent="0.45">
      <c r="A343" s="3">
        <v>6485</v>
      </c>
      <c r="B343" s="3" t="s">
        <v>14643</v>
      </c>
      <c r="C343" s="3" t="s">
        <v>15671</v>
      </c>
      <c r="D343" s="3" t="s">
        <v>15672</v>
      </c>
      <c r="E343" s="3" t="s">
        <v>14886</v>
      </c>
      <c r="F343" s="3" t="s">
        <v>15673</v>
      </c>
      <c r="G343" s="3">
        <v>7084296069</v>
      </c>
    </row>
    <row r="344" spans="1:7" x14ac:dyDescent="0.45">
      <c r="A344" s="3">
        <v>6487</v>
      </c>
      <c r="B344" s="3" t="s">
        <v>14643</v>
      </c>
      <c r="C344" s="3" t="s">
        <v>15674</v>
      </c>
      <c r="D344" s="3" t="s">
        <v>15675</v>
      </c>
      <c r="E344" s="3" t="s">
        <v>14886</v>
      </c>
      <c r="F344" s="3" t="s">
        <v>15676</v>
      </c>
      <c r="G344" s="3">
        <v>6309327770</v>
      </c>
    </row>
    <row r="345" spans="1:7" x14ac:dyDescent="0.45">
      <c r="A345" s="3">
        <v>6489</v>
      </c>
      <c r="B345" s="3" t="s">
        <v>14643</v>
      </c>
      <c r="C345" s="3" t="s">
        <v>15677</v>
      </c>
      <c r="D345" s="3" t="s">
        <v>15678</v>
      </c>
      <c r="E345" s="3" t="s">
        <v>14886</v>
      </c>
      <c r="F345" s="3" t="s">
        <v>15679</v>
      </c>
      <c r="G345" s="3">
        <v>7088321794</v>
      </c>
    </row>
    <row r="346" spans="1:7" x14ac:dyDescent="0.45">
      <c r="A346" s="3">
        <v>6501</v>
      </c>
      <c r="B346" s="3" t="s">
        <v>14643</v>
      </c>
      <c r="C346" s="3" t="s">
        <v>15680</v>
      </c>
      <c r="D346" s="3" t="s">
        <v>15681</v>
      </c>
      <c r="E346" s="3" t="s">
        <v>15052</v>
      </c>
      <c r="F346" s="3" t="s">
        <v>15682</v>
      </c>
      <c r="G346" s="3">
        <v>6158954246</v>
      </c>
    </row>
    <row r="347" spans="1:7" x14ac:dyDescent="0.45">
      <c r="A347" s="3">
        <v>6502</v>
      </c>
      <c r="B347" s="3" t="s">
        <v>14643</v>
      </c>
      <c r="C347" s="3" t="s">
        <v>15683</v>
      </c>
      <c r="D347" s="3" t="s">
        <v>15222</v>
      </c>
      <c r="E347" s="3" t="s">
        <v>14654</v>
      </c>
      <c r="F347" s="3" t="s">
        <v>15684</v>
      </c>
      <c r="G347" s="3">
        <v>9157710004</v>
      </c>
    </row>
    <row r="348" spans="1:7" x14ac:dyDescent="0.45">
      <c r="A348" s="3">
        <v>6503</v>
      </c>
      <c r="B348" s="3" t="s">
        <v>14643</v>
      </c>
      <c r="C348" s="3" t="s">
        <v>15685</v>
      </c>
      <c r="D348" s="3" t="s">
        <v>15686</v>
      </c>
      <c r="E348" s="3" t="s">
        <v>14734</v>
      </c>
      <c r="F348" s="3" t="s">
        <v>15687</v>
      </c>
      <c r="G348" s="3">
        <v>6012612171</v>
      </c>
    </row>
    <row r="349" spans="1:7" x14ac:dyDescent="0.45">
      <c r="A349" s="3">
        <v>6505</v>
      </c>
      <c r="B349" s="3" t="s">
        <v>14643</v>
      </c>
      <c r="C349" s="3" t="s">
        <v>15688</v>
      </c>
      <c r="D349" s="3" t="s">
        <v>15689</v>
      </c>
      <c r="E349" s="3" t="s">
        <v>14738</v>
      </c>
      <c r="F349" s="3" t="s">
        <v>15690</v>
      </c>
      <c r="G349" s="3">
        <v>5734690917</v>
      </c>
    </row>
    <row r="350" spans="1:7" x14ac:dyDescent="0.45">
      <c r="A350" s="3">
        <v>6506</v>
      </c>
      <c r="B350" s="3" t="s">
        <v>14643</v>
      </c>
      <c r="C350" s="3" t="s">
        <v>15691</v>
      </c>
      <c r="D350" s="3" t="s">
        <v>15692</v>
      </c>
      <c r="E350" s="3" t="s">
        <v>14730</v>
      </c>
      <c r="F350" s="3" t="s">
        <v>15693</v>
      </c>
      <c r="G350" s="3">
        <v>2298883400</v>
      </c>
    </row>
    <row r="351" spans="1:7" x14ac:dyDescent="0.45">
      <c r="A351" s="3">
        <v>6507</v>
      </c>
      <c r="B351" s="3" t="s">
        <v>14643</v>
      </c>
      <c r="C351" s="3" t="s">
        <v>15694</v>
      </c>
      <c r="D351" s="3" t="s">
        <v>15695</v>
      </c>
      <c r="E351" s="3" t="s">
        <v>15052</v>
      </c>
      <c r="F351" s="3" t="s">
        <v>15696</v>
      </c>
      <c r="G351" s="3">
        <v>7316686958</v>
      </c>
    </row>
    <row r="352" spans="1:7" x14ac:dyDescent="0.45">
      <c r="A352" s="3">
        <v>6509</v>
      </c>
      <c r="B352" s="3" t="s">
        <v>14643</v>
      </c>
      <c r="C352" s="3" t="s">
        <v>15697</v>
      </c>
      <c r="D352" s="3" t="s">
        <v>15698</v>
      </c>
      <c r="E352" s="3" t="s">
        <v>14730</v>
      </c>
      <c r="F352" s="3" t="s">
        <v>15699</v>
      </c>
      <c r="G352" s="3">
        <v>7062369765</v>
      </c>
    </row>
    <row r="353" spans="1:7" x14ac:dyDescent="0.45">
      <c r="A353" s="3">
        <v>6510</v>
      </c>
      <c r="B353" s="3" t="s">
        <v>14643</v>
      </c>
      <c r="C353" s="3" t="s">
        <v>15700</v>
      </c>
      <c r="D353" s="3" t="s">
        <v>15701</v>
      </c>
      <c r="E353" s="3" t="s">
        <v>14723</v>
      </c>
      <c r="F353" s="3" t="s">
        <v>15702</v>
      </c>
      <c r="G353" s="3">
        <v>5073867600</v>
      </c>
    </row>
    <row r="354" spans="1:7" x14ac:dyDescent="0.45">
      <c r="A354" s="3">
        <v>6512</v>
      </c>
      <c r="B354" s="3" t="s">
        <v>14643</v>
      </c>
      <c r="C354" s="3" t="s">
        <v>15703</v>
      </c>
      <c r="D354" s="3" t="s">
        <v>14951</v>
      </c>
      <c r="E354" s="3" t="s">
        <v>15052</v>
      </c>
      <c r="F354" s="3" t="s">
        <v>15704</v>
      </c>
      <c r="G354" s="3">
        <v>9315520733</v>
      </c>
    </row>
    <row r="355" spans="1:7" x14ac:dyDescent="0.45">
      <c r="A355" s="3">
        <v>6514</v>
      </c>
      <c r="B355" s="3" t="s">
        <v>14643</v>
      </c>
      <c r="C355" s="3" t="s">
        <v>15705</v>
      </c>
      <c r="D355" s="3" t="s">
        <v>15706</v>
      </c>
      <c r="E355" s="3" t="s">
        <v>14851</v>
      </c>
      <c r="F355" s="3" t="s">
        <v>15707</v>
      </c>
      <c r="G355" s="3">
        <v>3192369933</v>
      </c>
    </row>
    <row r="356" spans="1:7" x14ac:dyDescent="0.45">
      <c r="A356" s="3">
        <v>6517</v>
      </c>
      <c r="B356" s="3" t="s">
        <v>14643</v>
      </c>
      <c r="C356" s="3" t="s">
        <v>15708</v>
      </c>
      <c r="D356" s="3" t="s">
        <v>15709</v>
      </c>
      <c r="E356" s="3" t="s">
        <v>14756</v>
      </c>
      <c r="F356" s="3" t="s">
        <v>15710</v>
      </c>
      <c r="G356" s="3">
        <v>9374261511</v>
      </c>
    </row>
    <row r="357" spans="1:7" x14ac:dyDescent="0.45">
      <c r="A357" s="3">
        <v>6518</v>
      </c>
      <c r="B357" s="3" t="s">
        <v>14643</v>
      </c>
      <c r="C357" s="3" t="s">
        <v>15711</v>
      </c>
      <c r="D357" s="3" t="s">
        <v>15712</v>
      </c>
      <c r="E357" s="3" t="s">
        <v>14673</v>
      </c>
      <c r="F357" s="3" t="s">
        <v>15713</v>
      </c>
      <c r="G357" s="3">
        <v>2764667390</v>
      </c>
    </row>
    <row r="358" spans="1:7" x14ac:dyDescent="0.45">
      <c r="A358" s="3">
        <v>6520</v>
      </c>
      <c r="B358" s="3" t="s">
        <v>14643</v>
      </c>
      <c r="C358" s="3" t="s">
        <v>15714</v>
      </c>
      <c r="D358" s="3" t="s">
        <v>15715</v>
      </c>
      <c r="E358" s="3" t="s">
        <v>14792</v>
      </c>
      <c r="F358" s="3" t="s">
        <v>15716</v>
      </c>
      <c r="G358" s="3">
        <v>7729789385</v>
      </c>
    </row>
    <row r="359" spans="1:7" ht="28.5" x14ac:dyDescent="0.45">
      <c r="A359" s="3">
        <v>6521</v>
      </c>
      <c r="B359" s="3" t="s">
        <v>14643</v>
      </c>
      <c r="C359" s="3" t="s">
        <v>15717</v>
      </c>
      <c r="D359" s="3" t="s">
        <v>15718</v>
      </c>
      <c r="E359" s="3" t="s">
        <v>14650</v>
      </c>
      <c r="F359" s="3" t="s">
        <v>15719</v>
      </c>
      <c r="G359" s="3">
        <v>9858513631</v>
      </c>
    </row>
    <row r="360" spans="1:7" x14ac:dyDescent="0.45">
      <c r="A360" s="3">
        <v>6522</v>
      </c>
      <c r="B360" s="3" t="s">
        <v>14643</v>
      </c>
      <c r="C360" s="3" t="s">
        <v>15720</v>
      </c>
      <c r="D360" s="3" t="s">
        <v>15721</v>
      </c>
      <c r="E360" s="3" t="s">
        <v>14662</v>
      </c>
      <c r="F360" s="3" t="s">
        <v>15722</v>
      </c>
      <c r="G360" s="3">
        <v>4245286350</v>
      </c>
    </row>
    <row r="361" spans="1:7" x14ac:dyDescent="0.45">
      <c r="A361" s="3">
        <v>6524</v>
      </c>
      <c r="B361" s="3" t="s">
        <v>14643</v>
      </c>
      <c r="C361" s="3" t="s">
        <v>15723</v>
      </c>
      <c r="D361" s="3" t="s">
        <v>15724</v>
      </c>
      <c r="E361" s="3" t="s">
        <v>14673</v>
      </c>
      <c r="F361" s="3" t="s">
        <v>15725</v>
      </c>
      <c r="G361" s="3">
        <v>8045200508</v>
      </c>
    </row>
    <row r="362" spans="1:7" x14ac:dyDescent="0.45">
      <c r="A362" s="3">
        <v>6527</v>
      </c>
      <c r="B362" s="3" t="s">
        <v>14643</v>
      </c>
      <c r="C362" s="3" t="s">
        <v>15726</v>
      </c>
      <c r="D362" s="3" t="s">
        <v>15727</v>
      </c>
      <c r="E362" s="3" t="s">
        <v>14650</v>
      </c>
      <c r="F362" s="3" t="s">
        <v>15728</v>
      </c>
      <c r="G362" s="3">
        <v>2252951353</v>
      </c>
    </row>
    <row r="363" spans="1:7" x14ac:dyDescent="0.45">
      <c r="A363" s="3">
        <v>6528</v>
      </c>
      <c r="B363" s="3" t="s">
        <v>14643</v>
      </c>
      <c r="C363" s="3" t="s">
        <v>15729</v>
      </c>
      <c r="D363" s="3" t="s">
        <v>15620</v>
      </c>
      <c r="E363" s="3" t="s">
        <v>14756</v>
      </c>
      <c r="F363" s="3" t="s">
        <v>15730</v>
      </c>
      <c r="G363" s="3">
        <v>5137534865</v>
      </c>
    </row>
    <row r="364" spans="1:7" x14ac:dyDescent="0.45">
      <c r="A364" s="3">
        <v>6533</v>
      </c>
      <c r="B364" s="3" t="s">
        <v>14643</v>
      </c>
      <c r="C364" s="3" t="s">
        <v>15731</v>
      </c>
      <c r="D364" s="3" t="s">
        <v>15732</v>
      </c>
      <c r="E364" s="3" t="s">
        <v>14945</v>
      </c>
      <c r="F364" s="3" t="s">
        <v>15733</v>
      </c>
      <c r="G364" s="3">
        <v>8142359404</v>
      </c>
    </row>
    <row r="365" spans="1:7" x14ac:dyDescent="0.45">
      <c r="A365" s="3">
        <v>6535</v>
      </c>
      <c r="B365" s="3" t="s">
        <v>14643</v>
      </c>
      <c r="C365" s="3" t="s">
        <v>15734</v>
      </c>
      <c r="D365" s="3" t="s">
        <v>15735</v>
      </c>
      <c r="E365" s="3" t="s">
        <v>14935</v>
      </c>
      <c r="F365" s="3" t="s">
        <v>15736</v>
      </c>
      <c r="G365" s="3">
        <v>7153590044</v>
      </c>
    </row>
    <row r="366" spans="1:7" x14ac:dyDescent="0.45">
      <c r="A366" s="3">
        <v>6536</v>
      </c>
      <c r="B366" s="3" t="s">
        <v>14643</v>
      </c>
      <c r="C366" s="3" t="s">
        <v>15737</v>
      </c>
      <c r="D366" s="3" t="s">
        <v>15738</v>
      </c>
      <c r="E366" s="3" t="s">
        <v>14945</v>
      </c>
      <c r="F366" s="3" t="s">
        <v>15739</v>
      </c>
      <c r="G366" s="3">
        <v>6102667127</v>
      </c>
    </row>
    <row r="367" spans="1:7" x14ac:dyDescent="0.45">
      <c r="A367" s="3">
        <v>6539</v>
      </c>
      <c r="B367" s="3" t="s">
        <v>14643</v>
      </c>
      <c r="C367" s="3" t="s">
        <v>15740</v>
      </c>
      <c r="D367" s="3" t="s">
        <v>15741</v>
      </c>
      <c r="E367" s="3" t="s">
        <v>15162</v>
      </c>
      <c r="F367" s="3" t="s">
        <v>15742</v>
      </c>
      <c r="G367" s="3">
        <v>3157868602</v>
      </c>
    </row>
    <row r="368" spans="1:7" x14ac:dyDescent="0.45">
      <c r="A368" s="3">
        <v>6540</v>
      </c>
      <c r="B368" s="3" t="s">
        <v>14643</v>
      </c>
      <c r="C368" s="3" t="s">
        <v>15743</v>
      </c>
      <c r="D368" s="3" t="s">
        <v>15744</v>
      </c>
      <c r="E368" s="3" t="s">
        <v>14855</v>
      </c>
      <c r="F368" s="3" t="s">
        <v>15745</v>
      </c>
      <c r="G368" s="3">
        <v>7045930227</v>
      </c>
    </row>
    <row r="369" spans="1:7" x14ac:dyDescent="0.45">
      <c r="A369" s="3">
        <v>6547</v>
      </c>
      <c r="B369" s="3" t="s">
        <v>14643</v>
      </c>
      <c r="C369" s="3" t="s">
        <v>15746</v>
      </c>
      <c r="D369" s="3" t="s">
        <v>15747</v>
      </c>
      <c r="E369" s="3" t="s">
        <v>14945</v>
      </c>
      <c r="F369" s="3" t="s">
        <v>15748</v>
      </c>
      <c r="G369" s="3">
        <v>5705466699</v>
      </c>
    </row>
    <row r="370" spans="1:7" x14ac:dyDescent="0.45">
      <c r="A370" s="3">
        <v>6549</v>
      </c>
      <c r="B370" s="3" t="s">
        <v>14643</v>
      </c>
      <c r="C370" s="3" t="s">
        <v>15749</v>
      </c>
      <c r="D370" s="3" t="s">
        <v>15750</v>
      </c>
      <c r="E370" s="3" t="s">
        <v>14748</v>
      </c>
      <c r="F370" s="3" t="s">
        <v>15751</v>
      </c>
      <c r="G370" s="3">
        <v>7195843028</v>
      </c>
    </row>
    <row r="371" spans="1:7" x14ac:dyDescent="0.45">
      <c r="A371" s="3">
        <v>6556</v>
      </c>
      <c r="B371" s="3" t="s">
        <v>14643</v>
      </c>
      <c r="C371" s="3" t="s">
        <v>15752</v>
      </c>
      <c r="D371" s="3" t="s">
        <v>15753</v>
      </c>
      <c r="E371" s="3" t="s">
        <v>14756</v>
      </c>
      <c r="F371" s="3" t="s">
        <v>15754</v>
      </c>
      <c r="G371" s="3">
        <v>7406950198</v>
      </c>
    </row>
    <row r="372" spans="1:7" x14ac:dyDescent="0.45">
      <c r="A372" s="3">
        <v>6562</v>
      </c>
      <c r="B372" s="3" t="s">
        <v>14643</v>
      </c>
      <c r="C372" s="3" t="s">
        <v>15755</v>
      </c>
      <c r="D372" s="3" t="s">
        <v>15756</v>
      </c>
      <c r="E372" s="3" t="s">
        <v>14808</v>
      </c>
      <c r="F372" s="3" t="s">
        <v>15757</v>
      </c>
      <c r="G372" s="3">
        <v>2317332575</v>
      </c>
    </row>
    <row r="373" spans="1:7" x14ac:dyDescent="0.45">
      <c r="A373" s="3">
        <v>6565</v>
      </c>
      <c r="B373" s="3" t="s">
        <v>14643</v>
      </c>
      <c r="C373" s="3" t="s">
        <v>15758</v>
      </c>
      <c r="D373" s="3" t="s">
        <v>15759</v>
      </c>
      <c r="E373" s="3" t="s">
        <v>15760</v>
      </c>
      <c r="F373" s="3" t="s">
        <v>15761</v>
      </c>
      <c r="G373" s="3">
        <v>6058773051</v>
      </c>
    </row>
    <row r="374" spans="1:7" x14ac:dyDescent="0.45">
      <c r="A374" s="3">
        <v>6567</v>
      </c>
      <c r="B374" s="3" t="s">
        <v>14643</v>
      </c>
      <c r="C374" s="3" t="s">
        <v>15762</v>
      </c>
      <c r="D374" s="3" t="s">
        <v>15763</v>
      </c>
      <c r="E374" s="3" t="s">
        <v>14945</v>
      </c>
      <c r="F374" s="3" t="s">
        <v>15764</v>
      </c>
      <c r="G374" s="3">
        <v>6109237350</v>
      </c>
    </row>
    <row r="375" spans="1:7" x14ac:dyDescent="0.45">
      <c r="A375" s="3">
        <v>6568</v>
      </c>
      <c r="B375" s="3" t="s">
        <v>14643</v>
      </c>
      <c r="C375" s="3" t="s">
        <v>15765</v>
      </c>
      <c r="D375" s="3" t="s">
        <v>15766</v>
      </c>
      <c r="E375" s="3" t="s">
        <v>14851</v>
      </c>
      <c r="F375" s="3" t="s">
        <v>15767</v>
      </c>
      <c r="G375" s="3">
        <v>5152339750</v>
      </c>
    </row>
    <row r="376" spans="1:7" x14ac:dyDescent="0.45">
      <c r="A376" s="3">
        <v>6569</v>
      </c>
      <c r="B376" s="3" t="s">
        <v>14643</v>
      </c>
      <c r="C376" s="3" t="s">
        <v>15768</v>
      </c>
      <c r="D376" s="3" t="s">
        <v>15769</v>
      </c>
      <c r="E376" s="3" t="s">
        <v>14673</v>
      </c>
      <c r="F376" s="3" t="s">
        <v>15770</v>
      </c>
      <c r="G376" s="3">
        <v>2763261583</v>
      </c>
    </row>
    <row r="377" spans="1:7" x14ac:dyDescent="0.45">
      <c r="A377" s="3">
        <v>6570</v>
      </c>
      <c r="B377" s="3" t="s">
        <v>14643</v>
      </c>
      <c r="C377" s="3" t="s">
        <v>15771</v>
      </c>
      <c r="D377" s="3" t="s">
        <v>15772</v>
      </c>
      <c r="E377" s="3" t="s">
        <v>14855</v>
      </c>
      <c r="F377" s="3" t="s">
        <v>15773</v>
      </c>
      <c r="G377" s="3">
        <v>9198740112</v>
      </c>
    </row>
    <row r="378" spans="1:7" x14ac:dyDescent="0.45">
      <c r="A378" s="3">
        <v>6571</v>
      </c>
      <c r="B378" s="3" t="s">
        <v>14643</v>
      </c>
      <c r="C378" s="3" t="s">
        <v>15774</v>
      </c>
      <c r="D378" s="3" t="s">
        <v>15775</v>
      </c>
      <c r="E378" s="3" t="s">
        <v>14992</v>
      </c>
      <c r="F378" s="3" t="s">
        <v>15776</v>
      </c>
      <c r="G378" s="3">
        <v>8436622769</v>
      </c>
    </row>
    <row r="379" spans="1:7" x14ac:dyDescent="0.45">
      <c r="A379" s="3">
        <v>6572</v>
      </c>
      <c r="B379" s="3" t="s">
        <v>14643</v>
      </c>
      <c r="C379" s="3" t="s">
        <v>15777</v>
      </c>
      <c r="D379" s="3" t="s">
        <v>15778</v>
      </c>
      <c r="E379" s="3" t="s">
        <v>15052</v>
      </c>
      <c r="F379" s="3" t="s">
        <v>15779</v>
      </c>
      <c r="G379" s="3">
        <v>8656372582</v>
      </c>
    </row>
    <row r="380" spans="1:7" x14ac:dyDescent="0.45">
      <c r="A380" s="3">
        <v>6573</v>
      </c>
      <c r="B380" s="3" t="s">
        <v>14643</v>
      </c>
      <c r="C380" s="3" t="s">
        <v>15780</v>
      </c>
      <c r="D380" s="3" t="s">
        <v>15426</v>
      </c>
      <c r="E380" s="3" t="s">
        <v>14855</v>
      </c>
      <c r="F380" s="3" t="s">
        <v>15781</v>
      </c>
      <c r="G380" s="3">
        <v>9103462148</v>
      </c>
    </row>
    <row r="381" spans="1:7" x14ac:dyDescent="0.45">
      <c r="A381" s="3">
        <v>6575</v>
      </c>
      <c r="B381" s="3" t="s">
        <v>14643</v>
      </c>
      <c r="C381" s="3" t="s">
        <v>15782</v>
      </c>
      <c r="D381" s="3" t="s">
        <v>15783</v>
      </c>
      <c r="E381" s="3" t="s">
        <v>14945</v>
      </c>
      <c r="F381" s="3" t="s">
        <v>15784</v>
      </c>
      <c r="G381" s="3">
        <v>4124944140</v>
      </c>
    </row>
    <row r="382" spans="1:7" ht="28.5" x14ac:dyDescent="0.45">
      <c r="A382" s="3">
        <v>6581</v>
      </c>
      <c r="B382" s="3" t="s">
        <v>14643</v>
      </c>
      <c r="C382" s="3" t="s">
        <v>15785</v>
      </c>
      <c r="D382" s="3" t="s">
        <v>15786</v>
      </c>
      <c r="E382" s="3" t="s">
        <v>14945</v>
      </c>
      <c r="F382" s="3" t="s">
        <v>15787</v>
      </c>
      <c r="G382" s="3">
        <v>5703474847</v>
      </c>
    </row>
    <row r="383" spans="1:7" x14ac:dyDescent="0.45">
      <c r="A383" s="3">
        <v>6582</v>
      </c>
      <c r="B383" s="3" t="s">
        <v>14643</v>
      </c>
      <c r="C383" s="3" t="s">
        <v>15788</v>
      </c>
      <c r="D383" s="3" t="s">
        <v>15789</v>
      </c>
      <c r="E383" s="3" t="s">
        <v>14992</v>
      </c>
      <c r="F383" s="3" t="s">
        <v>15790</v>
      </c>
      <c r="G383" s="3">
        <v>8438371993</v>
      </c>
    </row>
    <row r="384" spans="1:7" x14ac:dyDescent="0.45">
      <c r="A384" s="3">
        <v>6604</v>
      </c>
      <c r="B384" s="3" t="s">
        <v>14643</v>
      </c>
      <c r="C384" s="3" t="s">
        <v>15791</v>
      </c>
      <c r="D384" s="3" t="s">
        <v>15792</v>
      </c>
      <c r="E384" s="3" t="s">
        <v>14716</v>
      </c>
      <c r="F384" s="3" t="s">
        <v>15793</v>
      </c>
      <c r="G384" s="3">
        <v>9287749444</v>
      </c>
    </row>
    <row r="385" spans="1:7" x14ac:dyDescent="0.45">
      <c r="A385" s="3">
        <v>6605</v>
      </c>
      <c r="B385" s="3" t="s">
        <v>14643</v>
      </c>
      <c r="C385" s="3" t="s">
        <v>15794</v>
      </c>
      <c r="D385" s="3" t="s">
        <v>14916</v>
      </c>
      <c r="E385" s="3" t="s">
        <v>14716</v>
      </c>
      <c r="F385" s="3" t="s">
        <v>15795</v>
      </c>
      <c r="G385" s="3">
        <v>4809269006</v>
      </c>
    </row>
    <row r="386" spans="1:7" x14ac:dyDescent="0.45">
      <c r="A386" s="3">
        <v>6606</v>
      </c>
      <c r="B386" s="3" t="s">
        <v>14643</v>
      </c>
      <c r="C386" s="3" t="s">
        <v>15796</v>
      </c>
      <c r="D386" s="3" t="s">
        <v>15797</v>
      </c>
      <c r="E386" s="3" t="s">
        <v>14716</v>
      </c>
      <c r="F386" s="3" t="s">
        <v>15798</v>
      </c>
      <c r="G386" s="3">
        <v>6239368528</v>
      </c>
    </row>
    <row r="387" spans="1:7" x14ac:dyDescent="0.45">
      <c r="A387" s="3">
        <v>6608</v>
      </c>
      <c r="B387" s="3" t="s">
        <v>14643</v>
      </c>
      <c r="C387" s="3" t="s">
        <v>15799</v>
      </c>
      <c r="D387" s="3" t="s">
        <v>15797</v>
      </c>
      <c r="E387" s="3" t="s">
        <v>14716</v>
      </c>
      <c r="F387" s="3" t="s">
        <v>15800</v>
      </c>
      <c r="G387" s="3">
        <v>6024399852</v>
      </c>
    </row>
    <row r="388" spans="1:7" x14ac:dyDescent="0.45">
      <c r="A388" s="3">
        <v>6609</v>
      </c>
      <c r="B388" s="3" t="s">
        <v>14643</v>
      </c>
      <c r="C388" s="3" t="s">
        <v>15801</v>
      </c>
      <c r="D388" s="3" t="s">
        <v>15802</v>
      </c>
      <c r="E388" s="3" t="s">
        <v>14662</v>
      </c>
      <c r="F388" s="3" t="s">
        <v>15803</v>
      </c>
      <c r="G388" s="3">
        <v>7607707146</v>
      </c>
    </row>
    <row r="389" spans="1:7" x14ac:dyDescent="0.45">
      <c r="A389" s="3">
        <v>6610</v>
      </c>
      <c r="B389" s="3" t="s">
        <v>14643</v>
      </c>
      <c r="C389" s="3" t="s">
        <v>15804</v>
      </c>
      <c r="D389" s="3" t="s">
        <v>15805</v>
      </c>
      <c r="E389" s="3" t="s">
        <v>14662</v>
      </c>
      <c r="F389" s="3" t="s">
        <v>15806</v>
      </c>
      <c r="G389" s="3">
        <v>9095486173</v>
      </c>
    </row>
    <row r="390" spans="1:7" x14ac:dyDescent="0.45">
      <c r="A390" s="3">
        <v>6612</v>
      </c>
      <c r="B390" s="3" t="s">
        <v>14643</v>
      </c>
      <c r="C390" s="3" t="s">
        <v>15807</v>
      </c>
      <c r="D390" s="3" t="s">
        <v>15485</v>
      </c>
      <c r="E390" s="3" t="s">
        <v>14662</v>
      </c>
      <c r="F390" s="3" t="s">
        <v>15808</v>
      </c>
      <c r="G390" s="3">
        <v>9256871400</v>
      </c>
    </row>
    <row r="391" spans="1:7" x14ac:dyDescent="0.45">
      <c r="A391" s="3">
        <v>6613</v>
      </c>
      <c r="B391" s="3" t="s">
        <v>14643</v>
      </c>
      <c r="C391" s="3" t="s">
        <v>15809</v>
      </c>
      <c r="D391" s="3" t="s">
        <v>15810</v>
      </c>
      <c r="E391" s="3" t="s">
        <v>14662</v>
      </c>
      <c r="F391" s="3" t="s">
        <v>15811</v>
      </c>
      <c r="G391" s="3">
        <v>5624250662</v>
      </c>
    </row>
    <row r="392" spans="1:7" x14ac:dyDescent="0.45">
      <c r="A392" s="3">
        <v>6614</v>
      </c>
      <c r="B392" s="3" t="s">
        <v>14643</v>
      </c>
      <c r="C392" s="3" t="s">
        <v>15812</v>
      </c>
      <c r="D392" s="3" t="s">
        <v>15813</v>
      </c>
      <c r="E392" s="3" t="s">
        <v>14662</v>
      </c>
      <c r="F392" s="3" t="s">
        <v>15814</v>
      </c>
      <c r="G392" s="3">
        <v>6266526901</v>
      </c>
    </row>
    <row r="393" spans="1:7" x14ac:dyDescent="0.45">
      <c r="A393" s="3">
        <v>6615</v>
      </c>
      <c r="B393" s="3" t="s">
        <v>14643</v>
      </c>
      <c r="C393" s="3" t="s">
        <v>15815</v>
      </c>
      <c r="D393" s="3" t="s">
        <v>15816</v>
      </c>
      <c r="E393" s="3" t="s">
        <v>14662</v>
      </c>
      <c r="F393" s="3" t="s">
        <v>15817</v>
      </c>
      <c r="G393" s="3">
        <v>7149650410</v>
      </c>
    </row>
    <row r="394" spans="1:7" x14ac:dyDescent="0.45">
      <c r="A394" s="3">
        <v>6616</v>
      </c>
      <c r="B394" s="3" t="s">
        <v>14643</v>
      </c>
      <c r="C394" s="3" t="s">
        <v>15818</v>
      </c>
      <c r="D394" s="3" t="s">
        <v>15819</v>
      </c>
      <c r="E394" s="3" t="s">
        <v>14662</v>
      </c>
      <c r="F394" s="3" t="s">
        <v>15820</v>
      </c>
      <c r="G394" s="3">
        <v>7147387755</v>
      </c>
    </row>
    <row r="395" spans="1:7" x14ac:dyDescent="0.45">
      <c r="A395" s="3">
        <v>6617</v>
      </c>
      <c r="B395" s="3" t="s">
        <v>14643</v>
      </c>
      <c r="C395" s="3" t="s">
        <v>15821</v>
      </c>
      <c r="D395" s="3" t="s">
        <v>15721</v>
      </c>
      <c r="E395" s="3" t="s">
        <v>14662</v>
      </c>
      <c r="F395" s="3" t="s">
        <v>15822</v>
      </c>
      <c r="G395" s="3">
        <v>3105320779</v>
      </c>
    </row>
    <row r="396" spans="1:7" x14ac:dyDescent="0.45">
      <c r="A396" s="3">
        <v>6619</v>
      </c>
      <c r="B396" s="3" t="s">
        <v>14643</v>
      </c>
      <c r="C396" s="3" t="s">
        <v>15823</v>
      </c>
      <c r="D396" s="3" t="s">
        <v>15512</v>
      </c>
      <c r="E396" s="3" t="s">
        <v>14662</v>
      </c>
      <c r="F396" s="3" t="s">
        <v>15824</v>
      </c>
      <c r="G396" s="3">
        <v>9094769259</v>
      </c>
    </row>
    <row r="397" spans="1:7" x14ac:dyDescent="0.45">
      <c r="A397" s="3">
        <v>6620</v>
      </c>
      <c r="B397" s="3" t="s">
        <v>14643</v>
      </c>
      <c r="C397" s="3" t="s">
        <v>15825</v>
      </c>
      <c r="D397" s="3" t="s">
        <v>15826</v>
      </c>
      <c r="E397" s="3" t="s">
        <v>14662</v>
      </c>
      <c r="F397" s="3" t="s">
        <v>15827</v>
      </c>
      <c r="G397" s="3">
        <v>9168178965</v>
      </c>
    </row>
    <row r="398" spans="1:7" x14ac:dyDescent="0.45">
      <c r="A398" s="3">
        <v>6621</v>
      </c>
      <c r="B398" s="3" t="s">
        <v>14643</v>
      </c>
      <c r="C398" s="3" t="s">
        <v>15828</v>
      </c>
      <c r="D398" s="3" t="s">
        <v>15829</v>
      </c>
      <c r="E398" s="3" t="s">
        <v>14662</v>
      </c>
      <c r="F398" s="3" t="s">
        <v>15830</v>
      </c>
      <c r="G398" s="3">
        <v>9167818160</v>
      </c>
    </row>
    <row r="399" spans="1:7" x14ac:dyDescent="0.45">
      <c r="A399" s="3">
        <v>6622</v>
      </c>
      <c r="B399" s="3" t="s">
        <v>14643</v>
      </c>
      <c r="C399" s="3" t="s">
        <v>15831</v>
      </c>
      <c r="D399" s="3" t="s">
        <v>15832</v>
      </c>
      <c r="E399" s="3" t="s">
        <v>14662</v>
      </c>
      <c r="F399" s="3" t="s">
        <v>15833</v>
      </c>
      <c r="G399" s="3">
        <v>9166882126</v>
      </c>
    </row>
    <row r="400" spans="1:7" x14ac:dyDescent="0.45">
      <c r="A400" s="3">
        <v>6624</v>
      </c>
      <c r="B400" s="3" t="s">
        <v>14643</v>
      </c>
      <c r="C400" s="3" t="s">
        <v>15834</v>
      </c>
      <c r="D400" s="3" t="s">
        <v>15835</v>
      </c>
      <c r="E400" s="3" t="s">
        <v>14662</v>
      </c>
      <c r="F400" s="3" t="s">
        <v>15836</v>
      </c>
      <c r="G400" s="3">
        <v>9097961505</v>
      </c>
    </row>
    <row r="401" spans="1:7" x14ac:dyDescent="0.45">
      <c r="A401" s="3">
        <v>6626</v>
      </c>
      <c r="B401" s="3" t="s">
        <v>14643</v>
      </c>
      <c r="C401" s="3" t="s">
        <v>15837</v>
      </c>
      <c r="D401" s="3" t="s">
        <v>15838</v>
      </c>
      <c r="E401" s="3" t="s">
        <v>14662</v>
      </c>
      <c r="F401" s="3" t="s">
        <v>15839</v>
      </c>
      <c r="G401" s="3">
        <v>5629281514</v>
      </c>
    </row>
    <row r="402" spans="1:7" x14ac:dyDescent="0.45">
      <c r="A402" s="3">
        <v>6628</v>
      </c>
      <c r="B402" s="3" t="s">
        <v>14643</v>
      </c>
      <c r="C402" s="3" t="s">
        <v>15840</v>
      </c>
      <c r="D402" s="3" t="s">
        <v>15841</v>
      </c>
      <c r="E402" s="3" t="s">
        <v>14662</v>
      </c>
      <c r="F402" s="3" t="s">
        <v>15842</v>
      </c>
      <c r="G402" s="3">
        <v>3105340134</v>
      </c>
    </row>
    <row r="403" spans="1:7" x14ac:dyDescent="0.45">
      <c r="A403" s="3">
        <v>6630</v>
      </c>
      <c r="B403" s="3" t="s">
        <v>14643</v>
      </c>
      <c r="C403" s="3" t="s">
        <v>15843</v>
      </c>
      <c r="D403" s="3" t="s">
        <v>15844</v>
      </c>
      <c r="E403" s="3" t="s">
        <v>14748</v>
      </c>
      <c r="F403" s="3" t="s">
        <v>15845</v>
      </c>
      <c r="G403" s="3">
        <v>3034208401</v>
      </c>
    </row>
    <row r="404" spans="1:7" x14ac:dyDescent="0.45">
      <c r="A404" s="3">
        <v>6631</v>
      </c>
      <c r="B404" s="3" t="s">
        <v>14643</v>
      </c>
      <c r="C404" s="3" t="s">
        <v>15846</v>
      </c>
      <c r="D404" s="3" t="s">
        <v>14889</v>
      </c>
      <c r="E404" s="3" t="s">
        <v>14748</v>
      </c>
      <c r="F404" s="3" t="s">
        <v>15847</v>
      </c>
      <c r="G404" s="3">
        <v>3036951812</v>
      </c>
    </row>
    <row r="405" spans="1:7" x14ac:dyDescent="0.45">
      <c r="A405" s="3">
        <v>6632</v>
      </c>
      <c r="B405" s="3" t="s">
        <v>14643</v>
      </c>
      <c r="C405" s="3" t="s">
        <v>15848</v>
      </c>
      <c r="D405" s="3" t="s">
        <v>14804</v>
      </c>
      <c r="E405" s="3" t="s">
        <v>14748</v>
      </c>
      <c r="F405" s="3" t="s">
        <v>15849</v>
      </c>
      <c r="G405" s="3">
        <v>3037222152</v>
      </c>
    </row>
    <row r="406" spans="1:7" x14ac:dyDescent="0.45">
      <c r="A406" s="3">
        <v>6633</v>
      </c>
      <c r="B406" s="3" t="s">
        <v>14643</v>
      </c>
      <c r="C406" s="3" t="s">
        <v>15850</v>
      </c>
      <c r="D406" s="3" t="s">
        <v>15851</v>
      </c>
      <c r="E406" s="3" t="s">
        <v>14748</v>
      </c>
      <c r="F406" s="3" t="s">
        <v>15852</v>
      </c>
      <c r="G406" s="3">
        <v>9702290797</v>
      </c>
    </row>
    <row r="407" spans="1:7" x14ac:dyDescent="0.45">
      <c r="A407" s="3">
        <v>6634</v>
      </c>
      <c r="B407" s="3" t="s">
        <v>14643</v>
      </c>
      <c r="C407" s="3" t="s">
        <v>15853</v>
      </c>
      <c r="D407" s="3" t="s">
        <v>15854</v>
      </c>
      <c r="E407" s="3" t="s">
        <v>14748</v>
      </c>
      <c r="F407" s="3" t="s">
        <v>15855</v>
      </c>
      <c r="G407" s="3">
        <v>3037993905</v>
      </c>
    </row>
    <row r="408" spans="1:7" x14ac:dyDescent="0.45">
      <c r="A408" s="3">
        <v>6635</v>
      </c>
      <c r="B408" s="3" t="s">
        <v>14643</v>
      </c>
      <c r="C408" s="3" t="s">
        <v>15856</v>
      </c>
      <c r="D408" s="3" t="s">
        <v>15857</v>
      </c>
      <c r="E408" s="3" t="s">
        <v>14748</v>
      </c>
      <c r="F408" s="3" t="s">
        <v>15858</v>
      </c>
      <c r="G408" s="3">
        <v>3039710136</v>
      </c>
    </row>
    <row r="409" spans="1:7" x14ac:dyDescent="0.45">
      <c r="A409" s="3">
        <v>6636</v>
      </c>
      <c r="B409" s="3" t="s">
        <v>14643</v>
      </c>
      <c r="C409" s="3" t="s">
        <v>15859</v>
      </c>
      <c r="D409" s="3" t="s">
        <v>15860</v>
      </c>
      <c r="E409" s="3" t="s">
        <v>15861</v>
      </c>
      <c r="F409" s="3" t="s">
        <v>15862</v>
      </c>
      <c r="G409" s="3">
        <v>8606678809</v>
      </c>
    </row>
    <row r="410" spans="1:7" x14ac:dyDescent="0.45">
      <c r="A410" s="3">
        <v>6637</v>
      </c>
      <c r="B410" s="3" t="s">
        <v>14643</v>
      </c>
      <c r="C410" s="3" t="s">
        <v>15863</v>
      </c>
      <c r="D410" s="3" t="s">
        <v>15864</v>
      </c>
      <c r="E410" s="3" t="s">
        <v>14792</v>
      </c>
      <c r="F410" s="3" t="s">
        <v>15865</v>
      </c>
      <c r="G410" s="3">
        <v>9543453443</v>
      </c>
    </row>
    <row r="411" spans="1:7" x14ac:dyDescent="0.45">
      <c r="A411" s="3">
        <v>6643</v>
      </c>
      <c r="B411" s="3" t="s">
        <v>14643</v>
      </c>
      <c r="C411" s="3" t="s">
        <v>15866</v>
      </c>
      <c r="D411" s="3" t="s">
        <v>15867</v>
      </c>
      <c r="E411" s="3" t="s">
        <v>14730</v>
      </c>
      <c r="F411" s="3" t="s">
        <v>15868</v>
      </c>
      <c r="G411" s="3">
        <v>4043254000</v>
      </c>
    </row>
    <row r="412" spans="1:7" x14ac:dyDescent="0.45">
      <c r="A412" s="3">
        <v>6644</v>
      </c>
      <c r="B412" s="3" t="s">
        <v>14643</v>
      </c>
      <c r="C412" s="3" t="s">
        <v>15869</v>
      </c>
      <c r="D412" s="3" t="s">
        <v>15870</v>
      </c>
      <c r="E412" s="3" t="s">
        <v>14730</v>
      </c>
      <c r="F412" s="3" t="s">
        <v>15871</v>
      </c>
      <c r="G412" s="3">
        <v>7705328884</v>
      </c>
    </row>
    <row r="413" spans="1:7" x14ac:dyDescent="0.45">
      <c r="A413" s="3">
        <v>6646</v>
      </c>
      <c r="B413" s="3" t="s">
        <v>14643</v>
      </c>
      <c r="C413" s="3" t="s">
        <v>15872</v>
      </c>
      <c r="D413" s="3" t="s">
        <v>15873</v>
      </c>
      <c r="E413" s="3" t="s">
        <v>14730</v>
      </c>
      <c r="F413" s="3" t="s">
        <v>15874</v>
      </c>
      <c r="G413" s="3">
        <v>7709924568</v>
      </c>
    </row>
    <row r="414" spans="1:7" x14ac:dyDescent="0.45">
      <c r="A414" s="3">
        <v>6650</v>
      </c>
      <c r="B414" s="3" t="s">
        <v>14643</v>
      </c>
      <c r="C414" s="3" t="s">
        <v>15875</v>
      </c>
      <c r="D414" s="3" t="s">
        <v>15876</v>
      </c>
      <c r="E414" s="3" t="s">
        <v>14788</v>
      </c>
      <c r="F414" s="3" t="s">
        <v>15877</v>
      </c>
      <c r="G414" s="3">
        <v>4106862683</v>
      </c>
    </row>
    <row r="415" spans="1:7" x14ac:dyDescent="0.45">
      <c r="A415" s="3">
        <v>6651</v>
      </c>
      <c r="B415" s="3" t="s">
        <v>14643</v>
      </c>
      <c r="C415" s="3" t="s">
        <v>15878</v>
      </c>
      <c r="D415" s="3" t="s">
        <v>15879</v>
      </c>
      <c r="E415" s="3" t="s">
        <v>14788</v>
      </c>
      <c r="F415" s="3" t="s">
        <v>15880</v>
      </c>
      <c r="G415" s="3">
        <v>4107447174</v>
      </c>
    </row>
    <row r="416" spans="1:7" x14ac:dyDescent="0.45">
      <c r="A416" s="3">
        <v>6652</v>
      </c>
      <c r="B416" s="3" t="s">
        <v>14643</v>
      </c>
      <c r="C416" s="3" t="s">
        <v>15881</v>
      </c>
      <c r="D416" s="3" t="s">
        <v>15882</v>
      </c>
      <c r="E416" s="3" t="s">
        <v>14788</v>
      </c>
      <c r="F416" s="3" t="s">
        <v>15883</v>
      </c>
      <c r="G416" s="3">
        <v>3016981692</v>
      </c>
    </row>
    <row r="417" spans="1:7" x14ac:dyDescent="0.45">
      <c r="A417" s="3">
        <v>6653</v>
      </c>
      <c r="B417" s="3" t="s">
        <v>14643</v>
      </c>
      <c r="C417" s="3" t="s">
        <v>15884</v>
      </c>
      <c r="D417" s="3" t="s">
        <v>15885</v>
      </c>
      <c r="E417" s="3" t="s">
        <v>14788</v>
      </c>
      <c r="F417" s="3" t="s">
        <v>15886</v>
      </c>
      <c r="G417" s="3">
        <v>3012162550</v>
      </c>
    </row>
    <row r="418" spans="1:7" x14ac:dyDescent="0.45">
      <c r="A418" s="3">
        <v>6655</v>
      </c>
      <c r="B418" s="3" t="s">
        <v>14643</v>
      </c>
      <c r="C418" s="3" t="s">
        <v>15887</v>
      </c>
      <c r="D418" s="3" t="s">
        <v>15888</v>
      </c>
      <c r="E418" s="3" t="s">
        <v>14788</v>
      </c>
      <c r="F418" s="3" t="s">
        <v>15889</v>
      </c>
      <c r="G418" s="3">
        <v>3016456116</v>
      </c>
    </row>
    <row r="419" spans="1:7" x14ac:dyDescent="0.45">
      <c r="A419" s="3">
        <v>6657</v>
      </c>
      <c r="B419" s="3" t="s">
        <v>14643</v>
      </c>
      <c r="C419" s="3" t="s">
        <v>15890</v>
      </c>
      <c r="D419" s="3" t="s">
        <v>15891</v>
      </c>
      <c r="E419" s="3" t="s">
        <v>14808</v>
      </c>
      <c r="F419" s="3" t="s">
        <v>15892</v>
      </c>
      <c r="G419" s="3">
        <v>2483493057</v>
      </c>
    </row>
    <row r="420" spans="1:7" x14ac:dyDescent="0.45">
      <c r="A420" s="3">
        <v>6658</v>
      </c>
      <c r="B420" s="3" t="s">
        <v>14643</v>
      </c>
      <c r="C420" s="3" t="s">
        <v>15893</v>
      </c>
      <c r="D420" s="3" t="s">
        <v>15695</v>
      </c>
      <c r="E420" s="3" t="s">
        <v>14808</v>
      </c>
      <c r="F420" s="3" t="s">
        <v>15894</v>
      </c>
      <c r="G420" s="3">
        <v>5177886075</v>
      </c>
    </row>
    <row r="421" spans="1:7" x14ac:dyDescent="0.45">
      <c r="A421" s="3">
        <v>6659</v>
      </c>
      <c r="B421" s="3" t="s">
        <v>14643</v>
      </c>
      <c r="C421" s="3" t="s">
        <v>15895</v>
      </c>
      <c r="D421" s="3" t="s">
        <v>15896</v>
      </c>
      <c r="E421" s="3" t="s">
        <v>14808</v>
      </c>
      <c r="F421" s="3" t="s">
        <v>15897</v>
      </c>
      <c r="G421" s="3">
        <v>2485891208</v>
      </c>
    </row>
    <row r="422" spans="1:7" x14ac:dyDescent="0.45">
      <c r="A422" s="3">
        <v>6660</v>
      </c>
      <c r="B422" s="3" t="s">
        <v>14643</v>
      </c>
      <c r="C422" s="3" t="s">
        <v>15898</v>
      </c>
      <c r="D422" s="3" t="s">
        <v>15899</v>
      </c>
      <c r="E422" s="3" t="s">
        <v>14808</v>
      </c>
      <c r="F422" s="3" t="s">
        <v>15900</v>
      </c>
      <c r="G422" s="3">
        <v>8109845355</v>
      </c>
    </row>
    <row r="423" spans="1:7" x14ac:dyDescent="0.45">
      <c r="A423" s="3">
        <v>6661</v>
      </c>
      <c r="B423" s="3" t="s">
        <v>14643</v>
      </c>
      <c r="C423" s="3" t="s">
        <v>15901</v>
      </c>
      <c r="D423" s="3" t="s">
        <v>15902</v>
      </c>
      <c r="E423" s="3" t="s">
        <v>14808</v>
      </c>
      <c r="F423" s="3" t="s">
        <v>15903</v>
      </c>
      <c r="G423" s="3">
        <v>2693270534</v>
      </c>
    </row>
    <row r="424" spans="1:7" x14ac:dyDescent="0.45">
      <c r="A424" s="3">
        <v>6662</v>
      </c>
      <c r="B424" s="3" t="s">
        <v>14643</v>
      </c>
      <c r="C424" s="3" t="s">
        <v>15904</v>
      </c>
      <c r="D424" s="3" t="s">
        <v>15829</v>
      </c>
      <c r="E424" s="3" t="s">
        <v>14808</v>
      </c>
      <c r="F424" s="3" t="s">
        <v>15905</v>
      </c>
      <c r="G424" s="3">
        <v>5864159987</v>
      </c>
    </row>
    <row r="425" spans="1:7" x14ac:dyDescent="0.45">
      <c r="A425" s="3">
        <v>6663</v>
      </c>
      <c r="B425" s="3" t="s">
        <v>14643</v>
      </c>
      <c r="C425" s="3" t="s">
        <v>15906</v>
      </c>
      <c r="D425" s="3" t="s">
        <v>15907</v>
      </c>
      <c r="E425" s="3" t="s">
        <v>14808</v>
      </c>
      <c r="F425" s="3" t="s">
        <v>15908</v>
      </c>
      <c r="G425" s="3">
        <v>9897900954</v>
      </c>
    </row>
    <row r="426" spans="1:7" x14ac:dyDescent="0.45">
      <c r="A426" s="3">
        <v>6664</v>
      </c>
      <c r="B426" s="3" t="s">
        <v>14643</v>
      </c>
      <c r="C426" s="3" t="s">
        <v>15909</v>
      </c>
      <c r="D426" s="3" t="s">
        <v>15910</v>
      </c>
      <c r="E426" s="3" t="s">
        <v>14808</v>
      </c>
      <c r="F426" s="3" t="s">
        <v>15911</v>
      </c>
      <c r="G426" s="3">
        <v>5867269800</v>
      </c>
    </row>
    <row r="427" spans="1:7" x14ac:dyDescent="0.45">
      <c r="A427" s="3">
        <v>6666</v>
      </c>
      <c r="B427" s="3" t="s">
        <v>14643</v>
      </c>
      <c r="C427" s="3" t="s">
        <v>15912</v>
      </c>
      <c r="D427" s="3" t="s">
        <v>15303</v>
      </c>
      <c r="E427" s="3" t="s">
        <v>14808</v>
      </c>
      <c r="F427" s="3" t="s">
        <v>15913</v>
      </c>
      <c r="G427" s="3">
        <v>7349814460</v>
      </c>
    </row>
    <row r="428" spans="1:7" x14ac:dyDescent="0.45">
      <c r="A428" s="3">
        <v>6667</v>
      </c>
      <c r="B428" s="3" t="s">
        <v>14643</v>
      </c>
      <c r="C428" s="3" t="s">
        <v>15914</v>
      </c>
      <c r="D428" s="3" t="s">
        <v>15915</v>
      </c>
      <c r="E428" s="3" t="s">
        <v>14808</v>
      </c>
      <c r="F428" s="3" t="s">
        <v>15916</v>
      </c>
      <c r="G428" s="3">
        <v>7344341326</v>
      </c>
    </row>
    <row r="429" spans="1:7" ht="28.5" x14ac:dyDescent="0.45">
      <c r="A429" s="3">
        <v>6670</v>
      </c>
      <c r="B429" s="3" t="s">
        <v>14643</v>
      </c>
      <c r="C429" s="3" t="s">
        <v>15917</v>
      </c>
      <c r="D429" s="3" t="s">
        <v>15918</v>
      </c>
      <c r="E429" s="3" t="s">
        <v>14646</v>
      </c>
      <c r="F429" s="3" t="s">
        <v>15919</v>
      </c>
      <c r="G429" s="3">
        <v>8568530219</v>
      </c>
    </row>
    <row r="430" spans="1:7" x14ac:dyDescent="0.45">
      <c r="A430" s="3">
        <v>6671</v>
      </c>
      <c r="B430" s="3" t="s">
        <v>14643</v>
      </c>
      <c r="C430" s="3" t="s">
        <v>15920</v>
      </c>
      <c r="D430" s="3" t="s">
        <v>15921</v>
      </c>
      <c r="E430" s="3" t="s">
        <v>14646</v>
      </c>
      <c r="F430" s="3" t="s">
        <v>15922</v>
      </c>
      <c r="G430" s="3">
        <v>7327803943</v>
      </c>
    </row>
    <row r="431" spans="1:7" x14ac:dyDescent="0.45">
      <c r="A431" s="3">
        <v>6672</v>
      </c>
      <c r="B431" s="3" t="s">
        <v>14643</v>
      </c>
      <c r="C431" s="3" t="s">
        <v>15923</v>
      </c>
      <c r="D431" s="3" t="s">
        <v>14657</v>
      </c>
      <c r="E431" s="3" t="s">
        <v>14658</v>
      </c>
      <c r="F431" s="3" t="s">
        <v>15924</v>
      </c>
      <c r="G431" s="3">
        <v>5052985308</v>
      </c>
    </row>
    <row r="432" spans="1:7" x14ac:dyDescent="0.45">
      <c r="A432" s="3">
        <v>6673</v>
      </c>
      <c r="B432" s="3" t="s">
        <v>14643</v>
      </c>
      <c r="C432" s="3" t="s">
        <v>15925</v>
      </c>
      <c r="D432" s="3" t="s">
        <v>15926</v>
      </c>
      <c r="E432" s="3" t="s">
        <v>15162</v>
      </c>
      <c r="F432" s="3" t="s">
        <v>15927</v>
      </c>
      <c r="G432" s="3">
        <v>7166810402</v>
      </c>
    </row>
    <row r="433" spans="1:7" x14ac:dyDescent="0.45">
      <c r="A433" s="3">
        <v>6674</v>
      </c>
      <c r="B433" s="3" t="s">
        <v>14643</v>
      </c>
      <c r="C433" s="3" t="s">
        <v>15928</v>
      </c>
      <c r="D433" s="3" t="s">
        <v>15929</v>
      </c>
      <c r="E433" s="3" t="s">
        <v>15162</v>
      </c>
      <c r="F433" s="3" t="s">
        <v>15930</v>
      </c>
      <c r="G433" s="3">
        <v>9145920023</v>
      </c>
    </row>
    <row r="434" spans="1:7" x14ac:dyDescent="0.45">
      <c r="A434" s="3">
        <v>6675</v>
      </c>
      <c r="B434" s="3" t="s">
        <v>14643</v>
      </c>
      <c r="C434" s="3" t="s">
        <v>15931</v>
      </c>
      <c r="D434" s="3" t="s">
        <v>15932</v>
      </c>
      <c r="E434" s="3" t="s">
        <v>14945</v>
      </c>
      <c r="F434" s="3" t="s">
        <v>15933</v>
      </c>
      <c r="G434" s="3">
        <v>8148661074</v>
      </c>
    </row>
    <row r="435" spans="1:7" x14ac:dyDescent="0.45">
      <c r="A435" s="3">
        <v>6676</v>
      </c>
      <c r="B435" s="3" t="s">
        <v>14643</v>
      </c>
      <c r="C435" s="3" t="s">
        <v>15934</v>
      </c>
      <c r="D435" s="3" t="s">
        <v>15935</v>
      </c>
      <c r="E435" s="3" t="s">
        <v>14945</v>
      </c>
      <c r="F435" s="3" t="s">
        <v>15936</v>
      </c>
      <c r="G435" s="3">
        <v>2156571837</v>
      </c>
    </row>
    <row r="436" spans="1:7" x14ac:dyDescent="0.45">
      <c r="A436" s="3">
        <v>6677</v>
      </c>
      <c r="B436" s="3" t="s">
        <v>14643</v>
      </c>
      <c r="C436" s="3" t="s">
        <v>15937</v>
      </c>
      <c r="D436" s="3" t="s">
        <v>15938</v>
      </c>
      <c r="E436" s="3" t="s">
        <v>14945</v>
      </c>
      <c r="F436" s="3" t="s">
        <v>15939</v>
      </c>
      <c r="G436" s="3">
        <v>4128567162</v>
      </c>
    </row>
    <row r="437" spans="1:7" x14ac:dyDescent="0.45">
      <c r="A437" s="3">
        <v>6678</v>
      </c>
      <c r="B437" s="3" t="s">
        <v>14643</v>
      </c>
      <c r="C437" s="3" t="s">
        <v>15940</v>
      </c>
      <c r="D437" s="3" t="s">
        <v>15783</v>
      </c>
      <c r="E437" s="3" t="s">
        <v>14945</v>
      </c>
      <c r="F437" s="3" t="s">
        <v>15941</v>
      </c>
      <c r="G437" s="3">
        <v>4123641572</v>
      </c>
    </row>
    <row r="438" spans="1:7" x14ac:dyDescent="0.45">
      <c r="A438" s="3">
        <v>6679</v>
      </c>
      <c r="B438" s="3" t="s">
        <v>14643</v>
      </c>
      <c r="C438" s="3" t="s">
        <v>15942</v>
      </c>
      <c r="D438" s="3" t="s">
        <v>15943</v>
      </c>
      <c r="E438" s="3" t="s">
        <v>14945</v>
      </c>
      <c r="F438" s="3" t="s">
        <v>15944</v>
      </c>
      <c r="G438" s="3">
        <v>4126538622</v>
      </c>
    </row>
    <row r="439" spans="1:7" x14ac:dyDescent="0.45">
      <c r="A439" s="3">
        <v>6682</v>
      </c>
      <c r="B439" s="3" t="s">
        <v>14643</v>
      </c>
      <c r="C439" s="3" t="s">
        <v>15945</v>
      </c>
      <c r="D439" s="3" t="s">
        <v>15946</v>
      </c>
      <c r="E439" s="3" t="s">
        <v>14686</v>
      </c>
      <c r="F439" s="3" t="s">
        <v>15947</v>
      </c>
      <c r="G439" s="3">
        <v>8015465206</v>
      </c>
    </row>
    <row r="440" spans="1:7" x14ac:dyDescent="0.45">
      <c r="A440" s="3">
        <v>6683</v>
      </c>
      <c r="B440" s="3" t="s">
        <v>14643</v>
      </c>
      <c r="C440" s="3" t="s">
        <v>15948</v>
      </c>
      <c r="D440" s="3" t="s">
        <v>15949</v>
      </c>
      <c r="E440" s="3" t="s">
        <v>14686</v>
      </c>
      <c r="F440" s="3" t="s">
        <v>15950</v>
      </c>
      <c r="G440" s="3">
        <v>8012626444</v>
      </c>
    </row>
    <row r="441" spans="1:7" x14ac:dyDescent="0.45">
      <c r="A441" s="3">
        <v>6684</v>
      </c>
      <c r="B441" s="3" t="s">
        <v>14643</v>
      </c>
      <c r="C441" s="3" t="s">
        <v>15951</v>
      </c>
      <c r="D441" s="3" t="s">
        <v>15952</v>
      </c>
      <c r="E441" s="3" t="s">
        <v>14686</v>
      </c>
      <c r="F441" s="3" t="s">
        <v>15953</v>
      </c>
      <c r="G441" s="3">
        <v>8016123465</v>
      </c>
    </row>
    <row r="442" spans="1:7" x14ac:dyDescent="0.45">
      <c r="A442" s="3">
        <v>6685</v>
      </c>
      <c r="B442" s="3" t="s">
        <v>14643</v>
      </c>
      <c r="C442" s="3" t="s">
        <v>15954</v>
      </c>
      <c r="D442" s="3" t="s">
        <v>15955</v>
      </c>
      <c r="E442" s="3" t="s">
        <v>14686</v>
      </c>
      <c r="F442" s="3" t="s">
        <v>15956</v>
      </c>
      <c r="G442" s="3">
        <v>8013749700</v>
      </c>
    </row>
    <row r="443" spans="1:7" x14ac:dyDescent="0.45">
      <c r="A443" s="3">
        <v>6686</v>
      </c>
      <c r="B443" s="3" t="s">
        <v>14643</v>
      </c>
      <c r="C443" s="3" t="s">
        <v>15957</v>
      </c>
      <c r="D443" s="3" t="s">
        <v>15958</v>
      </c>
      <c r="E443" s="3" t="s">
        <v>14686</v>
      </c>
      <c r="F443" s="3" t="s">
        <v>15959</v>
      </c>
      <c r="G443" s="3">
        <v>8014782400</v>
      </c>
    </row>
    <row r="444" spans="1:7" x14ac:dyDescent="0.45">
      <c r="A444" s="3">
        <v>6692</v>
      </c>
      <c r="B444" s="3" t="s">
        <v>14643</v>
      </c>
      <c r="C444" s="3" t="s">
        <v>15960</v>
      </c>
      <c r="D444" s="3" t="s">
        <v>15961</v>
      </c>
      <c r="E444" s="3" t="s">
        <v>14716</v>
      </c>
      <c r="F444" s="3" t="s">
        <v>15962</v>
      </c>
      <c r="G444" s="3">
        <v>5202929789</v>
      </c>
    </row>
    <row r="445" spans="1:7" x14ac:dyDescent="0.45">
      <c r="A445" s="3">
        <v>6693</v>
      </c>
      <c r="B445" s="3" t="s">
        <v>14643</v>
      </c>
      <c r="C445" s="3" t="s">
        <v>15963</v>
      </c>
      <c r="D445" s="3" t="s">
        <v>15964</v>
      </c>
      <c r="E445" s="3" t="s">
        <v>14945</v>
      </c>
      <c r="F445" s="3" t="s">
        <v>15965</v>
      </c>
      <c r="G445" s="3">
        <v>2159496501</v>
      </c>
    </row>
    <row r="446" spans="1:7" ht="28.5" x14ac:dyDescent="0.45">
      <c r="A446" s="3">
        <v>6779</v>
      </c>
      <c r="B446" s="3" t="s">
        <v>14643</v>
      </c>
      <c r="C446" s="3" t="s">
        <v>15966</v>
      </c>
      <c r="D446" s="3" t="s">
        <v>15967</v>
      </c>
      <c r="E446" s="3" t="s">
        <v>14712</v>
      </c>
      <c r="F446" s="3" t="s">
        <v>15968</v>
      </c>
      <c r="G446" s="3">
        <v>4053006019</v>
      </c>
    </row>
    <row r="447" spans="1:7" x14ac:dyDescent="0.45">
      <c r="A447" s="3">
        <v>6781</v>
      </c>
      <c r="B447" s="3" t="s">
        <v>14643</v>
      </c>
      <c r="C447" s="3" t="s">
        <v>15969</v>
      </c>
      <c r="D447" s="3" t="s">
        <v>15970</v>
      </c>
      <c r="E447" s="3" t="s">
        <v>14654</v>
      </c>
      <c r="F447" s="3" t="s">
        <v>15971</v>
      </c>
      <c r="G447" s="3">
        <v>8178986174</v>
      </c>
    </row>
    <row r="448" spans="1:7" x14ac:dyDescent="0.45">
      <c r="A448" s="3">
        <v>6867</v>
      </c>
      <c r="B448" s="3" t="s">
        <v>14643</v>
      </c>
      <c r="C448" s="3" t="s">
        <v>15972</v>
      </c>
      <c r="D448" s="3" t="s">
        <v>15370</v>
      </c>
      <c r="E448" s="3" t="s">
        <v>14654</v>
      </c>
      <c r="F448" s="3" t="s">
        <v>15973</v>
      </c>
      <c r="G448" s="3">
        <v>2812020337</v>
      </c>
    </row>
    <row r="449" spans="1:7" x14ac:dyDescent="0.45">
      <c r="A449" s="3">
        <v>6976</v>
      </c>
      <c r="B449" s="3" t="s">
        <v>14643</v>
      </c>
      <c r="C449" s="3" t="s">
        <v>15974</v>
      </c>
      <c r="D449" s="3" t="s">
        <v>15975</v>
      </c>
      <c r="E449" s="3" t="s">
        <v>14855</v>
      </c>
      <c r="F449" s="3" t="s">
        <v>15976</v>
      </c>
      <c r="G449" s="3">
        <v>9192636134</v>
      </c>
    </row>
    <row r="450" spans="1:7" x14ac:dyDescent="0.45">
      <c r="A450" s="3">
        <v>6979</v>
      </c>
      <c r="B450" s="3" t="s">
        <v>14643</v>
      </c>
      <c r="C450" s="3" t="s">
        <v>15977</v>
      </c>
      <c r="D450" s="3" t="s">
        <v>15978</v>
      </c>
      <c r="E450" s="3" t="s">
        <v>14851</v>
      </c>
      <c r="F450" s="3" t="s">
        <v>15979</v>
      </c>
      <c r="G450" s="3">
        <v>5155591747</v>
      </c>
    </row>
    <row r="451" spans="1:7" x14ac:dyDescent="0.45">
      <c r="A451" s="3">
        <v>7189</v>
      </c>
      <c r="B451" s="3" t="s">
        <v>14643</v>
      </c>
      <c r="C451" s="3" t="s">
        <v>15980</v>
      </c>
      <c r="D451" s="3" t="s">
        <v>14711</v>
      </c>
      <c r="E451" s="3" t="s">
        <v>14712</v>
      </c>
      <c r="F451" s="3" t="s">
        <v>15981</v>
      </c>
      <c r="G451" s="3">
        <v>4052000381</v>
      </c>
    </row>
    <row r="452" spans="1:7" x14ac:dyDescent="0.45">
      <c r="A452" s="3">
        <v>7191</v>
      </c>
      <c r="B452" s="3" t="s">
        <v>14643</v>
      </c>
      <c r="C452" s="3" t="s">
        <v>15982</v>
      </c>
      <c r="D452" s="3" t="s">
        <v>15983</v>
      </c>
      <c r="E452" s="3" t="s">
        <v>14792</v>
      </c>
      <c r="F452" s="3" t="s">
        <v>15984</v>
      </c>
      <c r="G452" s="3">
        <v>7542606077</v>
      </c>
    </row>
    <row r="453" spans="1:7" x14ac:dyDescent="0.45">
      <c r="A453" s="3">
        <v>7658</v>
      </c>
      <c r="B453" s="3" t="s">
        <v>14643</v>
      </c>
      <c r="C453" s="3" t="s">
        <v>15985</v>
      </c>
      <c r="D453" s="3" t="s">
        <v>15986</v>
      </c>
      <c r="E453" s="3" t="s">
        <v>14730</v>
      </c>
      <c r="F453" s="3" t="s">
        <v>15987</v>
      </c>
      <c r="G453" s="3">
        <v>9126026815</v>
      </c>
    </row>
    <row r="454" spans="1:7" x14ac:dyDescent="0.45">
      <c r="A454" s="3">
        <v>7673</v>
      </c>
      <c r="B454" s="3" t="s">
        <v>14643</v>
      </c>
      <c r="C454" s="3" t="s">
        <v>15988</v>
      </c>
      <c r="D454" s="3" t="s">
        <v>15989</v>
      </c>
      <c r="E454" s="3" t="s">
        <v>15052</v>
      </c>
      <c r="F454" s="3" t="s">
        <v>15990</v>
      </c>
      <c r="G454" s="3">
        <v>6159944110</v>
      </c>
    </row>
    <row r="455" spans="1:7" ht="28.5" x14ac:dyDescent="0.45">
      <c r="A455" s="3">
        <v>7676</v>
      </c>
      <c r="B455" s="3" t="s">
        <v>14643</v>
      </c>
      <c r="C455" s="3" t="s">
        <v>15991</v>
      </c>
      <c r="D455" s="3" t="s">
        <v>15992</v>
      </c>
      <c r="E455" s="3" t="s">
        <v>14654</v>
      </c>
      <c r="F455" s="3" t="s">
        <v>15993</v>
      </c>
      <c r="G455" s="3">
        <v>8065136495</v>
      </c>
    </row>
    <row r="456" spans="1:7" x14ac:dyDescent="0.45">
      <c r="A456" s="3">
        <v>7684</v>
      </c>
      <c r="B456" s="3" t="s">
        <v>14643</v>
      </c>
      <c r="C456" s="3" t="s">
        <v>15994</v>
      </c>
      <c r="D456" s="3" t="s">
        <v>15995</v>
      </c>
      <c r="E456" s="3" t="s">
        <v>14662</v>
      </c>
      <c r="F456" s="3" t="s">
        <v>15996</v>
      </c>
      <c r="G456" s="3">
        <v>2093900324</v>
      </c>
    </row>
    <row r="457" spans="1:7" x14ac:dyDescent="0.45">
      <c r="A457" s="3">
        <v>7692</v>
      </c>
      <c r="B457" s="3" t="s">
        <v>14643</v>
      </c>
      <c r="C457" s="3" t="s">
        <v>15997</v>
      </c>
      <c r="D457" s="3" t="s">
        <v>15998</v>
      </c>
      <c r="E457" s="3" t="s">
        <v>14792</v>
      </c>
      <c r="F457" s="3" t="s">
        <v>15999</v>
      </c>
      <c r="G457" s="3">
        <v>0</v>
      </c>
    </row>
    <row r="458" spans="1:7" x14ac:dyDescent="0.45">
      <c r="A458" s="3">
        <v>7718</v>
      </c>
      <c r="B458" s="3" t="s">
        <v>14643</v>
      </c>
      <c r="C458" s="3" t="s">
        <v>16000</v>
      </c>
      <c r="D458" s="3" t="s">
        <v>16001</v>
      </c>
      <c r="E458" s="3" t="s">
        <v>14662</v>
      </c>
      <c r="F458" s="3" t="s">
        <v>16002</v>
      </c>
      <c r="G458" s="3">
        <v>5598392924</v>
      </c>
    </row>
    <row r="459" spans="1:7" x14ac:dyDescent="0.45">
      <c r="A459" s="3">
        <v>7953</v>
      </c>
      <c r="B459" s="3" t="s">
        <v>14643</v>
      </c>
      <c r="C459" s="3" t="s">
        <v>15179</v>
      </c>
      <c r="D459" s="3" t="s">
        <v>15069</v>
      </c>
      <c r="E459" s="3" t="s">
        <v>14752</v>
      </c>
      <c r="F459" s="3" t="s">
        <v>15180</v>
      </c>
      <c r="G459" s="3">
        <v>6502386554</v>
      </c>
    </row>
    <row r="460" spans="1:7" x14ac:dyDescent="0.45">
      <c r="A460" s="3">
        <v>8102</v>
      </c>
      <c r="B460" s="3" t="s">
        <v>14643</v>
      </c>
      <c r="C460" s="3" t="s">
        <v>16003</v>
      </c>
      <c r="D460" s="3" t="s">
        <v>16004</v>
      </c>
      <c r="E460" s="3" t="s">
        <v>14698</v>
      </c>
      <c r="F460" s="3" t="s">
        <v>16005</v>
      </c>
      <c r="G460" s="3">
        <v>2514791346</v>
      </c>
    </row>
    <row r="461" spans="1:7" x14ac:dyDescent="0.45">
      <c r="A461" s="3">
        <v>8104</v>
      </c>
      <c r="B461" s="3" t="s">
        <v>14643</v>
      </c>
      <c r="C461" s="3" t="s">
        <v>16006</v>
      </c>
      <c r="D461" s="3" t="s">
        <v>16007</v>
      </c>
      <c r="E461" s="3" t="s">
        <v>14752</v>
      </c>
      <c r="F461" s="3" t="s">
        <v>16008</v>
      </c>
      <c r="G461" s="3">
        <v>5012277119</v>
      </c>
    </row>
    <row r="462" spans="1:7" x14ac:dyDescent="0.45">
      <c r="A462" s="3">
        <v>8106</v>
      </c>
      <c r="B462" s="3" t="s">
        <v>14643</v>
      </c>
      <c r="C462" s="3" t="s">
        <v>16009</v>
      </c>
      <c r="D462" s="3" t="s">
        <v>15491</v>
      </c>
      <c r="E462" s="3" t="s">
        <v>14698</v>
      </c>
      <c r="F462" s="3" t="s">
        <v>16010</v>
      </c>
      <c r="G462" s="3">
        <v>3342720277</v>
      </c>
    </row>
    <row r="463" spans="1:7" x14ac:dyDescent="0.45">
      <c r="A463" s="3">
        <v>8107</v>
      </c>
      <c r="B463" s="3" t="s">
        <v>14643</v>
      </c>
      <c r="C463" s="3" t="s">
        <v>16011</v>
      </c>
      <c r="D463" s="3" t="s">
        <v>14801</v>
      </c>
      <c r="E463" s="3" t="s">
        <v>14698</v>
      </c>
      <c r="F463" s="3" t="s">
        <v>16012</v>
      </c>
      <c r="G463" s="3">
        <v>2568818186</v>
      </c>
    </row>
    <row r="464" spans="1:7" x14ac:dyDescent="0.45">
      <c r="A464" s="3">
        <v>8111</v>
      </c>
      <c r="B464" s="3" t="s">
        <v>14643</v>
      </c>
      <c r="C464" s="3" t="s">
        <v>16013</v>
      </c>
      <c r="D464" s="3" t="s">
        <v>16014</v>
      </c>
      <c r="E464" s="3" t="s">
        <v>14702</v>
      </c>
      <c r="F464" s="3" t="s">
        <v>16015</v>
      </c>
      <c r="G464" s="3">
        <v>5022670432</v>
      </c>
    </row>
    <row r="465" spans="1:7" x14ac:dyDescent="0.45">
      <c r="A465" s="3">
        <v>8112</v>
      </c>
      <c r="B465" s="3" t="s">
        <v>14643</v>
      </c>
      <c r="C465" s="3" t="s">
        <v>16016</v>
      </c>
      <c r="D465" s="3" t="s">
        <v>16017</v>
      </c>
      <c r="E465" s="3" t="s">
        <v>15052</v>
      </c>
      <c r="F465" s="3" t="s">
        <v>16018</v>
      </c>
      <c r="G465" s="3">
        <v>4239541746</v>
      </c>
    </row>
    <row r="466" spans="1:7" ht="28.5" x14ac:dyDescent="0.45">
      <c r="A466" s="3">
        <v>8114</v>
      </c>
      <c r="B466" s="3" t="s">
        <v>14643</v>
      </c>
      <c r="C466" s="3" t="s">
        <v>16019</v>
      </c>
      <c r="D466" s="3" t="s">
        <v>16020</v>
      </c>
      <c r="E466" s="3" t="s">
        <v>14650</v>
      </c>
      <c r="F466" s="3" t="s">
        <v>16021</v>
      </c>
      <c r="G466" s="3">
        <v>3372160633</v>
      </c>
    </row>
    <row r="467" spans="1:7" x14ac:dyDescent="0.45">
      <c r="A467" s="3">
        <v>8115</v>
      </c>
      <c r="B467" s="3" t="s">
        <v>14643</v>
      </c>
      <c r="C467" s="3" t="s">
        <v>16022</v>
      </c>
      <c r="D467" s="3" t="s">
        <v>15649</v>
      </c>
      <c r="E467" s="3" t="s">
        <v>14730</v>
      </c>
      <c r="F467" s="3" t="s">
        <v>16023</v>
      </c>
      <c r="G467" s="3">
        <v>7068637846</v>
      </c>
    </row>
    <row r="468" spans="1:7" x14ac:dyDescent="0.45">
      <c r="A468" s="3">
        <v>8116</v>
      </c>
      <c r="B468" s="3" t="s">
        <v>14643</v>
      </c>
      <c r="C468" s="3" t="s">
        <v>16024</v>
      </c>
      <c r="D468" s="3" t="s">
        <v>15426</v>
      </c>
      <c r="E468" s="3" t="s">
        <v>14792</v>
      </c>
      <c r="F468" s="3" t="s">
        <v>16025</v>
      </c>
      <c r="G468" s="3">
        <v>9049280017</v>
      </c>
    </row>
    <row r="469" spans="1:7" x14ac:dyDescent="0.45">
      <c r="A469" s="3">
        <v>8117</v>
      </c>
      <c r="B469" s="3" t="s">
        <v>14643</v>
      </c>
      <c r="C469" s="3" t="s">
        <v>16026</v>
      </c>
      <c r="D469" s="3" t="s">
        <v>14711</v>
      </c>
      <c r="E469" s="3" t="s">
        <v>14712</v>
      </c>
      <c r="F469" s="3" t="s">
        <v>16027</v>
      </c>
      <c r="G469" s="3">
        <v>4057487109</v>
      </c>
    </row>
    <row r="470" spans="1:7" x14ac:dyDescent="0.45">
      <c r="A470" s="3">
        <v>8119</v>
      </c>
      <c r="B470" s="3" t="s">
        <v>14643</v>
      </c>
      <c r="C470" s="3" t="s">
        <v>16028</v>
      </c>
      <c r="D470" s="3" t="s">
        <v>16029</v>
      </c>
      <c r="E470" s="3" t="s">
        <v>14792</v>
      </c>
      <c r="F470" s="3" t="s">
        <v>16030</v>
      </c>
      <c r="G470" s="3">
        <v>8504847508</v>
      </c>
    </row>
    <row r="471" spans="1:7" x14ac:dyDescent="0.45">
      <c r="A471" s="3">
        <v>8120</v>
      </c>
      <c r="B471" s="3" t="s">
        <v>14643</v>
      </c>
      <c r="C471" s="3" t="s">
        <v>16031</v>
      </c>
      <c r="D471" s="3" t="s">
        <v>16032</v>
      </c>
      <c r="E471" s="3" t="s">
        <v>14792</v>
      </c>
      <c r="F471" s="3" t="s">
        <v>16033</v>
      </c>
      <c r="G471" s="3">
        <v>8506715959</v>
      </c>
    </row>
    <row r="472" spans="1:7" x14ac:dyDescent="0.45">
      <c r="A472" s="3">
        <v>8123</v>
      </c>
      <c r="B472" s="3" t="s">
        <v>14643</v>
      </c>
      <c r="C472" s="3" t="s">
        <v>16034</v>
      </c>
      <c r="D472" s="3" t="s">
        <v>16035</v>
      </c>
      <c r="E472" s="3" t="s">
        <v>14952</v>
      </c>
      <c r="F472" s="3" t="s">
        <v>16036</v>
      </c>
      <c r="G472" s="3">
        <v>8124732518</v>
      </c>
    </row>
    <row r="473" spans="1:7" x14ac:dyDescent="0.45">
      <c r="A473" s="3">
        <v>8125</v>
      </c>
      <c r="B473" s="3" t="s">
        <v>14643</v>
      </c>
      <c r="C473" s="3" t="s">
        <v>16037</v>
      </c>
      <c r="D473" s="3" t="s">
        <v>14737</v>
      </c>
      <c r="E473" s="3" t="s">
        <v>14738</v>
      </c>
      <c r="F473" s="3" t="s">
        <v>16038</v>
      </c>
      <c r="G473" s="3">
        <v>3145213800</v>
      </c>
    </row>
    <row r="474" spans="1:7" x14ac:dyDescent="0.45">
      <c r="A474" s="3">
        <v>8126</v>
      </c>
      <c r="B474" s="3" t="s">
        <v>14643</v>
      </c>
      <c r="C474" s="3" t="s">
        <v>16039</v>
      </c>
      <c r="D474" s="3" t="s">
        <v>16040</v>
      </c>
      <c r="E474" s="3" t="s">
        <v>14654</v>
      </c>
      <c r="F474" s="3" t="s">
        <v>16041</v>
      </c>
      <c r="G474" s="3">
        <v>9563506917</v>
      </c>
    </row>
    <row r="475" spans="1:7" x14ac:dyDescent="0.45">
      <c r="A475" s="3">
        <v>8128</v>
      </c>
      <c r="B475" s="3" t="s">
        <v>14643</v>
      </c>
      <c r="C475" s="3" t="s">
        <v>16042</v>
      </c>
      <c r="D475" s="3" t="s">
        <v>16043</v>
      </c>
      <c r="E475" s="3" t="s">
        <v>14886</v>
      </c>
      <c r="F475" s="3" t="s">
        <v>16044</v>
      </c>
      <c r="G475" s="3">
        <v>3096914545</v>
      </c>
    </row>
    <row r="476" spans="1:7" x14ac:dyDescent="0.45">
      <c r="A476" s="3">
        <v>8129</v>
      </c>
      <c r="B476" s="3" t="s">
        <v>14643</v>
      </c>
      <c r="C476" s="3" t="s">
        <v>16045</v>
      </c>
      <c r="D476" s="3" t="s">
        <v>16046</v>
      </c>
      <c r="E476" s="3" t="s">
        <v>14855</v>
      </c>
      <c r="F476" s="3" t="s">
        <v>16047</v>
      </c>
      <c r="G476" s="3">
        <v>9103922995</v>
      </c>
    </row>
    <row r="477" spans="1:7" x14ac:dyDescent="0.45">
      <c r="A477" s="3">
        <v>8130</v>
      </c>
      <c r="B477" s="3" t="s">
        <v>14643</v>
      </c>
      <c r="C477" s="3" t="s">
        <v>16048</v>
      </c>
      <c r="D477" s="3" t="s">
        <v>15998</v>
      </c>
      <c r="E477" s="3" t="s">
        <v>14792</v>
      </c>
      <c r="F477" s="3" t="s">
        <v>16049</v>
      </c>
      <c r="G477" s="3">
        <v>2399392442</v>
      </c>
    </row>
    <row r="478" spans="1:7" x14ac:dyDescent="0.45">
      <c r="A478" s="3">
        <v>8132</v>
      </c>
      <c r="B478" s="3" t="s">
        <v>14643</v>
      </c>
      <c r="C478" s="3" t="s">
        <v>16050</v>
      </c>
      <c r="D478" s="3" t="s">
        <v>14877</v>
      </c>
      <c r="E478" s="3" t="s">
        <v>14756</v>
      </c>
      <c r="F478" s="3" t="s">
        <v>16051</v>
      </c>
      <c r="G478" s="3">
        <v>5136712016</v>
      </c>
    </row>
    <row r="479" spans="1:7" x14ac:dyDescent="0.45">
      <c r="A479" s="3">
        <v>8133</v>
      </c>
      <c r="B479" s="3" t="s">
        <v>14643</v>
      </c>
      <c r="C479" s="3" t="s">
        <v>16052</v>
      </c>
      <c r="D479" s="3" t="s">
        <v>15775</v>
      </c>
      <c r="E479" s="3" t="s">
        <v>14702</v>
      </c>
      <c r="F479" s="3" t="s">
        <v>16053</v>
      </c>
      <c r="G479" s="3">
        <v>8592835515</v>
      </c>
    </row>
    <row r="480" spans="1:7" x14ac:dyDescent="0.45">
      <c r="A480" s="3">
        <v>8134</v>
      </c>
      <c r="B480" s="3" t="s">
        <v>14643</v>
      </c>
      <c r="C480" s="3" t="s">
        <v>16054</v>
      </c>
      <c r="D480" s="3" t="s">
        <v>16055</v>
      </c>
      <c r="E480" s="3" t="s">
        <v>14752</v>
      </c>
      <c r="F480" s="3" t="s">
        <v>16056</v>
      </c>
      <c r="G480" s="3">
        <v>4794845454</v>
      </c>
    </row>
    <row r="481" spans="1:7" x14ac:dyDescent="0.45">
      <c r="A481" s="3">
        <v>8135</v>
      </c>
      <c r="B481" s="3" t="s">
        <v>14643</v>
      </c>
      <c r="C481" s="3" t="s">
        <v>16057</v>
      </c>
      <c r="D481" s="3" t="s">
        <v>16058</v>
      </c>
      <c r="E481" s="3" t="s">
        <v>14952</v>
      </c>
      <c r="F481" s="3" t="s">
        <v>16059</v>
      </c>
      <c r="G481" s="3">
        <v>8122355660</v>
      </c>
    </row>
    <row r="482" spans="1:7" ht="28.5" x14ac:dyDescent="0.45">
      <c r="A482" s="3">
        <v>8136</v>
      </c>
      <c r="B482" s="3" t="s">
        <v>14643</v>
      </c>
      <c r="C482" s="3" t="s">
        <v>16060</v>
      </c>
      <c r="D482" s="3" t="s">
        <v>16061</v>
      </c>
      <c r="E482" s="3" t="s">
        <v>14756</v>
      </c>
      <c r="F482" s="3" t="s">
        <v>16062</v>
      </c>
      <c r="G482" s="3">
        <v>9374360299</v>
      </c>
    </row>
    <row r="483" spans="1:7" x14ac:dyDescent="0.45">
      <c r="A483" s="3">
        <v>8138</v>
      </c>
      <c r="B483" s="3" t="s">
        <v>14643</v>
      </c>
      <c r="C483" s="3" t="s">
        <v>16063</v>
      </c>
      <c r="D483" s="3" t="s">
        <v>16064</v>
      </c>
      <c r="E483" s="3" t="s">
        <v>14792</v>
      </c>
      <c r="F483" s="3" t="s">
        <v>16065</v>
      </c>
      <c r="G483" s="3">
        <v>3867603330</v>
      </c>
    </row>
    <row r="484" spans="1:7" x14ac:dyDescent="0.45">
      <c r="A484" s="3">
        <v>8139</v>
      </c>
      <c r="B484" s="3" t="s">
        <v>14643</v>
      </c>
      <c r="C484" s="3" t="s">
        <v>16066</v>
      </c>
      <c r="D484" s="3" t="s">
        <v>15535</v>
      </c>
      <c r="E484" s="3" t="s">
        <v>14756</v>
      </c>
      <c r="F484" s="3" t="s">
        <v>16067</v>
      </c>
      <c r="G484" s="3">
        <v>4198668366</v>
      </c>
    </row>
    <row r="485" spans="1:7" x14ac:dyDescent="0.45">
      <c r="A485" s="3">
        <v>8141</v>
      </c>
      <c r="B485" s="3" t="s">
        <v>14643</v>
      </c>
      <c r="C485" s="3" t="s">
        <v>16068</v>
      </c>
      <c r="D485" s="3" t="s">
        <v>16069</v>
      </c>
      <c r="E485" s="3" t="s">
        <v>14792</v>
      </c>
      <c r="F485" s="3" t="s">
        <v>16070</v>
      </c>
      <c r="G485" s="3">
        <v>3217688190</v>
      </c>
    </row>
    <row r="486" spans="1:7" x14ac:dyDescent="0.45">
      <c r="A486" s="3">
        <v>8142</v>
      </c>
      <c r="B486" s="3" t="s">
        <v>14643</v>
      </c>
      <c r="C486" s="3" t="s">
        <v>16071</v>
      </c>
      <c r="D486" s="3" t="s">
        <v>16072</v>
      </c>
      <c r="E486" s="3" t="s">
        <v>14992</v>
      </c>
      <c r="F486" s="3" t="s">
        <v>16073</v>
      </c>
      <c r="G486" s="3">
        <v>8645743480</v>
      </c>
    </row>
    <row r="487" spans="1:7" x14ac:dyDescent="0.45">
      <c r="A487" s="3">
        <v>8144</v>
      </c>
      <c r="B487" s="3" t="s">
        <v>14643</v>
      </c>
      <c r="C487" s="3" t="s">
        <v>16074</v>
      </c>
      <c r="D487" s="3" t="s">
        <v>16075</v>
      </c>
      <c r="E487" s="3" t="s">
        <v>14646</v>
      </c>
      <c r="F487" s="3" t="s">
        <v>16076</v>
      </c>
      <c r="G487" s="3">
        <v>6094852277</v>
      </c>
    </row>
    <row r="488" spans="1:7" x14ac:dyDescent="0.45">
      <c r="A488" s="3">
        <v>8145</v>
      </c>
      <c r="B488" s="3" t="s">
        <v>14643</v>
      </c>
      <c r="C488" s="3" t="s">
        <v>16077</v>
      </c>
      <c r="D488" s="3" t="s">
        <v>16078</v>
      </c>
      <c r="E488" s="3" t="s">
        <v>14646</v>
      </c>
      <c r="F488" s="3" t="s">
        <v>16079</v>
      </c>
      <c r="G488" s="3">
        <v>8563032192</v>
      </c>
    </row>
    <row r="489" spans="1:7" x14ac:dyDescent="0.45">
      <c r="A489" s="3">
        <v>8146</v>
      </c>
      <c r="B489" s="3" t="s">
        <v>14643</v>
      </c>
      <c r="C489" s="3" t="s">
        <v>16080</v>
      </c>
      <c r="D489" s="3" t="s">
        <v>16081</v>
      </c>
      <c r="E489" s="3" t="s">
        <v>14996</v>
      </c>
      <c r="F489" s="3" t="s">
        <v>16082</v>
      </c>
      <c r="G489" s="3">
        <v>4023341526</v>
      </c>
    </row>
    <row r="490" spans="1:7" x14ac:dyDescent="0.45">
      <c r="A490" s="3">
        <v>8147</v>
      </c>
      <c r="B490" s="3" t="s">
        <v>14643</v>
      </c>
      <c r="C490" s="3" t="s">
        <v>16083</v>
      </c>
      <c r="D490" s="3" t="s">
        <v>16084</v>
      </c>
      <c r="E490" s="3" t="s">
        <v>14748</v>
      </c>
      <c r="F490" s="3" t="s">
        <v>16085</v>
      </c>
      <c r="G490" s="3">
        <v>9706696100</v>
      </c>
    </row>
    <row r="491" spans="1:7" x14ac:dyDescent="0.45">
      <c r="A491" s="3">
        <v>8149</v>
      </c>
      <c r="B491" s="3" t="s">
        <v>14643</v>
      </c>
      <c r="C491" s="3" t="s">
        <v>16086</v>
      </c>
      <c r="D491" s="3" t="s">
        <v>16087</v>
      </c>
      <c r="E491" s="3" t="s">
        <v>14935</v>
      </c>
      <c r="F491" s="3" t="s">
        <v>16088</v>
      </c>
      <c r="G491" s="3">
        <v>9204972112</v>
      </c>
    </row>
    <row r="492" spans="1:7" x14ac:dyDescent="0.45">
      <c r="A492" s="3">
        <v>8150</v>
      </c>
      <c r="B492" s="3" t="s">
        <v>14643</v>
      </c>
      <c r="C492" s="3" t="s">
        <v>16089</v>
      </c>
      <c r="D492" s="3" t="s">
        <v>15108</v>
      </c>
      <c r="E492" s="3" t="s">
        <v>14792</v>
      </c>
      <c r="F492" s="3" t="s">
        <v>16090</v>
      </c>
      <c r="G492" s="3">
        <v>7723353225</v>
      </c>
    </row>
    <row r="493" spans="1:7" x14ac:dyDescent="0.45">
      <c r="A493" s="3">
        <v>8151</v>
      </c>
      <c r="B493" s="3" t="s">
        <v>14643</v>
      </c>
      <c r="C493" s="3" t="s">
        <v>16091</v>
      </c>
      <c r="D493" s="3" t="s">
        <v>16092</v>
      </c>
      <c r="E493" s="3" t="s">
        <v>14792</v>
      </c>
      <c r="F493" s="3" t="s">
        <v>16093</v>
      </c>
      <c r="G493" s="3">
        <v>8507692222</v>
      </c>
    </row>
    <row r="494" spans="1:7" x14ac:dyDescent="0.45">
      <c r="A494" s="3">
        <v>8152</v>
      </c>
      <c r="B494" s="3" t="s">
        <v>14643</v>
      </c>
      <c r="C494" s="3" t="s">
        <v>16094</v>
      </c>
      <c r="D494" s="3" t="s">
        <v>16095</v>
      </c>
      <c r="E494" s="3" t="s">
        <v>14756</v>
      </c>
      <c r="F494" s="3" t="s">
        <v>16096</v>
      </c>
      <c r="G494" s="3">
        <v>7408943296</v>
      </c>
    </row>
    <row r="495" spans="1:7" x14ac:dyDescent="0.45">
      <c r="A495" s="3">
        <v>8153</v>
      </c>
      <c r="B495" s="3" t="s">
        <v>14643</v>
      </c>
      <c r="C495" s="3" t="s">
        <v>16097</v>
      </c>
      <c r="D495" s="3" t="s">
        <v>15222</v>
      </c>
      <c r="E495" s="3" t="s">
        <v>14654</v>
      </c>
      <c r="F495" s="3" t="s">
        <v>16098</v>
      </c>
      <c r="G495" s="3">
        <v>9155852433</v>
      </c>
    </row>
    <row r="496" spans="1:7" x14ac:dyDescent="0.45">
      <c r="A496" s="3">
        <v>8155</v>
      </c>
      <c r="B496" s="3" t="s">
        <v>14643</v>
      </c>
      <c r="C496" s="3" t="s">
        <v>16099</v>
      </c>
      <c r="D496" s="3" t="s">
        <v>16100</v>
      </c>
      <c r="E496" s="3" t="s">
        <v>14792</v>
      </c>
      <c r="F496" s="3" t="s">
        <v>16101</v>
      </c>
      <c r="G496" s="3">
        <v>3523758853</v>
      </c>
    </row>
    <row r="497" spans="1:7" x14ac:dyDescent="0.45">
      <c r="A497" s="3">
        <v>8156</v>
      </c>
      <c r="B497" s="3" t="s">
        <v>14643</v>
      </c>
      <c r="C497" s="3" t="s">
        <v>16102</v>
      </c>
      <c r="D497" s="3" t="s">
        <v>16103</v>
      </c>
      <c r="E497" s="3" t="s">
        <v>14654</v>
      </c>
      <c r="F497" s="3" t="s">
        <v>16104</v>
      </c>
      <c r="G497" s="3">
        <v>9567255300</v>
      </c>
    </row>
    <row r="498" spans="1:7" x14ac:dyDescent="0.45">
      <c r="A498" s="3">
        <v>8157</v>
      </c>
      <c r="B498" s="3" t="s">
        <v>14643</v>
      </c>
      <c r="C498" s="3" t="s">
        <v>16105</v>
      </c>
      <c r="D498" s="3" t="s">
        <v>16106</v>
      </c>
      <c r="E498" s="3" t="s">
        <v>14792</v>
      </c>
      <c r="F498" s="3" t="s">
        <v>16107</v>
      </c>
      <c r="G498" s="3">
        <v>5616870098</v>
      </c>
    </row>
    <row r="499" spans="1:7" x14ac:dyDescent="0.45">
      <c r="A499" s="3">
        <v>8158</v>
      </c>
      <c r="B499" s="3" t="s">
        <v>14643</v>
      </c>
      <c r="C499" s="3" t="s">
        <v>16108</v>
      </c>
      <c r="D499" s="3" t="s">
        <v>16109</v>
      </c>
      <c r="E499" s="3" t="s">
        <v>14730</v>
      </c>
      <c r="F499" s="3" t="s">
        <v>16110</v>
      </c>
      <c r="G499" s="3">
        <v>6784020541</v>
      </c>
    </row>
    <row r="500" spans="1:7" x14ac:dyDescent="0.45">
      <c r="A500" s="3">
        <v>8160</v>
      </c>
      <c r="B500" s="3" t="s">
        <v>14643</v>
      </c>
      <c r="C500" s="3" t="s">
        <v>16111</v>
      </c>
      <c r="D500" s="3" t="s">
        <v>15356</v>
      </c>
      <c r="E500" s="3" t="s">
        <v>14945</v>
      </c>
      <c r="F500" s="3" t="s">
        <v>16112</v>
      </c>
      <c r="G500" s="3">
        <v>6109294321</v>
      </c>
    </row>
    <row r="501" spans="1:7" x14ac:dyDescent="0.45">
      <c r="A501" s="3">
        <v>8161</v>
      </c>
      <c r="B501" s="3" t="s">
        <v>14643</v>
      </c>
      <c r="C501" s="3" t="s">
        <v>16113</v>
      </c>
      <c r="D501" s="3" t="s">
        <v>16114</v>
      </c>
      <c r="E501" s="3" t="s">
        <v>14945</v>
      </c>
      <c r="F501" s="3" t="s">
        <v>16115</v>
      </c>
      <c r="G501" s="3">
        <v>7178400111</v>
      </c>
    </row>
    <row r="502" spans="1:7" x14ac:dyDescent="0.45">
      <c r="A502" s="3">
        <v>8162</v>
      </c>
      <c r="B502" s="3" t="s">
        <v>14643</v>
      </c>
      <c r="C502" s="3" t="s">
        <v>16116</v>
      </c>
      <c r="D502" s="3" t="s">
        <v>16117</v>
      </c>
      <c r="E502" s="3" t="s">
        <v>14851</v>
      </c>
      <c r="F502" s="3" t="s">
        <v>16118</v>
      </c>
      <c r="G502" s="3">
        <v>3193937746</v>
      </c>
    </row>
    <row r="503" spans="1:7" x14ac:dyDescent="0.45">
      <c r="A503" s="3">
        <v>8163</v>
      </c>
      <c r="B503" s="3" t="s">
        <v>14643</v>
      </c>
      <c r="C503" s="3" t="s">
        <v>16119</v>
      </c>
      <c r="D503" s="3" t="s">
        <v>14991</v>
      </c>
      <c r="E503" s="3" t="s">
        <v>14738</v>
      </c>
      <c r="F503" s="3" t="s">
        <v>16120</v>
      </c>
      <c r="G503" s="3">
        <v>5738752979</v>
      </c>
    </row>
    <row r="504" spans="1:7" x14ac:dyDescent="0.45">
      <c r="A504" s="3">
        <v>8164</v>
      </c>
      <c r="B504" s="3" t="s">
        <v>14643</v>
      </c>
      <c r="C504" s="3" t="s">
        <v>16121</v>
      </c>
      <c r="D504" s="3" t="s">
        <v>16122</v>
      </c>
      <c r="E504" s="3" t="s">
        <v>14935</v>
      </c>
      <c r="F504" s="3" t="s">
        <v>16123</v>
      </c>
      <c r="G504" s="3">
        <v>2627981490</v>
      </c>
    </row>
    <row r="505" spans="1:7" x14ac:dyDescent="0.45">
      <c r="A505" s="3">
        <v>8165</v>
      </c>
      <c r="B505" s="3" t="s">
        <v>14643</v>
      </c>
      <c r="C505" s="3" t="s">
        <v>16124</v>
      </c>
      <c r="D505" s="3" t="s">
        <v>16125</v>
      </c>
      <c r="E505" s="3" t="s">
        <v>15760</v>
      </c>
      <c r="F505" s="3" t="s">
        <v>16126</v>
      </c>
      <c r="G505" s="3">
        <v>6053620119</v>
      </c>
    </row>
    <row r="506" spans="1:7" x14ac:dyDescent="0.45">
      <c r="A506" s="3">
        <v>8166</v>
      </c>
      <c r="B506" s="3" t="s">
        <v>14643</v>
      </c>
      <c r="C506" s="3" t="s">
        <v>16127</v>
      </c>
      <c r="D506" s="3" t="s">
        <v>16128</v>
      </c>
      <c r="E506" s="3" t="s">
        <v>14730</v>
      </c>
      <c r="F506" s="3" t="s">
        <v>16129</v>
      </c>
      <c r="G506" s="3">
        <v>7704971165</v>
      </c>
    </row>
    <row r="507" spans="1:7" x14ac:dyDescent="0.45">
      <c r="A507" s="3">
        <v>8167</v>
      </c>
      <c r="B507" s="3" t="s">
        <v>14643</v>
      </c>
      <c r="C507" s="3" t="s">
        <v>16130</v>
      </c>
      <c r="D507" s="3" t="s">
        <v>15227</v>
      </c>
      <c r="E507" s="3" t="s">
        <v>14935</v>
      </c>
      <c r="F507" s="3" t="s">
        <v>16131</v>
      </c>
      <c r="G507" s="3">
        <v>4147610088</v>
      </c>
    </row>
    <row r="508" spans="1:7" x14ac:dyDescent="0.45">
      <c r="A508" s="3">
        <v>8168</v>
      </c>
      <c r="B508" s="3" t="s">
        <v>14643</v>
      </c>
      <c r="C508" s="3" t="s">
        <v>16132</v>
      </c>
      <c r="D508" s="3" t="s">
        <v>15272</v>
      </c>
      <c r="E508" s="3" t="s">
        <v>14952</v>
      </c>
      <c r="F508" s="3" t="s">
        <v>16133</v>
      </c>
      <c r="G508" s="3">
        <v>3175851619</v>
      </c>
    </row>
    <row r="509" spans="1:7" x14ac:dyDescent="0.45">
      <c r="A509" s="3">
        <v>8169</v>
      </c>
      <c r="B509" s="3" t="s">
        <v>14643</v>
      </c>
      <c r="C509" s="3" t="s">
        <v>16134</v>
      </c>
      <c r="D509" s="3" t="s">
        <v>16020</v>
      </c>
      <c r="E509" s="3" t="s">
        <v>14952</v>
      </c>
      <c r="F509" s="3" t="s">
        <v>16135</v>
      </c>
      <c r="G509" s="3">
        <v>7654494309</v>
      </c>
    </row>
    <row r="510" spans="1:7" x14ac:dyDescent="0.45">
      <c r="A510" s="3">
        <v>8172</v>
      </c>
      <c r="B510" s="3" t="s">
        <v>14643</v>
      </c>
      <c r="C510" s="3" t="s">
        <v>16136</v>
      </c>
      <c r="D510" s="3" t="s">
        <v>16137</v>
      </c>
      <c r="E510" s="3" t="s">
        <v>15056</v>
      </c>
      <c r="F510" s="3" t="s">
        <v>16138</v>
      </c>
      <c r="G510" s="3">
        <v>7012827997</v>
      </c>
    </row>
    <row r="511" spans="1:7" x14ac:dyDescent="0.45">
      <c r="A511" s="3">
        <v>8173</v>
      </c>
      <c r="B511" s="3" t="s">
        <v>14643</v>
      </c>
      <c r="C511" s="3" t="s">
        <v>16139</v>
      </c>
      <c r="D511" s="3" t="s">
        <v>15983</v>
      </c>
      <c r="E511" s="3" t="s">
        <v>14792</v>
      </c>
      <c r="F511" s="3" t="s">
        <v>16140</v>
      </c>
      <c r="G511" s="3">
        <v>9544338867</v>
      </c>
    </row>
    <row r="512" spans="1:7" x14ac:dyDescent="0.45">
      <c r="A512" s="3">
        <v>8174</v>
      </c>
      <c r="B512" s="3" t="s">
        <v>14643</v>
      </c>
      <c r="C512" s="3" t="s">
        <v>16141</v>
      </c>
      <c r="D512" s="3" t="s">
        <v>16142</v>
      </c>
      <c r="E512" s="3" t="s">
        <v>14952</v>
      </c>
      <c r="F512" s="3" t="s">
        <v>16143</v>
      </c>
      <c r="G512" s="3">
        <v>2199423711</v>
      </c>
    </row>
    <row r="513" spans="1:7" x14ac:dyDescent="0.45">
      <c r="A513" s="3">
        <v>8175</v>
      </c>
      <c r="B513" s="3" t="s">
        <v>14643</v>
      </c>
      <c r="C513" s="3" t="s">
        <v>16144</v>
      </c>
      <c r="D513" s="3" t="s">
        <v>16145</v>
      </c>
      <c r="E513" s="3" t="s">
        <v>14945</v>
      </c>
      <c r="F513" s="3" t="s">
        <v>16146</v>
      </c>
      <c r="G513" s="3">
        <v>7175584200</v>
      </c>
    </row>
    <row r="514" spans="1:7" x14ac:dyDescent="0.45">
      <c r="A514" s="3">
        <v>8176</v>
      </c>
      <c r="B514" s="3" t="s">
        <v>14643</v>
      </c>
      <c r="C514" s="3" t="s">
        <v>16147</v>
      </c>
      <c r="D514" s="3" t="s">
        <v>16148</v>
      </c>
      <c r="E514" s="3" t="s">
        <v>14666</v>
      </c>
      <c r="F514" s="3" t="s">
        <v>16149</v>
      </c>
      <c r="G514" s="3">
        <v>7852735181</v>
      </c>
    </row>
    <row r="515" spans="1:7" x14ac:dyDescent="0.45">
      <c r="A515" s="3">
        <v>8177</v>
      </c>
      <c r="B515" s="3" t="s">
        <v>14643</v>
      </c>
      <c r="C515" s="3" t="s">
        <v>16150</v>
      </c>
      <c r="D515" s="3" t="s">
        <v>15120</v>
      </c>
      <c r="E515" s="3" t="s">
        <v>14779</v>
      </c>
      <c r="F515" s="3" t="s">
        <v>16151</v>
      </c>
      <c r="G515" s="3">
        <v>7024565596</v>
      </c>
    </row>
    <row r="516" spans="1:7" x14ac:dyDescent="0.45">
      <c r="A516" s="3">
        <v>8180</v>
      </c>
      <c r="B516" s="3" t="s">
        <v>14643</v>
      </c>
      <c r="C516" s="3" t="s">
        <v>16152</v>
      </c>
      <c r="D516" s="3" t="s">
        <v>16153</v>
      </c>
      <c r="E516" s="3" t="s">
        <v>14886</v>
      </c>
      <c r="F516" s="3" t="s">
        <v>16154</v>
      </c>
      <c r="G516" s="3">
        <v>6189935568</v>
      </c>
    </row>
    <row r="517" spans="1:7" x14ac:dyDescent="0.45">
      <c r="A517" s="3">
        <v>8181</v>
      </c>
      <c r="B517" s="3" t="s">
        <v>14643</v>
      </c>
      <c r="C517" s="3" t="s">
        <v>16155</v>
      </c>
      <c r="D517" s="3" t="s">
        <v>16156</v>
      </c>
      <c r="E517" s="3" t="s">
        <v>14650</v>
      </c>
      <c r="F517" s="3" t="s">
        <v>16157</v>
      </c>
      <c r="G517" s="3">
        <v>3184429730</v>
      </c>
    </row>
    <row r="518" spans="1:7" x14ac:dyDescent="0.45">
      <c r="A518" s="3">
        <v>8182</v>
      </c>
      <c r="B518" s="3" t="s">
        <v>14643</v>
      </c>
      <c r="C518" s="3" t="s">
        <v>16158</v>
      </c>
      <c r="D518" s="3" t="s">
        <v>14737</v>
      </c>
      <c r="E518" s="3" t="s">
        <v>14738</v>
      </c>
      <c r="F518" s="3" t="s">
        <v>16159</v>
      </c>
      <c r="G518" s="3">
        <v>3148227200</v>
      </c>
    </row>
    <row r="519" spans="1:7" x14ac:dyDescent="0.45">
      <c r="A519" s="3">
        <v>8183</v>
      </c>
      <c r="B519" s="3" t="s">
        <v>14643</v>
      </c>
      <c r="C519" s="3" t="s">
        <v>16160</v>
      </c>
      <c r="D519" s="3" t="s">
        <v>16161</v>
      </c>
      <c r="E519" s="3" t="s">
        <v>14723</v>
      </c>
      <c r="F519" s="3" t="s">
        <v>16162</v>
      </c>
      <c r="G519" s="3">
        <v>3202538370</v>
      </c>
    </row>
    <row r="520" spans="1:7" x14ac:dyDescent="0.45">
      <c r="A520" s="3">
        <v>8184</v>
      </c>
      <c r="B520" s="3" t="s">
        <v>14643</v>
      </c>
      <c r="C520" s="3" t="s">
        <v>16163</v>
      </c>
      <c r="D520" s="3" t="s">
        <v>16164</v>
      </c>
      <c r="E520" s="3" t="s">
        <v>14886</v>
      </c>
      <c r="F520" s="3" t="s">
        <v>16165</v>
      </c>
      <c r="G520" s="3">
        <v>8478551130</v>
      </c>
    </row>
    <row r="521" spans="1:7" x14ac:dyDescent="0.45">
      <c r="A521" s="3">
        <v>8185</v>
      </c>
      <c r="B521" s="3" t="s">
        <v>14643</v>
      </c>
      <c r="C521" s="3" t="s">
        <v>16166</v>
      </c>
      <c r="D521" s="3" t="s">
        <v>16167</v>
      </c>
      <c r="E521" s="3" t="s">
        <v>14935</v>
      </c>
      <c r="F521" s="3" t="s">
        <v>16168</v>
      </c>
      <c r="G521" s="3">
        <v>7158369585</v>
      </c>
    </row>
    <row r="522" spans="1:7" x14ac:dyDescent="0.45">
      <c r="A522" s="3">
        <v>8186</v>
      </c>
      <c r="B522" s="3" t="s">
        <v>14643</v>
      </c>
      <c r="C522" s="3" t="s">
        <v>16169</v>
      </c>
      <c r="D522" s="3" t="s">
        <v>16170</v>
      </c>
      <c r="E522" s="3" t="s">
        <v>15347</v>
      </c>
      <c r="F522" s="3" t="s">
        <v>16171</v>
      </c>
      <c r="G522" s="3">
        <v>2078835553</v>
      </c>
    </row>
    <row r="523" spans="1:7" x14ac:dyDescent="0.45">
      <c r="A523" s="3">
        <v>8187</v>
      </c>
      <c r="B523" s="3" t="s">
        <v>14643</v>
      </c>
      <c r="C523" s="3" t="s">
        <v>16172</v>
      </c>
      <c r="D523" s="3" t="s">
        <v>16173</v>
      </c>
      <c r="E523" s="3" t="s">
        <v>14792</v>
      </c>
      <c r="F523" s="3" t="s">
        <v>16174</v>
      </c>
      <c r="G523" s="3">
        <v>0</v>
      </c>
    </row>
    <row r="524" spans="1:7" x14ac:dyDescent="0.45">
      <c r="A524" s="3">
        <v>8188</v>
      </c>
      <c r="B524" s="3" t="s">
        <v>14643</v>
      </c>
      <c r="C524" s="3" t="s">
        <v>16175</v>
      </c>
      <c r="D524" s="3" t="s">
        <v>16176</v>
      </c>
      <c r="E524" s="3" t="s">
        <v>14702</v>
      </c>
      <c r="F524" s="3" t="s">
        <v>16177</v>
      </c>
      <c r="G524" s="3">
        <v>8592532885</v>
      </c>
    </row>
    <row r="525" spans="1:7" x14ac:dyDescent="0.45">
      <c r="A525" s="3">
        <v>8189</v>
      </c>
      <c r="B525" s="3" t="s">
        <v>14643</v>
      </c>
      <c r="C525" s="3" t="s">
        <v>16178</v>
      </c>
      <c r="D525" s="3" t="s">
        <v>16179</v>
      </c>
      <c r="E525" s="3" t="s">
        <v>14973</v>
      </c>
      <c r="F525" s="3" t="s">
        <v>16180</v>
      </c>
      <c r="G525" s="3">
        <v>3046236410</v>
      </c>
    </row>
    <row r="526" spans="1:7" x14ac:dyDescent="0.45">
      <c r="A526" s="3">
        <v>8190</v>
      </c>
      <c r="B526" s="3" t="s">
        <v>14643</v>
      </c>
      <c r="C526" s="3" t="s">
        <v>16181</v>
      </c>
      <c r="D526" s="3" t="s">
        <v>16182</v>
      </c>
      <c r="E526" s="3" t="s">
        <v>14654</v>
      </c>
      <c r="F526" s="3" t="s">
        <v>16183</v>
      </c>
      <c r="G526" s="3">
        <v>4099869100</v>
      </c>
    </row>
    <row r="527" spans="1:7" ht="28.5" x14ac:dyDescent="0.45">
      <c r="A527" s="3">
        <v>8191</v>
      </c>
      <c r="B527" s="3" t="s">
        <v>14643</v>
      </c>
      <c r="C527" s="3" t="s">
        <v>16184</v>
      </c>
      <c r="D527" s="3" t="s">
        <v>16185</v>
      </c>
      <c r="E527" s="3" t="s">
        <v>14945</v>
      </c>
      <c r="F527" s="3" t="s">
        <v>16186</v>
      </c>
      <c r="G527" s="3">
        <v>5708215500</v>
      </c>
    </row>
    <row r="528" spans="1:7" x14ac:dyDescent="0.45">
      <c r="A528" s="3">
        <v>8192</v>
      </c>
      <c r="B528" s="3" t="s">
        <v>14643</v>
      </c>
      <c r="C528" s="3" t="s">
        <v>16187</v>
      </c>
      <c r="D528" s="3" t="s">
        <v>16188</v>
      </c>
      <c r="E528" s="3" t="s">
        <v>14698</v>
      </c>
      <c r="F528" s="3" t="s">
        <v>16189</v>
      </c>
      <c r="G528" s="3">
        <v>3346715005</v>
      </c>
    </row>
    <row r="529" spans="1:7" x14ac:dyDescent="0.45">
      <c r="A529" s="3">
        <v>8193</v>
      </c>
      <c r="B529" s="3" t="s">
        <v>14643</v>
      </c>
      <c r="C529" s="3" t="s">
        <v>16190</v>
      </c>
      <c r="D529" s="3" t="s">
        <v>16191</v>
      </c>
      <c r="E529" s="3" t="s">
        <v>14788</v>
      </c>
      <c r="F529" s="3" t="s">
        <v>16192</v>
      </c>
      <c r="G529" s="3">
        <v>3017140096</v>
      </c>
    </row>
    <row r="530" spans="1:7" x14ac:dyDescent="0.45">
      <c r="A530" s="3">
        <v>8194</v>
      </c>
      <c r="B530" s="3" t="s">
        <v>14643</v>
      </c>
      <c r="C530" s="3" t="s">
        <v>16193</v>
      </c>
      <c r="D530" s="3" t="s">
        <v>16194</v>
      </c>
      <c r="E530" s="3" t="s">
        <v>14730</v>
      </c>
      <c r="F530" s="3" t="s">
        <v>16195</v>
      </c>
      <c r="G530" s="3">
        <v>7065483666</v>
      </c>
    </row>
    <row r="531" spans="1:7" x14ac:dyDescent="0.45">
      <c r="A531" s="3">
        <v>8196</v>
      </c>
      <c r="B531" s="3" t="s">
        <v>14643</v>
      </c>
      <c r="C531" s="3" t="s">
        <v>16196</v>
      </c>
      <c r="D531" s="3" t="s">
        <v>15775</v>
      </c>
      <c r="E531" s="3" t="s">
        <v>14698</v>
      </c>
      <c r="F531" s="3" t="s">
        <v>16197</v>
      </c>
      <c r="G531" s="3">
        <v>2567679960</v>
      </c>
    </row>
    <row r="532" spans="1:7" x14ac:dyDescent="0.45">
      <c r="A532" s="3">
        <v>8197</v>
      </c>
      <c r="B532" s="3" t="s">
        <v>14643</v>
      </c>
      <c r="C532" s="3" t="s">
        <v>16198</v>
      </c>
      <c r="D532" s="3" t="s">
        <v>16199</v>
      </c>
      <c r="E532" s="3" t="s">
        <v>14886</v>
      </c>
      <c r="F532" s="3" t="s">
        <v>16200</v>
      </c>
      <c r="G532" s="3">
        <v>2173552223</v>
      </c>
    </row>
    <row r="533" spans="1:7" x14ac:dyDescent="0.45">
      <c r="A533" s="3">
        <v>8201</v>
      </c>
      <c r="B533" s="3" t="s">
        <v>14643</v>
      </c>
      <c r="C533" s="3" t="s">
        <v>16201</v>
      </c>
      <c r="D533" s="3" t="s">
        <v>16202</v>
      </c>
      <c r="E533" s="3" t="s">
        <v>14792</v>
      </c>
      <c r="F533" s="3" t="s">
        <v>16203</v>
      </c>
      <c r="G533" s="3">
        <v>9417392130</v>
      </c>
    </row>
    <row r="534" spans="1:7" x14ac:dyDescent="0.45">
      <c r="A534" s="3">
        <v>8202</v>
      </c>
      <c r="B534" s="3" t="s">
        <v>14643</v>
      </c>
      <c r="C534" s="3" t="s">
        <v>16204</v>
      </c>
      <c r="D534" s="3" t="s">
        <v>16205</v>
      </c>
      <c r="E534" s="3" t="s">
        <v>14730</v>
      </c>
      <c r="F534" s="3" t="s">
        <v>16206</v>
      </c>
      <c r="G534" s="3">
        <v>9123523330</v>
      </c>
    </row>
    <row r="535" spans="1:7" x14ac:dyDescent="0.45">
      <c r="A535" s="3">
        <v>8203</v>
      </c>
      <c r="B535" s="3" t="s">
        <v>14643</v>
      </c>
      <c r="C535" s="3" t="s">
        <v>16207</v>
      </c>
      <c r="D535" s="3" t="s">
        <v>16208</v>
      </c>
      <c r="E535" s="3" t="s">
        <v>14730</v>
      </c>
      <c r="F535" s="3" t="s">
        <v>16209</v>
      </c>
      <c r="G535" s="3">
        <v>7704237018</v>
      </c>
    </row>
    <row r="536" spans="1:7" x14ac:dyDescent="0.45">
      <c r="A536" s="3">
        <v>8205</v>
      </c>
      <c r="B536" s="3" t="s">
        <v>14643</v>
      </c>
      <c r="C536" s="3" t="s">
        <v>16210</v>
      </c>
      <c r="D536" s="3" t="s">
        <v>14737</v>
      </c>
      <c r="E536" s="3" t="s">
        <v>14738</v>
      </c>
      <c r="F536" s="3" t="s">
        <v>16211</v>
      </c>
      <c r="G536" s="3">
        <v>3148925579</v>
      </c>
    </row>
    <row r="537" spans="1:7" x14ac:dyDescent="0.45">
      <c r="A537" s="3">
        <v>8207</v>
      </c>
      <c r="B537" s="3" t="s">
        <v>14643</v>
      </c>
      <c r="C537" s="3" t="s">
        <v>16212</v>
      </c>
      <c r="D537" s="3" t="s">
        <v>14985</v>
      </c>
      <c r="E537" s="3" t="s">
        <v>14738</v>
      </c>
      <c r="F537" s="3" t="s">
        <v>16213</v>
      </c>
      <c r="G537" s="3">
        <v>8164520005</v>
      </c>
    </row>
    <row r="538" spans="1:7" x14ac:dyDescent="0.45">
      <c r="A538" s="3">
        <v>8208</v>
      </c>
      <c r="B538" s="3" t="s">
        <v>14643</v>
      </c>
      <c r="C538" s="3" t="s">
        <v>16214</v>
      </c>
      <c r="D538" s="3" t="s">
        <v>16215</v>
      </c>
      <c r="E538" s="3" t="s">
        <v>14666</v>
      </c>
      <c r="F538" s="3" t="s">
        <v>16216</v>
      </c>
      <c r="G538" s="3">
        <v>9138940084</v>
      </c>
    </row>
    <row r="539" spans="1:7" x14ac:dyDescent="0.45">
      <c r="A539" s="3">
        <v>8209</v>
      </c>
      <c r="B539" s="3" t="s">
        <v>14643</v>
      </c>
      <c r="C539" s="3" t="s">
        <v>16217</v>
      </c>
      <c r="D539" s="3" t="s">
        <v>14759</v>
      </c>
      <c r="E539" s="3" t="s">
        <v>14752</v>
      </c>
      <c r="F539" s="3" t="s">
        <v>14760</v>
      </c>
      <c r="G539" s="3">
        <v>4795871840</v>
      </c>
    </row>
    <row r="540" spans="1:7" x14ac:dyDescent="0.45">
      <c r="A540" s="3">
        <v>8210</v>
      </c>
      <c r="B540" s="3" t="s">
        <v>14643</v>
      </c>
      <c r="C540" s="3" t="s">
        <v>16218</v>
      </c>
      <c r="D540" s="3" t="s">
        <v>16219</v>
      </c>
      <c r="E540" s="3" t="s">
        <v>14654</v>
      </c>
      <c r="F540" s="3" t="s">
        <v>16220</v>
      </c>
      <c r="G540" s="3">
        <v>8172939225</v>
      </c>
    </row>
    <row r="541" spans="1:7" x14ac:dyDescent="0.45">
      <c r="A541" s="3">
        <v>8211</v>
      </c>
      <c r="B541" s="3" t="s">
        <v>14643</v>
      </c>
      <c r="C541" s="3" t="s">
        <v>16221</v>
      </c>
      <c r="D541" s="3" t="s">
        <v>16222</v>
      </c>
      <c r="E541" s="3" t="s">
        <v>14730</v>
      </c>
      <c r="F541" s="3" t="s">
        <v>16223</v>
      </c>
      <c r="G541" s="3">
        <v>7704896167</v>
      </c>
    </row>
    <row r="542" spans="1:7" x14ac:dyDescent="0.45">
      <c r="A542" s="3">
        <v>8213</v>
      </c>
      <c r="B542" s="3" t="s">
        <v>14643</v>
      </c>
      <c r="C542" s="3" t="s">
        <v>16224</v>
      </c>
      <c r="D542" s="3" t="s">
        <v>15048</v>
      </c>
      <c r="E542" s="3" t="s">
        <v>14730</v>
      </c>
      <c r="F542" s="3" t="s">
        <v>16225</v>
      </c>
      <c r="G542" s="3">
        <v>7066496799</v>
      </c>
    </row>
    <row r="543" spans="1:7" x14ac:dyDescent="0.45">
      <c r="A543" s="3">
        <v>8215</v>
      </c>
      <c r="B543" s="3" t="s">
        <v>14643</v>
      </c>
      <c r="C543" s="3" t="s">
        <v>16226</v>
      </c>
      <c r="D543" s="3" t="s">
        <v>15123</v>
      </c>
      <c r="E543" s="3" t="s">
        <v>14886</v>
      </c>
      <c r="F543" s="3" t="s">
        <v>16227</v>
      </c>
      <c r="G543" s="3">
        <v>2177874126</v>
      </c>
    </row>
    <row r="544" spans="1:7" x14ac:dyDescent="0.45">
      <c r="A544" s="3">
        <v>8218</v>
      </c>
      <c r="B544" s="3" t="s">
        <v>14643</v>
      </c>
      <c r="C544" s="3" t="s">
        <v>16228</v>
      </c>
      <c r="D544" s="3" t="s">
        <v>14759</v>
      </c>
      <c r="E544" s="3" t="s">
        <v>14855</v>
      </c>
      <c r="F544" s="3" t="s">
        <v>16229</v>
      </c>
      <c r="G544" s="3">
        <v>9108647080</v>
      </c>
    </row>
    <row r="545" spans="1:7" x14ac:dyDescent="0.45">
      <c r="A545" s="3">
        <v>8219</v>
      </c>
      <c r="B545" s="3" t="s">
        <v>14643</v>
      </c>
      <c r="C545" s="3" t="s">
        <v>16230</v>
      </c>
      <c r="D545" s="3" t="s">
        <v>16231</v>
      </c>
      <c r="E545" s="3" t="s">
        <v>14855</v>
      </c>
      <c r="F545" s="3" t="s">
        <v>16232</v>
      </c>
      <c r="G545" s="3">
        <v>7048476742</v>
      </c>
    </row>
    <row r="546" spans="1:7" x14ac:dyDescent="0.45">
      <c r="A546" s="3">
        <v>8220</v>
      </c>
      <c r="B546" s="3" t="s">
        <v>14643</v>
      </c>
      <c r="C546" s="3" t="s">
        <v>16233</v>
      </c>
      <c r="D546" s="3" t="s">
        <v>16234</v>
      </c>
      <c r="E546" s="3" t="s">
        <v>14673</v>
      </c>
      <c r="F546" s="3" t="s">
        <v>16235</v>
      </c>
      <c r="G546" s="3">
        <v>5405632620</v>
      </c>
    </row>
    <row r="547" spans="1:7" x14ac:dyDescent="0.45">
      <c r="A547" s="3">
        <v>8221</v>
      </c>
      <c r="B547" s="3" t="s">
        <v>14643</v>
      </c>
      <c r="C547" s="3" t="s">
        <v>16236</v>
      </c>
      <c r="D547" s="3" t="s">
        <v>16237</v>
      </c>
      <c r="E547" s="3" t="s">
        <v>14650</v>
      </c>
      <c r="F547" s="3" t="s">
        <v>16238</v>
      </c>
      <c r="G547" s="3">
        <v>5043613966</v>
      </c>
    </row>
    <row r="548" spans="1:7" x14ac:dyDescent="0.45">
      <c r="A548" s="3">
        <v>8222</v>
      </c>
      <c r="B548" s="3" t="s">
        <v>14643</v>
      </c>
      <c r="C548" s="3" t="s">
        <v>16239</v>
      </c>
      <c r="D548" s="3" t="s">
        <v>16240</v>
      </c>
      <c r="E548" s="3" t="s">
        <v>15052</v>
      </c>
      <c r="F548" s="3" t="s">
        <v>16241</v>
      </c>
      <c r="G548" s="3">
        <v>4232822303</v>
      </c>
    </row>
    <row r="549" spans="1:7" x14ac:dyDescent="0.45">
      <c r="A549" s="3">
        <v>8223</v>
      </c>
      <c r="B549" s="3" t="s">
        <v>14643</v>
      </c>
      <c r="C549" s="3" t="s">
        <v>16242</v>
      </c>
      <c r="D549" s="3" t="s">
        <v>15772</v>
      </c>
      <c r="E549" s="3" t="s">
        <v>14855</v>
      </c>
      <c r="F549" s="3" t="s">
        <v>16243</v>
      </c>
      <c r="G549" s="3">
        <v>9198391700</v>
      </c>
    </row>
    <row r="550" spans="1:7" x14ac:dyDescent="0.45">
      <c r="A550" s="3">
        <v>8224</v>
      </c>
      <c r="B550" s="3" t="s">
        <v>14643</v>
      </c>
      <c r="C550" s="3" t="s">
        <v>16244</v>
      </c>
      <c r="D550" s="3" t="s">
        <v>16245</v>
      </c>
      <c r="E550" s="3" t="s">
        <v>14654</v>
      </c>
      <c r="F550" s="3" t="s">
        <v>16246</v>
      </c>
      <c r="G550" s="3">
        <v>9406910632</v>
      </c>
    </row>
    <row r="551" spans="1:7" x14ac:dyDescent="0.45">
      <c r="A551" s="3">
        <v>8225</v>
      </c>
      <c r="B551" s="3" t="s">
        <v>14643</v>
      </c>
      <c r="C551" s="3" t="s">
        <v>16247</v>
      </c>
      <c r="D551" s="3" t="s">
        <v>16248</v>
      </c>
      <c r="E551" s="3" t="s">
        <v>14730</v>
      </c>
      <c r="F551" s="3" t="s">
        <v>16249</v>
      </c>
      <c r="G551" s="3">
        <v>4787886121</v>
      </c>
    </row>
    <row r="552" spans="1:7" x14ac:dyDescent="0.45">
      <c r="A552" s="3">
        <v>8226</v>
      </c>
      <c r="B552" s="3" t="s">
        <v>14643</v>
      </c>
      <c r="C552" s="3" t="s">
        <v>16250</v>
      </c>
      <c r="D552" s="3" t="s">
        <v>16251</v>
      </c>
      <c r="E552" s="3" t="s">
        <v>14654</v>
      </c>
      <c r="F552" s="3" t="s">
        <v>16252</v>
      </c>
      <c r="G552" s="3">
        <v>3253076125</v>
      </c>
    </row>
    <row r="553" spans="1:7" x14ac:dyDescent="0.45">
      <c r="A553" s="3">
        <v>8227</v>
      </c>
      <c r="B553" s="3" t="s">
        <v>14643</v>
      </c>
      <c r="C553" s="3" t="s">
        <v>16253</v>
      </c>
      <c r="D553" s="3" t="s">
        <v>15031</v>
      </c>
      <c r="E553" s="3" t="s">
        <v>14654</v>
      </c>
      <c r="F553" s="3" t="s">
        <v>16254</v>
      </c>
      <c r="G553" s="3">
        <v>2106809425</v>
      </c>
    </row>
    <row r="554" spans="1:7" x14ac:dyDescent="0.45">
      <c r="A554" s="3">
        <v>8228</v>
      </c>
      <c r="B554" s="3" t="s">
        <v>14643</v>
      </c>
      <c r="C554" s="3" t="s">
        <v>16255</v>
      </c>
      <c r="D554" s="3" t="s">
        <v>14858</v>
      </c>
      <c r="E554" s="3" t="s">
        <v>14855</v>
      </c>
      <c r="F554" s="3" t="s">
        <v>16256</v>
      </c>
      <c r="G554" s="3">
        <v>3367653590</v>
      </c>
    </row>
    <row r="555" spans="1:7" x14ac:dyDescent="0.45">
      <c r="A555" s="3">
        <v>8236</v>
      </c>
      <c r="B555" s="3" t="s">
        <v>14643</v>
      </c>
      <c r="C555" s="3" t="s">
        <v>16257</v>
      </c>
      <c r="D555" s="3" t="s">
        <v>16258</v>
      </c>
      <c r="E555" s="3" t="s">
        <v>14734</v>
      </c>
      <c r="F555" s="3" t="s">
        <v>16259</v>
      </c>
      <c r="G555" s="3">
        <v>2288324441</v>
      </c>
    </row>
    <row r="556" spans="1:7" x14ac:dyDescent="0.45">
      <c r="A556" s="3">
        <v>8237</v>
      </c>
      <c r="B556" s="3" t="s">
        <v>14643</v>
      </c>
      <c r="C556" s="3" t="s">
        <v>16260</v>
      </c>
      <c r="D556" s="3" t="s">
        <v>16261</v>
      </c>
      <c r="E556" s="3" t="s">
        <v>14650</v>
      </c>
      <c r="F556" s="3" t="s">
        <v>16262</v>
      </c>
      <c r="G556" s="3">
        <v>3183455615</v>
      </c>
    </row>
    <row r="557" spans="1:7" x14ac:dyDescent="0.45">
      <c r="A557" s="3">
        <v>8238</v>
      </c>
      <c r="B557" s="3" t="s">
        <v>14643</v>
      </c>
      <c r="C557" s="3" t="s">
        <v>16263</v>
      </c>
      <c r="D557" s="3" t="s">
        <v>16173</v>
      </c>
      <c r="E557" s="3" t="s">
        <v>14851</v>
      </c>
      <c r="F557" s="3" t="s">
        <v>16264</v>
      </c>
      <c r="G557" s="3">
        <v>5633553939</v>
      </c>
    </row>
    <row r="558" spans="1:7" x14ac:dyDescent="0.45">
      <c r="A558" s="3">
        <v>8239</v>
      </c>
      <c r="B558" s="3" t="s">
        <v>14643</v>
      </c>
      <c r="C558" s="3" t="s">
        <v>16265</v>
      </c>
      <c r="D558" s="3" t="s">
        <v>16266</v>
      </c>
      <c r="E558" s="3" t="s">
        <v>14712</v>
      </c>
      <c r="F558" s="3" t="s">
        <v>16267</v>
      </c>
      <c r="G558" s="3">
        <v>5802483400</v>
      </c>
    </row>
    <row r="559" spans="1:7" x14ac:dyDescent="0.45">
      <c r="A559" s="3">
        <v>8241</v>
      </c>
      <c r="B559" s="3" t="s">
        <v>14643</v>
      </c>
      <c r="C559" s="3" t="s">
        <v>16268</v>
      </c>
      <c r="D559" s="3" t="s">
        <v>16269</v>
      </c>
      <c r="E559" s="3" t="s">
        <v>14712</v>
      </c>
      <c r="F559" s="3" t="s">
        <v>16270</v>
      </c>
      <c r="G559" s="3">
        <v>4057410012</v>
      </c>
    </row>
    <row r="560" spans="1:7" x14ac:dyDescent="0.45">
      <c r="A560" s="3">
        <v>8242</v>
      </c>
      <c r="B560" s="3" t="s">
        <v>14643</v>
      </c>
      <c r="C560" s="3" t="s">
        <v>16271</v>
      </c>
      <c r="D560" s="3" t="s">
        <v>15045</v>
      </c>
      <c r="E560" s="3" t="s">
        <v>14654</v>
      </c>
      <c r="F560" s="3" t="s">
        <v>16272</v>
      </c>
      <c r="G560" s="3">
        <v>2143429810</v>
      </c>
    </row>
    <row r="561" spans="1:7" x14ac:dyDescent="0.45">
      <c r="A561" s="3">
        <v>8243</v>
      </c>
      <c r="B561" s="3" t="s">
        <v>14643</v>
      </c>
      <c r="C561" s="3" t="s">
        <v>16273</v>
      </c>
      <c r="D561" s="3" t="s">
        <v>16274</v>
      </c>
      <c r="E561" s="3" t="s">
        <v>14738</v>
      </c>
      <c r="F561" s="3" t="s">
        <v>16275</v>
      </c>
      <c r="G561" s="3">
        <v>8167650600</v>
      </c>
    </row>
    <row r="562" spans="1:7" x14ac:dyDescent="0.45">
      <c r="A562" s="3">
        <v>8244</v>
      </c>
      <c r="B562" s="3" t="s">
        <v>14643</v>
      </c>
      <c r="C562" s="3" t="s">
        <v>16276</v>
      </c>
      <c r="D562" s="3" t="s">
        <v>14679</v>
      </c>
      <c r="E562" s="3" t="s">
        <v>14654</v>
      </c>
      <c r="F562" s="3" t="s">
        <v>16277</v>
      </c>
      <c r="G562" s="3">
        <v>7139418484</v>
      </c>
    </row>
    <row r="563" spans="1:7" x14ac:dyDescent="0.45">
      <c r="A563" s="3">
        <v>8245</v>
      </c>
      <c r="B563" s="3" t="s">
        <v>14643</v>
      </c>
      <c r="C563" s="3" t="s">
        <v>16278</v>
      </c>
      <c r="D563" s="3" t="s">
        <v>14679</v>
      </c>
      <c r="E563" s="3" t="s">
        <v>14654</v>
      </c>
      <c r="F563" s="3" t="s">
        <v>16279</v>
      </c>
      <c r="G563" s="3">
        <v>2818218777</v>
      </c>
    </row>
    <row r="564" spans="1:7" x14ac:dyDescent="0.45">
      <c r="A564" s="3">
        <v>8246</v>
      </c>
      <c r="B564" s="3" t="s">
        <v>14643</v>
      </c>
      <c r="C564" s="3" t="s">
        <v>16280</v>
      </c>
      <c r="D564" s="3" t="s">
        <v>16281</v>
      </c>
      <c r="E564" s="3" t="s">
        <v>14654</v>
      </c>
      <c r="F564" s="3" t="s">
        <v>16282</v>
      </c>
      <c r="G564" s="3">
        <v>2812952500</v>
      </c>
    </row>
    <row r="565" spans="1:7" x14ac:dyDescent="0.45">
      <c r="A565" s="3">
        <v>8247</v>
      </c>
      <c r="B565" s="3" t="s">
        <v>14643</v>
      </c>
      <c r="C565" s="3" t="s">
        <v>16283</v>
      </c>
      <c r="D565" s="3" t="s">
        <v>16284</v>
      </c>
      <c r="E565" s="3" t="s">
        <v>14698</v>
      </c>
      <c r="F565" s="3" t="s">
        <v>16285</v>
      </c>
      <c r="G565" s="3">
        <v>2059413326</v>
      </c>
    </row>
    <row r="566" spans="1:7" x14ac:dyDescent="0.45">
      <c r="A566" s="3">
        <v>8248</v>
      </c>
      <c r="B566" s="3" t="s">
        <v>14643</v>
      </c>
      <c r="C566" s="3" t="s">
        <v>16286</v>
      </c>
      <c r="D566" s="3" t="s">
        <v>15045</v>
      </c>
      <c r="E566" s="3" t="s">
        <v>14654</v>
      </c>
      <c r="F566" s="3" t="s">
        <v>16287</v>
      </c>
      <c r="G566" s="3">
        <v>2145300320</v>
      </c>
    </row>
    <row r="567" spans="1:7" x14ac:dyDescent="0.45">
      <c r="A567" s="3">
        <v>8250</v>
      </c>
      <c r="B567" s="3" t="s">
        <v>14643</v>
      </c>
      <c r="C567" s="3" t="s">
        <v>16288</v>
      </c>
      <c r="D567" s="3" t="s">
        <v>14948</v>
      </c>
      <c r="E567" s="3" t="s">
        <v>14654</v>
      </c>
      <c r="F567" s="3" t="s">
        <v>16289</v>
      </c>
      <c r="G567" s="3">
        <v>9566183363</v>
      </c>
    </row>
    <row r="568" spans="1:7" ht="28.5" x14ac:dyDescent="0.45">
      <c r="A568" s="3">
        <v>8251</v>
      </c>
      <c r="B568" s="3" t="s">
        <v>14643</v>
      </c>
      <c r="C568" s="3" t="s">
        <v>16290</v>
      </c>
      <c r="D568" s="3" t="s">
        <v>16291</v>
      </c>
      <c r="E568" s="3" t="s">
        <v>14738</v>
      </c>
      <c r="F568" s="3" t="s">
        <v>16292</v>
      </c>
      <c r="G568" s="3">
        <v>6369467002</v>
      </c>
    </row>
    <row r="569" spans="1:7" x14ac:dyDescent="0.45">
      <c r="A569" s="3">
        <v>8252</v>
      </c>
      <c r="B569" s="3" t="s">
        <v>14643</v>
      </c>
      <c r="C569" s="3" t="s">
        <v>16293</v>
      </c>
      <c r="D569" s="3" t="s">
        <v>16294</v>
      </c>
      <c r="E569" s="3" t="s">
        <v>14992</v>
      </c>
      <c r="F569" s="3" t="s">
        <v>16295</v>
      </c>
      <c r="G569" s="3">
        <v>8435299893</v>
      </c>
    </row>
    <row r="570" spans="1:7" x14ac:dyDescent="0.45">
      <c r="A570" s="3">
        <v>8253</v>
      </c>
      <c r="B570" s="3" t="s">
        <v>14643</v>
      </c>
      <c r="C570" s="3" t="s">
        <v>16296</v>
      </c>
      <c r="D570" s="3" t="s">
        <v>15426</v>
      </c>
      <c r="E570" s="3" t="s">
        <v>14792</v>
      </c>
      <c r="F570" s="3" t="s">
        <v>16297</v>
      </c>
      <c r="G570" s="3">
        <v>9046968842</v>
      </c>
    </row>
    <row r="571" spans="1:7" x14ac:dyDescent="0.45">
      <c r="A571" s="3">
        <v>8254</v>
      </c>
      <c r="B571" s="3" t="s">
        <v>14643</v>
      </c>
      <c r="C571" s="3" t="s">
        <v>16298</v>
      </c>
      <c r="D571" s="3" t="s">
        <v>15265</v>
      </c>
      <c r="E571" s="3" t="s">
        <v>14666</v>
      </c>
      <c r="F571" s="3" t="s">
        <v>16299</v>
      </c>
      <c r="G571" s="3">
        <v>3169453010</v>
      </c>
    </row>
    <row r="572" spans="1:7" x14ac:dyDescent="0.45">
      <c r="A572" s="3">
        <v>8256</v>
      </c>
      <c r="B572" s="3" t="s">
        <v>14643</v>
      </c>
      <c r="C572" s="3" t="s">
        <v>16300</v>
      </c>
      <c r="D572" s="3" t="s">
        <v>15778</v>
      </c>
      <c r="E572" s="3" t="s">
        <v>15052</v>
      </c>
      <c r="F572" s="3" t="s">
        <v>16301</v>
      </c>
      <c r="G572" s="3">
        <v>8656942168</v>
      </c>
    </row>
    <row r="573" spans="1:7" x14ac:dyDescent="0.45">
      <c r="A573" s="3">
        <v>8257</v>
      </c>
      <c r="B573" s="3" t="s">
        <v>14643</v>
      </c>
      <c r="C573" s="3" t="s">
        <v>16302</v>
      </c>
      <c r="D573" s="3" t="s">
        <v>15084</v>
      </c>
      <c r="E573" s="3" t="s">
        <v>15052</v>
      </c>
      <c r="F573" s="3" t="s">
        <v>16303</v>
      </c>
      <c r="G573" s="3">
        <v>6158592023</v>
      </c>
    </row>
    <row r="574" spans="1:7" x14ac:dyDescent="0.45">
      <c r="A574" s="3">
        <v>8259</v>
      </c>
      <c r="B574" s="3" t="s">
        <v>14643</v>
      </c>
      <c r="C574" s="3" t="s">
        <v>16304</v>
      </c>
      <c r="D574" s="3" t="s">
        <v>14689</v>
      </c>
      <c r="E574" s="3" t="s">
        <v>14654</v>
      </c>
      <c r="F574" s="3" t="s">
        <v>16305</v>
      </c>
      <c r="G574" s="3">
        <v>5125824876</v>
      </c>
    </row>
    <row r="575" spans="1:7" x14ac:dyDescent="0.45">
      <c r="A575" s="3">
        <v>8261</v>
      </c>
      <c r="B575" s="3" t="s">
        <v>14643</v>
      </c>
      <c r="C575" s="3" t="s">
        <v>16306</v>
      </c>
      <c r="D575" s="3" t="s">
        <v>16307</v>
      </c>
      <c r="E575" s="3" t="s">
        <v>14650</v>
      </c>
      <c r="F575" s="3" t="s">
        <v>16308</v>
      </c>
      <c r="G575" s="3">
        <v>5044679677</v>
      </c>
    </row>
    <row r="576" spans="1:7" x14ac:dyDescent="0.45">
      <c r="A576" s="3">
        <v>8262</v>
      </c>
      <c r="B576" s="3" t="s">
        <v>14643</v>
      </c>
      <c r="C576" s="3" t="s">
        <v>16309</v>
      </c>
      <c r="D576" s="3" t="s">
        <v>15031</v>
      </c>
      <c r="E576" s="3" t="s">
        <v>14654</v>
      </c>
      <c r="F576" s="3" t="s">
        <v>16310</v>
      </c>
      <c r="G576" s="3">
        <v>2106468188</v>
      </c>
    </row>
    <row r="577" spans="1:7" x14ac:dyDescent="0.45">
      <c r="A577" s="3">
        <v>8263</v>
      </c>
      <c r="B577" s="3" t="s">
        <v>14643</v>
      </c>
      <c r="C577" s="3" t="s">
        <v>16311</v>
      </c>
      <c r="D577" s="3" t="s">
        <v>14931</v>
      </c>
      <c r="E577" s="3" t="s">
        <v>14712</v>
      </c>
      <c r="F577" s="3" t="s">
        <v>16312</v>
      </c>
      <c r="G577" s="3">
        <v>9186271443</v>
      </c>
    </row>
    <row r="578" spans="1:7" x14ac:dyDescent="0.45">
      <c r="A578" s="3">
        <v>8264</v>
      </c>
      <c r="B578" s="3" t="s">
        <v>14643</v>
      </c>
      <c r="C578" s="3" t="s">
        <v>16313</v>
      </c>
      <c r="D578" s="3" t="s">
        <v>15031</v>
      </c>
      <c r="E578" s="3" t="s">
        <v>14654</v>
      </c>
      <c r="F578" s="3" t="s">
        <v>16314</v>
      </c>
      <c r="G578" s="3">
        <v>2109273593</v>
      </c>
    </row>
    <row r="579" spans="1:7" x14ac:dyDescent="0.45">
      <c r="A579" s="3">
        <v>8265</v>
      </c>
      <c r="B579" s="3" t="s">
        <v>14643</v>
      </c>
      <c r="C579" s="3" t="s">
        <v>16315</v>
      </c>
      <c r="D579" s="3" t="s">
        <v>16316</v>
      </c>
      <c r="E579" s="3" t="s">
        <v>14650</v>
      </c>
      <c r="F579" s="3" t="s">
        <v>16317</v>
      </c>
      <c r="G579" s="3">
        <v>3374772668</v>
      </c>
    </row>
    <row r="580" spans="1:7" x14ac:dyDescent="0.45">
      <c r="A580" s="3">
        <v>8266</v>
      </c>
      <c r="B580" s="3" t="s">
        <v>14643</v>
      </c>
      <c r="C580" s="3" t="s">
        <v>16318</v>
      </c>
      <c r="D580" s="3" t="s">
        <v>16319</v>
      </c>
      <c r="E580" s="3" t="s">
        <v>14752</v>
      </c>
      <c r="F580" s="3" t="s">
        <v>16320</v>
      </c>
      <c r="G580" s="3">
        <v>5019452167</v>
      </c>
    </row>
    <row r="581" spans="1:7" x14ac:dyDescent="0.45">
      <c r="A581" s="3">
        <v>8267</v>
      </c>
      <c r="B581" s="3" t="s">
        <v>14643</v>
      </c>
      <c r="C581" s="3" t="s">
        <v>16321</v>
      </c>
      <c r="D581" s="3" t="s">
        <v>16322</v>
      </c>
      <c r="E581" s="3" t="s">
        <v>14654</v>
      </c>
      <c r="F581" s="3" t="s">
        <v>16323</v>
      </c>
      <c r="G581" s="3">
        <v>3618570151</v>
      </c>
    </row>
    <row r="582" spans="1:7" ht="28.5" x14ac:dyDescent="0.45">
      <c r="A582" s="3">
        <v>8268</v>
      </c>
      <c r="B582" s="3" t="s">
        <v>14643</v>
      </c>
      <c r="C582" s="3" t="s">
        <v>16324</v>
      </c>
      <c r="D582" s="3" t="s">
        <v>16325</v>
      </c>
      <c r="E582" s="3" t="s">
        <v>14654</v>
      </c>
      <c r="F582" s="3" t="s">
        <v>16326</v>
      </c>
      <c r="G582" s="3">
        <v>8174283700</v>
      </c>
    </row>
    <row r="583" spans="1:7" x14ac:dyDescent="0.45">
      <c r="A583" s="3">
        <v>8269</v>
      </c>
      <c r="B583" s="3" t="s">
        <v>14643</v>
      </c>
      <c r="C583" s="3" t="s">
        <v>16327</v>
      </c>
      <c r="D583" s="3" t="s">
        <v>16328</v>
      </c>
      <c r="E583" s="3" t="s">
        <v>14654</v>
      </c>
      <c r="F583" s="3" t="s">
        <v>16329</v>
      </c>
      <c r="G583" s="3">
        <v>9726603405</v>
      </c>
    </row>
    <row r="584" spans="1:7" x14ac:dyDescent="0.45">
      <c r="A584" s="3">
        <v>8270</v>
      </c>
      <c r="B584" s="3" t="s">
        <v>14643</v>
      </c>
      <c r="C584" s="3" t="s">
        <v>16330</v>
      </c>
      <c r="D584" s="3" t="s">
        <v>16331</v>
      </c>
      <c r="E584" s="3" t="s">
        <v>14654</v>
      </c>
      <c r="F584" s="3" t="s">
        <v>16332</v>
      </c>
      <c r="G584" s="3">
        <v>8067937182</v>
      </c>
    </row>
    <row r="585" spans="1:7" x14ac:dyDescent="0.45">
      <c r="A585" s="3">
        <v>8271</v>
      </c>
      <c r="B585" s="3" t="s">
        <v>14643</v>
      </c>
      <c r="C585" s="3" t="s">
        <v>16333</v>
      </c>
      <c r="D585" s="3" t="s">
        <v>16334</v>
      </c>
      <c r="E585" s="3" t="s">
        <v>14734</v>
      </c>
      <c r="F585" s="3" t="s">
        <v>16335</v>
      </c>
      <c r="G585" s="3">
        <v>6019770139</v>
      </c>
    </row>
    <row r="586" spans="1:7" x14ac:dyDescent="0.45">
      <c r="A586" s="3">
        <v>8272</v>
      </c>
      <c r="B586" s="3" t="s">
        <v>14643</v>
      </c>
      <c r="C586" s="3" t="s">
        <v>16336</v>
      </c>
      <c r="D586" s="3" t="s">
        <v>15190</v>
      </c>
      <c r="E586" s="3" t="s">
        <v>14748</v>
      </c>
      <c r="F586" s="3" t="s">
        <v>16337</v>
      </c>
      <c r="G586" s="3">
        <v>7195972311</v>
      </c>
    </row>
    <row r="587" spans="1:7" x14ac:dyDescent="0.45">
      <c r="A587" s="3">
        <v>8273</v>
      </c>
      <c r="B587" s="3" t="s">
        <v>14643</v>
      </c>
      <c r="C587" s="3" t="s">
        <v>16338</v>
      </c>
      <c r="D587" s="3" t="s">
        <v>16339</v>
      </c>
      <c r="E587" s="3" t="s">
        <v>14650</v>
      </c>
      <c r="F587" s="3" t="s">
        <v>16340</v>
      </c>
      <c r="G587" s="3">
        <v>3187982043</v>
      </c>
    </row>
    <row r="588" spans="1:7" x14ac:dyDescent="0.45">
      <c r="A588" s="3">
        <v>8274</v>
      </c>
      <c r="B588" s="3" t="s">
        <v>14643</v>
      </c>
      <c r="C588" s="3" t="s">
        <v>16341</v>
      </c>
      <c r="D588" s="3" t="s">
        <v>14679</v>
      </c>
      <c r="E588" s="3" t="s">
        <v>14654</v>
      </c>
      <c r="F588" s="3" t="s">
        <v>16342</v>
      </c>
      <c r="G588" s="3">
        <v>2819552071</v>
      </c>
    </row>
    <row r="589" spans="1:7" x14ac:dyDescent="0.45">
      <c r="A589" s="3">
        <v>8275</v>
      </c>
      <c r="B589" s="3" t="s">
        <v>14643</v>
      </c>
      <c r="C589" s="3" t="s">
        <v>16343</v>
      </c>
      <c r="D589" s="3" t="s">
        <v>16344</v>
      </c>
      <c r="E589" s="3" t="s">
        <v>14654</v>
      </c>
      <c r="F589" s="3" t="s">
        <v>16345</v>
      </c>
      <c r="G589" s="3">
        <v>4098425071</v>
      </c>
    </row>
    <row r="590" spans="1:7" x14ac:dyDescent="0.45">
      <c r="A590" s="3">
        <v>8276</v>
      </c>
      <c r="B590" s="3" t="s">
        <v>14643</v>
      </c>
      <c r="C590" s="3" t="s">
        <v>16346</v>
      </c>
      <c r="D590" s="3" t="s">
        <v>16347</v>
      </c>
      <c r="E590" s="3" t="s">
        <v>14702</v>
      </c>
      <c r="F590" s="3" t="s">
        <v>16348</v>
      </c>
      <c r="G590" s="3">
        <v>5029640379</v>
      </c>
    </row>
    <row r="591" spans="1:7" x14ac:dyDescent="0.45">
      <c r="A591" s="3">
        <v>8277</v>
      </c>
      <c r="B591" s="3" t="s">
        <v>14643</v>
      </c>
      <c r="C591" s="3" t="s">
        <v>16349</v>
      </c>
      <c r="D591" s="3" t="s">
        <v>16350</v>
      </c>
      <c r="E591" s="3" t="s">
        <v>14654</v>
      </c>
      <c r="F591" s="3" t="s">
        <v>16351</v>
      </c>
      <c r="G591" s="3">
        <v>8177639621</v>
      </c>
    </row>
    <row r="592" spans="1:7" x14ac:dyDescent="0.45">
      <c r="A592" s="3">
        <v>8278</v>
      </c>
      <c r="B592" s="3" t="s">
        <v>14643</v>
      </c>
      <c r="C592" s="3" t="s">
        <v>16352</v>
      </c>
      <c r="D592" s="3" t="s">
        <v>16353</v>
      </c>
      <c r="E592" s="3" t="s">
        <v>14992</v>
      </c>
      <c r="F592" s="3" t="s">
        <v>16354</v>
      </c>
      <c r="G592" s="3">
        <v>8649877220</v>
      </c>
    </row>
    <row r="593" spans="1:7" x14ac:dyDescent="0.45">
      <c r="A593" s="3">
        <v>8279</v>
      </c>
      <c r="B593" s="3" t="s">
        <v>14643</v>
      </c>
      <c r="C593" s="3" t="s">
        <v>16355</v>
      </c>
      <c r="D593" s="3" t="s">
        <v>15992</v>
      </c>
      <c r="E593" s="3" t="s">
        <v>14654</v>
      </c>
      <c r="F593" s="3" t="s">
        <v>16356</v>
      </c>
      <c r="G593" s="3">
        <v>8063746651</v>
      </c>
    </row>
    <row r="594" spans="1:7" x14ac:dyDescent="0.45">
      <c r="A594" s="3">
        <v>8280</v>
      </c>
      <c r="B594" s="3" t="s">
        <v>14643</v>
      </c>
      <c r="C594" s="3" t="s">
        <v>16357</v>
      </c>
      <c r="D594" s="3" t="s">
        <v>15222</v>
      </c>
      <c r="E594" s="3" t="s">
        <v>14654</v>
      </c>
      <c r="F594" s="3" t="s">
        <v>16358</v>
      </c>
      <c r="G594" s="3">
        <v>9155916688</v>
      </c>
    </row>
    <row r="595" spans="1:7" x14ac:dyDescent="0.45">
      <c r="A595" s="3">
        <v>8281</v>
      </c>
      <c r="B595" s="3" t="s">
        <v>14643</v>
      </c>
      <c r="C595" s="3" t="s">
        <v>16359</v>
      </c>
      <c r="D595" s="3" t="s">
        <v>14679</v>
      </c>
      <c r="E595" s="3" t="s">
        <v>14654</v>
      </c>
      <c r="F595" s="3" t="s">
        <v>16360</v>
      </c>
      <c r="G595" s="3">
        <v>7134502592</v>
      </c>
    </row>
    <row r="596" spans="1:7" x14ac:dyDescent="0.45">
      <c r="A596" s="3">
        <v>8282</v>
      </c>
      <c r="B596" s="3" t="s">
        <v>14643</v>
      </c>
      <c r="C596" s="3" t="s">
        <v>16361</v>
      </c>
      <c r="D596" s="3" t="s">
        <v>15045</v>
      </c>
      <c r="E596" s="3" t="s">
        <v>14654</v>
      </c>
      <c r="F596" s="3" t="s">
        <v>16362</v>
      </c>
      <c r="G596" s="3">
        <v>9722831704</v>
      </c>
    </row>
    <row r="597" spans="1:7" x14ac:dyDescent="0.45">
      <c r="A597" s="3">
        <v>8283</v>
      </c>
      <c r="B597" s="3" t="s">
        <v>14643</v>
      </c>
      <c r="C597" s="3" t="s">
        <v>16363</v>
      </c>
      <c r="D597" s="3" t="s">
        <v>14991</v>
      </c>
      <c r="E597" s="3" t="s">
        <v>14992</v>
      </c>
      <c r="F597" s="3" t="s">
        <v>16364</v>
      </c>
      <c r="G597" s="3">
        <v>8037901581</v>
      </c>
    </row>
    <row r="598" spans="1:7" x14ac:dyDescent="0.45">
      <c r="A598" s="3">
        <v>8284</v>
      </c>
      <c r="B598" s="3" t="s">
        <v>14643</v>
      </c>
      <c r="C598" s="3" t="s">
        <v>16365</v>
      </c>
      <c r="D598" s="3" t="s">
        <v>16366</v>
      </c>
      <c r="E598" s="3" t="s">
        <v>14654</v>
      </c>
      <c r="F598" s="3" t="s">
        <v>16367</v>
      </c>
      <c r="G598" s="3">
        <v>9035972296</v>
      </c>
    </row>
    <row r="599" spans="1:7" x14ac:dyDescent="0.45">
      <c r="A599" s="3">
        <v>8285</v>
      </c>
      <c r="B599" s="3" t="s">
        <v>14643</v>
      </c>
      <c r="C599" s="3" t="s">
        <v>16368</v>
      </c>
      <c r="D599" s="3" t="s">
        <v>16369</v>
      </c>
      <c r="E599" s="3" t="s">
        <v>14886</v>
      </c>
      <c r="F599" s="3" t="s">
        <v>16370</v>
      </c>
      <c r="G599" s="3">
        <v>6186327878</v>
      </c>
    </row>
    <row r="600" spans="1:7" x14ac:dyDescent="0.45">
      <c r="A600" s="3">
        <v>8286</v>
      </c>
      <c r="B600" s="3" t="s">
        <v>14643</v>
      </c>
      <c r="C600" s="3" t="s">
        <v>16371</v>
      </c>
      <c r="D600" s="3" t="s">
        <v>16372</v>
      </c>
      <c r="E600" s="3" t="s">
        <v>14654</v>
      </c>
      <c r="F600" s="3" t="s">
        <v>16373</v>
      </c>
      <c r="G600" s="3">
        <v>2547992408</v>
      </c>
    </row>
    <row r="601" spans="1:7" x14ac:dyDescent="0.45">
      <c r="A601" s="3">
        <v>8287</v>
      </c>
      <c r="B601" s="3" t="s">
        <v>14643</v>
      </c>
      <c r="C601" s="3" t="s">
        <v>16374</v>
      </c>
      <c r="D601" s="3" t="s">
        <v>16375</v>
      </c>
      <c r="E601" s="3" t="s">
        <v>14730</v>
      </c>
      <c r="F601" s="3" t="s">
        <v>16376</v>
      </c>
      <c r="G601" s="3">
        <v>7709608228</v>
      </c>
    </row>
    <row r="602" spans="1:7" x14ac:dyDescent="0.45">
      <c r="A602" s="3">
        <v>8288</v>
      </c>
      <c r="B602" s="3" t="s">
        <v>14643</v>
      </c>
      <c r="C602" s="3" t="s">
        <v>16377</v>
      </c>
      <c r="D602" s="3" t="s">
        <v>16378</v>
      </c>
      <c r="E602" s="3" t="s">
        <v>14654</v>
      </c>
      <c r="F602" s="3" t="s">
        <v>16379</v>
      </c>
      <c r="G602" s="3">
        <v>4326995933</v>
      </c>
    </row>
    <row r="603" spans="1:7" x14ac:dyDescent="0.45">
      <c r="A603" s="3">
        <v>8289</v>
      </c>
      <c r="B603" s="3" t="s">
        <v>14643</v>
      </c>
      <c r="C603" s="3" t="s">
        <v>16380</v>
      </c>
      <c r="D603" s="3" t="s">
        <v>14711</v>
      </c>
      <c r="E603" s="3" t="s">
        <v>14712</v>
      </c>
      <c r="F603" s="3" t="s">
        <v>16381</v>
      </c>
      <c r="G603" s="3">
        <v>4059439810</v>
      </c>
    </row>
    <row r="604" spans="1:7" x14ac:dyDescent="0.45">
      <c r="A604" s="3">
        <v>8290</v>
      </c>
      <c r="B604" s="3" t="s">
        <v>14643</v>
      </c>
      <c r="C604" s="3" t="s">
        <v>16382</v>
      </c>
      <c r="D604" s="3" t="s">
        <v>14913</v>
      </c>
      <c r="E604" s="3" t="s">
        <v>14792</v>
      </c>
      <c r="F604" s="3" t="s">
        <v>16383</v>
      </c>
      <c r="G604" s="3">
        <v>4078599056</v>
      </c>
    </row>
    <row r="605" spans="1:7" x14ac:dyDescent="0.45">
      <c r="A605" s="3">
        <v>8291</v>
      </c>
      <c r="B605" s="3" t="s">
        <v>14643</v>
      </c>
      <c r="C605" s="3" t="s">
        <v>16384</v>
      </c>
      <c r="D605" s="3" t="s">
        <v>16385</v>
      </c>
      <c r="E605" s="3" t="s">
        <v>14808</v>
      </c>
      <c r="F605" s="3" t="s">
        <v>16386</v>
      </c>
      <c r="G605" s="3">
        <v>8102306700</v>
      </c>
    </row>
    <row r="606" spans="1:7" x14ac:dyDescent="0.45">
      <c r="A606" s="3">
        <v>8292</v>
      </c>
      <c r="B606" s="3" t="s">
        <v>14643</v>
      </c>
      <c r="C606" s="3" t="s">
        <v>16387</v>
      </c>
      <c r="D606" s="3" t="s">
        <v>15241</v>
      </c>
      <c r="E606" s="3" t="s">
        <v>15052</v>
      </c>
      <c r="F606" s="3" t="s">
        <v>16388</v>
      </c>
      <c r="G606" s="3">
        <v>9013864004</v>
      </c>
    </row>
    <row r="607" spans="1:7" x14ac:dyDescent="0.45">
      <c r="A607" s="3">
        <v>8293</v>
      </c>
      <c r="B607" s="3" t="s">
        <v>14643</v>
      </c>
      <c r="C607" s="3" t="s">
        <v>16389</v>
      </c>
      <c r="D607" s="3" t="s">
        <v>16390</v>
      </c>
      <c r="E607" s="3" t="s">
        <v>14738</v>
      </c>
      <c r="F607" s="3" t="s">
        <v>16391</v>
      </c>
      <c r="G607" s="3">
        <v>8163501687</v>
      </c>
    </row>
    <row r="608" spans="1:7" x14ac:dyDescent="0.45">
      <c r="A608" s="3">
        <v>8294</v>
      </c>
      <c r="B608" s="3" t="s">
        <v>14643</v>
      </c>
      <c r="C608" s="3" t="s">
        <v>16392</v>
      </c>
      <c r="D608" s="3" t="s">
        <v>16393</v>
      </c>
      <c r="E608" s="3" t="s">
        <v>15052</v>
      </c>
      <c r="F608" s="3" t="s">
        <v>16394</v>
      </c>
      <c r="G608" s="3">
        <v>6158349092</v>
      </c>
    </row>
    <row r="609" spans="1:7" x14ac:dyDescent="0.45">
      <c r="A609" s="3">
        <v>8295</v>
      </c>
      <c r="B609" s="3" t="s">
        <v>14643</v>
      </c>
      <c r="C609" s="3" t="s">
        <v>16395</v>
      </c>
      <c r="D609" s="3" t="s">
        <v>16396</v>
      </c>
      <c r="E609" s="3" t="s">
        <v>14654</v>
      </c>
      <c r="F609" s="3" t="s">
        <v>16397</v>
      </c>
      <c r="G609" s="3">
        <v>9038384338</v>
      </c>
    </row>
    <row r="610" spans="1:7" x14ac:dyDescent="0.45">
      <c r="A610" s="3">
        <v>8296</v>
      </c>
      <c r="B610" s="3" t="s">
        <v>14643</v>
      </c>
      <c r="C610" s="3" t="s">
        <v>16398</v>
      </c>
      <c r="D610" s="3" t="s">
        <v>15123</v>
      </c>
      <c r="E610" s="3" t="s">
        <v>14738</v>
      </c>
      <c r="F610" s="3" t="s">
        <v>16399</v>
      </c>
      <c r="G610" s="3">
        <v>4178824487</v>
      </c>
    </row>
    <row r="611" spans="1:7" x14ac:dyDescent="0.45">
      <c r="A611" s="3">
        <v>8297</v>
      </c>
      <c r="B611" s="3" t="s">
        <v>14643</v>
      </c>
      <c r="C611" s="3" t="s">
        <v>16400</v>
      </c>
      <c r="D611" s="3" t="s">
        <v>16401</v>
      </c>
      <c r="E611" s="3" t="s">
        <v>14886</v>
      </c>
      <c r="F611" s="3" t="s">
        <v>16402</v>
      </c>
      <c r="G611" s="3">
        <v>8153941212</v>
      </c>
    </row>
    <row r="612" spans="1:7" x14ac:dyDescent="0.45">
      <c r="A612" s="3">
        <v>8298</v>
      </c>
      <c r="B612" s="3" t="s">
        <v>14643</v>
      </c>
      <c r="C612" s="3" t="s">
        <v>16403</v>
      </c>
      <c r="D612" s="3" t="s">
        <v>16404</v>
      </c>
      <c r="E612" s="3" t="s">
        <v>14886</v>
      </c>
      <c r="F612" s="3" t="s">
        <v>16405</v>
      </c>
      <c r="G612" s="3">
        <v>8157442525</v>
      </c>
    </row>
    <row r="613" spans="1:7" x14ac:dyDescent="0.45">
      <c r="A613" s="3">
        <v>8299</v>
      </c>
      <c r="B613" s="3" t="s">
        <v>14643</v>
      </c>
      <c r="C613" s="3" t="s">
        <v>16406</v>
      </c>
      <c r="D613" s="3" t="s">
        <v>14744</v>
      </c>
      <c r="E613" s="3" t="s">
        <v>14654</v>
      </c>
      <c r="F613" s="3" t="s">
        <v>16407</v>
      </c>
      <c r="G613" s="3">
        <v>9726128041</v>
      </c>
    </row>
    <row r="614" spans="1:7" x14ac:dyDescent="0.45">
      <c r="A614" s="3">
        <v>8355</v>
      </c>
      <c r="B614" s="3" t="s">
        <v>14643</v>
      </c>
      <c r="C614" s="3" t="s">
        <v>16408</v>
      </c>
      <c r="D614" s="3" t="s">
        <v>15744</v>
      </c>
      <c r="E614" s="3" t="s">
        <v>14855</v>
      </c>
      <c r="F614" s="3" t="s">
        <v>16409</v>
      </c>
      <c r="G614" s="3">
        <v>4792734000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Sam's TC Refresh</vt:lpstr>
      <vt:lpstr>Site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Cowart</cp:lastModifiedBy>
  <dcterms:created xsi:type="dcterms:W3CDTF">2026-05-11T19:49:50Z</dcterms:created>
  <dcterms:modified xsi:type="dcterms:W3CDTF">2026-05-13T20:05:06Z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2026-05-12T15:04:58Z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b5432452-25e5-4d89-9ab3-f688b65d7439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